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mc:AlternateContent xmlns:mc="http://schemas.openxmlformats.org/markup-compatibility/2006">
    <mc:Choice Requires="x15">
      <x15ac:absPath xmlns:x15ac="http://schemas.microsoft.com/office/spreadsheetml/2010/11/ac" url="/Users/egundoko/Downloads/"/>
    </mc:Choice>
  </mc:AlternateContent>
  <xr:revisionPtr revIDLastSave="0" documentId="13_ncr:1_{89399849-5F5C-C945-8D44-7B61928BF5B0}" xr6:coauthVersionLast="47" xr6:coauthVersionMax="47" xr10:uidLastSave="{00000000-0000-0000-0000-000000000000}"/>
  <bookViews>
    <workbookView xWindow="0" yWindow="760" windowWidth="30240" windowHeight="17180" firstSheet="18" activeTab="6" xr2:uid="{00000000-000D-0000-FFFF-FFFF00000000}"/>
  </bookViews>
  <sheets>
    <sheet name="Content" sheetId="1" r:id="rId1"/>
    <sheet name="B" sheetId="2" r:id="rId2"/>
    <sheet name="QAsd" sheetId="3" r:id="rId3"/>
    <sheet name="QA1_1" sheetId="4" r:id="rId4"/>
    <sheet name="QA1_2" sheetId="5" r:id="rId5"/>
    <sheet name="QA2" sheetId="6" r:id="rId6"/>
    <sheet name="QA3" sheetId="7" r:id="rId7"/>
    <sheet name="QA4a" sheetId="8" r:id="rId8"/>
    <sheet name="QA4b" sheetId="9" r:id="rId9"/>
    <sheet name="QA4ab" sheetId="10" r:id="rId10"/>
    <sheet name="QA5_1" sheetId="11" r:id="rId11"/>
    <sheet name="QA5_2" sheetId="12" r:id="rId12"/>
    <sheet name="QA5_3" sheetId="13" r:id="rId13"/>
    <sheet name="QA6_1" sheetId="14" r:id="rId14"/>
    <sheet name="QA6_2" sheetId="15" r:id="rId15"/>
    <sheet name="QA6_3" sheetId="16" r:id="rId16"/>
    <sheet name="QA6_4" sheetId="17" r:id="rId17"/>
    <sheet name="QA7_1" sheetId="18" r:id="rId18"/>
    <sheet name="QA7_2" sheetId="19" r:id="rId19"/>
    <sheet name="QA7_3" sheetId="20" r:id="rId20"/>
    <sheet name="QA7_4" sheetId="21" r:id="rId21"/>
    <sheet name="QA7_5" sheetId="22" r:id="rId22"/>
    <sheet name="QA8a" sheetId="23" r:id="rId23"/>
    <sheet name="QA8b" sheetId="24" r:id="rId24"/>
    <sheet name="QA8ab" sheetId="25" r:id="rId25"/>
    <sheet name="QA9_1" sheetId="26" r:id="rId26"/>
    <sheet name="QA9_2" sheetId="27" r:id="rId27"/>
    <sheet name="QA9_3" sheetId="28" r:id="rId28"/>
    <sheet name="QA9_4" sheetId="29" r:id="rId29"/>
    <sheet name="QA9_5" sheetId="30" r:id="rId30"/>
    <sheet name="QA10_1" sheetId="31" r:id="rId31"/>
    <sheet name="QA10_2" sheetId="32" r:id="rId32"/>
    <sheet name="QA11_1" sheetId="33" r:id="rId33"/>
    <sheet name="QA11_2" sheetId="34" r:id="rId34"/>
    <sheet name="QA11_3" sheetId="35" r:id="rId35"/>
    <sheet name="QA12" sheetId="36" r:id="rId36"/>
    <sheet name="QB1" sheetId="37" r:id="rId37"/>
    <sheet name="QB2" sheetId="38" r:id="rId38"/>
    <sheet name="QB3" sheetId="39" r:id="rId39"/>
    <sheet name="QB4_1" sheetId="40" r:id="rId40"/>
    <sheet name="QB4_2" sheetId="41" r:id="rId41"/>
    <sheet name="QB4_3" sheetId="42" r:id="rId42"/>
    <sheet name="QB4T" sheetId="43" r:id="rId43"/>
    <sheet name="QB5a" sheetId="44" r:id="rId44"/>
    <sheet name="QB5b" sheetId="45" r:id="rId45"/>
    <sheet name="QB5ab" sheetId="46" r:id="rId46"/>
    <sheet name="QB6_1" sheetId="47" r:id="rId47"/>
    <sheet name="QB6_2" sheetId="48" r:id="rId48"/>
    <sheet name="QB6_3" sheetId="49" r:id="rId49"/>
    <sheet name="QB6_4" sheetId="50" r:id="rId50"/>
    <sheet name="QB6T" sheetId="51" r:id="rId51"/>
    <sheet name="QC1" sheetId="52" r:id="rId52"/>
    <sheet name="QC2a" sheetId="53" r:id="rId53"/>
    <sheet name="QC2b" sheetId="54" r:id="rId54"/>
    <sheet name="QC2ab" sheetId="55" r:id="rId55"/>
    <sheet name="QC3" sheetId="56" r:id="rId56"/>
    <sheet name="QC4_1" sheetId="57" r:id="rId57"/>
    <sheet name="QC4_2" sheetId="58" r:id="rId58"/>
    <sheet name="QC5_1" sheetId="59" r:id="rId59"/>
    <sheet name="QC5_2" sheetId="60" r:id="rId60"/>
    <sheet name="QC5_3" sheetId="61" r:id="rId61"/>
    <sheet name="QC5_4" sheetId="62" r:id="rId62"/>
    <sheet name="QC5_5" sheetId="63" r:id="rId63"/>
    <sheet name="QC5_6" sheetId="64" r:id="rId64"/>
    <sheet name="QC5_7" sheetId="65" r:id="rId65"/>
    <sheet name="QC5_8" sheetId="66" r:id="rId66"/>
    <sheet name="QC5_9" sheetId="67" r:id="rId67"/>
    <sheet name="QC5_10" sheetId="68" r:id="rId68"/>
    <sheet name="QC5T" sheetId="69" r:id="rId69"/>
    <sheet name="QC6a" sheetId="70" r:id="rId70"/>
    <sheet name="QC6b" sheetId="71" r:id="rId71"/>
    <sheet name="QC6ab" sheetId="72" r:id="rId72"/>
    <sheet name="QC7a" sheetId="73" r:id="rId73"/>
    <sheet name="QC7b" sheetId="74" r:id="rId74"/>
    <sheet name="QC7ab" sheetId="75" r:id="rId75"/>
    <sheet name="QC8a" sheetId="76" r:id="rId76"/>
    <sheet name="QC8b" sheetId="77" r:id="rId77"/>
    <sheet name="QC8ab" sheetId="78" r:id="rId78"/>
    <sheet name="QC9a" sheetId="79" r:id="rId79"/>
    <sheet name="QC9b" sheetId="80" r:id="rId80"/>
    <sheet name="QC9ab" sheetId="81" r:id="rId81"/>
    <sheet name="QC10a" sheetId="82" r:id="rId82"/>
    <sheet name="QC10b" sheetId="83" r:id="rId83"/>
    <sheet name="QC10ab" sheetId="84" r:id="rId84"/>
    <sheet name="SD1" sheetId="85" r:id="rId85"/>
    <sheet name="SD2" sheetId="86" r:id="rId86"/>
    <sheet name="QD1a" sheetId="87" r:id="rId87"/>
    <sheet name="QD1b" sheetId="88" r:id="rId88"/>
    <sheet name="QD1ab" sheetId="89" r:id="rId89"/>
    <sheet name="QD2" sheetId="90" r:id="rId90"/>
    <sheet name="QD3a" sheetId="91" r:id="rId91"/>
    <sheet name="QD3b" sheetId="92" r:id="rId92"/>
    <sheet name="QD3ab" sheetId="93" r:id="rId93"/>
    <sheet name="QD4_1" sheetId="94" r:id="rId94"/>
    <sheet name="QD4_2" sheetId="95" r:id="rId95"/>
    <sheet name="QD4_3" sheetId="96" r:id="rId96"/>
    <sheet name="QD4_4" sheetId="97" r:id="rId97"/>
    <sheet name="QD4_5" sheetId="98" r:id="rId98"/>
    <sheet name="QD5" sheetId="99" r:id="rId99"/>
    <sheet name="QD6" sheetId="100" r:id="rId100"/>
    <sheet name="QD7" sheetId="101" r:id="rId101"/>
    <sheet name="QD8_1" sheetId="102" r:id="rId102"/>
    <sheet name="QD8_2" sheetId="103" r:id="rId103"/>
    <sheet name="QD8_3" sheetId="104" r:id="rId104"/>
    <sheet name="QD9_1" sheetId="105" r:id="rId105"/>
    <sheet name="QD9_2" sheetId="106" r:id="rId106"/>
    <sheet name="QD9_3" sheetId="107" r:id="rId107"/>
    <sheet name="QD10" sheetId="108" r:id="rId108"/>
    <sheet name="QD11_1" sheetId="109" r:id="rId109"/>
    <sheet name="QD11_2" sheetId="110" r:id="rId110"/>
    <sheet name="QD12" sheetId="111" r:id="rId111"/>
    <sheet name="QD13_1" sheetId="112" r:id="rId112"/>
    <sheet name="QD13_2" sheetId="113" r:id="rId113"/>
    <sheet name="QD13_3" sheetId="114" r:id="rId114"/>
    <sheet name="QD14_1" sheetId="115" r:id="rId115"/>
    <sheet name="QD14_2" sheetId="116" r:id="rId116"/>
    <sheet name="QD15_1" sheetId="117" r:id="rId117"/>
    <sheet name="QD15_2" sheetId="118" r:id="rId118"/>
    <sheet name="QE1_1" sheetId="119" r:id="rId119"/>
    <sheet name="QE1_2" sheetId="120" r:id="rId120"/>
    <sheet name="QE1_3" sheetId="121" r:id="rId121"/>
    <sheet name="QE1_4" sheetId="122" r:id="rId122"/>
    <sheet name="QE1_5" sheetId="123" r:id="rId123"/>
    <sheet name="QE1_6" sheetId="124" r:id="rId124"/>
    <sheet name="QE1_7" sheetId="125" r:id="rId125"/>
    <sheet name="QE1_8" sheetId="126" r:id="rId126"/>
    <sheet name="QE1_9" sheetId="127" r:id="rId127"/>
    <sheet name="QE1_10" sheetId="128" r:id="rId128"/>
    <sheet name="QE2" sheetId="129" r:id="rId129"/>
    <sheet name="QE3_1" sheetId="130" r:id="rId130"/>
    <sheet name="QE3_2" sheetId="131" r:id="rId131"/>
    <sheet name="QE3_3" sheetId="132" r:id="rId132"/>
    <sheet name="QE3_4" sheetId="133" r:id="rId133"/>
    <sheet name="QE3_5" sheetId="134" r:id="rId134"/>
    <sheet name="QE4_1" sheetId="135" r:id="rId135"/>
    <sheet name="QE4_2" sheetId="136" r:id="rId136"/>
    <sheet name="QE4_3" sheetId="137" r:id="rId137"/>
    <sheet name="QE4_4" sheetId="138" r:id="rId138"/>
    <sheet name="QE4_5" sheetId="139" r:id="rId139"/>
    <sheet name="QE4_6" sheetId="140" r:id="rId140"/>
    <sheet name="QE4_7" sheetId="141" r:id="rId141"/>
    <sheet name="QE5" sheetId="142" r:id="rId142"/>
    <sheet name="QE6_1" sheetId="143" r:id="rId143"/>
    <sheet name="QE6_2" sheetId="144" r:id="rId144"/>
    <sheet name="QE6_3" sheetId="145" r:id="rId145"/>
    <sheet name="QE7" sheetId="146" r:id="rId146"/>
    <sheet name="QE8" sheetId="147" r:id="rId147"/>
    <sheet name="QE9_1" sheetId="148" r:id="rId148"/>
    <sheet name="QE9_2" sheetId="149" r:id="rId149"/>
    <sheet name="QE9_3" sheetId="150" r:id="rId150"/>
    <sheet name="QE9_4" sheetId="151" r:id="rId151"/>
    <sheet name="QE9_5" sheetId="152" r:id="rId152"/>
    <sheet name="QE9_6" sheetId="153" r:id="rId153"/>
    <sheet name="QE9_7" sheetId="154" r:id="rId154"/>
    <sheet name="QE9_8" sheetId="155" r:id="rId155"/>
    <sheet name="QE9_9" sheetId="156" r:id="rId156"/>
    <sheet name="QE9_10" sheetId="157" r:id="rId157"/>
    <sheet name="QE9_11" sheetId="158" r:id="rId158"/>
    <sheet name="QE9_12" sheetId="159" r:id="rId159"/>
    <sheet name="QE9_13" sheetId="160" r:id="rId160"/>
    <sheet name="QE9_14" sheetId="161" r:id="rId161"/>
    <sheet name="QE9_15" sheetId="162" r:id="rId162"/>
    <sheet name="D11" sheetId="163" r:id="rId163"/>
    <sheet name="D11R" sheetId="164" r:id="rId164"/>
    <sheet name="D11bis" sheetId="165" r:id="rId165"/>
    <sheet name="D11G" sheetId="166" r:id="rId166"/>
    <sheet name="D7" sheetId="167" r:id="rId167"/>
    <sheet name="D7R1" sheetId="168" r:id="rId168"/>
    <sheet name="D7R2" sheetId="169" r:id="rId169"/>
    <sheet name="D1" sheetId="170" r:id="rId170"/>
    <sheet name="D1R1" sheetId="171" r:id="rId171"/>
    <sheet name="D1R2" sheetId="172" r:id="rId172"/>
    <sheet name="D8" sheetId="173" r:id="rId173"/>
    <sheet name="D8c" sheetId="174" r:id="rId174"/>
    <sheet name="D10" sheetId="175" r:id="rId175"/>
    <sheet name="D15a" sheetId="176" r:id="rId176"/>
    <sheet name="D15a2" sheetId="177" r:id="rId177"/>
    <sheet name="C14" sheetId="178" r:id="rId178"/>
    <sheet name="D15b" sheetId="179" r:id="rId179"/>
    <sheet name="D15b2" sheetId="180" r:id="rId180"/>
    <sheet name="D25" sheetId="181" r:id="rId181"/>
    <sheet name="D60" sheetId="182" r:id="rId182"/>
    <sheet name="D43a" sheetId="183" r:id="rId183"/>
    <sheet name="D43b" sheetId="184" r:id="rId184"/>
    <sheet name="D43c" sheetId="185" r:id="rId185"/>
    <sheet name="D43T" sheetId="186" r:id="rId186"/>
    <sheet name="D62_1" sheetId="187" r:id="rId187"/>
    <sheet name="D62_2" sheetId="188" r:id="rId188"/>
    <sheet name="D62_3" sheetId="189" r:id="rId189"/>
    <sheet name="D62_4" sheetId="190" r:id="rId190"/>
    <sheet name="D62R" sheetId="191" r:id="rId191"/>
    <sheet name="D63" sheetId="192" r:id="rId192"/>
    <sheet name="D70" sheetId="193" r:id="rId193"/>
    <sheet name="D70a" sheetId="194" r:id="rId194"/>
    <sheet name="D73_1" sheetId="195" r:id="rId195"/>
    <sheet name="D73_2" sheetId="196" r:id="rId196"/>
    <sheet name="D73_3" sheetId="197" r:id="rId197"/>
    <sheet name="D73_4" sheetId="198" r:id="rId198"/>
    <sheet name="D71_1" sheetId="199" r:id="rId199"/>
    <sheet name="D71_2" sheetId="200" r:id="rId200"/>
    <sheet name="D71_3" sheetId="201" r:id="rId201"/>
    <sheet name="C2" sheetId="202" r:id="rId202"/>
    <sheet name="D78" sheetId="203" r:id="rId203"/>
    <sheet name="SD18a" sheetId="204" r:id="rId204"/>
    <sheet name="SD18b" sheetId="205" r:id="rId205"/>
    <sheet name="SD19a_1" sheetId="206" r:id="rId206"/>
    <sheet name="SD19a_2" sheetId="207" r:id="rId207"/>
    <sheet name="SD19a_3" sheetId="208" r:id="rId20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8" l="1"/>
  <c r="A9" i="207"/>
  <c r="A9" i="206"/>
  <c r="A9" i="205"/>
  <c r="A9" i="204"/>
  <c r="A9" i="203"/>
  <c r="A9" i="202"/>
  <c r="A9" i="201"/>
  <c r="A9" i="200"/>
  <c r="A9" i="199"/>
  <c r="A9" i="198"/>
  <c r="A9" i="197"/>
  <c r="A9" i="196"/>
  <c r="A9" i="195"/>
  <c r="A9" i="194"/>
  <c r="A9" i="193"/>
  <c r="A9" i="192"/>
  <c r="A9" i="19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<sst xmlns="http://schemas.openxmlformats.org/spreadsheetml/2006/main" count="15461" uniqueCount="1786">
  <si>
    <t>Project:</t>
  </si>
  <si>
    <t>Eurobarometer</t>
  </si>
  <si>
    <t>Wave:</t>
  </si>
  <si>
    <t>103.2</t>
  </si>
  <si>
    <t>Fieldwork:</t>
  </si>
  <si>
    <t>18/02 - 16/03/2025</t>
  </si>
  <si>
    <t>Sheet</t>
  </si>
  <si>
    <t>Question French</t>
  </si>
  <si>
    <t>Question English</t>
  </si>
  <si>
    <t>B. Pays de terrain</t>
  </si>
  <si>
    <t>B. Fieldwork country</t>
  </si>
  <si>
    <t>QAsd. Travaillez-vous ou avez-vous des membres de votre famille, des amis ou des connaissances qui travaillent dans le domaine des arts ou des activités culturelles ? (PLUSIEURS RÉPONSES POSSIBLES)</t>
  </si>
  <si>
    <t>QAsd. Do you personally, or have close relatives, friends or acquaintances who work in the field of arts or cultural activities? (MULTIPLE ANSWERS POSSIBLE)</t>
  </si>
  <si>
    <t>QA1.1. Dans quelle mesure vous sentez-vous épanoui(e) dans… ?:-Votre vie privée</t>
  </si>
  <si>
    <t>QA1.1. To what extent do you feel fulfilled in…?:-Your private life</t>
  </si>
  <si>
    <t>QA1.2. Dans quelle mesure vous sentez-vous épanoui(e) dans… ?:-Votre vie professionnelle</t>
  </si>
  <si>
    <t>QA1.2. To what extent do you feel fulfilled in…?:-Your professional life</t>
  </si>
  <si>
    <t>QA2. Quelle est l’importance de la culture pour vous personnellement ?</t>
  </si>
  <si>
    <t>QA2. How important is culture to you personally?</t>
  </si>
  <si>
    <t>QA3. Veuillez me dire si, au cours des 12 derniers mois, vous avez, de façon individuelle ou au sein d’un groupe ou d’un cours… ? (PLUSIEURS RÉPONSES POSSIBLES)</t>
  </si>
  <si>
    <t>QA3. Please tell me if, in the last 12 months, you have either on your own or as part of an organised group or classes… (MULTIPLE ANSWERS POSSIBLE)</t>
  </si>
  <si>
    <t>QA4a. 	Parmi les raisons suivantes, lesquelles pourraient vous empêcher de participer à des activités culturelles ou d’assister à des événements culturels aussi souvent que vous le souhaiteriez ? En premier ?</t>
  </si>
  <si>
    <t>QA4a. Which of the following reasons might prevent you from participating in cultural activities or from attending cultural events as often as you would like? Firstly?</t>
  </si>
  <si>
    <t>QA4b. Et ensuite ? (PLUSIEURS RÉPONSES POSSIBLES)</t>
  </si>
  <si>
    <t>QA4b. And then? (MULTIPLE ANSWERS POSSIBLE)</t>
  </si>
  <si>
    <t>QA4ab. Parmi les raisons suivantes, lesquelles pourraient vous empêcher de participer à des activités culturelles ou d’assister à des événements culturels aussi souvent que vous le souhaiteriez ? En premier ? Et ensuite ? (PLUSIEURS RÉPONSES POSSIBLES)</t>
  </si>
  <si>
    <t>QA4ab. Which of the following reasons might prevent you from participating in cultural activities or from attending cultural events as often as you would like? Firstly? And then? (MULTIPLE ANSWERS POSSIBLE)</t>
  </si>
  <si>
    <t>QA5.1. Dans quelle mesure êtes-vous d’accord ou pas d’accord avec les affirmations suivantes sur la liberté d’expression artistique ?:-Vous pensez que les artistes en (NOTRE PAYS) peuvent librement exprimer leurs idées et leurs opinions, sans craindre d’être censurés ou de faire l’objet de représailles de la part du gouvernement (NATIONALITÉ)</t>
  </si>
  <si>
    <t>QA5.1. To what extent do you agree or disagree with the following statements about freedom of artistic expression?:-You believe artists in (OUR COUNTRY) can freely express their ideas and opinions without fear of censorship or retaliation by the (NATIONALITY) Government</t>
  </si>
  <si>
    <t>QA5.2. Dans quelle mesure êtes-vous d’accord ou pas d’accord avec les affirmations suivantes sur la liberté d’expression artistique ?:-Vous pensez que les artistes en (NOTRE PAYS) peuvent librement exprimer leurs idées et leurs opinions, sans craindre d’être censurés ou de faire l’objet de représailles de la part de personnes ou de groupes extérieurs au gouvernement</t>
  </si>
  <si>
    <t xml:space="preserve">QA5.2. To what extent do you agree or disagree with the following statements about freedom of artistic expression?:-You believe artists in (OUR COUNTRY) can freely express their ideas and opinions without fear of censorship or retaliation by people or groups outside of the government </t>
  </si>
  <si>
    <t>QA5.3. Dans quelle mesure êtes-vous d’accord ou pas d’accord avec les affirmations suivantes sur la liberté d’expression artistique ?:-La liberté d’expression artistique est importante pour vous</t>
  </si>
  <si>
    <t>QA5.3. To what extent do you agree or disagree with the following statements about freedom of artistic expression?:-Freedom of artistic expression is important to you</t>
  </si>
  <si>
    <t>QA6.1. Dans quelle mesure êtes-vous d’accord ou pas d’accord avec les affirmations suivantes concernant les arts et les activités culturelles en (NOTRE PAYS) ?:-Le fait de participer à une activité culturelle ou d’assister à des événements ou festivals artistiques et culturels peut vous faire vous sentir mieux d’un point de vue mental, physique ou émotionnel</t>
  </si>
  <si>
    <t>QA6.1. To what extent do you agree or disagree with the following statements about the arts and cultural activities in (OUR COUNTRY)?:-Participating in a cultural activity or attending artistic and cultural events or festivals can make you feel better either mentally, physically or emotionally</t>
  </si>
  <si>
    <t>QA6.2. Dans quelle mesure êtes-vous d’accord ou pas d’accord avec les affirmations suivantes concernant les arts et les activités culturelles en (NOTRE PAYS) ?:-Les gens de toutes les régions de (NOTRE PAYS) ont les mêmes possibilités d’accéder à des activités culturelles</t>
  </si>
  <si>
    <t>QA6.2. To what extent do you agree or disagree with the following statements about the arts and cultural activities in (OUR COUNTRY)?:-People in all regions of (OUR COUNTRY) have the same ability to access cultural activities</t>
  </si>
  <si>
    <t>QA6.3. Dans quelle mesure êtes-vous d’accord ou pas d’accord avec les affirmations suivantes concernant les arts et les activités culturelles en (NOTRE PAYS) ?:-Vous pensez que la culture et les arts sont importants pour le bien-être et le développement économique de l’endroit où vous vivez</t>
  </si>
  <si>
    <t>QA6.3. To what extent do you agree or disagree with the following statements about the arts and cultural activities in (OUR COUNTRY)?:-You believe that culture and the arts are important for the welfare and economic development of the place where you live</t>
  </si>
  <si>
    <t>QA6.4. Dans quelle mesure êtes-vous d’accord ou pas d’accord avec les affirmations suivantes concernant les arts et les activités culturelles en (NOTRE PAYS) ?:-Vous pensez que les artistes en (NOTRE PAYS) reçoivent généralement une rémunération juste et adéquate pour leur travail</t>
  </si>
  <si>
    <t>QA6.4. To what extent do you agree or disagree with the following statements about the arts and cultural activities in (OUR COUNTRY)?:-You believe that artists in (OUR COUNTRY) generally receive fair and appropriate remuneration for their work</t>
  </si>
  <si>
    <t>QA7.1. Dans quelle mesure êtes-vous d’accord ou pas d’accord avec les affirmations suivantes sur l’intelligence artificielle (IA) et son rôle dans l’art et la culture ?:-Vous êtes capable de faire la différence entre des œuvres d’art visuel, des œuvres musicales ou des œuvres littéraires créées par l’IA et une œuvre créée par un humain</t>
  </si>
  <si>
    <t>QA7.1. To what extent do you agree or disagree with the following statements regarding artificial intelligence (AI) and its role in art and culture?:-You can tell the difference between a piece of visual art, pieces of music or literary works created by AI and one crafted by a human</t>
  </si>
  <si>
    <t>QA7.2. Dans quelle mesure êtes-vous d’accord ou pas d’accord avec les affirmations suivantes sur l’intelligence artificielle (IA) et son rôle dans l’art et la culture ?:-Vous préférez généralement les contenus créés par des humains à ceux générés par l’IA</t>
  </si>
  <si>
    <t>QA7.2. To what extent do you agree or disagree with the following statements regarding artificial intelligence (AI) and its role in art and culture?:-You generally prefer human-made content to AI-generated content</t>
  </si>
  <si>
    <t>QA7.3. Dans quelle mesure êtes-vous d’accord ou pas d’accord avec les affirmations suivantes sur l’intelligence artificielle (IA) et son rôle dans l’art et la culture ?:-Vous utilisez souvent des outils d’IA générative pour créer des œuvres d’art visuel, des œuvres musicales ou des œuvres littéraires pour votre usage personnel ou professionnel</t>
  </si>
  <si>
    <t>QA7.3. To what extent do you agree or disagree with the following statements regarding artificial intelligence (AI) and its role in art and culture?:-You often make use of generative AI tools to produce visual art, pieces of music or literary works for your personal or professional use</t>
  </si>
  <si>
    <t>QA7.4. Dans quelle mesure êtes-vous d’accord ou pas d’accord avec les affirmations suivantes sur l’intelligence artificielle (IA) et son rôle dans l’art et la culture ?:-Vous êtes souvent confronté(e) à des œuvres d’art visuel, des œuvres musicales ou des œuvres littéraires créées par l’IA</t>
  </si>
  <si>
    <t>QA7.4. To what extent do you agree or disagree with the following statements regarding artificial intelligence (AI) and its role in art and culture?:-You often come across visual art, pieces of music or literary works created by AI</t>
  </si>
  <si>
    <t>QA7.5. Dans quelle mesure êtes-vous d’accord ou pas d’accord avec les affirmations suivantes sur l’intelligence artificielle (IA) et son rôle dans l’art et la culture ?:-Le fait que la montée de l’IA générative puisse avoir un impact sur l’emploi ou la rémunération des artistes et créatifs vous inquiète</t>
  </si>
  <si>
    <t>QA7.5. To what extent do you agree or disagree with the following statements regarding artificial intelligence (AI) and its role in art and culture?:-You are concerned that the rise of generative AI may have an impact on employment or earnings for artists and creatives</t>
  </si>
  <si>
    <t>QA8a. Selon vous, sur lesquels des sujets suivants relatifs à la culture l’Union européenne et ses États membres devraient-ils collaborer plus étroitement ? En premier ?</t>
  </si>
  <si>
    <t>QA8a. On which of the following culture related topics do you think the European Union and its Member States should work more closely together? Firstly?</t>
  </si>
  <si>
    <t>QA8b. Et ensuite ? (PLUSIEURS RÉPONSES POSSIBLES)</t>
  </si>
  <si>
    <t>QA8b. And then? (MULTIPLE ANSWERS POSSIBLE)</t>
  </si>
  <si>
    <t>QA8ab. Selon vous, sur lesquels des sujets suivants relatifs à la culture l’Union européenne et ses États membres devraient-ils collaborer plus étroitement ? En premier ? Et ensuite ? (PLUSIEURS RÉPONSES POSSIBLES)</t>
  </si>
  <si>
    <t>QA8ab. On which of the following culture related topics do you think the European Union and its Member States should work more closely together? Firstly? And then? (MULTIPLE ANSWERS POSSIBLE)</t>
  </si>
  <si>
    <t>QA9.1. À votre avis, quelle est l’importance du patrimoine culturel… ?:-Pour vous personnellement</t>
  </si>
  <si>
    <t>QA9.1. How important do you think that cultural heritage is…?:-For you personally</t>
  </si>
  <si>
    <t>QA9.2. À votre avis, quelle est l’importance du patrimoine culturel… ?:-Pour votre communauté locale</t>
  </si>
  <si>
    <t>QA9.2. How important do you think that cultural heritage is…?:-For your local community</t>
  </si>
  <si>
    <t>QA9.3. À votre avis, quelle est l’importance du patrimoine culturel… ?:-Pour votre région</t>
  </si>
  <si>
    <t>QA9.3. How important do you think that cultural heritage is…?:-For your region</t>
  </si>
  <si>
    <t>QA9.4. À votre avis, quelle est l’importance du patrimoine culturel… ?:-Pour (NOTRE PAYS)</t>
  </si>
  <si>
    <t>QA9.4. How important do you think that cultural heritage is…?:-For (OUR COUNTRY)</t>
  </si>
  <si>
    <t>QA9.5. À votre avis, quelle est l’importance du patrimoine culturel… ?:-Pour l'Union européenne</t>
  </si>
  <si>
    <t>QA9.5. How important do you think that cultural heritage is…?:-For the European Union</t>
  </si>
  <si>
    <t>QA10.1. Dans quelle mesure êtes-vous d'accord ou pas d'accord avec les propositions suivantes sur le patrimoine culturel de l'Europe ?:-Vivre à proximité de lieux liés au patrimoine culturel de l'Europe peut améliorer la qualité de vie des gens</t>
  </si>
  <si>
    <t>QA10.1. To what extent do you agree or disagree with the following statements about Europe's cultural heritage.:-Living close to places related to Europe's cultural heritage can improve people's quality of life</t>
  </si>
  <si>
    <t>QA10.2. Dans quelle mesure êtes-vous d'accord ou pas d'accord avec les propositions suivantes sur le patrimoine culturel de l'Europe ?:-Vivre à proximité de lieux liés au patrimoine culturel de l'Europe peut donner aux gens un sentiment d'appartenance à l'Europe</t>
  </si>
  <si>
    <t>QA10.2. To what extent do you agree or disagree with the following statements about Europe's cultural heritage.:-Living close to places related to Europe's cultural heritage can give people a sense of belonging to Europe</t>
  </si>
  <si>
    <t>QA11.1. Pour chacune des affirmations suivantes, pouvez-vous me dire si vous êtes tout à fait d'accord, plutôt d'accord, plutôt pas d'accord ou pas du tout d'accord.:-La culture et les échanges culturels devraient avoir une place très importante dans l'UE pour que les citoyens des différents Etats membres se connaissent mieux et se sentent davantage européens</t>
  </si>
  <si>
    <t>QA11.1. For each of the following statements, please tell me whether you totally agree, tend to agree, tend to disagree or totally disagree?:-Culture and cultural exchanges should have a very important place in the EU so that citizens from different Member States can learn more from each other and feel more European</t>
  </si>
  <si>
    <t>QA11.2. Pour chacune des affirmations suivantes, pouvez-vous me dire si vous êtes tout à fait d'accord, plutôt d'accord, plutôt pas d'accord ou pas du tout d'accord.:-La culture et les échanges culturels peuvent jouer un grand rôle pour développer une meilleure compréhension et plus de tolérance dans le monde, y compris là où il y a des conflits ou des tensions</t>
  </si>
  <si>
    <t>QA11.2. For each of the following statements, please tell me whether you totally agree, tend to agree, tend to disagree or totally disagree?:-Culture and cultural exchanges can play an important role in developing greater understanding and tolerance in the world, even where there are conflicts or tensions</t>
  </si>
  <si>
    <t>QA11.3. Pour chacune des affirmations suivantes, pouvez-vous me dire si vous êtes tout à fait d'accord, plutôt d'accord, plutôt pas d'accord ou pas du tout d'accord.:-La promotion des cultures européennes à l’étranger est importante pour nouer des relations diplomatiques pacifiques entre l’Europe et d’autres pays</t>
  </si>
  <si>
    <t>QA11.3. For each of the following statements, please tell me whether you totally agree, tend to agree, tend to disagree or totally disagree?:-The promotion of European cultures abroad is important for building peaceful, diplomatic relations between Europe and other countries</t>
  </si>
  <si>
    <t>QA12. À votre avis, parmi les questions suivantes, quelles sont celles qui créent le plus un sentiment de communauté parmi les citoyens de l’Union européenne ? (3 RÉPONSES MAXIMUM)</t>
  </si>
  <si>
    <t>QA12. In your opinion, among the following issues, which are those that most create a feeling of community among EU citizens? (MAX. 3 ANSWERS)</t>
  </si>
  <si>
    <t>QB1. Avez-vous déjà entendu parler de la Charte des droits fondamentaux de l'Union Européenne ?</t>
  </si>
  <si>
    <t>QB1. Have you ever heard of the Charter of Fundamental Rights of the EU?</t>
  </si>
  <si>
    <t>QB2. Dans quelle mesure vous sentez-vous informé(e) sur la Charte des droits fondamentaux de l'Union Européenne ?</t>
  </si>
  <si>
    <t>QB2. How informed do you feel you are about the Charter of Fundamental Rights of the EU?</t>
  </si>
  <si>
    <t>QB3. Pensez-vous que la Charte est juridiquement contraignante ? En d'autres termes, pensez-vous qu'un tribunal de l'Union européenne quel qu'il soit puisse garantir le respect des droits inscrits dans la Charte ?</t>
  </si>
  <si>
    <t>QB3. Do you think that the Charter is legally binding? In other words, do you think any court in the European Union can ensure that the rights enshrined in the Charter are respected?</t>
  </si>
  <si>
    <t>QB4.1. Veuillez me dire si vous pensez que chacune des propositions suivantes est vraie ou fausse : la Charte s'applique...:-À toutes les actions des institutions et organes de l'Union Européenne, par exemple lorsque les institutions de l'Union Européenne adoptent une nouvelle législation</t>
  </si>
  <si>
    <t>QB4.1. Please tell me if you think each of the following statements is true or false: The Charter applies…:-To all actions of EU institutions and bodies, e.g. when EU institutions adopt new legislation</t>
  </si>
  <si>
    <t>QB4.2. Veuillez me dire si vous pensez que chacune des propositions suivantes est vraie ou fausse : la Charte s'applique...:-À toutes les actions des États membres de l'Union Européenne, y compris des questions relevant de la compétence nationale</t>
  </si>
  <si>
    <t>QB4.2. Please tell me if you think each of the following statements is true or false: The Charter applies…:-To all actions of EU Member States, including on matters of national competence</t>
  </si>
  <si>
    <t>QB4.3. Veuillez me dire si vous pensez que chacune des propositions suivantes est vraie ou fausse : la Charte s'applique...:-Aux États membres de l'Union Européenne, uniquement lorsqu'ils mettent en œuvre le droit de l'Union Européenne</t>
  </si>
  <si>
    <t>QB4.3. Please tell me if you think each of the following statements is true or false: The Charter applies…:-To EU Member States only when they implement EU law</t>
  </si>
  <si>
    <t>QB4T. Indice de connaissance à propos de l'application de la charte</t>
  </si>
  <si>
    <t>QB4T. Index Knowledge about when Charter apply</t>
  </si>
  <si>
    <t>QB5a. Imaginez que vous estimez que vos droits inscrits dans la Charte sont violés et que vous voulez déposer une plainte à ce sujet. À quel(le) institution ou organe vous adresseriez-vous ? En premier ?</t>
  </si>
  <si>
    <t>QB5a. Imagine that you feel that your rights enshrined in the Charter are being violated, and you want to complain about it. To which institution or body would you turn? Firstly?</t>
  </si>
  <si>
    <t>QB5b. Et ensuite ? (PLUSIEURS RÉPONSES POSSIBLES)</t>
  </si>
  <si>
    <t>QB5b. And then? (MULTIPLE ANSWERS POSSIBLE)</t>
  </si>
  <si>
    <t>QB5ab. Imaginez que vous estimez que vos droits inscrits dans la Charte sont violés et que vous voulez déposer une plainte à ce sujet. À quel(le) institution ou organe vous adresseriez-vous ? En premier ? Et ensuite ? (PLUSIEURS RÉPONSES POSSIBLES)</t>
  </si>
  <si>
    <t>QB5ab. Imagine that you feel that your rights enshrined in the Charter are being violated, and you want to complain about it. To which institution or body would you turn? Firstly? And then? (MULTIPLE ANSWERS POSSIBLE)</t>
  </si>
  <si>
    <t>QB6.1. Seriez-vous intéressé(e) ou non d'avoir plus d'informations à propos des aspects suivants de la Charte ?:-À qui vous adresser si vos droits, inscrits dans la Charte, sont violés, par exemple un tribunal compétent ou un organisme habilité à traiter des plaintes</t>
  </si>
  <si>
    <t>QB6.1. Would you be interested or not in having more information about the following aspects of the Charter?:-Where to turn if your rights, as enshrined in the Charter, are violated, e.g. a competent court or a body which can handle complaints</t>
  </si>
  <si>
    <t>QB6.2. Seriez-vous intéressé(e) ou non d'avoir plus d'informations à propos des aspects suivants de la Charte ?:-Le contenu de la Charte définissant vos droits fondamentaux en tant que citoyen de l'Union Européenne</t>
  </si>
  <si>
    <t>QB6.2. Would you be interested or not in having more information about the following aspects of the Charter?:-The content of the Charter, defining your fundamental rights as an EU citizen</t>
  </si>
  <si>
    <t>QB6.3. Seriez-vous intéressé(e) ou non d'avoir plus d'informations à propos des aspects suivants de la Charte ?:-Quand la Charte s'applique et quand elle ne s'applique pas</t>
  </si>
  <si>
    <t>QB6.3. Would you be interested or not in having more information about the following aspects of the Charter?:-When the Charter applies and when it does not</t>
  </si>
  <si>
    <t>QB6.4. Seriez-vous intéressé(e) ou non d'avoir plus d'informations à propos des aspects suivants de la Charte ?:-Le contexte historique et politique de la Charte, quand elle a été adoptée, par qui, etc.</t>
  </si>
  <si>
    <t>QB6.4. Would you be interested or not in having more information about the following aspects of the Charter?:-The historical and political context of the Charter, when it was adopted, by whom, etc.</t>
  </si>
  <si>
    <t>QB6T. Seriez-vous intéressé(e) ou non d'avoir plus d'informations à propos des aspects suivants de la Charte?</t>
  </si>
  <si>
    <t>QB6T. Would you be interested or not in having more information about the following aspects of the Charter?</t>
  </si>
  <si>
    <t>QC1. Dans quelle mesure vous sentez-vous bien informé(e) au sujet de l’élargissement, c’est-à-dire le fait que de nouveaux pays rejoignent l’Union européenne ? Vous sentez-vous... ?</t>
  </si>
  <si>
    <t>QC1. How well informed do you feel about enlargement - that is new countries joining the European Union? Do you feel…?</t>
  </si>
  <si>
    <t>QC2a. Parmi les domaines suivants, lesquels ont le plus bénéficié de l’élargissement de l’UE, le cas échéant ? En premier ?</t>
  </si>
  <si>
    <t>QC2a. Which of the following areas have benefited the most from EU enlargement, if any? Firstly?</t>
  </si>
  <si>
    <t>QC2b. Et ensuite ? (PLUSIEURS RÉPONSES POSSIBLES)</t>
  </si>
  <si>
    <t>QC2b. And then? (MULTIPLE ANSWERS POSSIBLE)</t>
  </si>
  <si>
    <t>QC2ab. Parmi les domaines suivants, lesquels ont le plus bénéficié de l’élargissement de l’UE, le cas échéant ? En premier ? Et ensuite ? (PLUSIEURS RÉPONSES POSSIBLES)</t>
  </si>
  <si>
    <t>QC2ab. Which of the following areas have benefited the most from EU enlargement, if any? Firstly? And then? (MULTIPLE ANSWERS POSSIBLE)</t>
  </si>
  <si>
    <t>QC3. Si l’UE venait à connaître un nouvel élargissement, globalement, diriez-vous que vous y seriez...</t>
  </si>
  <si>
    <t>QC3. Thinking about further enlargement of the EU, overall, would you say you are …</t>
  </si>
  <si>
    <t>QC4.1. Dans quelle mesure diriez-vous qu’un autre élargissement de l’UE serait bénéfique pour... ?:-(NOTRE PAYS)</t>
  </si>
  <si>
    <t>QC4.1. How much would you say that … will benefit from further EU enlargement?:-(OUR COUNTRY)</t>
  </si>
  <si>
    <t>QC4.2. Dans quelle mesure diriez-vous qu’un autre élargissement de l’UE serait bénéfique pour... ?:-Vous personnellement</t>
  </si>
  <si>
    <t>QC4.2. How much would you say that … will benefit from further EU enlargement?:-You personally</t>
  </si>
  <si>
    <t>QC5.1. Si vous pensez aux candidats actuels et potentiels à l’adhésion à l’UE, seriez-vous favorable ou opposé(e) à leur adhésion à l’UE lorsqu’ils auront satisfait à toutes les conditions nécessaires pour devenir membres ? :-Albanie</t>
  </si>
  <si>
    <t>QC5.1. Considering each of the current candidates and potential candidates for EU membership, would you be in favour or opposed to them joining the EU once they have met all the membership conditions?:-Albania</t>
  </si>
  <si>
    <t>QC5.2. Si vous pensez aux candidats actuels et potentiels à l’adhésion à l’UE, seriez-vous favorable ou opposé(e) à leur adhésion à l’UE lorsqu’ils auront satisfait à toutes les conditions nécessaires pour devenir membres ? :-Bosnie-Herzégovine</t>
  </si>
  <si>
    <t>QC5.2. Considering each of the current candidates and potential candidates for EU membership, would you be in favour or opposed to them joining the EU once they have met all the membership conditions?:-Bosnia and Herzegovina</t>
  </si>
  <si>
    <t>QC5.3. Si vous pensez aux candidats actuels et potentiels à l’adhésion à l’UE, seriez-vous favorable ou opposé(e) à leur adhésion à l’UE lorsqu’ils auront satisfait à toutes les conditions nécessaires pour devenir membres ? :-Géorgie</t>
  </si>
  <si>
    <t>QC5.3. Considering each of the current candidates and potential candidates for EU membership, would you be in favour or opposed to them joining the EU once they have met all the membership conditions?:-Georgia</t>
  </si>
  <si>
    <t>QC5.4. Si vous pensez aux candidats actuels et potentiels à l’adhésion à l’UE, seriez-vous favorable ou opposé(e) à leur adhésion à l’UE lorsqu’ils auront satisfait à toutes les conditions nécessaires pour devenir membres ? :-Kosovo</t>
  </si>
  <si>
    <t>QC5.4. Considering each of the current candidates and potential candidates for EU membership, would you be in favour or opposed to them joining the EU once they have met all the membership conditions?:-Kosovo</t>
  </si>
  <si>
    <t>QC5.5. Si vous pensez aux candidats actuels et potentiels à l’adhésion à l’UE, seriez-vous favorable ou opposé(e) à leur adhésion à l’UE lorsqu’ils auront satisfait à toutes les conditions nécessaires pour devenir membres ? :-Monténégro</t>
  </si>
  <si>
    <t>QC5.5. Considering each of the current candidates and potential candidates for EU membership, would you be in favour or opposed to them joining the EU once they have met all the membership conditions?:-Montenegro</t>
  </si>
  <si>
    <t>QC5.6. Si vous pensez aux candidats actuels et potentiels à l’adhésion à l’UE, seriez-vous favorable ou opposé(e) à leur adhésion à l’UE lorsqu’ils auront satisfait à toutes les conditions nécessaires pour devenir membres ? :-Macédoine du Nord</t>
  </si>
  <si>
    <t>QC5.6. Considering each of the current candidates and potential candidates for EU membership, would you be in favour or opposed to them joining the EU once they have met all the membership conditions?:-North Macedonia</t>
  </si>
  <si>
    <t>QC5.7. Si vous pensez aux candidats actuels et potentiels à l’adhésion à l’UE, seriez-vous favorable ou opposé(e) à leur adhésion à l’UE lorsqu’ils auront satisfait à toutes les conditions nécessaires pour devenir membres ? :-République de Moldavie</t>
  </si>
  <si>
    <t>QC5.7. Considering each of the current candidates and potential candidates for EU membership, would you be in favour or opposed to them joining the EU once they have met all the membership conditions?:-The Republic of Moldova</t>
  </si>
  <si>
    <t>QC5.8. Si vous pensez aux candidats actuels et potentiels à l’adhésion à l’UE, seriez-vous favorable ou opposé(e) à leur adhésion à l’UE lorsqu’ils auront satisfait à toutes les conditions nécessaires pour devenir membres ? :-Serbie</t>
  </si>
  <si>
    <t>QC5.8. Considering each of the current candidates and potential candidates for EU membership, would you be in favour or opposed to them joining the EU once they have met all the membership conditions?:-Serbia</t>
  </si>
  <si>
    <t>QC5.9. Si vous pensez aux candidats actuels et potentiels à l’adhésion à l’UE, seriez-vous favorable ou opposé(e) à leur adhésion à l’UE lorsqu’ils auront satisfait à toutes les conditions nécessaires pour devenir membres ? :-Türkiye</t>
  </si>
  <si>
    <t>QC5.9. Considering each of the current candidates and potential candidates for EU membership, would you be in favour or opposed to them joining the EU once they have met all the membership conditions?:-Türkiye</t>
  </si>
  <si>
    <t>QC5.10. Si vous pensez aux candidats actuels et potentiels à l’adhésion à l’UE, seriez-vous favorable ou opposé(e) à leur adhésion à l’UE lorsqu’ils auront satisfait à toutes les conditions nécessaires pour devenir membres ? :-Ukraine</t>
  </si>
  <si>
    <t>QC5.10. Considering each of the current candidates and potential candidates for EU membership, would you be in favour or opposed to them joining the EU once they have met all the membership conditions?:-Ukraine</t>
  </si>
  <si>
    <t>QC5T. Si vous pensez aux candidats actuels et potentiels à l’adhésion à l’UE, seriez-vous favorable ou opposé(e) à leur adhésion à l’UE lorsqu’ils auront satisfait à toutes les conditions nécessaires pour devenir membres ? - % Total 'Favorable'</t>
  </si>
  <si>
    <t>QC5T. Considering each of the current candidates and potential candidates for EU membership, would you be in favour or opposed to them joining the EU once they have met all the membership conditions? - % Total 'In favour'</t>
  </si>
  <si>
    <t>QC6a. Selon vous, quels seraient les aspects les plus bénéfiques d’un élargissement futur de l’UE ? En premier ?</t>
  </si>
  <si>
    <t>QC6a. According to you, what would be the biggest benefit of future EU enlargement? Firstly?</t>
  </si>
  <si>
    <t>QC6b. Et ensuite ? (PLUSIEURS RÉPONSES POSSIBLES)</t>
  </si>
  <si>
    <t>QC6b. And then? (MULTIPLE ANSWERS POSSIBLE)</t>
  </si>
  <si>
    <t>QC6ab. Selon vous, quels seraient les aspects les plus bénéfiques d’un élargissement futur de l’UE ? En premier ? Et ensuite ? (PLUSIEURS RÉPONSES POSSIBLES)</t>
  </si>
  <si>
    <t>QC6ab. According to you, what would be the biggest benefit of future EU enlargement? Firstly? And then? (MULTIPLE ANSWERS POSSIBLE)</t>
  </si>
  <si>
    <t>QC7a. Le cas échéant, quelles inquiétudes avez-vous au sujet d’un éventuel futur élargissement de l’Union européenne ? En premier ?</t>
  </si>
  <si>
    <t>QC7a. What concerns, if any, do you have about potential future enlargement of the European Union? Firstly?</t>
  </si>
  <si>
    <t>QC7b. Et ensuite ? (PLUSIEURS RÉPONSES POSSIBLES)</t>
  </si>
  <si>
    <t>QC7b. And then? (MULTIPLE ANSWERS POSSIBLE)</t>
  </si>
  <si>
    <t>QC7ab. Le cas échéant, quelles inquiétudes avez-vous au sujet d’un éventuel futur élargissement de l’Union européenne ? En premier ? Et ensuite ? (PLUSIEURS RÉPONSES POSSIBLES)</t>
  </si>
  <si>
    <t>QC7ab. What concerns, if any, do you have about potential future enlargement of the European Union? Firstly? And then? (MULTIPLE ANSWERS POSSIBLE)</t>
  </si>
  <si>
    <t>QC8a. À votre avis, parmi les propositions suivantes, qu’est-ce qui serait nécessaire pour garantir la réussite d’un élargissement futur de l’UE ? En premier ?</t>
  </si>
  <si>
    <t>QC8a. In your opinion, amongst the following, what would be needed to ensure the success of future EU enlargement? Firstly?</t>
  </si>
  <si>
    <t>QC8b. Et ensuite ? (3 RÉPONSES MAXIMUM)</t>
  </si>
  <si>
    <t>QC8b. And then? (MAX. 3 ANSWERS)</t>
  </si>
  <si>
    <t>QC8ab. À votre avis, parmi les propositions suivantes, qu’est-ce qui serait nécessaire pour garantir la réussite d’un élargissement futur de l’UE ? En premier ? Et ensuite ? (PLUSIEURS RÉPONSES POSSIBLES)</t>
  </si>
  <si>
    <t>QC8ab. In your opinion, amongst the following, what would be needed to ensure the success of future EU enlargement Firstly? And then? (MULTIPLE ANSWERS POSSIBLE)</t>
  </si>
  <si>
    <t>QC9a. Parmi les sources d’information suivantes, lesquelles utiliseriez-vous principalement pour vous faire une opinion sur l’élargissement de l’UE ? En premier ?</t>
  </si>
  <si>
    <t>QC9a. Which of the following information sources would you primarily use to form your opinion on EU enlargement? Firstly?</t>
  </si>
  <si>
    <t>QC9b. Et ensuite ? (PLUSIEURS RÉPONSES POSSIBLES)</t>
  </si>
  <si>
    <t>QC9b. And then? (MULTIPLE ANSWERS POSSIBLE)</t>
  </si>
  <si>
    <t>QC9ab. Parmi les sources d’information suivantes, lesquelles utiliseriez-vous principalement pour vous faire une opinion sur l’élargissement de l’UE ? En premier ? Et ensuite ? (PLUSIEURS RÉPONSES POSSIBLES)</t>
  </si>
  <si>
    <t>QC9ab. Which of the following information sources would you primarily use to form your opinion on EU enlargement? Firstly? And then? (MULTIPLE ANSWERS POSSIBLE)</t>
  </si>
  <si>
    <t>QC10a. Concernant l’élargissement de l’Union européenne, parmi les propositions suivantes, sur quels sujets souhaiteriez-vous en savoir davantage ? En premier ?</t>
  </si>
  <si>
    <t>QC10a. Thinking about enlargement of the European Union, which of the following topics would you like to know more about? Firstly?</t>
  </si>
  <si>
    <t>QC10b. Et ensuite ? (PLUSIEURS RÉPONSES POSSIBLES)</t>
  </si>
  <si>
    <t>QC10b. And then? (MULTIPLE ANSWERS POSSIBLE)</t>
  </si>
  <si>
    <t>QC10ab. Concernant l’élargissement de l’Union européenne, parmi les propositions suivantes, sur quels sujets souhaiteriez-vous en savoir davantage ? En premier ? Et ensuite ? (PLUSIEURS RÉPONSES POSSIBLES)</t>
  </si>
  <si>
    <t>QC10ab. Thinking about enlargement of the European Union, which of the following topics would you like to know more about? Firstly? And then? (MULTIPLE ANSWERS POSSIBLE)</t>
  </si>
  <si>
    <t>SD1. Dans quelle mesure êtes-vous d’accord ou pas d’accord avec l’affirmation suivante sur le changement climatique ? Le changement climatique est causé par l’activité humaine</t>
  </si>
  <si>
    <t>SD1. To what extent do you agree with the following statement on climate change? Climate change is caused by human activity</t>
  </si>
  <si>
    <t>SD2. Quelle est votre situation en matière de logement ?</t>
  </si>
  <si>
    <t>SD2. Which of the following applies to the place where you live?</t>
  </si>
  <si>
    <t>QD1a. Parmi les problèmes suivants, lequel considérez-vous comme le plus grave auquel le monde dans son ensemble est confronté ? En premier ?</t>
  </si>
  <si>
    <t>QD1a. Which of the following do you consider to be the single most serious problem facing the world as a whole? Firstly?</t>
  </si>
  <si>
    <t>QD1b. Et ensuite ? (PLUSIEURS RÉPONSES POSSIBLES)</t>
  </si>
  <si>
    <t>QD1b. And then? (MULTIPLE ANSWERS POSSIBLE)</t>
  </si>
  <si>
    <t>QD1ab. Parmi les problèmes suivants, lequel considérez-vous comme le plus grave auquel le monde dans son ensemble est confronté ? En premier ? Et ensuite ? (PLUSIEURS RÉPONSES POSSIBLES)</t>
  </si>
  <si>
    <t>QD1ab. Which of the following do you consider to be the single most serious problem facing the world as a whole? Firstly? And then? (MULTIPLE ANSWERS POSSIBLE)</t>
  </si>
  <si>
    <t>QD2. Dans quelle mesure pensez-vous que le changement climatique est un problème grave en ce moment ?</t>
  </si>
  <si>
    <t>QD2. How serious a problem do you think climate change is at this moment?</t>
  </si>
  <si>
    <t>QD3a. Selon vous, au sein de l’UE, quels acteurs sont les mieux placés pour lutter contre le changement climatique ?  En premier ?</t>
  </si>
  <si>
    <t>QD3a. In your opinion, who within the EU is best placed for tackling climate  change?  Firstly?</t>
  </si>
  <si>
    <t>QD3b. Et ensuite ? Veuillez sélectionner toutes les réponses qui s’appliquent.</t>
  </si>
  <si>
    <t>QD3b. And then? Please select all that apply.</t>
  </si>
  <si>
    <t>QD3ab. Selon vous, au sein de l’UE, quels acteurs sont les mieux placés pour lutter contre le changement climatique ?  En premier ? Et ensuite ? (PLUSIEURS RÉPONSES POSSIBLES)</t>
  </si>
  <si>
    <t>QD3ab. In your opinion, who within the EU is best placed for tackling climate  change?  Firstly? And then? (MULTIPLE ANSWERS POSSIBLE)</t>
  </si>
  <si>
    <t>QD4.1. Dans quelle mesure êtes-vous d'accord ou pas d'accord avec les affirmations suivantes ?:-La lutte contre le changement climatique devrait être une priorité pour améliorer la santé et la qualité de vie</t>
  </si>
  <si>
    <t>QD4.1. To what extent do you agree or disagree with each of the following statements?:-Tackling climate change should be a priority to improve public health and quality of life</t>
  </si>
  <si>
    <t>QD4.2. Dans quelle mesure êtes-vous d'accord ou pas d'accord avec les affirmations suivantes ?:-Le coût des dommages causés par le changement climatique est bien plus élevé que le coût des investissements nécessaires à une transition verte</t>
  </si>
  <si>
    <t>QD4.2. To what extent do you agree or disagree with each of the following statements?:-The costs of the damages due to climate change are much higher than the costs of the investments needed for a green transition</t>
  </si>
  <si>
    <t>QD4.3. Dans quelle mesure êtes-vous d'accord ou pas d'accord avec les affirmations suivantes ?:-Agir contre le changement climatique conduira à des innovations qui rendront les entreprises de l'Union européenne plus compétitives</t>
  </si>
  <si>
    <t>QD4.3. To what extent do you agree or disagree with each of the following statements?:-Taking action on climate change will lead to innovation that will make EU companies more competitive</t>
  </si>
  <si>
    <t>QD4.4. Dans quelle mesure êtes-vous d'accord ou pas d'accord avec les affirmations suivantes ?:-Une meilleure préparation aux conséquences néfastes du changement climatique améliorera la vie des citoyens de l’UE</t>
  </si>
  <si>
    <t>QD4.4. To what extent do you agree or disagree with each of the following statements?:-Preparing better for the adverse impacts of climate change will improve the lives of citizens in the EU</t>
  </si>
  <si>
    <t>QD4.5. Dans quelle mesure êtes-vous d'accord ou pas d'accord avec les affirmations suivantes ?:-Les entreprises européennes devraient être davantage soutenues pour être compétitives sur le marché mondial des technologies, produits et services propres</t>
  </si>
  <si>
    <t>QD4.5. To what extent do you agree or disagree with each of the following statements?:-European companies should be given more support to compete in the global market for clean technologies, products and services’</t>
  </si>
  <si>
    <t>QD5. Avez-vous personnellement pris des mesures pour contribuer à la lutte contre le changement climatique au cours des six derniers mois ?</t>
  </si>
  <si>
    <t>QD5. Have you personally taken any action to fight climate change over the past six months?</t>
  </si>
  <si>
    <t>QD6. Laquelle ou lesquelles des mesures suivantes s’appliquent à vous, le cas échéant ? Veuillez sélectionner toutes les réponses qui s’appliquent. (PLUSIEURS RÉPONSES POSSIBLES)</t>
  </si>
  <si>
    <t>QD6. Which of the following actions, if any, apply to you? Please select all that apply. (MULTIPLE ANSWERS POSSIBLE)</t>
  </si>
  <si>
    <t>QD7. Pensez-vous que le Gouvernement (NATIONALITÉ) en fait assez, pas assez ou trop pour lutter contre le changement climatique ?</t>
  </si>
  <si>
    <t>QD7. Do you think that the (NATIONALITY) government is doing enough, not enough or too much to tackle climate change?</t>
  </si>
  <si>
    <t>QD8.1. Selon vous, dans quelle mesure est-il important que les autorités suivantes prennent des mesures pour augmenter les énergies renouvelables, comme l’énergie éolienne ou solaire ?:-Les autorités publiques régionales ou locales</t>
  </si>
  <si>
    <t>QD8.1. How important do you think it is that the following authorities take action to increase renewable energy, such as wind and solar power?:-Regional and local authorities</t>
  </si>
  <si>
    <t>QD8.2. Selon vous, dans quelle mesure est-il important que les autorités suivantes prennent des mesures pour augmenter les énergies renouvelables, comme l’énergie éolienne ou solaire ?:-Le Gouvernement (NATIONALITÉ)</t>
  </si>
  <si>
    <t>QD8.2. How important do you think it is that the following authorities take action to increase renewable energy, such as wind and solar power?:-The (NATIONALITY) government</t>
  </si>
  <si>
    <t>QD8.3. Selon vous, dans quelle mesure est-il important que les autorités suivantes prennent des mesures pour augmenter les énergies renouvelables, comme l’énergie éolienne ou solaire ?:-L'Union européenne</t>
  </si>
  <si>
    <t>QD8.3. How important do you think it is that the following authorities take action to increase renewable energy, such as wind and solar power?:-The European Union</t>
  </si>
  <si>
    <t>QD9.1.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?:-Les autorités publiques régionales ou locales</t>
  </si>
  <si>
    <t>QD9.1. How important do you think it is that the following authorities take action to improve energy efficiency, for instance by encouraging people to insulate their homes and buildings, install heat pumps and use smart meters)?:-Regional and local authorities</t>
  </si>
  <si>
    <t>QD9.2.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?:-Le Gouvernement (NATIONALITÉ)</t>
  </si>
  <si>
    <t>QD9.2. How important do you think it is that the following authorities take action to improve energy efficiency, for instance by encouraging people to insulate their homes and buildings, install heat pumps and use smart meters)?:-The (NATIONALITY) government</t>
  </si>
  <si>
    <t>QD9.3.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?:-L'Union européenne</t>
  </si>
  <si>
    <t>QD9.3. How important do you think it is that the following authorities take action to improve energy efficiency, for instance by encouraging people to insulate their homes and buildings, install heat pumps and use smart meters)?:-The European Union</t>
  </si>
  <si>
    <t>QD10. La question suivante porte sur la neutralité climatique. L’UE a pour objectif d’atteindre la neutralité climatique d’ici 2050, c’est-à-dire d’être une économie avec zéro émission nette de gaz à effet de serre. Dans quelle mesure êtes-vous favorable ou opposé(e) à l’objectif de l’UE d’atteindre la neutralité climatique d’ici 2050 ?</t>
  </si>
  <si>
    <t>QD10. The following question is about climate neutrality. The EU has the objective to be climate-neutral by 2050 – an economy with net-zero greenhouse gas emissions. To what extent do you support or oppose the EU objective of becoming climate-neutral by 2050?</t>
  </si>
  <si>
    <t xml:space="preserve">QD11.1. Dans quelle mesure êtes-vous d’accord ou pas d’accord avec chacune des affirmations suivantes sur les combustibles fossiles ?:-La réduction des importations de combustibles fossiles provenant de l’extérieur de l’UE renforcera la sécurité énergétique et sera bénéfique pour l’UE d’un point de vue économique. </t>
  </si>
  <si>
    <t>QD11.1. To what extent do you agree or disagree with each of the following statements on fossil fuels?:-Reducing fossil fuel imports from outside the EU will increase energy security and benefit the EU economically.</t>
  </si>
  <si>
    <t>QD11.2. Dans quelle mesure êtes-vous d’accord ou pas d’accord avec chacune des affirmations suivantes sur les combustibles fossiles ?:-Un soutien financier public plus important devrait être octroyé pour effectuer la transition vers les énergies propres, même si cela signifie que les subventions aux combustibles fossiles doivent être réduites ou supprimées</t>
  </si>
  <si>
    <t>QD11.2. To what extent do you agree or disagree with each of the following statements on fossil fuels?:-More public financial support should be given to the transition to clean energies even if it means subsidies to fossil fuels should be reduced or stopped</t>
  </si>
  <si>
    <t>QD12. Dans quelle mesure êtes-vous personnellement exposé(e) à des menaces et à des risques environnementaux et climatiques ? Par exemple, aux incendies, aux inondations, à la pollution ou aux conditions météorologiques extrêmes ?</t>
  </si>
  <si>
    <t>QD12. How exposed are you personally to environmental and climate related risks and threats?  For instance, to fires, floods, pollution or extreme weather conditions.</t>
  </si>
  <si>
    <t>QD13.1.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extrêmes.:-Les autorités publiques régionales ou locales</t>
  </si>
  <si>
    <t xml:space="preserve">QD13.1. How urgent do you think it is that the following authorities take action to prepare for the consequences of climate change? For instance, being prepared for rising temperatures, heatwaves, flooding, sea-level rise, or extreme weather events.:-Regional and local authorities </t>
  </si>
  <si>
    <t>QD13.2.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extrêmes.:-Le gouvernement (NATIONALITÉ)</t>
  </si>
  <si>
    <t xml:space="preserve">QD13.2. How urgent do you think it is that the following authorities take action to prepare for the consequences of climate change? For instance, being prepared for rising temperatures, heatwaves, flooding, sea-level rise, or extreme weather events.:-The (NATIONALITY) government </t>
  </si>
  <si>
    <t>QD13.3.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extrêmes.:-L’Union européenne</t>
  </si>
  <si>
    <t xml:space="preserve">QD13.3. How urgent do you think it is that the following authorities take action to prepare for the consequences of climate change? For instance, being prepared for rising temperatures, heatwaves, flooding, sea-level rise, or extreme weather events.:-The European Union </t>
  </si>
  <si>
    <t>QD14.1. Dans quelle mesure êtes-vous d’accord ou pas d’accord avec les affirmations suivantes sur les différents risques résultant du changement climatique ?:-Lorsque vous choisissez une destination de vacances, vous prenez en compte l’exposition aux conditions météorologiques extrêmes ou la probabilité de feux de forêt</t>
  </si>
  <si>
    <t>QD14.1. To what extent do you agree with the following statements related to different risks resulting from climate change?:-When deciding on a holiday destination, you consider the exposure to extreme weather or the likelihood of forest fires</t>
  </si>
  <si>
    <t>QD14.2. Dans quelle mesure êtes-vous d’accord ou pas d’accord avec les affirmations suivantes sur les différents risques résultant du changement climatique ?:-Si vous deviez choisir où habiter, vous prendriez en compte la probabilité d’inondations et l’exposition à d’autres risques climatiques</t>
  </si>
  <si>
    <t>QD14.2. To what extent do you agree with the following statements related to different risks resulting from climate change?:-If deciding where to live, you would consider the likelihood of floods and exposure to other climate risks</t>
  </si>
  <si>
    <t>QD15.1. Dans quelle mesure êtes-vous d’accord ou pas d’accord avec les affirmations suivantes concernant l’information sur le changement climatique ?:-Les médias traditionnels (NATIONALITÉ) fournissent des informations claires sur le changement climatique, ses causes et ses conséquences</t>
  </si>
  <si>
    <t>QD15.1. To what extent do you agree or disagree with the following statements about information on climate change?:-Traditional (NATIONALITY) media provide clear information on climate change and its causes and impacts</t>
  </si>
  <si>
    <t>QD15.2. Dans quelle mesure êtes-vous d’accord ou pas d’accord avec les affirmations suivantes concernant l’information sur le changement climatique ?:-Il est difficile de faire la différence entre les informations fiables et la désinformation concernant le changement climatique sur les réseaux sociaux</t>
  </si>
  <si>
    <t>QD15.2. To what extent do you agree or disagree with the following statements about information on climate change?:-It is difficult to differentiate between reliable information and disinformation about climate change on social media</t>
  </si>
  <si>
    <t>QE1.1. Selon vous, dans quelle mesure les technologies numériques seront-elles importantes dans les domaines suivants de votre vie quotidienne d’ici 2030 ?:-Travailler à distance</t>
  </si>
  <si>
    <t>QE1.1. How important do you think digital technologies will be for the following areas of your daily life by 2030?:-Working remotely</t>
  </si>
  <si>
    <t>QE1.2. Selon vous, dans quelle mesure les technologies numériques seront-elles importantes dans les domaines suivants de votre vie quotidienne d’ici 2030 ?:-Contribuer à la lutte contre le changement climatique (par ex. les applications de suivi des émissions et de la consommation d’énergie personnelles, d’autopartage, de réunion en ligne, etc.)</t>
  </si>
  <si>
    <t>QE1.2. How important do you think digital technologies will be for the following areas of your daily life by 2030?:-Helping to fight climate change (e.g., apps to track personal emissions and energy consumption, car-sharing apps, online meetings, etc.)</t>
  </si>
  <si>
    <t>QE1.3. Selon vous, dans quelle mesure les technologies numériques seront-elles importantes dans les domaines suivants de votre vie quotidienne d’ici 2030 ?:-Accéder, interagir et/ou créer du contenu ou des documents en ligne</t>
  </si>
  <si>
    <t>QE1.3. How important do you think digital technologies will be for the following areas of your daily life by 2030?:-Accessing, interacting with and/or creating online material/content</t>
  </si>
  <si>
    <t>QE1.4. Selon vous, dans quelle mesure les technologies numériques seront-elles importantes dans les domaines suivants de votre vie quotidienne d’ici 2030 ?:-Avoir accès à des offres de formation et d’éducation</t>
  </si>
  <si>
    <t>QE1.4. How important do you think digital technologies will be for the following areas of your daily life by 2030?:-Accessing education and training opportunities</t>
  </si>
  <si>
    <t>QE1.5. Selon vous, dans quelle mesure les technologies numériques seront-elles importantes dans les domaines suivants de votre vie quotidienne d’ici 2030 ?:-Participer à la vie démocratique (par ex. voter, assister à des assemblées citoyennes/rencontres publiques virtuelles, trouver des informations fiables, etc.)</t>
  </si>
  <si>
    <t>QE1.5. How important do you think digital technologies will be for the following areas of your daily life by 2030?:-Engaging in democratic life (e.g., voting, virtual citizen assemblies, town hall meetings, finding reliable information, etc.)</t>
  </si>
  <si>
    <t>QE1.6. Selon vous, dans quelle mesure les technologies numériques seront-elles importantes dans les domaines suivants de votre vie quotidienne d’ici 2030 ?:-Avoir accès ou obtenir des services de soins de santé (par ex. télémédecine, intelligence artificielle appliquée aux diagnostics médicaux), y compris dans d’autres pays de l’UE</t>
  </si>
  <si>
    <t>QE1.6. How important do you think digital technologies will be for the following areas of your daily life by 2030?:-Accessing or receiving healthcare services (e.g., telemedicine, artificial intelligence for diagnosing diseases), including in other EU countries</t>
  </si>
  <si>
    <t>QE1.7. Selon vous, dans quelle mesure les technologies numériques seront-elles importantes dans les domaines suivants de votre vie quotidienne d’ici 2030 ?:-Avoir accès et utiliser des services de transport (par ex. via des applications en ligne)</t>
  </si>
  <si>
    <t>QE1.7. How important do you think digital technologies will be for the following areas of your daily life by 2030?:-Accessing and making use of transport services (e.g., via online apps)</t>
  </si>
  <si>
    <t>QE1.8. Selon vous, dans quelle mesure les technologies numériques seront-elles importantes dans les domaines suivants de votre vie quotidienne d’ici 2030 ?:-Utiliser, acheter et vendre des produits et services en ligne, y compris dans d’autres pays de l’UE</t>
  </si>
  <si>
    <t>QE1.8. How important do you think digital technologies will be for the following areas of your daily life by 2030?:-Using, shopping for and selling products and services online, also in other EU countries</t>
  </si>
  <si>
    <t>QE1.9. Selon vous, dans quelle mesure les technologies numériques seront-elles importantes dans les domaines suivants de votre vie quotidienne d’ici 2030 ?:-Communiquer en ligne avec des gens, des amis et des membres de la famille</t>
  </si>
  <si>
    <t>QE1.9. How important do you think digital technologies will be for the following areas of your daily life by 2030?:-Connecting with people, friends and family online</t>
  </si>
  <si>
    <t>QE1.10. Selon vous, dans quelle mesure les technologies numériques seront-elles importantes dans les domaines suivants de votre vie quotidienne d’ici 2030 ?:-Avoir accès à des services publics en ligne</t>
  </si>
  <si>
    <t>QE1.10. How important do you think digital technologies will be for the following areas of your daily life by 2030?:-Accessing public services online</t>
  </si>
  <si>
    <t>QE2. Considérez-vous que la numérisation des services publics et privés quotidiens vous rend la vie plus facile ou plus difficile ?</t>
  </si>
  <si>
    <t>QE2. Would you consider that the digitalisation of daily public and private services is making your life easier or more difficult?</t>
  </si>
  <si>
    <t>QE3.1. Selon vous, dans quelle mesure les améliorations suivantes faciliteraient-elles votre utilisation quotidiennes des technologies numériques ?:-Une connexion Internet à haut débit davantage disponible et moins chère</t>
  </si>
  <si>
    <t>QE3.1. In your opinion, how significantly would the following improvements facilitate your daily use of digital technologies?:-Availability and affordability of high-speed Internet connection</t>
  </si>
  <si>
    <t>QE3.2. Selon vous, dans quelle mesure les améliorations suivantes faciliteraient-elles votre utilisation quotidiennes des technologies numériques ?:-Des produits et services numériques en ligne mieux adaptés à vos besoins personnels, y compris des technologies immersives (c’est à dire plus faciles d’utilisation pour vous)</t>
  </si>
  <si>
    <t>QE3.2. In your opinion, how significantly would the following improvements facilitate your daily use of digital technologies?:-Digital products and online services better adapted to your personal needs, including immersive technologies (i.e. easier to use for you)</t>
  </si>
  <si>
    <t>QE3.3. Selon vous, dans quelle mesure les améliorations suivantes faciliteraient-elles votre utilisation quotidiennes des technologies numériques ?:-L’amélioration de la cybersécurité, de la protection des données en ligne et de la sécurité des technologies numériques</t>
  </si>
  <si>
    <t>QE3.3. In your opinion, how significantly would the following improvements facilitate your daily use of digital technologies?:-Improved cybersecurity, better protection of online data and safety of digital technologies</t>
  </si>
  <si>
    <t>QE3.4. Selon vous, dans quelle mesure les améliorations suivantes faciliteraient-elles votre utilisation quotidiennes des technologies numériques ?:-Davantage de formation et d’éducation pour développer vos compétences afin d’utiliser les services numériques</t>
  </si>
  <si>
    <t>QE3.4. In your opinion, how significantly would the following improvements facilitate your daily use of digital technologies?:-More education and training to develop your skills for using digital services</t>
  </si>
  <si>
    <t xml:space="preserve">QE3.5. Selon vous, dans quelle mesure les améliorations suivantes faciliteraient-elles votre utilisation quotidiennes des technologies numériques ?:-Un soutien humain pour faciliter l’accès et l’utilisation des technologies et services numériques </t>
  </si>
  <si>
    <t>QE3.5. In your opinion, how significantly would the following improvements facilitate your daily use of digital technologies?:-Human support to help accessing and using digital technologies and services</t>
  </si>
  <si>
    <t>QE4.1. Selon vous, quelle importance les autorités publiques devraient-elles accorder à chacune des actions suivantes liées aux technologies numériques ? :-Accroître la recherche et l’innovation pour disposer de technologies numériques plus sûres et plus solides</t>
  </si>
  <si>
    <t>QE4.1. In your opinion, how important should each of the following actions related to digital technologies be for public authorities? :-Increasing research and innovation to have more secure and strong digital technologies</t>
  </si>
  <si>
    <t>QE4.2. Selon vous, quelle importance les autorités publiques devraient-elles accorder à chacune des actions suivantes liées aux technologies numériques ? :-Veiller à ce que les entreprises européennes puissent se développer et devenir des « championnes européennes », à même de rivaliser avec la concurrence mondiale</t>
  </si>
  <si>
    <t>QE4.2. In your opinion, how important should each of the following actions related to digital technologies be for public authorities? :-Ensuring that European companies can grow and become “European Champions”, able to compete globally</t>
  </si>
  <si>
    <t>QE4.3. Selon vous, quelle importance les autorités publiques devraient-elles accorder à chacune des actions suivantes liées aux technologies numériques ? :-Façonner le développement de l’intelligence artificielle et de nouvelles technologies numériques pour s’assurer qu’elles respectent nos droits et nos valeurs</t>
  </si>
  <si>
    <t>QE4.3. In your opinion, how important should each of the following actions related to digital technologies be for public authorities? :-Shaping the development of Artificial Intelligence and new digital technologies to ensure they respect our rights and values</t>
  </si>
  <si>
    <t>QE4.4. Selon vous, quelle importance les autorités publiques devraient-elles accorder à chacune des actions suivantes liées aux technologies numériques ? :-Veiller à ce que les personnes bénéficient d’un soutien humain adéquat pour accompagner la transformation apportée par les technologies et les services numériques dans leur vie</t>
  </si>
  <si>
    <t>QE4.4. In your opinion, how important should each of the following actions related to digital technologies be for public authorities? :-Ensuring that people receive proper human support to accompany the transformation brought by the digital technologies and services in their lives</t>
  </si>
  <si>
    <t>QE4.5. Selon vous, quelle importance les autorités publiques devraient-elles accorder à chacune des actions suivantes liées aux technologies numériques ? :-Mettre les technologies numériques au service de la transition écologique</t>
  </si>
  <si>
    <t>QE4.5. In your opinion, how important should each of the following actions related to digital technologies be for public authorities? :-Ensuring that digital technologies serve the green transition</t>
  </si>
  <si>
    <t>QE4.6. Selon vous, quelle importance les autorités publiques devraient-elles accorder à chacune des actions suivantes liées aux technologies numériques ? :-Construire des infrastructures numériques efficaces et sûres, y compris des installations de connectivité et de traitement des données</t>
  </si>
  <si>
    <t>QE4.6. In your opinion, how important should each of the following actions related to digital technologies be for public authorities? :-Building efficient and secure digital infrastructures including connectivity and data processing facilities</t>
  </si>
  <si>
    <t>QE4.7. Selon vous, quelle importance les autorités publiques devraient-elles accorder à chacune des actions suivantes liées aux technologies numériques ? :-Contrer et atténuer le problème des fausses nouvelles et de la désinformation en ligne</t>
  </si>
  <si>
    <t>QE4.7. In your opinion, how important should each of the following actions related to digital technologies be for public authorities? :-Countering and mitigating the issue of fake news and disinformation online</t>
  </si>
  <si>
    <t>QE5. Avez-vous déjà essayé de regarder des contenus audiovisuels via un service en ligne, mais n’avez pas pu le faire, car ils n’étaient pas disponibles en (NOTRE PAYS) ? Veuillez sélectionner toutes les réponses s’appliquent</t>
  </si>
  <si>
    <t>QE5. Have you ever tried to watch audiovisual content through an online service, but you were unable to, because it was not available in (OUR COUNTRY)? Select all that apply</t>
  </si>
  <si>
    <t>QE6.1. Dans quelle mesure pensez-vous qu’il est urgent que les autorités publiques agissent pour protéger les enfants en ligne concernant... ?:-La cyberintimidation et le harcèlement en ligne</t>
  </si>
  <si>
    <t>QE6.1. How urgent do you think is the action of public authorities to protect children online regarding…?:-Cyberbullying and online harassment</t>
  </si>
  <si>
    <t>QE6.2. Dans quelle mesure pensez-vous qu’il est urgent que les autorités publiques agissent pour protéger les enfants en ligne concernant... ?:-La mise en place de mécanismes de vérification de l’âge pour restreindre les contenus inadaptés à l’âge</t>
  </si>
  <si>
    <t>QE6.2. How urgent do you think is the action of public authorities to protect children online regarding…?:-Putting in place age assurance mechanisms to restrict age-inappropriate content</t>
  </si>
  <si>
    <t>QE6.3. Dans quelle mesure pensez-vous qu’il est urgent que les autorités publiques agissent pour protéger les enfants en ligne concernant... ?:-L’impact négatif des réseaux sociaux sur la santé mentale des enfants</t>
  </si>
  <si>
    <t>QE6.3. How urgent do you think is the action of public authorities to protect children online regarding…?:-The negative impact of social media on children’s mental health</t>
  </si>
  <si>
    <t>QE7. Avant cet entretien, étiez-vous conscient(e) du fait que les droits qui s’appliquent hors ligne doivent également s’appliquer en ligne ?</t>
  </si>
  <si>
    <t xml:space="preserve">QE7. Before this interview, were you aware that these rights that apply offline should also be respected online? </t>
  </si>
  <si>
    <t>QE8. Selon vous, dans quelle mesure l’UE protège-t-elle vos droits dans l’environnement numérique ?</t>
  </si>
  <si>
    <t>QE8. How well do you think that the EU protects your rights in the digital environment?</t>
  </si>
  <si>
    <t>QE9.1. Selon vous, dans quelle mesure les droits et principes numériques sont-ils appliqués en (NOTRE PAYS) en ce qui concerne…?:-L’accès à une connexion Internet à haut débit pour tous dans l’UE</t>
  </si>
  <si>
    <t>QE9.1. How well do you think digital rights and principles are applied in (OUR COUNTRY) for…?:-Getting an affordable high-speed internet connection for everyone in the EU</t>
  </si>
  <si>
    <t>QE9.2. Selon vous, dans quelle mesure les droits et principes numériques sont-ils appliqués en (NOTRE PAYS) en ce qui concerne…?:-L’accès à des cours, des formations et des compétences numériques de base et avancées</t>
  </si>
  <si>
    <t>QE9.2. How well do you think digital rights and principles are applied in (OUR COUNTRY) for…?:-Getting basic and advanced digital education, training and skills</t>
  </si>
  <si>
    <t>QE9.3. Selon vous, dans quelle mesure les droits et principes numériques sont-ils appliqués en (NOTRE PAYS) en ce qui concerne…?:-Le fait de jouir de conditions de travail équitables et saines dans l’environnement numérique, notamment un équilibre entre travail et vie privée</t>
  </si>
  <si>
    <t>QE9.3. How well do you think digital rights and principles are applied in (OUR COUNTRY) for…?:-Getting fair and healthy working conditions in the digital environment, including work-life balance</t>
  </si>
  <si>
    <t>QE9.4. Selon vous, dans quelle mesure les droits et principes numériques sont-ils appliqués en (NOTRE PAYS) en ce qui concerne…?:-L’accès en ligne facilité à tous les services publics essentiels dans l’UE</t>
  </si>
  <si>
    <t>QE9.4. How well do you think digital rights and principles are applied in (OUR COUNTRY) for…?:-Getting easy online access to all key public services in the EU</t>
  </si>
  <si>
    <t>QE9.5. Selon vous, dans quelle mesure les droits et principes numériques sont-ils appliqués en (NOTRE PAYS) en ce qui concerne…?:-Le fait de jouir d’une liberté de choix en ligne effective, également dans le cadre des interactions avec l’intelligence artificielle (par ex. les chatbots, les assistants numériques)</t>
  </si>
  <si>
    <t>QE9.5. How well do you think digital rights and principles are applied in (OUR COUNTRY) for…?:-Getting effective freedom of choice online, also when interacting with artificial intelligence (e.g., chatbots, digital assistants)</t>
  </si>
  <si>
    <t>QE9.6. Selon vous, dans quelle mesure les droits et principes numériques sont-ils appliqués en (NOTRE PAYS) en ce qui concerne…?:-L’accès à un environnement numérique fiable, diversifié et multilingue, proposant notamment des contenus plus variés, moins de désinformation et moins de contenus illicites</t>
  </si>
  <si>
    <t>QE9.6. How well do you think digital rights and principles are applied in (OUR COUNTRY) for…?:-Getting access to a trustworthy, diverse and multilingual digital environment, including more diverse content, less disinformation, less illegal content</t>
  </si>
  <si>
    <t>QE9.7. Selon vous, dans quelle mesure les droits et principes numériques sont-ils appliqués en (NOTRE PAYS) en ce qui concerne…?:-Le fait de jouir de davantage de la liberté d’expression et d’information en ligne, par ex. via les plateformes en ligne, les réseaux sociaux et les moteurs de recherche</t>
  </si>
  <si>
    <t>QE9.7. How well do you think digital rights and principles are applied in (OUR COUNTRY) for…?:-Getting more freedom of expression and information online e.g., via online platforms, social networks, search engines</t>
  </si>
  <si>
    <t>QE9.8. Selon vous, dans quelle mesure les droits et principes numériques sont-ils appliqués en (NOTRE PAYS) en ce qui concerne…?:-Le fait de jouir de la liberté de réunion et d’association dans l’environnement numérique</t>
  </si>
  <si>
    <t>QE9.8. How well do you think digital rights and principles are applied in (OUR COUNTRY) for…?:-Getting freedom of assembly and of association in the digital environment</t>
  </si>
  <si>
    <t>QE9.9. Selon vous, dans quelle mesure les droits et principes numériques sont-ils appliqués en (NOTRE PAYS) en ce qui concerne…?:-L’accès à des technologies numériques sûres et respectueuses de la vie privée</t>
  </si>
  <si>
    <t>QE9.9. How well do you think digital rights and principles are applied in (OUR COUNTRY) for…?:-Getting access to safe and privacy-friendly digital technologies</t>
  </si>
  <si>
    <t>QE9.10. Selon vous, dans quelle mesure les droits et principes numériques sont-ils appliqués en (NOTRE PAYS) en ce qui concerne…?:-Le fait de jouir d’une protection de la vie privée en ligne, c.-à-d. le respect de la confidentialité des communications et des informations sur les appareils</t>
  </si>
  <si>
    <t>QE9.10. How well do you think digital rights and principles are applied in (OUR COUNTRY) for…?:-Getting privacy online, i.e., respect for confidentiality of communications and information on devices</t>
  </si>
  <si>
    <t>QE9.11. Selon vous, dans quelle mesure les droits et principes numériques sont-ils appliqués en (NOTRE PAYS) en ce qui concerne…?:-Le fait de pouvoir contrôler ses propres données, c.-à-d. la façon dont elles sont utilisées en ligne et avec qui elles sont partagées</t>
  </si>
  <si>
    <t>QE9.11. How well do you think digital rights and principles are applied in (OUR COUNTRY) for…?:-Getting control of one's own data i.e., how it is used online and with whom it is shared</t>
  </si>
  <si>
    <t>QE9.12. Selon vous, dans quelle mesure les droits et principes numériques sont-ils appliqués en (NOTRE PAYS) en ce qui concerne…?:-Le fait de pouvoir contrôler l’héritage numérique d’une personne, par ex. pouvoir décider du traitement des comptes et informations personnelles après sa mort</t>
  </si>
  <si>
    <t>QE9.12. How well do you think digital rights and principles are applied in (OUR COUNTRY) for…?:-Getting control of one's digital legacy, for instance deciding what happens with personal accounts and information after one's death</t>
  </si>
  <si>
    <t>QE9.13. Selon vous, dans quelle mesure les droits et principes numériques sont-ils appliqués en (NOTRE PAYS) en ce qui concerne…?:-Le fait de garantir des environnements et contenus numériques sûrs pour les enfants et les jeunes</t>
  </si>
  <si>
    <t>QE9.13. How well do you think digital rights and principles are applied in (OUR COUNTRY) for…?:-Ensuring safe digital environments and content for children and young people</t>
  </si>
  <si>
    <t>QE9.14. Selon vous, dans quelle mesure les droits et principes numériques sont-ils appliqués en (NOTRE PAYS) en ce qui concerne…?:-L’accès à des produits et services numériques qui réduisent au maximum les dommages sur l’environnement et la société (par ex. des services et produits qui peuvent être réparés ou recyclés, et qui ne reposent pas sur le travail forcé)</t>
  </si>
  <si>
    <t>QE9.14. How well do you think digital rights and principles are applied in (OUR COUNTRY) for…?:-Getting digital products and services that minimise damage to the environment and society (e.g., products and services that can be repaired or recycled, which do not involve forced labour)</t>
  </si>
  <si>
    <t>QE9.15. Selon vous, dans quelle mesure les droits et principes numériques sont-ils appliqués en (NOTRE PAYS) en ce qui concerne…?:-Le fait d’avoir accès aux bonnes informations sur l’impact environnemental et la consommation d’énergie des technologies numériques</t>
  </si>
  <si>
    <t>QE9.15. How well do you think digital rights and principles are applied in (OUR COUNTRY) for…?:-Getting access to the right information on the environmental impact and energy consumption of digital technologies</t>
  </si>
  <si>
    <t>D11. Quel est votre âge ?</t>
  </si>
  <si>
    <t>D11. How old are you?</t>
  </si>
  <si>
    <t>D11R. Quel est votre âge ?</t>
  </si>
  <si>
    <t>D11R. How old are you?</t>
  </si>
  <si>
    <t>D11bis. Quel est votre âge ?</t>
  </si>
  <si>
    <t>D11bis. How old are you?</t>
  </si>
  <si>
    <t>D11G. Génération</t>
  </si>
  <si>
    <t>D11G. Generation</t>
  </si>
  <si>
    <t>D7. Laquelle des propositions suivantes correspond le mieux à votre situation actuelle ?</t>
  </si>
  <si>
    <t>D7. Which of the following best corresponds to your own current situation?</t>
  </si>
  <si>
    <t>D7R1. Situation familiale</t>
  </si>
  <si>
    <t>D7R1. Marital status</t>
  </si>
  <si>
    <t>D7R2. Situation du ménage</t>
  </si>
  <si>
    <t>D7R2. Household situation</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</si>
  <si>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</si>
  <si>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</si>
  <si>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</si>
  <si>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</si>
  <si>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</si>
  <si>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</si>
  <si>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</si>
  <si>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</si>
  <si>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</si>
  <si>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</si>
  <si>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</si>
  <si>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</si>
  <si>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</si>
  <si>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</si>
  <si>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</si>
  <si>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</si>
  <si>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</si>
  <si>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</si>
  <si>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</si>
  <si>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</si>
  <si>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</si>
  <si>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</si>
  <si>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</si>
  <si>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</si>
  <si>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</si>
  <si>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</si>
  <si>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D43a. Possédez-vous un téléphone fixe dans votre foyer ?</t>
  </si>
  <si>
    <t>D43a. Do you own a fixed telephone in your household?</t>
  </si>
  <si>
    <t>D43b. Possédez-vous un téléphone mobile GSM portable personnel ?</t>
  </si>
  <si>
    <t>D43b. Do you own a personal mobile telephone?</t>
  </si>
  <si>
    <t>D43c. Disposez-vous d'une connexion Internet à la maison ?</t>
  </si>
  <si>
    <t>D43c. Do you have an Internet connection at home?</t>
  </si>
  <si>
    <t>D43T. Accès au téléphone fixe, au téléphone mobile et à une connexion internet fixe</t>
  </si>
  <si>
    <t>D43T. Access to fixed telephone, mobile telephone, and fixed internet connection</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</si>
  <si>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</si>
  <si>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</si>
  <si>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</si>
  <si>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</si>
  <si>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</si>
  <si>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</si>
  <si>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</si>
  <si>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</si>
  <si>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</si>
  <si>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</si>
  <si>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</si>
  <si>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</si>
  <si>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</si>
  <si>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</si>
  <si>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</si>
  <si>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</si>
  <si>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</si>
  <si>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</si>
  <si>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</si>
  <si>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</si>
  <si>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</si>
  <si>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</si>
  <si>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</si>
  <si>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</si>
  <si>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</si>
  <si>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</si>
  <si>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</si>
  <si>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</si>
  <si>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</si>
  <si>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</si>
  <si>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</si>
  <si>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</si>
  <si>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</si>
  <si>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</si>
  <si>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</si>
  <si>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</si>
  <si>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</si>
  <si>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</si>
  <si>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dans l'Union européenne</t>
  </si>
  <si>
    <t>SD19a.1. To what extent do you agree or disagree with each of the following statements.:-My voice counts in the EU</t>
  </si>
  <si>
    <t>SD19a.2. Dans quelle mesure êtes-vous d’accord ou pas d’accord avec chacune des affirmations suivantes ?:-Ma voix compte en (NOTRE PAYS)</t>
  </si>
  <si>
    <t>SD19a.2. To what extent do you agree or disagree with each of the following statements.:-My voice counts in (OUR COUNTRY)</t>
  </si>
  <si>
    <t>SD19a.3. Dans quelle mesure êtes-vous d’accord ou pas d’accord avec chacune des affirmations suivantes ?:-La voix de (NOTRE PAYS) compte dans l'Union européenne</t>
  </si>
  <si>
    <t>SD19a.3. To what extent do you agree or disagree with each of the following statements.:-(OUR COUNTRY)’s voice counts in the EU</t>
  </si>
  <si>
    <t>Eurobarometer - 103.2</t>
  </si>
  <si>
    <t>VOL A weighted</t>
  </si>
  <si>
    <t>Terrain/Fieldwork : 18/02 - 16/03/2025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</si>
  <si>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</si>
  <si>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</si>
  <si>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</si>
  <si>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</si>
  <si>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</si>
  <si>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</si>
  <si>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</si>
  <si>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</si>
  <si>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</si>
  <si>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</si>
  <si>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</si>
  <si>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</si>
  <si>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</si>
  <si>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</si>
  <si>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</si>
  <si>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</si>
  <si>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</si>
  <si>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</si>
  <si>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</si>
  <si>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</si>
  <si>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</si>
  <si>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</si>
  <si>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</si>
  <si>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</si>
  <si>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</si>
  <si>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</si>
  <si>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</si>
  <si>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</si>
  <si>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</si>
  <si>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</si>
  <si>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</si>
  <si>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</si>
  <si>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Total</t>
  </si>
  <si>
    <t>-</t>
  </si>
  <si>
    <t>Oui, vous personnellement</t>
  </si>
  <si>
    <t>Yes, you personally</t>
  </si>
  <si>
    <t>Oui, des membres de votre famille</t>
  </si>
  <si>
    <t>Yes, family members or close relatives</t>
  </si>
  <si>
    <t>Oui, des amis ou des connaissances</t>
  </si>
  <si>
    <t>Yes, friends or acquaintances</t>
  </si>
  <si>
    <t>Non</t>
  </si>
  <si>
    <t>No</t>
  </si>
  <si>
    <t>Ne sait pas</t>
  </si>
  <si>
    <t>Don't know</t>
  </si>
  <si>
    <t>Total 'Oui'</t>
  </si>
  <si>
    <t>Total 'Yes'</t>
  </si>
  <si>
    <t>QA1.1. Dans quelle mesure vous sentez-vous épanoui(e) dans… ?</t>
  </si>
  <si>
    <t>QA1.1. To what extent do you feel fulfilled in…?</t>
  </si>
  <si>
    <t>Votre vie privée</t>
  </si>
  <si>
    <t>Your private life</t>
  </si>
  <si>
    <t>Tout à fait épanoui(e)</t>
  </si>
  <si>
    <t>Totally fulfilled</t>
  </si>
  <si>
    <t>Assez épanoui(e)</t>
  </si>
  <si>
    <t>Fairly fulfilled</t>
  </si>
  <si>
    <t>Pas très épanoui(e)</t>
  </si>
  <si>
    <t>Not very fulfilled</t>
  </si>
  <si>
    <t>Pas du tout épanoui(e)</t>
  </si>
  <si>
    <t>Not at all fulfilled</t>
  </si>
  <si>
    <t>Total 'Épanoui(e)'</t>
  </si>
  <si>
    <t>Total 'Fulfilled'</t>
  </si>
  <si>
    <t>Total 'Pas épanoui(e)'</t>
  </si>
  <si>
    <t>Total 'Not fulfilled'</t>
  </si>
  <si>
    <t>QA1.2. Dans quelle mesure vous sentez-vous épanoui(e) dans… ?</t>
  </si>
  <si>
    <t>QA1.2. To what extent do you feel fulfilled in…?</t>
  </si>
  <si>
    <t>Votre vie professionnelle</t>
  </si>
  <si>
    <t>Your professional life</t>
  </si>
  <si>
    <t>Très importante</t>
  </si>
  <si>
    <t>Very important</t>
  </si>
  <si>
    <t>Plutôt importante</t>
  </si>
  <si>
    <t>Fairly important</t>
  </si>
  <si>
    <t>Plutôt pas importante</t>
  </si>
  <si>
    <t>Not very important</t>
  </si>
  <si>
    <t xml:space="preserve">Pas du tout importante </t>
  </si>
  <si>
    <t>Not at all important</t>
  </si>
  <si>
    <t>Total 'Important'</t>
  </si>
  <si>
    <t>Total 'Pas important'</t>
  </si>
  <si>
    <t>Total 'Not important'</t>
  </si>
  <si>
    <t>Joué d’un instrument de musique</t>
  </si>
  <si>
    <t>Played a musical instrument</t>
  </si>
  <si>
    <t>Joué dans une pièce de théâtre ou dans un film</t>
  </si>
  <si>
    <t>Acted on the stage or in a film</t>
  </si>
  <si>
    <t>Chanté</t>
  </si>
  <si>
    <t>Sung</t>
  </si>
  <si>
    <t>Ecrit un poème, un essai, un roman, etc.</t>
  </si>
  <si>
    <t>Written a poem, an essay, a novel, etc.</t>
  </si>
  <si>
    <t>Dansé</t>
  </si>
  <si>
    <t>Danced</t>
  </si>
  <si>
    <t>Réalisé un film, fait de la photo</t>
  </si>
  <si>
    <t>Made a film, done some photography</t>
  </si>
  <si>
    <t xml:space="preserve">Pratiqué d’autres activités artistiques telles que la sculpture, la peinture, les travaux manuels, le dessin </t>
  </si>
  <si>
    <t>Done any other artistic activities like sculpture, painting, handicrafts or drawing</t>
  </si>
  <si>
    <t>Fait de la création par ordinateur comme la création de sites web ou de blogs, etc.</t>
  </si>
  <si>
    <t>Done creative computing such as designing websites or blogs, etc.</t>
  </si>
  <si>
    <t>Autre (SPONTANÉ)</t>
  </si>
  <si>
    <t>Other (SPONTANEOUS)</t>
  </si>
  <si>
    <t>Aucun (SPONTANÉ)</t>
  </si>
  <si>
    <t>None (SPONTANEOUS)</t>
  </si>
  <si>
    <t>Le coût de l’inscription ou des billets d’entrée</t>
  </si>
  <si>
    <t>Cost of admission or tickets</t>
  </si>
  <si>
    <t>La distance jusqu’au lieu des événements</t>
  </si>
  <si>
    <t>Distance to venues</t>
  </si>
  <si>
    <t>Le manque de temps</t>
  </si>
  <si>
    <t>Lack of time</t>
  </si>
  <si>
    <t>Le manque d’intérêt pour les activités disponibles</t>
  </si>
  <si>
    <t>Lack of interest in available activities</t>
  </si>
  <si>
    <t>Le manque d’accessibilité des bâtiments/espaces</t>
  </si>
  <si>
    <t>Lack of accessibility of buildings/spaces</t>
  </si>
  <si>
    <t>Le manque d’informations concernant les événements</t>
  </si>
  <si>
    <t>Lack of information about events</t>
  </si>
  <si>
    <t>Les barrières linguistiques</t>
  </si>
  <si>
    <t>Language barriers</t>
  </si>
  <si>
    <t>Le manque de structures d’accueil pour les enfants</t>
  </si>
  <si>
    <t>Lack of childcare</t>
  </si>
  <si>
    <t>Des problèmes personnels d’accessibilité, comme la mobilité</t>
  </si>
  <si>
    <t>Personal accessibility issues, such as mobility</t>
  </si>
  <si>
    <t>D’autres raisons liées à la santé, notamment des raisons de santé mentale</t>
  </si>
  <si>
    <t>For other health-related reasons, including mental health reasons</t>
  </si>
  <si>
    <t>Le sentiment de ne pas être le/la bienvenu(e) ou d’être exclu(e)</t>
  </si>
  <si>
    <t>Feeling unwelcome or excluded</t>
  </si>
  <si>
    <t>Des obstacles technologiques (liés notamment aux compétences ou à l’accès à Internet)</t>
  </si>
  <si>
    <t>Technological barriers (incl. skills or internet access)</t>
  </si>
  <si>
    <t>Vous ne vous sentez pas suffisamment instruit(e) pour y participer/assister</t>
  </si>
  <si>
    <t>You do not feel adequately educated to participate/attend</t>
  </si>
  <si>
    <t>Le manque d’activités artistiques, culturelles ou créatives proposées près de chez vous</t>
  </si>
  <si>
    <t>Lack of artistic, cultural or creative activities offered in your area</t>
  </si>
  <si>
    <t>Aucune de ces propositions (SPONTANÉ)</t>
  </si>
  <si>
    <t>Base: Pas demandé aux répondants qui ont répondu "Aucun" ou "Ne sais pas" en QA4a</t>
  </si>
  <si>
    <t>Base: Not asked to respondents who answered "None" or "Don't know" in QA4a</t>
  </si>
  <si>
    <t>QA5.1. Dans quelle mesure êtes-vous d’accord ou pas d’accord avec les affirmations suivantes sur la liberté d’expression artistique ?</t>
  </si>
  <si>
    <t>QA5.1. To what extent do you agree or disagree with the following statements about freedom of artistic expression?</t>
  </si>
  <si>
    <t>Vous pensez que les artistes en (NOTRE PAYS) peuvent librement exprimer leurs idées et leurs opinions, sans craindre d’être censurés ou de faire l’objet de représailles de la part du gouvernement (NATIONALITÉ)</t>
  </si>
  <si>
    <t>You believe artists in (OUR COUNTRY) can freely express their ideas and opinions without fear of censorship or retaliation by the (NATIONALITY) Government</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</si>
  <si>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</si>
  <si>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</si>
  <si>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</si>
  <si>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</si>
  <si>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</si>
  <si>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</si>
  <si>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</si>
  <si>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</si>
  <si>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</si>
  <si>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</si>
  <si>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</si>
  <si>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</si>
  <si>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QA5.2. Dans quelle mesure êtes-vous d’accord ou pas d’accord avec les affirmations suivantes sur la liberté d’expression artistique ?</t>
  </si>
  <si>
    <t>QA5.2. To what extent do you agree or disagree with the following statements about freedom of artistic expression?</t>
  </si>
  <si>
    <t>Vous pensez que les artistes en (NOTRE PAYS) peuvent librement exprimer leurs idées et leurs opinions, sans craindre d’être censurés ou de faire l’objet de représailles de la part de personnes ou de groupes extérieurs au gouvernement</t>
  </si>
  <si>
    <t xml:space="preserve">You believe artists in (OUR COUNTRY) can freely express their ideas and opinions without fear of censorship or retaliation by people or groups outside of the government </t>
  </si>
  <si>
    <t>QA5.3. Dans quelle mesure êtes-vous d’accord ou pas d’accord avec les affirmations suivantes sur la liberté d’expression artistique ?</t>
  </si>
  <si>
    <t>QA5.3. To what extent do you agree or disagree with the following statements about freedom of artistic expression?</t>
  </si>
  <si>
    <t>La liberté d’expression artistique est importante pour vous</t>
  </si>
  <si>
    <t>Freedom of artistic expression is important to you</t>
  </si>
  <si>
    <t>QA6.1. Dans quelle mesure êtes-vous d’accord ou pas d’accord avec les affirmations suivantes concernant les arts et les activités culturelles en (NOTRE PAYS) ?</t>
  </si>
  <si>
    <t>QA6.1. To what extent do you agree or disagree with the following statements about the arts and cultural activities in (OUR COUNTRY)?</t>
  </si>
  <si>
    <t>Le fait de participer à une activité culturelle ou d’assister à des événements ou festivals artistiques et culturels peut vous faire vous sentir mieux d’un point de vue mental, physique ou émotionnel</t>
  </si>
  <si>
    <t>Participating in a cultural activity or attending artistic and cultural events or festivals can make you feel better either mentally, physically or emotionally</t>
  </si>
  <si>
    <t>QA6.2. Dans quelle mesure êtes-vous d’accord ou pas d’accord avec les affirmations suivantes concernant les arts et les activités culturelles en (NOTRE PAYS) ?</t>
  </si>
  <si>
    <t>QA6.2. To what extent do you agree or disagree with the following statements about the arts and cultural activities in (OUR COUNTRY)?</t>
  </si>
  <si>
    <t>Les gens de toutes les régions de (NOTRE PAYS) ont les mêmes possibilités d’accéder à des activités culturelles</t>
  </si>
  <si>
    <t>People in all regions of (OUR COUNTRY) have the same ability to access cultural activities</t>
  </si>
  <si>
    <t>QA6.3. Dans quelle mesure êtes-vous d’accord ou pas d’accord avec les affirmations suivantes concernant les arts et les activités culturelles en (NOTRE PAYS) ?</t>
  </si>
  <si>
    <t>QA6.3. To what extent do you agree or disagree with the following statements about the arts and cultural activities in (OUR COUNTRY)?</t>
  </si>
  <si>
    <t>Vous pensez que la culture et les arts sont importants pour le bien-être et le développement économique de l’endroit où vous vivez</t>
  </si>
  <si>
    <t>You believe that culture and the arts are important for the welfare and economic development of the place where you live</t>
  </si>
  <si>
    <t>QA6.4. Dans quelle mesure êtes-vous d’accord ou pas d’accord avec les affirmations suivantes concernant les arts et les activités culturelles en (NOTRE PAYS) ?</t>
  </si>
  <si>
    <t>QA6.4. To what extent do you agree or disagree with the following statements about the arts and cultural activities in (OUR COUNTRY)?</t>
  </si>
  <si>
    <t>Vous pensez que les artistes en (NOTRE PAYS) reçoivent généralement une rémunération juste et adéquate pour leur travail</t>
  </si>
  <si>
    <t>You believe that artists in (OUR COUNTRY) generally receive fair and appropriate remuneration for their work</t>
  </si>
  <si>
    <t>QA7.1. Dans quelle mesure êtes-vous d’accord ou pas d’accord avec les affirmations suivantes sur l’intelligence artificielle (IA) et son rôle dans l’art et la culture ?</t>
  </si>
  <si>
    <t>QA7.1. To what extent do you agree or disagree with the following statements regarding artificial intelligence (AI) and its role in art and culture?</t>
  </si>
  <si>
    <t>Vous êtes capable de faire la différence entre des œuvres d’art visuel, des œuvres musicales ou des œuvres littéraires créées par l’IA et une œuvre créée par un humain</t>
  </si>
  <si>
    <t>You can tell the difference between a piece of visual art, pieces of music or literary works created by AI and one crafted by a human</t>
  </si>
  <si>
    <t>QA7.2. Dans quelle mesure êtes-vous d’accord ou pas d’accord avec les affirmations suivantes sur l’intelligence artificielle (IA) et son rôle dans l’art et la culture ?</t>
  </si>
  <si>
    <t>QA7.2. To what extent do you agree or disagree with the following statements regarding artificial intelligence (AI) and its role in art and culture?</t>
  </si>
  <si>
    <t>Vous préférez généralement les contenus créés par des humains à ceux générés par l’IA</t>
  </si>
  <si>
    <t>You generally prefer human-made content to AI-generated content</t>
  </si>
  <si>
    <t>QA7.3. Dans quelle mesure êtes-vous d’accord ou pas d’accord avec les affirmations suivantes sur l’intelligence artificielle (IA) et son rôle dans l’art et la culture ?</t>
  </si>
  <si>
    <t>QA7.3. To what extent do you agree or disagree with the following statements regarding artificial intelligence (AI) and its role in art and culture?</t>
  </si>
  <si>
    <t>Vous utilisez souvent des outils d’IA générative pour créer des œuvres d’art visuel, des œuvres musicales ou des œuvres littéraires pour votre usage personnel ou professionnel</t>
  </si>
  <si>
    <t>You often make use of generative AI tools to produce visual art, pieces of music or literary works for your personal or professional use</t>
  </si>
  <si>
    <t>QA7.4. Dans quelle mesure êtes-vous d’accord ou pas d’accord avec les affirmations suivantes sur l’intelligence artificielle (IA) et son rôle dans l’art et la culture ?</t>
  </si>
  <si>
    <t>QA7.4. To what extent do you agree or disagree with the following statements regarding artificial intelligence (AI) and its role in art and culture?</t>
  </si>
  <si>
    <t>Vous êtes souvent confronté(e) à des œuvres d’art visuel, des œuvres musicales ou des œuvres littéraires créées par l’IA</t>
  </si>
  <si>
    <t>You often come across visual art, pieces of music or literary works created by AI</t>
  </si>
  <si>
    <t>QA7.5. Dans quelle mesure êtes-vous d’accord ou pas d’accord avec les affirmations suivantes sur l’intelligence artificielle (IA) et son rôle dans l’art et la culture ?</t>
  </si>
  <si>
    <t>QA7.5. To what extent do you agree or disagree with the following statements regarding artificial intelligence (AI) and its role in art and culture?</t>
  </si>
  <si>
    <t>Le fait que la montée de l’IA générative puisse avoir un impact sur l’emploi ou la rémunération des artistes et créatifs vous inquiète</t>
  </si>
  <si>
    <t>You are concerned that the rise of generative AI may have an impact on employment or earnings for artists and creatives</t>
  </si>
  <si>
    <t>Protéger les sites du patrimoine culturel face aux guerres, aux catastrophes naturelles ou au changement climatique</t>
  </si>
  <si>
    <t>Protecting cultural heritage sites during wars, natural disasters, or climate change</t>
  </si>
  <si>
    <t>Aider le ou les secteurs des arts et de la culture à tirer parti de l’intelligence artificielle</t>
  </si>
  <si>
    <t>Helping the arts and culture sector(s) benefit from Artificial Intelligence</t>
  </si>
  <si>
    <t>Soutenir les artistes et les travailleurs culturels pour qu’ils acquièrent de nouvelles compétences dans un monde et un environnement commercial en mutation</t>
  </si>
  <si>
    <t>Supporting artists and cultural workers to gain new skills for a changing world and business environment</t>
  </si>
  <si>
    <t xml:space="preserve">Aider les artistes et les organisations culturelles à collaborer au-delà des frontières. </t>
  </si>
  <si>
    <t>Helping artists and cultural organisations collaborate across borders.</t>
  </si>
  <si>
    <t>Veiller à ce que les artistes et les travailleurs culturels reçoivent une rémunération juste et travaillent dans de bonnes conditions</t>
  </si>
  <si>
    <t>Ensuring artists and cultural workers have fair pay and good working conditions</t>
  </si>
  <si>
    <t>Renforcer les secteurs et industries culturels et créatifs de l’Europe pour qu’ils soient compétitifs au niveau mondial</t>
  </si>
  <si>
    <t>Strengthening Europe’s cultural and creative sectors and industries to compete globally</t>
  </si>
  <si>
    <t>Rendre les arts et la culture plus accessibles à tous</t>
  </si>
  <si>
    <t>Making arts and culture more accessible to everyone</t>
  </si>
  <si>
    <t>Augmenter le financement des arts, de la culture et des industries créatives</t>
  </si>
  <si>
    <t>Increasing funding for arts, culture, and creative industries</t>
  </si>
  <si>
    <t>Protéger la liberté artistique et les droits culturels</t>
  </si>
  <si>
    <t>Protecting artistic freedom and cultural rights</t>
  </si>
  <si>
    <t>Promouvoir le patrimoine culturel et les arts dans les régions rurales et isolées</t>
  </si>
  <si>
    <t>Promoting cultural heritage and the arts in rural and remote areas</t>
  </si>
  <si>
    <t>Base: Pas demandé aux répondants qui ont répondu "Aucun" ou "Ne sais pas" en QA8a</t>
  </si>
  <si>
    <t>Base: Not asked to respondents who answered "None" or "Don't know" in QA8a</t>
  </si>
  <si>
    <t>Aider les artistes et les organisations culturelles à collaborer au-delà des frontières</t>
  </si>
  <si>
    <t>Helping artists and cultural organisations collaborate across borders</t>
  </si>
  <si>
    <t>QA9.1. À votre avis, quelle est l’importance du patrimoine culturel… ?</t>
  </si>
  <si>
    <t>QA9.1. How important do you think that cultural heritage is…?</t>
  </si>
  <si>
    <t>Pour vous personnellement</t>
  </si>
  <si>
    <t>For you personally</t>
  </si>
  <si>
    <t>Très important</t>
  </si>
  <si>
    <t>Plutôt important</t>
  </si>
  <si>
    <t>Pas très important</t>
  </si>
  <si>
    <t>Not very imporatant</t>
  </si>
  <si>
    <t>Pas du tout important</t>
  </si>
  <si>
    <t>QA9.2. À votre avis, quelle est l’importance du patrimoine culturel… ?</t>
  </si>
  <si>
    <t>QA9.2. How important do you think that cultural heritage is…?</t>
  </si>
  <si>
    <t>Pour votre communauté locale</t>
  </si>
  <si>
    <t>For your local community</t>
  </si>
  <si>
    <t>QA9.3. À votre avis, quelle est l’importance du patrimoine culturel… ?</t>
  </si>
  <si>
    <t>QA9.3. How important do you think that cultural heritage is…?</t>
  </si>
  <si>
    <t>Pour votre région</t>
  </si>
  <si>
    <t>For your region</t>
  </si>
  <si>
    <t>QA9.4. À votre avis, quelle est l’importance du patrimoine culturel… ?</t>
  </si>
  <si>
    <t>QA9.4. How important do you think that cultural heritage is…?</t>
  </si>
  <si>
    <t>Pour (NOTRE PAYS)</t>
  </si>
  <si>
    <t>For (OUR COUNTRY)</t>
  </si>
  <si>
    <t>QA9.5. À votre avis, quelle est l’importance du patrimoine culturel… ?</t>
  </si>
  <si>
    <t>QA9.5. How important do you think that cultural heritage is…?</t>
  </si>
  <si>
    <t>Pour l'Union européenne</t>
  </si>
  <si>
    <t>For the European Union</t>
  </si>
  <si>
    <t>QA10.1. Dans quelle mesure êtes-vous d'accord ou pas d'accord avec les propositions suivantes sur le patrimoine culturel de l'Europe ?</t>
  </si>
  <si>
    <t>QA10.1. To what extent do you agree or disagree with the following statements about Europe's cultural heritage.</t>
  </si>
  <si>
    <t>Vivre à proximité de lieux liés au patrimoine culturel de l'Europe peut améliorer la qualité de vie des gens</t>
  </si>
  <si>
    <t>Living close to places related to Europe's cultural heritage can improve people's quality of life</t>
  </si>
  <si>
    <t>Tout à fait d'accord</t>
  </si>
  <si>
    <t>Plutôt d'accord</t>
  </si>
  <si>
    <t>Plutôt pas d'accord</t>
  </si>
  <si>
    <t>Pas du tout d'accord</t>
  </si>
  <si>
    <t>QA10.2. Dans quelle mesure êtes-vous d'accord ou pas d'accord avec les propositions suivantes sur le patrimoine culturel de l'Europe ?</t>
  </si>
  <si>
    <t>QA10.2. To what extent do you agree or disagree with the following statements about Europe's cultural heritage.</t>
  </si>
  <si>
    <t>Vivre à proximité de lieux liés au patrimoine culturel de l'Europe peut donner aux gens un sentiment d'appartenance à l'Europe</t>
  </si>
  <si>
    <t>Living close to places related to Europe's cultural heritage can give people a sense of belonging to Europe</t>
  </si>
  <si>
    <t>QA11.1. Pour chacune des affirmations suivantes, pouvez-vous me dire si vous êtes tout à fait d'accord, plutôt d'accord, plutôt pas d'accord ou pas du tout d'accord.</t>
  </si>
  <si>
    <t>QA11.1. For each of the following statements, please tell me whether you totally agree, tend to agree, tend to disagree or totally disagree?</t>
  </si>
  <si>
    <t>La culture et les échanges culturels devraient avoir une place très importante dans l'UE pour que les citoyens des différents Etats membres se connaissent mieux et se sentent davantage européens</t>
  </si>
  <si>
    <t>Culture and cultural exchanges should have a very important place in the EU so that citizens from different Member States can learn more from each other and feel more European</t>
  </si>
  <si>
    <t>QA11.2. Pour chacune des affirmations suivantes, pouvez-vous me dire si vous êtes tout à fait d'accord, plutôt d'accord, plutôt pas d'accord ou pas du tout d'accord.</t>
  </si>
  <si>
    <t>QA11.2. For each of the following statements, please tell me whether you totally agree, tend to agree, tend to disagree or totally disagree?</t>
  </si>
  <si>
    <t>La culture et les échanges culturels peuvent jouer un grand rôle pour développer une meilleure compréhension et plus de tolérance dans le monde, y compris là où il y a des conflits ou des tensions</t>
  </si>
  <si>
    <t>Culture and cultural exchanges can play an important role in developing greater understanding and tolerance in the world, even where there are conflicts or tensions</t>
  </si>
  <si>
    <t>QA11.3. Pour chacune des affirmations suivantes, pouvez-vous me dire si vous êtes tout à fait d'accord, plutôt d'accord, plutôt pas d'accord ou pas du tout d'accord.</t>
  </si>
  <si>
    <t>QA11.3. For each of the following statements, please tell me whether you totally agree, tend to agree, tend to disagree or totally disagree?</t>
  </si>
  <si>
    <t>La promotion des cultures européennes à l’étranger est importante pour nouer des relations diplomatiques pacifiques entre l’Europe et d’autres pays</t>
  </si>
  <si>
    <t>The promotion of European cultures abroad is important for building peaceful, diplomatic relations between Europe and other countries</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</si>
  <si>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</si>
  <si>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</si>
  <si>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</si>
  <si>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</si>
  <si>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</si>
  <si>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</si>
  <si>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</si>
  <si>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</si>
  <si>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</si>
  <si>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</si>
  <si>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</si>
  <si>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</si>
  <si>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</si>
  <si>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</si>
  <si>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</si>
  <si>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</si>
  <si>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</si>
  <si>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</si>
  <si>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l’éducation et les retraites</t>
  </si>
  <si>
    <t>Healthcare, education and pensions</t>
  </si>
  <si>
    <t>La solidarité avec les régions plus pauvres</t>
  </si>
  <si>
    <t>Solidarity with poorer regions</t>
  </si>
  <si>
    <t>La culture</t>
  </si>
  <si>
    <t>Culture</t>
  </si>
  <si>
    <t>L'éducation</t>
  </si>
  <si>
    <t>Education</t>
  </si>
  <si>
    <t>La préoccupation pour l'environnement</t>
  </si>
  <si>
    <t>Care for the environment</t>
  </si>
  <si>
    <t>Rien, un tel sentiment n'existe pas (SPONTANÉ)</t>
  </si>
  <si>
    <t>None, such a feeling does not exist (SPONTANEOUS)</t>
  </si>
  <si>
    <t>Oui, et vous savez exactement ce que c'est</t>
  </si>
  <si>
    <t>Yes, and you know what it is</t>
  </si>
  <si>
    <t>Oui, mais vous ne savez pas vraiment ce que c'est</t>
  </si>
  <si>
    <t>Yes, but you don’t really know what it is</t>
  </si>
  <si>
    <t>Très bien informé(e)</t>
  </si>
  <si>
    <t>Very well informed</t>
  </si>
  <si>
    <t>Plutôt bien informé(e)</t>
  </si>
  <si>
    <t>Fairly well informed</t>
  </si>
  <si>
    <t>Pas très bien informé(e)</t>
  </si>
  <si>
    <t>Not very well informed</t>
  </si>
  <si>
    <t>Pas du tout informé(e)</t>
  </si>
  <si>
    <t>Not at all informed</t>
  </si>
  <si>
    <t>Vous n'en avez jamais entendu parler (SPONTANÉ)</t>
  </si>
  <si>
    <t>You have never heard of it (SPONTANEOUS)</t>
  </si>
  <si>
    <t>Total 'Bien informé'</t>
  </si>
  <si>
    <t>Total 'Well informed'</t>
  </si>
  <si>
    <t>Total 'Pas bien informé'</t>
  </si>
  <si>
    <t>Total 'Not well informed'</t>
  </si>
  <si>
    <t>Oui, certainement</t>
  </si>
  <si>
    <t>Yes, definitely</t>
  </si>
  <si>
    <t>Oui, probablement</t>
  </si>
  <si>
    <t>Yes, probably</t>
  </si>
  <si>
    <t>Non, probablement pas</t>
  </si>
  <si>
    <t>No, probably not</t>
  </si>
  <si>
    <t>Non, certainement pas</t>
  </si>
  <si>
    <t>No, definitely not</t>
  </si>
  <si>
    <t>Total 'Non'</t>
  </si>
  <si>
    <t>Total 'No'</t>
  </si>
  <si>
    <t>QB4.1. Veuillez me dire si vous pensez que chacune des propositions suivantes est vraie ou fausse : la Charte s'applique...</t>
  </si>
  <si>
    <t>QB4.1. Please tell me if you think each of the following statements is true or false: The Charter applies…</t>
  </si>
  <si>
    <t>À toutes les actions des institutions et organes de l'Union Européenne, par exemple lorsque les institutions de l'Union Européenne adoptent une nouvelle législation</t>
  </si>
  <si>
    <t>To all actions of EU institutions and bodies, e.g. when EU institutions adopt new legislation</t>
  </si>
  <si>
    <t>Vrai</t>
  </si>
  <si>
    <t>True</t>
  </si>
  <si>
    <t>Faux</t>
  </si>
  <si>
    <t>False</t>
  </si>
  <si>
    <t>QB4.2. Veuillez me dire si vous pensez que chacune des propositions suivantes est vraie ou fausse : la Charte s'applique...</t>
  </si>
  <si>
    <t>QB4.2. Please tell me if you think each of the following statements is true or false: The Charter applies…</t>
  </si>
  <si>
    <t>À toutes les actions des États membres de l'Union Européenne, y compris des questions relevant de la compétence nationale</t>
  </si>
  <si>
    <t>To all actions of EU Member States, including on matters of national competence</t>
  </si>
  <si>
    <t>QB4.3. Veuillez me dire si vous pensez que chacune des propositions suivantes est vraie ou fausse : la Charte s'applique...</t>
  </si>
  <si>
    <t>QB4.3. Please tell me if you think each of the following statements is true or false: The Charter applies…</t>
  </si>
  <si>
    <t>Aux États membres de l'Union Européenne, uniquement lorsqu'ils mettent en œuvre le droit de l'Union Européenne</t>
  </si>
  <si>
    <t>To EU Member States only when they implement EU law</t>
  </si>
  <si>
    <t>3 réponses correctes</t>
  </si>
  <si>
    <t>3 correct answers</t>
  </si>
  <si>
    <t>2 réponses correctes</t>
  </si>
  <si>
    <t>2 correct answers</t>
  </si>
  <si>
    <t>1 réponses correctes</t>
  </si>
  <si>
    <t>1 correct answers</t>
  </si>
  <si>
    <t>0 réponses correctes</t>
  </si>
  <si>
    <t>0 correct answers</t>
  </si>
  <si>
    <t xml:space="preserve">Ne sait pas </t>
  </si>
  <si>
    <t xml:space="preserve">Don't know </t>
  </si>
  <si>
    <t>Une institution de l'Union Européenne, par exemple la Commission européenne, le Parlement européen ou le médiateur européen</t>
  </si>
  <si>
    <t>An EU institution, e.g. the European Commission, the European Parliament or the European ombudsman</t>
  </si>
  <si>
    <t>Le gouvernement (NATIONALITÉ)</t>
  </si>
  <si>
    <t>The (NATIONALITY) government</t>
  </si>
  <si>
    <t>La police</t>
  </si>
  <si>
    <t>The police</t>
  </si>
  <si>
    <t>Un tribunal</t>
  </si>
  <si>
    <t>A court</t>
  </si>
  <si>
    <t>Un médiateur ou un organisme indépendant en (NOTRE PAYS)</t>
  </si>
  <si>
    <t>An ombudsman or an independent body in (OUR COUNTRY)</t>
  </si>
  <si>
    <t>Une organisation non gouvernementale (ONG)</t>
  </si>
  <si>
    <t>A non-governmental organisation (NGO)</t>
  </si>
  <si>
    <t>Aucun(e)/ Vous ne déposeriez pas plainte (SPONTANÉ)</t>
  </si>
  <si>
    <t>None/ You would not complain (SPONTANEOUS)</t>
  </si>
  <si>
    <t>Base: Pas demandé aux répondants qui ont répondu "Aucun" ou "Ne sais pas" en QB5a</t>
  </si>
  <si>
    <t>Base: Not asked to respondents who answered "None" or "Don't know" in QB5a</t>
  </si>
  <si>
    <t>QB6.1. Seriez-vous intéressé(e) ou non d'avoir plus d'informations à propos des aspects suivants de la Charte ?</t>
  </si>
  <si>
    <t>QB6.1. Would you be interested or not in having more information about the following aspects of the Charter?</t>
  </si>
  <si>
    <t>À qui vous adresser si vos droits, inscrits dans la Charte, sont violés, par exemple un tribunal compétent ou un organisme habilité à traiter des plaintes</t>
  </si>
  <si>
    <t>Where to turn if your rights, as enshrined in the Charter, are violated, e.g. a competent court or a body which can handle complaints</t>
  </si>
  <si>
    <t>Très intéressé (e)</t>
  </si>
  <si>
    <t>Very interested</t>
  </si>
  <si>
    <t>Assez intéressé(e)</t>
  </si>
  <si>
    <t>Fairly interested</t>
  </si>
  <si>
    <t>Pas très intéressé(e)</t>
  </si>
  <si>
    <t>Not very interested</t>
  </si>
  <si>
    <t>Pas du tout intéressé (e)</t>
  </si>
  <si>
    <t>Not at all interested</t>
  </si>
  <si>
    <t>Total 'Interessé(e)'</t>
  </si>
  <si>
    <t>Total 'Interested'</t>
  </si>
  <si>
    <t>Total 'Pas interessé(e)'</t>
  </si>
  <si>
    <t>Total 'Not interested'</t>
  </si>
  <si>
    <t>QB6.2. Seriez-vous intéressé(e) ou non d'avoir plus d'informations à propos des aspects suivants de la Charte ?</t>
  </si>
  <si>
    <t>QB6.2. Would you be interested or not in having more information about the following aspects of the Charter?</t>
  </si>
  <si>
    <t>Le contenu de la Charte définissant vos droits fondamentaux en tant que citoyen de l'Union Européenne</t>
  </si>
  <si>
    <t>The content of the Charter, defining your fundamental rights as an EU citizen</t>
  </si>
  <si>
    <t>QB6.3. Seriez-vous intéressé(e) ou non d'avoir plus d'informations à propos des aspects suivants de la Charte ?</t>
  </si>
  <si>
    <t>QB6.3. Would you be interested or not in having more information about the following aspects of the Charter?</t>
  </si>
  <si>
    <t>Quand la Charte s'applique et quand elle ne s'applique pas</t>
  </si>
  <si>
    <t>When the Charter applies and when it does not</t>
  </si>
  <si>
    <t>QB6.4. Seriez-vous intéressé(e) ou non d'avoir plus d'informations à propos des aspects suivants de la Charte ?</t>
  </si>
  <si>
    <t>QB6.4. Would you be interested or not in having more information about the following aspects of the Charter?</t>
  </si>
  <si>
    <t>Le contexte historique et politique de la Charte, quand elle a été adoptée, par qui, etc.</t>
  </si>
  <si>
    <t>The historical and political context of the Charter, when it was adopted, by whom, etc.</t>
  </si>
  <si>
    <t>Bien informé(e)</t>
  </si>
  <si>
    <t>Well informed</t>
  </si>
  <si>
    <t>Pas bien informé(e) du tout</t>
  </si>
  <si>
    <t>Not at all well informed</t>
  </si>
  <si>
    <t>Total 'Informé(e)'</t>
  </si>
  <si>
    <t>Total 'Informed'</t>
  </si>
  <si>
    <t>Total 'Pas informé(e)'</t>
  </si>
  <si>
    <t>Total 'Not informed'</t>
  </si>
  <si>
    <t>L’économie et la compétitivité</t>
  </si>
  <si>
    <t>Economy and competitiveness</t>
  </si>
  <si>
    <t>La démocratie</t>
  </si>
  <si>
    <t>Democracy</t>
  </si>
  <si>
    <t>L’influence de l’UE dans le monde</t>
  </si>
  <si>
    <t>The EU’s influence in the world</t>
  </si>
  <si>
    <t>La défense et la sécurité</t>
  </si>
  <si>
    <t>Security and defence</t>
  </si>
  <si>
    <t>La lutte contre la criminalité et le terrorisme</t>
  </si>
  <si>
    <t>Fight against crime &amp; terrorism</t>
  </si>
  <si>
    <t>Le changement climatique et la protection de l’environnement</t>
  </si>
  <si>
    <t>Climate and environmental protection</t>
  </si>
  <si>
    <t>L’emploi</t>
  </si>
  <si>
    <t>Employment and jobs</t>
  </si>
  <si>
    <t>La migration</t>
  </si>
  <si>
    <t>Migration</t>
  </si>
  <si>
    <t>La santé</t>
  </si>
  <si>
    <t>Health</t>
  </si>
  <si>
    <t>Base: Répondants qui pensent que l’UE a bénéficié de l’élargissement</t>
  </si>
  <si>
    <t>Base: Respondents who think the EU has benefited from enlargement</t>
  </si>
  <si>
    <t>Très favorable</t>
  </si>
  <si>
    <t>Very much in favour</t>
  </si>
  <si>
    <t>Assez favorable</t>
  </si>
  <si>
    <t>Somewhat in favour</t>
  </si>
  <si>
    <t>Pas très favorable</t>
  </si>
  <si>
    <t>Not very much in favour</t>
  </si>
  <si>
    <t>Pas du tout favorable</t>
  </si>
  <si>
    <t>Not in favour at all</t>
  </si>
  <si>
    <t>Total 'Favorable'</t>
  </si>
  <si>
    <t>Total 'In favour'</t>
  </si>
  <si>
    <t>Total 'Pas favorable'</t>
  </si>
  <si>
    <t>Total 'Not in favour'</t>
  </si>
  <si>
    <t>QC4.1. Dans quelle mesure diriez-vous qu’un autre élargissement de l’UE serait bénéfique pour... ?</t>
  </si>
  <si>
    <t>QC4.1. How much would you say that … will benefit from further EU enlargement?</t>
  </si>
  <si>
    <t>(NOTRE PAYS)</t>
  </si>
  <si>
    <t>(OUR COUNTRY)</t>
  </si>
  <si>
    <t>Très bénéfique</t>
  </si>
  <si>
    <t>A lot</t>
  </si>
  <si>
    <t>Légèrement bénéfique</t>
  </si>
  <si>
    <t>A little</t>
  </si>
  <si>
    <t>Pas vraiment bénéfique</t>
  </si>
  <si>
    <t>Not much</t>
  </si>
  <si>
    <t>Pas du tout bénéfique</t>
  </si>
  <si>
    <t>Not at all</t>
  </si>
  <si>
    <t>QC4.2. Dans quelle mesure diriez-vous qu’un autre élargissement de l’UE serait bénéfique pour... ?</t>
  </si>
  <si>
    <t>QC4.2. How much would you say that … will benefit from further EU enlargement?</t>
  </si>
  <si>
    <t>Vous personnellement</t>
  </si>
  <si>
    <t>You personally</t>
  </si>
  <si>
    <t xml:space="preserve">QC5.1. Si vous pensez aux candidats actuels et potentiels à l’adhésion à l’UE, seriez-vous favorable ou opposé(e) à leur adhésion à l’UE lorsqu’ils auront satisfait à toutes les conditions nécessaires pour devenir membres ? </t>
  </si>
  <si>
    <t>QC5.1. Considering each of the current candidates and potential candidates for EU membership, would you be in favour or opposed to them joining the EU once they have met all the membership conditions?</t>
  </si>
  <si>
    <t>Albanie</t>
  </si>
  <si>
    <t>Albania</t>
  </si>
  <si>
    <t>Strongly in favour</t>
  </si>
  <si>
    <t>Fairly in favour</t>
  </si>
  <si>
    <t>Assez opposé(e)</t>
  </si>
  <si>
    <t>Fairly opposed</t>
  </si>
  <si>
    <t>Fortement opposé(e)</t>
  </si>
  <si>
    <t>Strongly opposed</t>
  </si>
  <si>
    <t>Total 'Opposé(e)'</t>
  </si>
  <si>
    <t>Total 'Opposed'</t>
  </si>
  <si>
    <t xml:space="preserve">QC5.2. Si vous pensez aux candidats actuels et potentiels à l’adhésion à l’UE, seriez-vous favorable ou opposé(e) à leur adhésion à l’UE lorsqu’ils auront satisfait à toutes les conditions nécessaires pour devenir membres ? </t>
  </si>
  <si>
    <t>QC5.2. Considering each of the current candidates and potential candidates for EU membership, would you be in favour or opposed to them joining the EU once they have met all the membership conditions?</t>
  </si>
  <si>
    <t>Bosnie-Herzégovine</t>
  </si>
  <si>
    <t>Bosnia and Herzegovina</t>
  </si>
  <si>
    <t xml:space="preserve">QC5.3. Si vous pensez aux candidats actuels et potentiels à l’adhésion à l’UE, seriez-vous favorable ou opposé(e) à leur adhésion à l’UE lorsqu’ils auront satisfait à toutes les conditions nécessaires pour devenir membres ? </t>
  </si>
  <si>
    <t>QC5.3. Considering each of the current candidates and potential candidates for EU membership, would you be in favour or opposed to them joining the EU once they have met all the membership conditions?</t>
  </si>
  <si>
    <t>Géorgie</t>
  </si>
  <si>
    <t>Georgia</t>
  </si>
  <si>
    <t xml:space="preserve">QC5.4. Si vous pensez aux candidats actuels et potentiels à l’adhésion à l’UE, seriez-vous favorable ou opposé(e) à leur adhésion à l’UE lorsqu’ils auront satisfait à toutes les conditions nécessaires pour devenir membres ? </t>
  </si>
  <si>
    <t>QC5.4. Considering each of the current candidates and potential candidates for EU membership, would you be in favour or opposed to them joining the EU once they have met all the membership conditions?</t>
  </si>
  <si>
    <t>Kosovo</t>
  </si>
  <si>
    <t xml:space="preserve">QC5.5. Si vous pensez aux candidats actuels et potentiels à l’adhésion à l’UE, seriez-vous favorable ou opposé(e) à leur adhésion à l’UE lorsqu’ils auront satisfait à toutes les conditions nécessaires pour devenir membres ? </t>
  </si>
  <si>
    <t>QC5.5. Considering each of the current candidates and potential candidates for EU membership, would you be in favour or opposed to them joining the EU once they have met all the membership conditions?</t>
  </si>
  <si>
    <t>Monténégro</t>
  </si>
  <si>
    <t>Montenegro</t>
  </si>
  <si>
    <t xml:space="preserve">QC5.6. Si vous pensez aux candidats actuels et potentiels à l’adhésion à l’UE, seriez-vous favorable ou opposé(e) à leur adhésion à l’UE lorsqu’ils auront satisfait à toutes les conditions nécessaires pour devenir membres ? </t>
  </si>
  <si>
    <t>QC5.6. Considering each of the current candidates and potential candidates for EU membership, would you be in favour or opposed to them joining the EU once they have met all the membership conditions?</t>
  </si>
  <si>
    <t>Macédoine du Nord</t>
  </si>
  <si>
    <t>North Macedonia</t>
  </si>
  <si>
    <t xml:space="preserve">QC5.7. Si vous pensez aux candidats actuels et potentiels à l’adhésion à l’UE, seriez-vous favorable ou opposé(e) à leur adhésion à l’UE lorsqu’ils auront satisfait à toutes les conditions nécessaires pour devenir membres ? </t>
  </si>
  <si>
    <t>QC5.7. Considering each of the current candidates and potential candidates for EU membership, would you be in favour or opposed to them joining the EU once they have met all the membership conditions?</t>
  </si>
  <si>
    <t>République de Moldavie</t>
  </si>
  <si>
    <t>The Republic of Moldova</t>
  </si>
  <si>
    <t xml:space="preserve">QC5.8. Si vous pensez aux candidats actuels et potentiels à l’adhésion à l’UE, seriez-vous favorable ou opposé(e) à leur adhésion à l’UE lorsqu’ils auront satisfait à toutes les conditions nécessaires pour devenir membres ? </t>
  </si>
  <si>
    <t>QC5.8. Considering each of the current candidates and potential candidates for EU membership, would you be in favour or opposed to them joining the EU once they have met all the membership conditions?</t>
  </si>
  <si>
    <t>Serbie</t>
  </si>
  <si>
    <t>Serbia</t>
  </si>
  <si>
    <t xml:space="preserve">QC5.9. Si vous pensez aux candidats actuels et potentiels à l’adhésion à l’UE, seriez-vous favorable ou opposé(e) à leur adhésion à l’UE lorsqu’ils auront satisfait à toutes les conditions nécessaires pour devenir membres ? </t>
  </si>
  <si>
    <t>QC5.9. Considering each of the current candidates and potential candidates for EU membership, would you be in favour or opposed to them joining the EU once they have met all the membership conditions?</t>
  </si>
  <si>
    <t>Türkiye</t>
  </si>
  <si>
    <t xml:space="preserve">QC5.10. Si vous pensez aux candidats actuels et potentiels à l’adhésion à l’UE, seriez-vous favorable ou opposé(e) à leur adhésion à l’UE lorsqu’ils auront satisfait à toutes les conditions nécessaires pour devenir membres ? </t>
  </si>
  <si>
    <t>QC5.10. Considering each of the current candidates and potential candidates for EU membership, would you be in favour or opposed to them joining the EU once they have met all the membership conditions?</t>
  </si>
  <si>
    <t>Ukraine</t>
  </si>
  <si>
    <t>Un plus grand marché pour les entreprises de l’UE, plus de choix, plus d’innovation</t>
  </si>
  <si>
    <t>Larger market for EU businesses, more choice, more innovation</t>
  </si>
  <si>
    <t>Un plus grand nombre de pays partageant des valeurs similaires et des institutions démocratiques</t>
  </si>
  <si>
    <t>More countries sharing similar values and democratic institutions</t>
  </si>
  <si>
    <t>Une influence accrue de l’UE dans le monde</t>
  </si>
  <si>
    <t>Stronger EU influence in the world</t>
  </si>
  <si>
    <t>Une UE plus sûre et une meilleure défense contre les influences étrangères</t>
  </si>
  <si>
    <t>More secure EU and better defence against foreign influence</t>
  </si>
  <si>
    <t>Une lutte plus efficace contre le crime organisé et le terrorisme</t>
  </si>
  <si>
    <t>More effective fight against organised crime and terrorism</t>
  </si>
  <si>
    <t>Une meilleure protection environnementale</t>
  </si>
  <si>
    <t>Better environmental protection</t>
  </si>
  <si>
    <t>Un plus grand nombre d’opportunités professionnelles et de travailleurs qualifiés pour les entreprises de l’UE</t>
  </si>
  <si>
    <t>More work opportunities and skilled labour for EU businesses</t>
  </si>
  <si>
    <t>Une migration mieux contrôlée</t>
  </si>
  <si>
    <t>Better controlled migration</t>
  </si>
  <si>
    <t>Une plus grande solidarité entre les pays (par exemple, en cas de catastrophe ou de pandémie)</t>
  </si>
  <si>
    <t>More solidarity between countries (for example, in case of a disaster or pandemic)</t>
  </si>
  <si>
    <t>Une plus grande diversité culturelle</t>
  </si>
  <si>
    <t>More cultural diversity</t>
  </si>
  <si>
    <t>Base: Répondants qui pensent que l’UE bénéficierait de l’élargissement</t>
  </si>
  <si>
    <t>Base: Respondents who think EU would benefit from enlargement</t>
  </si>
  <si>
    <t>Un impact négatif sur l’emploi ou les salaires</t>
  </si>
  <si>
    <t>Negative Impact on employment or wages</t>
  </si>
  <si>
    <t>Une concurrence déloyale</t>
  </si>
  <si>
    <t>Unfair competition</t>
  </si>
  <si>
    <t>Un processus décisionnel compliqué au niveau de l’UE</t>
  </si>
  <si>
    <t>Complicated decision-making at EU level</t>
  </si>
  <si>
    <t>Une vulnérabilité accrue aux problèmes de sécurité</t>
  </si>
  <si>
    <t>Increased vulnerability to security challenges</t>
  </si>
  <si>
    <t>Une migration incontrôlée</t>
  </si>
  <si>
    <t>Uncontrolled migration</t>
  </si>
  <si>
    <t>La corruption, le crime organisé et le terrorisme</t>
  </si>
  <si>
    <t>Corruption, organised crime &amp; terrorism</t>
  </si>
  <si>
    <t>L’affaiblissement de l’influence de l’UE sur la scène internationale</t>
  </si>
  <si>
    <t>The weakening of the EU’s influence on the international scene</t>
  </si>
  <si>
    <t>Des disparités économiques et financières accrues entre les pays et les régions de l’UE</t>
  </si>
  <si>
    <t>Increased economic and financial disparity between EU countries and regions</t>
  </si>
  <si>
    <t>L’érosion des valeurs européennes</t>
  </si>
  <si>
    <t>Erosion of European values</t>
  </si>
  <si>
    <t>Le coût pour les contribuables européens</t>
  </si>
  <si>
    <t>Cost to European taxpayers</t>
  </si>
  <si>
    <t>Base: Répondants préoccupés par l’élargissement de l’UE</t>
  </si>
  <si>
    <t>Base: Respondents who have concerns about EU enlargement</t>
  </si>
  <si>
    <t>Un engagement et un soutien ferme de la part des États membres de l’UE actuels en faveur du processus d’élargissement</t>
  </si>
  <si>
    <t>Clear commitment and support from existing EU member states for the enlargement process</t>
  </si>
  <si>
    <t>Un engagement ferme de la part des pays candidats à mettre en œuvre des réformes et à satisfaire aux normes de l’UE</t>
  </si>
  <si>
    <t>Clear commitment from candidate countries to implement reforms and meet EU standards</t>
  </si>
  <si>
    <t>Une coopération régionale renforcée et de bonnes relations de voisinage</t>
  </si>
  <si>
    <t>Enhanced regional cooperation and good neighbourly relations</t>
  </si>
  <si>
    <t>Une assistance renforcée pour aider les pays candidats à se conformer aux normes de l’UE et à s’intégrer dans le marché unique</t>
  </si>
  <si>
    <t>Greater assistance to help candidate countries meet EU standards and integrate into the single market</t>
  </si>
  <si>
    <t>Une flexibilité dans le processus d’adhésion pour permettre aux pays candidats d’avoir différents points de départ et de progresser différemment</t>
  </si>
  <si>
    <t>Flexibility in the accession process to allow for differences in candidate countries’ starting points and progress</t>
  </si>
  <si>
    <t>Une réforme du fonctionnement et du processus décisionnel de l’Union européenne et de ses institutions avant l’élargissement</t>
  </si>
  <si>
    <t>Reforming the functioning and decision-making of the European Union and its institutions prior to enlargement</t>
  </si>
  <si>
    <t>Une réforme de certaines politiques de l’Union européenne avant l’élargissement, telles que la politique agricole, la politique régionale ou le budget de l’UE</t>
  </si>
  <si>
    <t>Reforming certain policies of the European Union, such agriculture, regional policy, or the EU Budget prior to enlargement</t>
  </si>
  <si>
    <t>Un renforcement des critères d’adhésion à l’UE pour veiller à ce que les pays candidats satisfassent aux normes nécessaires avant de rejoindre l’UE</t>
  </si>
  <si>
    <t>Strengthening the EU membership criteria to ensure that candidate countries meet the necessary standards before joining</t>
  </si>
  <si>
    <t>Des mesures pour s’assurer que les pays candidats respectent l’état de droit, luttent contre la corruption et protègent les droits fondamentaux</t>
  </si>
  <si>
    <t>Measures to ensure candidate countries uphold the rule of law, fight corruption, and protect fundamental rights</t>
  </si>
  <si>
    <t>Une communication publique et une sensibilisation du public accrues concernant les difficultés et les avantages liés à l’élargissement</t>
  </si>
  <si>
    <t>Improved public communication and awareness about the benefits and challenges of enlargement</t>
  </si>
  <si>
    <t>Base: Répondants qui ont des opinions sur ce qui est nécessaire pour un élargissement réussi de l’UE</t>
  </si>
  <si>
    <t>Base: Respondents who have opinions on what is needed for a succesful EU enlargement</t>
  </si>
  <si>
    <t>La télévision</t>
  </si>
  <si>
    <t>TV</t>
  </si>
  <si>
    <t>Les journaux, la presse écrite</t>
  </si>
  <si>
    <t>Newspapers, written press</t>
  </si>
  <si>
    <t>La radio</t>
  </si>
  <si>
    <t>Radio</t>
  </si>
  <si>
    <t>Les sites Internet d’information (sites Internet de journaux ou de magazines d’actualité, etc.)</t>
  </si>
  <si>
    <t>Information websites (websites from newspapers, news magazines, etc.)</t>
  </si>
  <si>
    <t>Les sites Internet institutionnels ou officiels (sites Internet gouvernementaux, etc.)</t>
  </si>
  <si>
    <t>Institutional and official websites (governmental websites, etc.)</t>
  </si>
  <si>
    <t>Les réseaux sociaux</t>
  </si>
  <si>
    <t>Social Media</t>
  </si>
  <si>
    <t>Les podcasts</t>
  </si>
  <si>
    <t>Podcasts</t>
  </si>
  <si>
    <t>Les discussions avec la famille, les amis, les collègues</t>
  </si>
  <si>
    <t>Discussions with relatives, friends, colleagues</t>
  </si>
  <si>
    <t>Ne cherche jamais ce type d’information, pas intéressé(e) (SPONTANÉ)</t>
  </si>
  <si>
    <t>Never look for such information, no interest (SPONTANEOUS)</t>
  </si>
  <si>
    <t>Base: Répondants qui se sont forgés une opinion sur l’élargissement de l’UE</t>
  </si>
  <si>
    <t>Base: Respondents who formed their opinion on EU enlargement</t>
  </si>
  <si>
    <t>Les conditions pour devenir membre de l’UE</t>
  </si>
  <si>
    <t>The conditions for becoming a member of the EU</t>
  </si>
  <si>
    <t>Les coûts et les avantages de l’élargissement</t>
  </si>
  <si>
    <t>The costs and benefits of enlargement</t>
  </si>
  <si>
    <t>Des informations sur les pays candidats</t>
  </si>
  <si>
    <t>Information about the candidate countries</t>
  </si>
  <si>
    <t>Des informations sur le processus d’élargissement</t>
  </si>
  <si>
    <t>Information about the enlargement process</t>
  </si>
  <si>
    <t>L’impact de l’élargissement sur la paix et la stabilité dans l’Union européenne</t>
  </si>
  <si>
    <t>How enlargement affects peace and stability in the European Union</t>
  </si>
  <si>
    <t>L’impact de l’élargissement sur la qualité de vie dans l’Union européenne</t>
  </si>
  <si>
    <t>How enlargement affects quality of life in the European Union</t>
  </si>
  <si>
    <t>L’impact de l’élargissement sur les valeurs de l’Union européenne (protection des droits humains, égalité de genre etc.)</t>
  </si>
  <si>
    <t>How enlargement affects the values of the European Union (protection of human rights, gender equality, etc.)</t>
  </si>
  <si>
    <t>L’impact de l’élargissement sur le fonctionnement de l’UE</t>
  </si>
  <si>
    <t>How enlargement affects the way the EU works</t>
  </si>
  <si>
    <t>Don’t know</t>
  </si>
  <si>
    <t>Base: Répondants qui souhaitent en savoir plus sur l’élargissement de l’UE</t>
  </si>
  <si>
    <t>Base: Respondents who would like to know more about EU enlargement</t>
  </si>
  <si>
    <t>Vous êtes/ Votre ménage est propriétaire à part entière</t>
  </si>
  <si>
    <t>It is owned outright by you/ your household</t>
  </si>
  <si>
    <t>Vous êtes/ Votre ménage est propriétaire remboursant un crédit hypothécaire</t>
  </si>
  <si>
    <t>It is owned by you/ your household with a mortgage</t>
  </si>
  <si>
    <t>Vous êtes/ Votre ménage est locataire ou sous-locataire payant un loyer au taux en vigueur ou au taux du marché</t>
  </si>
  <si>
    <t>You/ your household are tenants or subtenants paying rent at the prevailing or market rate</t>
  </si>
  <si>
    <t>Vous occupez un logement à loyer réduit (prix inférieur au prix du marché)</t>
  </si>
  <si>
    <t>Your accommodation is rented at a reduced rate (lower price that the market price)</t>
  </si>
  <si>
    <t>Vous occupez un logement mis gratuitement à disposition</t>
  </si>
  <si>
    <t>Your accommodation is provided free</t>
  </si>
  <si>
    <t>Le changement climatique</t>
  </si>
  <si>
    <t>Climate change</t>
  </si>
  <si>
    <t>Le terrorisme international</t>
  </si>
  <si>
    <t>International terrorism</t>
  </si>
  <si>
    <t>La pauvreté, la faim et le manque d’eau potable</t>
  </si>
  <si>
    <t>Poverty, hunger and lack of drinking water</t>
  </si>
  <si>
    <t>La propagation de maladies infectieuses</t>
  </si>
  <si>
    <t>Spread of infectious diseases</t>
  </si>
  <si>
    <t>La situation économique</t>
  </si>
  <si>
    <t>The economic situation</t>
  </si>
  <si>
    <t>La désinformation</t>
  </si>
  <si>
    <t>Disinformation</t>
  </si>
  <si>
    <t>Les conflits armés</t>
  </si>
  <si>
    <t>Armed conflicts</t>
  </si>
  <si>
    <t>L’augmentation de la population mondiale</t>
  </si>
  <si>
    <t>The increasing global population</t>
  </si>
  <si>
    <t>La détérioration de la nature</t>
  </si>
  <si>
    <t>Deterioration of nature</t>
  </si>
  <si>
    <t>La détérioration de la démocratie et de l’état de droit</t>
  </si>
  <si>
    <t>Deterioration of democracy and rule of law</t>
  </si>
  <si>
    <t>Base: Les répondants qui ont cité le problème le plus grave auquel le monde est confronté.</t>
  </si>
  <si>
    <t>Base: Respondents who stated the first single most serious problem facing the world as a whole.</t>
  </si>
  <si>
    <t>Un problème très grave</t>
  </si>
  <si>
    <t>A very serious problem</t>
  </si>
  <si>
    <t>Un problème assez grave</t>
  </si>
  <si>
    <t>A fairly serious problem</t>
  </si>
  <si>
    <t>Un problème pas très grave</t>
  </si>
  <si>
    <t>Not a very serious problem</t>
  </si>
  <si>
    <t>Un problème pas du tout grave</t>
  </si>
  <si>
    <t>Not a serious problem at all</t>
  </si>
  <si>
    <t>Total 'Problème grave'</t>
  </si>
  <si>
    <t>Total 'Serious problem'</t>
  </si>
  <si>
    <t>Total 'Pas de problème grave'</t>
  </si>
  <si>
    <t>Total 'Not a serious problem'</t>
  </si>
  <si>
    <t>L’Union européenne</t>
  </si>
  <si>
    <t>The European Union</t>
  </si>
  <si>
    <t>Les gouvernements nationaux</t>
  </si>
  <si>
    <t>National governments</t>
  </si>
  <si>
    <t>Les autorités publiques régionales ou locales</t>
  </si>
  <si>
    <t>Regional and local authorities</t>
  </si>
  <si>
    <t>Les entreprises et l’industrie</t>
  </si>
  <si>
    <t>Business and industry</t>
  </si>
  <si>
    <t>La société civile (par exemple, les ONG environnementales)</t>
  </si>
  <si>
    <t>Civil society (for instance, environmental NGOs)</t>
  </si>
  <si>
    <t>Les écoles et les universités</t>
  </si>
  <si>
    <t>Schools and universities</t>
  </si>
  <si>
    <t>Tous (SPONTANÉ)</t>
  </si>
  <si>
    <t>All of them (SPONTANEOUS)</t>
  </si>
  <si>
    <t>Base: Les répondants qui ont indiqué l'institution de l'UE la mieux placée pour lutter contre le changement climatique.</t>
  </si>
  <si>
    <t>Base: Respondents who stated which institution within the EU is best placed for tackling climate  change.</t>
  </si>
  <si>
    <t>QD4.1. Dans quelle mesure êtes-vous d'accord ou pas d'accord avec les affirmations suivantes ?</t>
  </si>
  <si>
    <t>QD4.1. To what extent do you agree or disagree with each of the following statements?</t>
  </si>
  <si>
    <t>La lutte contre le changement climatique devrait être une priorité pour améliorer la santé et la qualité de vie</t>
  </si>
  <si>
    <t>Tackling climate change should be a priority to improve public health and quality of life</t>
  </si>
  <si>
    <t>QD4.2. Dans quelle mesure êtes-vous d'accord ou pas d'accord avec les affirmations suivantes ?</t>
  </si>
  <si>
    <t>QD4.2. To what extent do you agree or disagree with each of the following statements?</t>
  </si>
  <si>
    <t>Le coût des dommages causés par le changement climatique est bien plus élevé que le coût des investissements nécessaires à une transition verte</t>
  </si>
  <si>
    <t>The costs of the damages due to climate change are much higher than the costs of the investments needed for a green transition</t>
  </si>
  <si>
    <t>QD4.3. Dans quelle mesure êtes-vous d'accord ou pas d'accord avec les affirmations suivantes ?</t>
  </si>
  <si>
    <t>QD4.3. To what extent do you agree or disagree with each of the following statements?</t>
  </si>
  <si>
    <t>Agir contre le changement climatique conduira à des innovations qui rendront les entreprises de l'Union européenne plus compétitives</t>
  </si>
  <si>
    <t>Taking action on climate change will lead to innovation that will make EU companies more competitive</t>
  </si>
  <si>
    <t>QD4.4. Dans quelle mesure êtes-vous d'accord ou pas d'accord avec les affirmations suivantes ?</t>
  </si>
  <si>
    <t>QD4.4. To what extent do you agree or disagree with each of the following statements?</t>
  </si>
  <si>
    <t>Une meilleure préparation aux conséquences néfastes du changement climatique améliorera la vie des citoyens de l’UE</t>
  </si>
  <si>
    <t>Preparing better for the adverse impacts of climate change will improve the lives of citizens in the EU</t>
  </si>
  <si>
    <t>QD4.5. Dans quelle mesure êtes-vous d'accord ou pas d'accord avec les affirmations suivantes ?</t>
  </si>
  <si>
    <t>QD4.5. To what extent do you agree or disagree with each of the following statements?</t>
  </si>
  <si>
    <t>Les entreprises européennes devraient être davantage soutenues pour être compétitives sur le marché mondial des technologies, produits et services propres</t>
  </si>
  <si>
    <t>European companies should be given more support to compete in the global market for clean technologies, products and services’</t>
  </si>
  <si>
    <t>Oui</t>
  </si>
  <si>
    <t>Yes</t>
  </si>
  <si>
    <t>Vous avez acheté une nouvelle voiture et sa faible consommation en carburant était un facteur important dans votre choix</t>
  </si>
  <si>
    <t>You have bought a new car and its low fuel consumption was an important factor in your choice</t>
  </si>
  <si>
    <t>Vous avez acheté une voiture électrique</t>
  </si>
  <si>
    <t>You have bought an electric car</t>
  </si>
  <si>
    <t>Au lieu d'utiliser votre voiture privée, vous optez régulièrement pour des solutions respectueuses de l'environnement comme la marche, le vélo, les transports publics ou le covoiturage</t>
  </si>
  <si>
    <t>You regularly use environmentally-friendly alternatives to your private car such as walking, cycling, taking public transport or car-sharing</t>
  </si>
  <si>
    <t>Vous avez mieux isolé votre maison pour réduire la consommation d'énergie</t>
  </si>
  <si>
    <t>You have insulated your home better to reduce your energy consumption</t>
  </si>
  <si>
    <t>Vous avez acheté une maison qui consomme peu d'énergie</t>
  </si>
  <si>
    <t>You have bought a low-energy home</t>
  </si>
  <si>
    <t>Lorsque vous achetez un nouvel appareil électroménager (par ex. une machine à laver, un réfrigérateur ou une télévision), une consommation d'énergie moindre est un facteur important dans votre choix</t>
  </si>
  <si>
    <t>When buying a new household appliance (e.g. washing machine, fridge or TV), lower energy consumption is an important factor in your choice</t>
  </si>
  <si>
    <t>Vous avez opté pour un fournisseur offrant une plus grande part d'énergie provenant de sources renouvelables que le précédent</t>
  </si>
  <si>
    <t>You have switched to an energy supplier which offers a greater share of energy from renewable sources than your previous one</t>
  </si>
  <si>
    <t>Vous avez installé une pompe à chaleur pour réduire votre facture d’énergie et votre empreinte carbone</t>
  </si>
  <si>
    <t>You have installed a heat pump to reduce your energy bill and carbon footprint</t>
  </si>
  <si>
    <t>Vous avez installé chez vous des appareils pour contrôler et réduire votre consommation d'énergie (par exemple des compteurs intelligents)</t>
  </si>
  <si>
    <t>You have installed equipment in your home to control and reduce your energy consumption (e.g. smart meter)</t>
  </si>
  <si>
    <t>Vous avez installé des panneaux solaires chez vous</t>
  </si>
  <si>
    <t>You have installed solar panels in your home</t>
  </si>
  <si>
    <t>Vous prenez en compte l'empreinte carbone de votre transport lors de la planification de vos vacances et d'autres déplacements sur de longues distances et adaptez parfois vos projets en conséquence</t>
  </si>
  <si>
    <t>You consider the carbon footprint of your transport when planning your holiday and other longer distance travel and sometimes adapt your plans accordingly</t>
  </si>
  <si>
    <t>Vous achetez et consommez moins de viande</t>
  </si>
  <si>
    <t>You buy and eat less meat</t>
  </si>
  <si>
    <t>Vous essayez de réduire vos déchets et vous les triez régulièrement pour les recycler</t>
  </si>
  <si>
    <t>You try to reduce your waste and you regularly separate it for recycling</t>
  </si>
  <si>
    <t>Vous essayez de réduire votre consommation de produits jetables chaque fois que c’est possible (par ex. les sacs plastiques des supermarchés, les emballages superflus, les couverts en plastique, etc.)</t>
  </si>
  <si>
    <t>You try to cut down on your consumption of disposable items whenever possible (e.g. plastic bags from the supermarket, excess packaging, plastic cutlery etc.)</t>
  </si>
  <si>
    <t>Total 'Au moins une action'</t>
  </si>
  <si>
    <t>Total 'At least one action'</t>
  </si>
  <si>
    <t>Assez</t>
  </si>
  <si>
    <t>Enough</t>
  </si>
  <si>
    <t>Pas assez</t>
  </si>
  <si>
    <t>Not enough</t>
  </si>
  <si>
    <t>Trop</t>
  </si>
  <si>
    <t>Too much</t>
  </si>
  <si>
    <t>QD8.1. Selon vous, dans quelle mesure est-il important que les autorités suivantes prennent des mesures pour augmenter les énergies renouvelables, comme l’énergie éolienne ou solaire ?</t>
  </si>
  <si>
    <t>QD8.1. How important do you think it is that the following authorities take action to increase renewable energy, such as wind and solar power?</t>
  </si>
  <si>
    <t>Plutôt pas important</t>
  </si>
  <si>
    <t>QD8.2. Selon vous, dans quelle mesure est-il important que les autorités suivantes prennent des mesures pour augmenter les énergies renouvelables, comme l’énergie éolienne ou solaire ?</t>
  </si>
  <si>
    <t>QD8.2. How important do you think it is that the following authorities take action to increase renewable energy, such as wind and solar power?</t>
  </si>
  <si>
    <t>Le Gouvernement (NATIONALITÉ)</t>
  </si>
  <si>
    <t>QD8.3. Selon vous, dans quelle mesure est-il important que les autorités suivantes prennent des mesures pour augmenter les énergies renouvelables, comme l’énergie éolienne ou solaire ?</t>
  </si>
  <si>
    <t>QD8.3. How important do you think it is that the following authorities take action to increase renewable energy, such as wind and solar power?</t>
  </si>
  <si>
    <t>L'Union européenne</t>
  </si>
  <si>
    <t>QD9.1.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t>
  </si>
  <si>
    <t>QD9.1. How important do you think it is that the following authorities take action to improve energy efficiency, for instance by encouraging people to insulate their homes and buildings, install heat pumps and use smart meters)?</t>
  </si>
  <si>
    <t>QD9.2.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t>
  </si>
  <si>
    <t>QD9.2. How important do you think it is that the following authorities take action to improve energy efficiency, for instance by encouraging people to insulate their homes and buildings, install heat pumps and use smart meters)?</t>
  </si>
  <si>
    <t>QD9.3. Selon vous, dans quelle mesure est-il important que les autorités suivantes prennent des mesures pour améliorer l’efficacité énergétique, par exemple en encourageant les gens à isoler leur habitation et les bâtiments, à installer des pompes à chaleur et à utiliser des compteurs intelligents ?</t>
  </si>
  <si>
    <t>QD9.3. How important do you think it is that the following authorities take action to improve energy efficiency, for instance by encouraging people to insulate their homes and buildings, install heat pumps and use smart meters)?</t>
  </si>
  <si>
    <t>Totalement favorable</t>
  </si>
  <si>
    <t xml:space="preserve">Totally support </t>
  </si>
  <si>
    <t>Plutôt favorable</t>
  </si>
  <si>
    <t xml:space="preserve">Tend to support </t>
  </si>
  <si>
    <t>Plutôt opposé(e)</t>
  </si>
  <si>
    <t xml:space="preserve">Tend to oppose </t>
  </si>
  <si>
    <t>Totalement opposé(e)</t>
  </si>
  <si>
    <t xml:space="preserve">Totally oppose </t>
  </si>
  <si>
    <t>Total 'Support'</t>
  </si>
  <si>
    <t>Total 'Opposé'</t>
  </si>
  <si>
    <t>Total 'Oppose'</t>
  </si>
  <si>
    <t>QD11.1. Dans quelle mesure êtes-vous d’accord ou pas d’accord avec chacune des affirmations suivantes sur les combustibles fossiles ?</t>
  </si>
  <si>
    <t>QD11.1. To what extent do you agree or disagree with each of the following statements on fossil fuels?</t>
  </si>
  <si>
    <t xml:space="preserve">La réduction des importations de combustibles fossiles provenant de l’extérieur de l’UE renforcera la sécurité énergétique et sera bénéfique pour l’UE d’un point de vue économique. </t>
  </si>
  <si>
    <t>Reducing fossil fuel imports from outside the EU will increase energy security and benefit the EU economically.</t>
  </si>
  <si>
    <t>QD11.2. Dans quelle mesure êtes-vous d’accord ou pas d’accord avec chacune des affirmations suivantes sur les combustibles fossiles ?</t>
  </si>
  <si>
    <t>QD11.2. To what extent do you agree or disagree with each of the following statements on fossil fuels?</t>
  </si>
  <si>
    <t>Un soutien financier public plus important devrait être octroyé pour effectuer la transition vers les énergies propres, même si cela signifie que les subventions aux combustibles fossiles doivent être réduites ou supprimées</t>
  </si>
  <si>
    <t>More public financial support should be given to the transition to clean energies even if it means subsidies to fossil fuels should be reduced or stopped</t>
  </si>
  <si>
    <t>Très exposé·e</t>
  </si>
  <si>
    <t>Very exposed</t>
  </si>
  <si>
    <t>Assez exposé·e</t>
  </si>
  <si>
    <t>Somewhat exposed</t>
  </si>
  <si>
    <t>Pas très exposé·e</t>
  </si>
  <si>
    <t>Not very exposed</t>
  </si>
  <si>
    <t>Pas exposé·e du tout</t>
  </si>
  <si>
    <t>Not exposed at all</t>
  </si>
  <si>
    <t>Total 'Exposé'</t>
  </si>
  <si>
    <t>Total 'Exposed'</t>
  </si>
  <si>
    <t>Total 'Non exposé'</t>
  </si>
  <si>
    <t>Total 'Not exposed'</t>
  </si>
  <si>
    <t>QD13.1.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t>
  </si>
  <si>
    <t>QD13.1. How urgent do you think it is that the following authorities take action to prepare for the consequences of climate change? For instance, being prepared for rising temperatures, heatwaves, flooding, sea-level rise, or extreme weather events.</t>
  </si>
  <si>
    <t xml:space="preserve">Regional and local authorities </t>
  </si>
  <si>
    <t>Très urgent</t>
  </si>
  <si>
    <t xml:space="preserve">Very urgent </t>
  </si>
  <si>
    <t>Assez urgent</t>
  </si>
  <si>
    <t xml:space="preserve">Fairly urgent </t>
  </si>
  <si>
    <t>Pas très urgent</t>
  </si>
  <si>
    <t xml:space="preserve">Not very urgent </t>
  </si>
  <si>
    <t>Pas du tout urgent</t>
  </si>
  <si>
    <t>Not at all urgent</t>
  </si>
  <si>
    <t>Total 'Urgent'</t>
  </si>
  <si>
    <t>Total 'Pas urgent'</t>
  </si>
  <si>
    <t>Total 'Not urgent'</t>
  </si>
  <si>
    <t>QD13.2.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t>
  </si>
  <si>
    <t>QD13.2. How urgent do you think it is that the following authorities take action to prepare for the consequences of climate change? For instance, being prepared for rising temperatures, heatwaves, flooding, sea-level rise, or extreme weather events.</t>
  </si>
  <si>
    <t xml:space="preserve">The (NATIONALITY) government </t>
  </si>
  <si>
    <t>QD13.3. Selon vous, dans quelle mesure est-il urgent que les autorités suivantes prennent des mesures pour se préparer aux conséquences du changement climatique ? Par exemple, en se préparant à la hausse des températures, aux vagues de chaleur, aux inondations, à l’élévation du niveau des mers ou aux phénomènes météorologiques extrêmes.</t>
  </si>
  <si>
    <t>QD13.3. How urgent do you think it is that the following authorities take action to prepare for the consequences of climate change? For instance, being prepared for rising temperatures, heatwaves, flooding, sea-level rise, or extreme weather events.</t>
  </si>
  <si>
    <t xml:space="preserve">The European Union </t>
  </si>
  <si>
    <t>QD14.1. Dans quelle mesure êtes-vous d’accord ou pas d’accord avec les affirmations suivantes sur les différents risques résultant du changement climatique ?</t>
  </si>
  <si>
    <t>QD14.1. To what extent do you agree with the following statements related to different risks resulting from climate change?</t>
  </si>
  <si>
    <t>Lorsque vous choisissez une destination de vacances, vous prenez en compte l’exposition aux conditions météorologiques extrêmes ou la probabilité de feux de forêt</t>
  </si>
  <si>
    <t>When deciding on a holiday destination, you consider the exposure to extreme weather or the likelihood of forest fires</t>
  </si>
  <si>
    <t>QD14.2. Dans quelle mesure êtes-vous d’accord ou pas d’accord avec les affirmations suivantes sur les différents risques résultant du changement climatique ?</t>
  </si>
  <si>
    <t>QD14.2. To what extent do you agree with the following statements related to different risks resulting from climate change?</t>
  </si>
  <si>
    <t>Si vous deviez choisir où habiter, vous prendriez en compte la probabilité d’inondations et l’exposition à d’autres risques climatiques</t>
  </si>
  <si>
    <t>If deciding where to live, you would consider the likelihood of floods and exposure to other climate risks</t>
  </si>
  <si>
    <t>QD15.1. Dans quelle mesure êtes-vous d’accord ou pas d’accord avec les affirmations suivantes concernant l’information sur le changement climatique ?</t>
  </si>
  <si>
    <t>QD15.1. To what extent do you agree or disagree with the following statements about information on climate change?</t>
  </si>
  <si>
    <t>Les médias traditionnels (NATIONALITÉ) fournissent des informations claires sur le changement climatique, ses causes et ses conséquences</t>
  </si>
  <si>
    <t>Traditional (NATIONALITY) media provide clear information on climate change and its causes and impacts</t>
  </si>
  <si>
    <t xml:space="preserve">Tend to disagree </t>
  </si>
  <si>
    <t xml:space="preserve">Tend to agree </t>
  </si>
  <si>
    <t xml:space="preserve">Totally agree </t>
  </si>
  <si>
    <t>QD15.2. Dans quelle mesure êtes-vous d’accord ou pas d’accord avec les affirmations suivantes concernant l’information sur le changement climatique ?</t>
  </si>
  <si>
    <t>QD15.2. To what extent do you agree or disagree with the following statements about information on climate change?</t>
  </si>
  <si>
    <t>Il est difficile de faire la différence entre les informations fiables et la désinformation concernant le changement climatique sur les réseaux sociaux</t>
  </si>
  <si>
    <t>It is difficult to differentiate between reliable information and disinformation about climate change on social media</t>
  </si>
  <si>
    <t>QE1.1. Selon vous, dans quelle mesure les technologies numériques seront-elles importantes dans les domaines suivants de votre vie quotidienne d’ici 2030 ?</t>
  </si>
  <si>
    <t>QE1.1. How important do you think digital technologies will be for the following areas of your daily life by 2030?</t>
  </si>
  <si>
    <t>Travailler à distance</t>
  </si>
  <si>
    <t>Working remotely</t>
  </si>
  <si>
    <t>Très importantes</t>
  </si>
  <si>
    <t>Plutôt importantes</t>
  </si>
  <si>
    <t>Pas très importantes</t>
  </si>
  <si>
    <t>Pas du tout importantes</t>
  </si>
  <si>
    <t xml:space="preserve">Not at all important </t>
  </si>
  <si>
    <t>QE1.2. Selon vous, dans quelle mesure les technologies numériques seront-elles importantes dans les domaines suivants de votre vie quotidienne d’ici 2030 ?</t>
  </si>
  <si>
    <t>QE1.2. How important do you think digital technologies will be for the following areas of your daily life by 2030?</t>
  </si>
  <si>
    <t>Contribuer à la lutte contre le changement climatique (par ex. les applications de suivi des émissions et de la consommation d’énergie personnelles, d’autopartage, de réunion en ligne, etc.)</t>
  </si>
  <si>
    <t>Helping to fight climate change (e.g., apps to track personal emissions and energy consumption, car-sharing apps, online meetings, etc.)</t>
  </si>
  <si>
    <t>QE1.3. Selon vous, dans quelle mesure les technologies numériques seront-elles importantes dans les domaines suivants de votre vie quotidienne d’ici 2030 ?</t>
  </si>
  <si>
    <t>QE1.3. How important do you think digital technologies will be for the following areas of your daily life by 2030?</t>
  </si>
  <si>
    <t>Accéder, interagir et/ou créer du contenu ou des documents en ligne</t>
  </si>
  <si>
    <t>Accessing, interacting with and/or creating online material/content</t>
  </si>
  <si>
    <t>QE1.4. Selon vous, dans quelle mesure les technologies numériques seront-elles importantes dans les domaines suivants de votre vie quotidienne d’ici 2030 ?</t>
  </si>
  <si>
    <t>QE1.4. How important do you think digital technologies will be for the following areas of your daily life by 2030?</t>
  </si>
  <si>
    <t>Avoir accès à des offres de formation et d’éducation</t>
  </si>
  <si>
    <t>Accessing education and training opportunities</t>
  </si>
  <si>
    <t>QE1.5. Selon vous, dans quelle mesure les technologies numériques seront-elles importantes dans les domaines suivants de votre vie quotidienne d’ici 2030 ?</t>
  </si>
  <si>
    <t>QE1.5. How important do you think digital technologies will be for the following areas of your daily life by 2030?</t>
  </si>
  <si>
    <t>Participer à la vie démocratique (par ex. voter, assister à des assemblées citoyennes/rencontres publiques virtuelles, trouver des informations fiables, etc.)</t>
  </si>
  <si>
    <t>Engaging in democratic life (e.g., voting, virtual citizen assemblies, town hall meetings, finding reliable information, etc.)</t>
  </si>
  <si>
    <t>QE1.6. Selon vous, dans quelle mesure les technologies numériques seront-elles importantes dans les domaines suivants de votre vie quotidienne d’ici 2030 ?</t>
  </si>
  <si>
    <t>QE1.6. How important do you think digital technologies will be for the following areas of your daily life by 2030?</t>
  </si>
  <si>
    <t>Avoir accès ou obtenir des services de soins de santé (par ex. télémédecine, intelligence artificielle appliquée aux diagnostics médicaux), y compris dans d’autres pays de l’UE</t>
  </si>
  <si>
    <t>Accessing or receiving healthcare services (e.g., telemedicine, artificial intelligence for diagnosing diseases), including in other EU countries</t>
  </si>
  <si>
    <t>QE1.7. Selon vous, dans quelle mesure les technologies numériques seront-elles importantes dans les domaines suivants de votre vie quotidienne d’ici 2030 ?</t>
  </si>
  <si>
    <t>QE1.7. How important do you think digital technologies will be for the following areas of your daily life by 2030?</t>
  </si>
  <si>
    <t>Avoir accès et utiliser des services de transport (par ex. via des applications en ligne)</t>
  </si>
  <si>
    <t>Accessing and making use of transport services (e.g., via online apps)</t>
  </si>
  <si>
    <t>QE1.8. Selon vous, dans quelle mesure les technologies numériques seront-elles importantes dans les domaines suivants de votre vie quotidienne d’ici 2030 ?</t>
  </si>
  <si>
    <t>QE1.8. How important do you think digital technologies will be for the following areas of your daily life by 2030?</t>
  </si>
  <si>
    <t>Utiliser, acheter et vendre des produits et services en ligne, y compris dans d’autres pays de l’UE</t>
  </si>
  <si>
    <t>Using, shopping for and selling products and services online, also in other EU countries</t>
  </si>
  <si>
    <t>QE1.9. Selon vous, dans quelle mesure les technologies numériques seront-elles importantes dans les domaines suivants de votre vie quotidienne d’ici 2030 ?</t>
  </si>
  <si>
    <t>QE1.9. How important do you think digital technologies will be for the following areas of your daily life by 2030?</t>
  </si>
  <si>
    <t>Communiquer en ligne avec des gens, des amis et des membres de la famille</t>
  </si>
  <si>
    <t>Connecting with people, friends and family online</t>
  </si>
  <si>
    <t>QE1.10. Selon vous, dans quelle mesure les technologies numériques seront-elles importantes dans les domaines suivants de votre vie quotidienne d’ici 2030 ?</t>
  </si>
  <si>
    <t>QE1.10. How important do you think digital technologies will be for the following areas of your daily life by 2030?</t>
  </si>
  <si>
    <t>Avoir accès à des services publics en ligne</t>
  </si>
  <si>
    <t>Accessing public services online</t>
  </si>
  <si>
    <t>Beaucoup plus facile</t>
  </si>
  <si>
    <t>Much easier</t>
  </si>
  <si>
    <t>Plus facile</t>
  </si>
  <si>
    <t>Easier</t>
  </si>
  <si>
    <t>Plus difficile</t>
  </si>
  <si>
    <t>More difficult</t>
  </si>
  <si>
    <t>Beaucoup plus difficile</t>
  </si>
  <si>
    <t>Much more difficult</t>
  </si>
  <si>
    <t>Pas de changement/n’a pas d’impact sur votre vie (SPONTANÉ)</t>
  </si>
  <si>
    <t>No change/does not impact your life (SPONTANEOUS)</t>
  </si>
  <si>
    <t>Total 'Facile'</t>
  </si>
  <si>
    <t>Total 'Easier'</t>
  </si>
  <si>
    <t>Total 'Difficile'</t>
  </si>
  <si>
    <t>Total 'More difficult'</t>
  </si>
  <si>
    <t>QE3.1. Selon vous, dans quelle mesure les améliorations suivantes faciliteraient-elles votre utilisation quotidiennes des technologies numériques ?</t>
  </si>
  <si>
    <t>QE3.1. In your opinion, how significantly would the following improvements facilitate your daily use of digital technologies?</t>
  </si>
  <si>
    <t>Une connexion Internet à haut débit davantage disponible et moins chère</t>
  </si>
  <si>
    <t>Availability and affordability of high-speed Internet connection</t>
  </si>
  <si>
    <t>Très significativement</t>
  </si>
  <si>
    <t>Very significantly</t>
  </si>
  <si>
    <t>Plutôt significativement</t>
  </si>
  <si>
    <t>Fairly significantly</t>
  </si>
  <si>
    <t>Pas très significativement</t>
  </si>
  <si>
    <t>Not very significantly</t>
  </si>
  <si>
    <t>Pas du tout significativement</t>
  </si>
  <si>
    <t>Not at all significantly</t>
  </si>
  <si>
    <t>Total 'Significative'</t>
  </si>
  <si>
    <t>Total 'Significant'</t>
  </si>
  <si>
    <t>Total 'Pas significative'</t>
  </si>
  <si>
    <t>Total 'Not significant'</t>
  </si>
  <si>
    <t>QE3.2. Selon vous, dans quelle mesure les améliorations suivantes faciliteraient-elles votre utilisation quotidiennes des technologies numériques ?</t>
  </si>
  <si>
    <t>QE3.2. In your opinion, how significantly would the following improvements facilitate your daily use of digital technologies?</t>
  </si>
  <si>
    <t>Des produits et services numériques en ligne mieux adaptés à vos besoins personnels, y compris des technologies immersives (c’est à dire plus faciles d’utilisation pour vous)</t>
  </si>
  <si>
    <t>Digital products and online services better adapted to your personal needs, including immersive technologies (i.e. easier to use for you)</t>
  </si>
  <si>
    <t>QE3.3. Selon vous, dans quelle mesure les améliorations suivantes faciliteraient-elles votre utilisation quotidiennes des technologies numériques ?</t>
  </si>
  <si>
    <t>QE3.3. In your opinion, how significantly would the following improvements facilitate your daily use of digital technologies?</t>
  </si>
  <si>
    <t>L’amélioration de la cybersécurité, de la protection des données en ligne et de la sécurité des technologies numériques</t>
  </si>
  <si>
    <t>Improved cybersecurity, better protection of online data and safety of digital technologies</t>
  </si>
  <si>
    <t>QE3.4. Selon vous, dans quelle mesure les améliorations suivantes faciliteraient-elles votre utilisation quotidiennes des technologies numériques ?</t>
  </si>
  <si>
    <t>QE3.4. In your opinion, how significantly would the following improvements facilitate your daily use of digital technologies?</t>
  </si>
  <si>
    <t>Davantage de formation et d’éducation pour développer vos compétences afin d’utiliser les services numériques</t>
  </si>
  <si>
    <t>More education and training to develop your skills for using digital services</t>
  </si>
  <si>
    <t>QE3.5. Selon vous, dans quelle mesure les améliorations suivantes faciliteraient-elles votre utilisation quotidiennes des technologies numériques ?</t>
  </si>
  <si>
    <t>QE3.5. In your opinion, how significantly would the following improvements facilitate your daily use of digital technologies?</t>
  </si>
  <si>
    <t xml:space="preserve">Un soutien humain pour faciliter l’accès et l’utilisation des technologies et services numériques </t>
  </si>
  <si>
    <t>Human support to help accessing and using digital technologies and services</t>
  </si>
  <si>
    <t xml:space="preserve">QE4.1. Selon vous, quelle importance les autorités publiques devraient-elles accorder à chacune des actions suivantes liées aux technologies numériques ? </t>
  </si>
  <si>
    <t xml:space="preserve">QE4.1. In your opinion, how important should each of the following actions related to digital technologies be for public authorities? </t>
  </si>
  <si>
    <t>Accroître la recherche et l’innovation pour disposer de technologies numériques plus sûres et plus solides</t>
  </si>
  <si>
    <t>Increasing research and innovation to have more secure and strong digital technologies</t>
  </si>
  <si>
    <t xml:space="preserve">Pas du tout important </t>
  </si>
  <si>
    <t xml:space="preserve">QE4.2. Selon vous, quelle importance les autorités publiques devraient-elles accorder à chacune des actions suivantes liées aux technologies numériques ? </t>
  </si>
  <si>
    <t xml:space="preserve">QE4.2. In your opinion, how important should each of the following actions related to digital technologies be for public authorities? </t>
  </si>
  <si>
    <t>Veiller à ce que les entreprises européennes puissent se développer et devenir des « championnes européennes », à même de rivaliser avec la concurrence mondiale</t>
  </si>
  <si>
    <t>Ensuring that European companies can grow and become “European Champions”, able to compete globally</t>
  </si>
  <si>
    <t xml:space="preserve">QE4.3. Selon vous, quelle importance les autorités publiques devraient-elles accorder à chacune des actions suivantes liées aux technologies numériques ? </t>
  </si>
  <si>
    <t xml:space="preserve">QE4.3. In your opinion, how important should each of the following actions related to digital technologies be for public authorities? </t>
  </si>
  <si>
    <t>Façonner le développement de l’intelligence artificielle et de nouvelles technologies numériques pour s’assurer qu’elles respectent nos droits et nos valeurs</t>
  </si>
  <si>
    <t>Shaping the development of Artificial Intelligence and new digital technologies to ensure they respect our rights and values</t>
  </si>
  <si>
    <t xml:space="preserve">QE4.4. Selon vous, quelle importance les autorités publiques devraient-elles accorder à chacune des actions suivantes liées aux technologies numériques ? </t>
  </si>
  <si>
    <t xml:space="preserve">QE4.4. In your opinion, how important should each of the following actions related to digital technologies be for public authorities? </t>
  </si>
  <si>
    <t>Veiller à ce que les personnes bénéficient d’un soutien humain adéquat pour accompagner la transformation apportée par les technologies et les services numériques dans leur vie</t>
  </si>
  <si>
    <t>Ensuring that people receive proper human support to accompany the transformation brought by the digital technologies and services in their lives</t>
  </si>
  <si>
    <t xml:space="preserve">QE4.5. Selon vous, quelle importance les autorités publiques devraient-elles accorder à chacune des actions suivantes liées aux technologies numériques ? </t>
  </si>
  <si>
    <t xml:space="preserve">QE4.5. In your opinion, how important should each of the following actions related to digital technologies be for public authorities? </t>
  </si>
  <si>
    <t>Mettre les technologies numériques au service de la transition écologique</t>
  </si>
  <si>
    <t>Ensuring that digital technologies serve the green transition</t>
  </si>
  <si>
    <t xml:space="preserve">QE4.6. Selon vous, quelle importance les autorités publiques devraient-elles accorder à chacune des actions suivantes liées aux technologies numériques ? </t>
  </si>
  <si>
    <t xml:space="preserve">QE4.6. In your opinion, how important should each of the following actions related to digital technologies be for public authorities? </t>
  </si>
  <si>
    <t>Construire des infrastructures numériques efficaces et sûres, y compris des installations de connectivité et de traitement des données</t>
  </si>
  <si>
    <t>Building efficient and secure digital infrastructures including connectivity and data processing facilities</t>
  </si>
  <si>
    <t xml:space="preserve">QE4.7. Selon vous, quelle importance les autorités publiques devraient-elles accorder à chacune des actions suivantes liées aux technologies numériques ? </t>
  </si>
  <si>
    <t xml:space="preserve">QE4.7. In your opinion, how important should each of the following actions related to digital technologies be for public authorities? </t>
  </si>
  <si>
    <t>Contrer et atténuer le problème des fausses nouvelles et de la désinformation en ligne</t>
  </si>
  <si>
    <t>Countering and mitigating the issue of fake news and disinformation online</t>
  </si>
  <si>
    <t>Oui, pour des émissions de télévision</t>
  </si>
  <si>
    <t>Yes, for TV programmes</t>
  </si>
  <si>
    <t>Oui, pour des films ou des séries</t>
  </si>
  <si>
    <t>Yes, for films or series</t>
  </si>
  <si>
    <t>Oui, pour des contenus sportifs</t>
  </si>
  <si>
    <t>Yes, for sports content</t>
  </si>
  <si>
    <t>Non, vous n’avez jamais essayé de regarder des contenus audiovisuels via un service en ligne</t>
  </si>
  <si>
    <t>No, you have never tried to watch audiovisual content through an online service</t>
  </si>
  <si>
    <t>Non, vous avez regardé des contenus audiovisuels via un service en ligne, mais vous n’avez jamais rencontré de problème pour y accéder</t>
  </si>
  <si>
    <t>No, you have watched audiovisual content through an online service but you have never faced any problem to access it</t>
  </si>
  <si>
    <t>QE6.1. Dans quelle mesure pensez-vous qu’il est urgent que les autorités publiques agissent pour protéger les enfants en ligne concernant... ?</t>
  </si>
  <si>
    <t>QE6.1. How urgent do you think is the action of public authorities to protect children online regarding…?</t>
  </si>
  <si>
    <t>La cyberintimidation et le harcèlement en ligne</t>
  </si>
  <si>
    <t>Cyberbullying and online harassment</t>
  </si>
  <si>
    <t>Very urgent</t>
  </si>
  <si>
    <t>Fairly urgent</t>
  </si>
  <si>
    <t>Not very urgent</t>
  </si>
  <si>
    <t>QE6.2. Dans quelle mesure pensez-vous qu’il est urgent que les autorités publiques agissent pour protéger les enfants en ligne concernant... ?</t>
  </si>
  <si>
    <t>QE6.2. How urgent do you think is the action of public authorities to protect children online regarding…?</t>
  </si>
  <si>
    <t>La mise en place de mécanismes de vérification de l’âge pour restreindre les contenus inadaptés à l’âge</t>
  </si>
  <si>
    <t>Putting in place age assurance mechanisms to restrict age-inappropriate content</t>
  </si>
  <si>
    <t>QE6.3. Dans quelle mesure pensez-vous qu’il est urgent que les autorités publiques agissent pour protéger les enfants en ligne concernant... ?</t>
  </si>
  <si>
    <t>QE6.3. How urgent do you think is the action of public authorities to protect children online regarding…?</t>
  </si>
  <si>
    <t>L’impact négatif des réseaux sociaux sur la santé mentale des enfants</t>
  </si>
  <si>
    <t>The negative impact of social media on children’s mental health</t>
  </si>
  <si>
    <t>Très bien</t>
  </si>
  <si>
    <t>Very well</t>
  </si>
  <si>
    <t>Plutôt bien</t>
  </si>
  <si>
    <t>Fairly well</t>
  </si>
  <si>
    <t>Pas très bien</t>
  </si>
  <si>
    <t>Not very well</t>
  </si>
  <si>
    <t>Pas bien du tout</t>
  </si>
  <si>
    <t>Not well at all</t>
  </si>
  <si>
    <t>Vous n’utilisez pas Internet (SPONTANÉ)</t>
  </si>
  <si>
    <t>You don’t use the internet (SPONTANEOUS)</t>
  </si>
  <si>
    <t>Total 'Bien'</t>
  </si>
  <si>
    <t>Total 'Well'</t>
  </si>
  <si>
    <t>Total 'Pas bien'</t>
  </si>
  <si>
    <t>Total 'Not well'</t>
  </si>
  <si>
    <t>QE9.1. Selon vous, dans quelle mesure les droits et principes numériques sont-ils appliqués en (NOTRE PAYS) en ce qui concerne…?</t>
  </si>
  <si>
    <t>QE9.1. How well do you think digital rights and principles are applied in (OUR COUNTRY) for…?</t>
  </si>
  <si>
    <t>L’accès à une connexion Internet à haut débit pour tous dans l’UE</t>
  </si>
  <si>
    <t>Getting an affordable high-speed internet connection for everyone in the EU</t>
  </si>
  <si>
    <t>Very Well</t>
  </si>
  <si>
    <t>QE9.2. Selon vous, dans quelle mesure les droits et principes numériques sont-ils appliqués en (NOTRE PAYS) en ce qui concerne…?</t>
  </si>
  <si>
    <t>QE9.2. How well do you think digital rights and principles are applied in (OUR COUNTRY) for…?</t>
  </si>
  <si>
    <t>L’accès à des cours, des formations et des compétences numériques de base et avancées</t>
  </si>
  <si>
    <t>Getting basic and advanced digital education, training and skills</t>
  </si>
  <si>
    <t>QE9.3. Selon vous, dans quelle mesure les droits et principes numériques sont-ils appliqués en (NOTRE PAYS) en ce qui concerne…?</t>
  </si>
  <si>
    <t>QE9.3. How well do you think digital rights and principles are applied in (OUR COUNTRY) for…?</t>
  </si>
  <si>
    <t>Le fait de jouir de conditions de travail équitables et saines dans l’environnement numérique, notamment un équilibre entre travail et vie privée</t>
  </si>
  <si>
    <t>Getting fair and healthy working conditions in the digital environment, including work-life balance</t>
  </si>
  <si>
    <t>QE9.4. Selon vous, dans quelle mesure les droits et principes numériques sont-ils appliqués en (NOTRE PAYS) en ce qui concerne…?</t>
  </si>
  <si>
    <t>QE9.4. How well do you think digital rights and principles are applied in (OUR COUNTRY) for…?</t>
  </si>
  <si>
    <t>L’accès en ligne facilité à tous les services publics essentiels dans l’UE</t>
  </si>
  <si>
    <t>Getting easy online access to all key public services in the EU</t>
  </si>
  <si>
    <t>QE9.5. Selon vous, dans quelle mesure les droits et principes numériques sont-ils appliqués en (NOTRE PAYS) en ce qui concerne…?</t>
  </si>
  <si>
    <t>QE9.5. How well do you think digital rights and principles are applied in (OUR COUNTRY) for…?</t>
  </si>
  <si>
    <t>Le fait de jouir d’une liberté de choix en ligne effective, également dans le cadre des interactions avec l’intelligence artificielle (par ex. les chatbots, les assistants numériques)</t>
  </si>
  <si>
    <t>Getting effective freedom of choice online, also when interacting with artificial intelligence (e.g., chatbots, digital assistants)</t>
  </si>
  <si>
    <t>QE9.6. Selon vous, dans quelle mesure les droits et principes numériques sont-ils appliqués en (NOTRE PAYS) en ce qui concerne…?</t>
  </si>
  <si>
    <t>QE9.6. How well do you think digital rights and principles are applied in (OUR COUNTRY) for…?</t>
  </si>
  <si>
    <t>L’accès à un environnement numérique fiable, diversifié et multilingue, proposant notamment des contenus plus variés, moins de désinformation et moins de contenus illicites</t>
  </si>
  <si>
    <t>Getting access to a trustworthy, diverse and multilingual digital environment, including more diverse content, less disinformation, less illegal content</t>
  </si>
  <si>
    <t>QE9.7. Selon vous, dans quelle mesure les droits et principes numériques sont-ils appliqués en (NOTRE PAYS) en ce qui concerne…?</t>
  </si>
  <si>
    <t>QE9.7. How well do you think digital rights and principles are applied in (OUR COUNTRY) for…?</t>
  </si>
  <si>
    <t>Le fait de jouir de davantage de la liberté d’expression et d’information en ligne, par ex. via les plateformes en ligne, les réseaux sociaux et les moteurs de recherche</t>
  </si>
  <si>
    <t>Getting more freedom of expression and information online e.g., via online platforms, social networks, search engines</t>
  </si>
  <si>
    <t>QE9.8. Selon vous, dans quelle mesure les droits et principes numériques sont-ils appliqués en (NOTRE PAYS) en ce qui concerne…?</t>
  </si>
  <si>
    <t>QE9.8. How well do you think digital rights and principles are applied in (OUR COUNTRY) for…?</t>
  </si>
  <si>
    <t>Le fait de jouir de la liberté de réunion et d’association dans l’environnement numérique</t>
  </si>
  <si>
    <t>Getting freedom of assembly and of association in the digital environment</t>
  </si>
  <si>
    <t>QE9.9. Selon vous, dans quelle mesure les droits et principes numériques sont-ils appliqués en (NOTRE PAYS) en ce qui concerne…?</t>
  </si>
  <si>
    <t>QE9.9. How well do you think digital rights and principles are applied in (OUR COUNTRY) for…?</t>
  </si>
  <si>
    <t>L’accès à des technologies numériques sûres et respectueuses de la vie privée</t>
  </si>
  <si>
    <t>Getting access to safe and privacy-friendly digital technologies</t>
  </si>
  <si>
    <t>QE9.10. Selon vous, dans quelle mesure les droits et principes numériques sont-ils appliqués en (NOTRE PAYS) en ce qui concerne…?</t>
  </si>
  <si>
    <t>QE9.10. How well do you think digital rights and principles are applied in (OUR COUNTRY) for…?</t>
  </si>
  <si>
    <t>Le fait de jouir d’une protection de la vie privée en ligne, c.-à-d. le respect de la confidentialité des communications et des informations sur les appareils</t>
  </si>
  <si>
    <t>Getting privacy online, i.e., respect for confidentiality of communications and information on devices</t>
  </si>
  <si>
    <t>QE9.11. Selon vous, dans quelle mesure les droits et principes numériques sont-ils appliqués en (NOTRE PAYS) en ce qui concerne…?</t>
  </si>
  <si>
    <t>QE9.11. How well do you think digital rights and principles are applied in (OUR COUNTRY) for…?</t>
  </si>
  <si>
    <t>Le fait de pouvoir contrôler ses propres données, c.-à-d. la façon dont elles sont utilisées en ligne et avec qui elles sont partagées</t>
  </si>
  <si>
    <t>Getting control of one's own data i.e., how it is used online and with whom it is shared</t>
  </si>
  <si>
    <t>QE9.12. Selon vous, dans quelle mesure les droits et principes numériques sont-ils appliqués en (NOTRE PAYS) en ce qui concerne…?</t>
  </si>
  <si>
    <t>QE9.12. How well do you think digital rights and principles are applied in (OUR COUNTRY) for…?</t>
  </si>
  <si>
    <t>Le fait de pouvoir contrôler l’héritage numérique d’une personne, par ex. pouvoir décider du traitement des comptes et informations personnelles après sa mort</t>
  </si>
  <si>
    <t>Getting control of one's digital legacy, for instance deciding what happens with personal accounts and information after one's death</t>
  </si>
  <si>
    <t>QE9.13. Selon vous, dans quelle mesure les droits et principes numériques sont-ils appliqués en (NOTRE PAYS) en ce qui concerne…?</t>
  </si>
  <si>
    <t>QE9.13. How well do you think digital rights and principles are applied in (OUR COUNTRY) for…?</t>
  </si>
  <si>
    <t>Le fait de garantir des environnements et contenus numériques sûrs pour les enfants et les jeunes</t>
  </si>
  <si>
    <t>Ensuring safe digital environments and content for children and young people</t>
  </si>
  <si>
    <t>QE9.14. Selon vous, dans quelle mesure les droits et principes numériques sont-ils appliqués en (NOTRE PAYS) en ce qui concerne…?</t>
  </si>
  <si>
    <t>QE9.14. How well do you think digital rights and principles are applied in (OUR COUNTRY) for…?</t>
  </si>
  <si>
    <t>L’accès à des produits et services numériques qui réduisent au maximum les dommages sur l’environnement et la société (par ex. des services et produits qui peuvent être réparés ou recyclés, et qui ne reposent pas sur le travail forcé)</t>
  </si>
  <si>
    <t>Getting digital products and services that minimise damage to the environment and society (e.g., products and services that can be repaired or recycled, which do not involve forced labour)</t>
  </si>
  <si>
    <t>QE9.15. Selon vous, dans quelle mesure les droits et principes numériques sont-ils appliqués en (NOTRE PAYS) en ce qui concerne…?</t>
  </si>
  <si>
    <t>QE9.15. How well do you think digital rights and principles are applied in (OUR COUNTRY) for…?</t>
  </si>
  <si>
    <t>Le fait d’avoir accès aux bonnes informations sur l’impact environnemental et la consommation d’énergie des technologies numériques</t>
  </si>
  <si>
    <t>Getting access to the right information on the environmental impact and energy consumption of digital technologies</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</si>
  <si>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</si>
  <si>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</si>
  <si>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</si>
  <si>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</si>
  <si>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</si>
  <si>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</si>
  <si>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</si>
  <si>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</si>
  <si>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</si>
  <si>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</si>
  <si>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</si>
  <si>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</si>
  <si>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</si>
  <si>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</si>
  <si>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</si>
  <si>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</si>
  <si>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</si>
  <si>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</si>
  <si>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</si>
  <si>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</si>
  <si>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</si>
  <si>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</si>
  <si>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</si>
  <si>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</si>
  <si>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</si>
  <si>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</si>
  <si>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</si>
  <si>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</si>
  <si>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</si>
  <si>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</si>
  <si>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</si>
  <si>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</si>
  <si>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</si>
  <si>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</si>
  <si>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</si>
  <si>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</si>
  <si>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</si>
  <si>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</si>
  <si>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</si>
  <si>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</si>
  <si>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</si>
  <si>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</si>
  <si>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</si>
  <si>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</si>
  <si>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</si>
  <si>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</si>
  <si>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</si>
  <si>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</si>
  <si>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</si>
  <si>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</si>
  <si>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</si>
  <si>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Refusal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</si>
  <si>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</si>
  <si>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</si>
  <si>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</si>
  <si>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</si>
  <si>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</si>
  <si>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</si>
  <si>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</si>
  <si>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</si>
  <si>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</si>
  <si>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</si>
  <si>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Mén. d’une pers. sans enfants</t>
  </si>
  <si>
    <t>Single Household without children</t>
  </si>
  <si>
    <t>Mén. d’une pers. avec enfants</t>
  </si>
  <si>
    <t>Single Household with children</t>
  </si>
  <si>
    <t>Mén. de plus. pers. sans enfants</t>
  </si>
  <si>
    <t>Multiple Household without children</t>
  </si>
  <si>
    <t>Mén. de plus. pers. avec enfants</t>
  </si>
  <si>
    <t>Household with children</t>
  </si>
  <si>
    <t>1 Gauche</t>
  </si>
  <si>
    <t>1 Left</t>
  </si>
  <si>
    <t>2</t>
  </si>
  <si>
    <t>3</t>
  </si>
  <si>
    <t>4</t>
  </si>
  <si>
    <t>5</t>
  </si>
  <si>
    <t>6</t>
  </si>
  <si>
    <t>7</t>
  </si>
  <si>
    <t>8</t>
  </si>
  <si>
    <t>9</t>
  </si>
  <si>
    <t>10 Droite</t>
  </si>
  <si>
    <t>10 Right</t>
  </si>
  <si>
    <t>(1-4) Gauche</t>
  </si>
  <si>
    <t>(1-4) Left</t>
  </si>
  <si>
    <t>(5-6) Centre</t>
  </si>
  <si>
    <t>(7-10) Droite</t>
  </si>
  <si>
    <t>(7-10) Right</t>
  </si>
  <si>
    <t>(1-2)  Gauche</t>
  </si>
  <si>
    <t>(1-2) Left</t>
  </si>
  <si>
    <t>(3-4)</t>
  </si>
  <si>
    <t>(5-6)  Centre</t>
  </si>
  <si>
    <t>(7-8)</t>
  </si>
  <si>
    <t>(9-10) Droite</t>
  </si>
  <si>
    <t>(9-10) Right</t>
  </si>
  <si>
    <t>Refus</t>
  </si>
  <si>
    <t>Refusal</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</si>
  <si>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</si>
  <si>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</si>
  <si>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</si>
  <si>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</si>
  <si>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</si>
  <si>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</si>
  <si>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</si>
  <si>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</si>
  <si>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</si>
  <si>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</si>
  <si>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</si>
  <si>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</si>
  <si>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</si>
  <si>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</si>
  <si>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</si>
  <si>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</si>
  <si>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</si>
  <si>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</si>
  <si>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</si>
  <si>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</si>
  <si>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</si>
  <si>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</si>
  <si>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</si>
  <si>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</si>
  <si>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</si>
  <si>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</si>
  <si>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</si>
  <si>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</si>
  <si>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</si>
  <si>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</si>
  <si>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</si>
  <si>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</si>
  <si>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</si>
  <si>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</si>
  <si>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</si>
  <si>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</si>
  <si>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</si>
  <si>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</si>
  <si>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</si>
  <si>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</si>
  <si>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</si>
  <si>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</si>
  <si>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</si>
  <si>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</si>
  <si>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</si>
  <si>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</si>
  <si>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</si>
  <si>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</si>
  <si>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</si>
  <si>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</si>
  <si>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</si>
  <si>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</si>
  <si>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</si>
  <si>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</si>
  <si>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</si>
  <si>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</si>
  <si>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</si>
  <si>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</si>
  <si>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</si>
  <si>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</si>
  <si>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</si>
  <si>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</si>
  <si>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</si>
  <si>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</si>
  <si>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</si>
  <si>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</si>
  <si>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</si>
  <si>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</si>
  <si>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</si>
  <si>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</si>
  <si>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</si>
  <si>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</si>
  <si>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</si>
  <si>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</si>
  <si>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</si>
  <si>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</si>
  <si>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</si>
  <si>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</si>
  <si>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</si>
  <si>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</si>
  <si>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</si>
  <si>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</si>
  <si>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</si>
  <si>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</si>
  <si>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</si>
  <si>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</si>
  <si>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</si>
  <si>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</si>
  <si>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</si>
  <si>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</si>
  <si>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</si>
  <si>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</si>
  <si>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</si>
  <si>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</si>
  <si>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</si>
  <si>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</si>
  <si>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</si>
  <si>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</si>
  <si>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</si>
  <si>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</si>
  <si>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</si>
  <si>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</si>
  <si>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</si>
  <si>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</si>
  <si>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</si>
  <si>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Téléphone fixe uniquement</t>
  </si>
  <si>
    <t>Fixed telephone only</t>
  </si>
  <si>
    <t>Téléphone mobile uniquement</t>
  </si>
  <si>
    <t>Mobile telephone only</t>
  </si>
  <si>
    <t xml:space="preserve">Internet fixe uniquement </t>
  </si>
  <si>
    <t xml:space="preserve">Fixed internet only </t>
  </si>
  <si>
    <t xml:space="preserve">Téléphone fixe + téléphone mobile </t>
  </si>
  <si>
    <t xml:space="preserve">Fixed telephone + mobile telephone </t>
  </si>
  <si>
    <t xml:space="preserve">Téléphone fixe + internet fixe  </t>
  </si>
  <si>
    <t xml:space="preserve">Fixed telephone + fixed internet  </t>
  </si>
  <si>
    <t xml:space="preserve">Téléphone mobile + internet fixe  </t>
  </si>
  <si>
    <t xml:space="preserve">Mobile telephone + fixed internet  </t>
  </si>
  <si>
    <t>Téléphone fixe + téléphone mobile + internet fixe</t>
  </si>
  <si>
    <t>Fixed telephone + mobile telephone + fixed internet</t>
  </si>
  <si>
    <t xml:space="preserve">Aucun </t>
  </si>
  <si>
    <t xml:space="preserve">None </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</si>
  <si>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</si>
  <si>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</si>
  <si>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</si>
  <si>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</si>
  <si>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</si>
  <si>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</si>
  <si>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</si>
  <si>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</si>
  <si>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</si>
  <si>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</si>
  <si>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</si>
  <si>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</si>
  <si>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</si>
  <si>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</si>
  <si>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</si>
  <si>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</si>
  <si>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</si>
  <si>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</si>
  <si>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</si>
  <si>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</si>
  <si>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</si>
  <si>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</si>
  <si>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</si>
  <si>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</si>
  <si>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</si>
  <si>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</si>
  <si>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</si>
  <si>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</si>
  <si>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</si>
  <si>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</si>
  <si>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</si>
  <si>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</si>
  <si>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</si>
  <si>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</si>
  <si>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</si>
  <si>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</si>
  <si>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</si>
  <si>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</si>
  <si>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</si>
  <si>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</si>
  <si>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</si>
  <si>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</si>
  <si>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</si>
  <si>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</si>
  <si>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</si>
  <si>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</si>
  <si>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</si>
  <si>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</si>
  <si>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</si>
  <si>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</si>
  <si>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</si>
  <si>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</si>
  <si>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</si>
  <si>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</si>
  <si>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</si>
  <si>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</si>
  <si>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</si>
  <si>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</si>
  <si>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</si>
  <si>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</si>
  <si>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</si>
  <si>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</si>
  <si>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</si>
  <si>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</si>
  <si>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</si>
  <si>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</si>
  <si>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</si>
  <si>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</si>
  <si>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</si>
  <si>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</si>
  <si>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</si>
  <si>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</si>
  <si>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</si>
  <si>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</si>
  <si>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</si>
  <si>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</si>
  <si>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</si>
  <si>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</si>
  <si>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</si>
  <si>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</si>
  <si>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</si>
  <si>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</si>
  <si>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</si>
  <si>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</si>
  <si>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</si>
  <si>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</si>
  <si>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</si>
  <si>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</si>
  <si>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</si>
  <si>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</si>
  <si>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</si>
  <si>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</si>
  <si>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</si>
  <si>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</si>
  <si>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</si>
  <si>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</si>
  <si>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</si>
  <si>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</si>
  <si>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</si>
  <si>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</si>
  <si>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</si>
  <si>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</si>
  <si>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</si>
  <si>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</si>
  <si>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</si>
  <si>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</si>
  <si>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</si>
  <si>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</si>
  <si>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</si>
  <si>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</si>
  <si>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</si>
  <si>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'Negative'</t>
  </si>
  <si>
    <t>Total 'Not satisfied'</t>
  </si>
  <si>
    <t>SD19a.1. Dans quelle mesure êtes-vous d’accord ou pas d’accord avec chacune des affirmations suivantes ?</t>
  </si>
  <si>
    <t>SD19a.1. To what extent do you agree or disagree with each of the following statements.</t>
  </si>
  <si>
    <t>Ma voix compte dans l'Union européenne</t>
  </si>
  <si>
    <t>My voice counts in the EU</t>
  </si>
  <si>
    <t>SD19a.2. Dans quelle mesure êtes-vous d’accord ou pas d’accord avec chacune des affirmations suivantes ?</t>
  </si>
  <si>
    <t>SD19a.2. To what extent do you agree or disagree with each of the following statements.</t>
  </si>
  <si>
    <t>Ma voix compte en (NOTRE PAYS)</t>
  </si>
  <si>
    <t>My voice counts in (OUR COUNTRY)</t>
  </si>
  <si>
    <t>SD19a.3. Dans quelle mesure êtes-vous d’accord ou pas d’accord avec chacune des affirmations suivantes ?</t>
  </si>
  <si>
    <t>SD19a.3. To what extent do you agree or disagree with each of the following statements.</t>
  </si>
  <si>
    <t>La voix de (NOTRE PAYS) compte dans l'Union européenne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</si>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</sst>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9" fontId="6" fillId="0" borderId="4" xfId="0" applyNumberFormat="1" applyFont="1" applyBorder="1"/>
    <xf numFmtId="0" fontId="6" fillId="0" borderId="4" xfId="0" applyFont="1" applyBorder="1" applyAlignment="1">
      <alignment horizontal="right"/>
    </xf>
    <xf numFmtId="9" fontId="6" fillId="0" borderId="4" xfId="0" applyNumberFormat="1" applyFont="1" applyBorder="1" applyAlignment="1">
      <alignment horizontal="right"/>
    </xf>
    <xf numFmtId="0" fontId="5" fillId="0" borderId="3" xfId="0" applyFont="1" applyBorder="1" applyAlignment="1">
      <alignment horizontal="left" vertical="center"/>
    </xf>
    <xf numFmtId="0" fontId="4" fillId="0" borderId="0" xfId="0" applyFont="1" applyAlignment="1">
      <alignment wrapText="1"/>
    </xf>
    <xf numFmtId="0" fontId="0" fillId="0" borderId="0" xfId="0" applyAlignment="1"/>
    <xf numFmtId="0" fontId="0" fillId="0" borderId="2"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ustomXml" Target="../customXml/item2.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theme" Target="theme/theme1.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styles" Target="styles.xml"/><Relationship Id="rId215" Type="http://schemas.openxmlformats.org/officeDocument/2006/relationships/customXml" Target="../customXml/item3.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sharedStrings" Target="sharedString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calcChain" Target="calcChain.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2"/>
  <sheetViews>
    <sheetView workbookViewId="0">
      <pane ySplit="5" topLeftCell="A6" activePane="bottomLeft" state="frozen"/>
      <selection pane="bottomLeft"/>
    </sheetView>
  </sheetViews>
  <sheetFormatPr defaultColWidth="8.85546875" defaultRowHeight="15"/>
  <cols>
    <col min="1" max="1" width="12.28515625" customWidth="1"/>
    <col min="2" max="3" width="100" customWidth="1"/>
  </cols>
  <sheetData>
    <row r="1" spans="1:3" ht="15.95">
      <c r="A1" s="1" t="s">
        <v>0</v>
      </c>
      <c r="B1" s="2" t="s">
        <v>1</v>
      </c>
    </row>
    <row r="2" spans="1:3" ht="15.95">
      <c r="A2" s="1" t="s">
        <v>2</v>
      </c>
      <c r="B2" s="3" t="s">
        <v>3</v>
      </c>
    </row>
    <row r="3" spans="1:3" ht="15.95">
      <c r="A3" s="1" t="s">
        <v>4</v>
      </c>
      <c r="B3" s="2" t="s">
        <v>5</v>
      </c>
    </row>
    <row r="5" spans="1:3">
      <c r="A5" s="4" t="s">
        <v>6</v>
      </c>
      <c r="B5" s="4" t="s">
        <v>7</v>
      </c>
      <c r="C5" s="4" t="s">
        <v>8</v>
      </c>
    </row>
    <row r="6" spans="1:3">
      <c r="A6" s="5" t="str">
        <f>HYPERLINK("#'B'!A1", "B")</f>
        <v>B</v>
      </c>
      <c r="B6" s="6" t="s">
        <v>9</v>
      </c>
      <c r="C6" s="6" t="s">
        <v>10</v>
      </c>
    </row>
    <row r="7" spans="1:3" ht="29.1">
      <c r="A7" s="5" t="str">
        <f>HYPERLINK("#'QAsd'!A1", "QAsd")</f>
        <v>QAsd</v>
      </c>
      <c r="B7" s="6" t="s">
        <v>11</v>
      </c>
      <c r="C7" s="6" t="s">
        <v>12</v>
      </c>
    </row>
    <row r="8" spans="1:3">
      <c r="A8" s="5" t="str">
        <f>HYPERLINK("#'QA1_1'!A1", "QA1_1")</f>
        <v>QA1_1</v>
      </c>
      <c r="B8" s="6" t="s">
        <v>13</v>
      </c>
      <c r="C8" s="6" t="s">
        <v>14</v>
      </c>
    </row>
    <row r="9" spans="1:3">
      <c r="A9" s="5" t="str">
        <f>HYPERLINK("#'QA1_2'!A1", "QA1_2")</f>
        <v>QA1_2</v>
      </c>
      <c r="B9" s="6" t="s">
        <v>15</v>
      </c>
      <c r="C9" s="6" t="s">
        <v>16</v>
      </c>
    </row>
    <row r="10" spans="1:3">
      <c r="A10" s="5" t="str">
        <f>HYPERLINK("#'QA2'!A1", "QA2")</f>
        <v>QA2</v>
      </c>
      <c r="B10" s="6" t="s">
        <v>17</v>
      </c>
      <c r="C10" s="6" t="s">
        <v>18</v>
      </c>
    </row>
    <row r="11" spans="1:3" ht="29.1">
      <c r="A11" s="5" t="str">
        <f>HYPERLINK("#'QA3'!A1", "QA3")</f>
        <v>QA3</v>
      </c>
      <c r="B11" s="6" t="s">
        <v>19</v>
      </c>
      <c r="C11" s="6" t="s">
        <v>20</v>
      </c>
    </row>
    <row r="12" spans="1:3" ht="29.1">
      <c r="A12" s="5" t="str">
        <f>HYPERLINK("#'QA4a'!A1", "QA4a")</f>
        <v>QA4a</v>
      </c>
      <c r="B12" s="6" t="s">
        <v>21</v>
      </c>
      <c r="C12" s="6" t="s">
        <v>22</v>
      </c>
    </row>
    <row r="13" spans="1:3">
      <c r="A13" s="5" t="str">
        <f>HYPERLINK("#'QA4b'!A1", "QA4b")</f>
        <v>QA4b</v>
      </c>
      <c r="B13" s="6" t="s">
        <v>23</v>
      </c>
      <c r="C13" s="6" t="s">
        <v>24</v>
      </c>
    </row>
    <row r="14" spans="1:3" ht="42.95">
      <c r="A14" s="5" t="str">
        <f>HYPERLINK("#'QA4ab'!A1", "QA4ab")</f>
        <v>QA4ab</v>
      </c>
      <c r="B14" s="6" t="s">
        <v>25</v>
      </c>
      <c r="C14" s="6" t="s">
        <v>26</v>
      </c>
    </row>
    <row r="15" spans="1:3" ht="42.95">
      <c r="A15" s="5" t="str">
        <f>HYPERLINK("#'QA5_1'!A1", "QA5_1")</f>
        <v>QA5_1</v>
      </c>
      <c r="B15" s="6" t="s">
        <v>27</v>
      </c>
      <c r="C15" s="6" t="s">
        <v>28</v>
      </c>
    </row>
    <row r="16" spans="1:3" ht="57">
      <c r="A16" s="5" t="str">
        <f>HYPERLINK("#'QA5_2'!A1", "QA5_2")</f>
        <v>QA5_2</v>
      </c>
      <c r="B16" s="6" t="s">
        <v>29</v>
      </c>
      <c r="C16" s="6" t="s">
        <v>30</v>
      </c>
    </row>
    <row r="17" spans="1:3" ht="29.1">
      <c r="A17" s="5" t="str">
        <f>HYPERLINK("#'QA5_3'!A1", "QA5_3")</f>
        <v>QA5_3</v>
      </c>
      <c r="B17" s="6" t="s">
        <v>31</v>
      </c>
      <c r="C17" s="6" t="s">
        <v>32</v>
      </c>
    </row>
    <row r="18" spans="1:3" ht="42.95">
      <c r="A18" s="5" t="str">
        <f>HYPERLINK("#'QA6_1'!A1", "QA6_1")</f>
        <v>QA6_1</v>
      </c>
      <c r="B18" s="6" t="s">
        <v>33</v>
      </c>
      <c r="C18" s="6" t="s">
        <v>34</v>
      </c>
    </row>
    <row r="19" spans="1:3" ht="42.95">
      <c r="A19" s="5" t="str">
        <f>HYPERLINK("#'QA6_2'!A1", "QA6_2")</f>
        <v>QA6_2</v>
      </c>
      <c r="B19" s="6" t="s">
        <v>35</v>
      </c>
      <c r="C19" s="6" t="s">
        <v>36</v>
      </c>
    </row>
    <row r="20" spans="1:3" ht="42.95">
      <c r="A20" s="5" t="str">
        <f>HYPERLINK("#'QA6_3'!A1", "QA6_3")</f>
        <v>QA6_3</v>
      </c>
      <c r="B20" s="6" t="s">
        <v>37</v>
      </c>
      <c r="C20" s="6" t="s">
        <v>38</v>
      </c>
    </row>
    <row r="21" spans="1:3" ht="42.95">
      <c r="A21" s="5" t="str">
        <f>HYPERLINK("#'QA6_4'!A1", "QA6_4")</f>
        <v>QA6_4</v>
      </c>
      <c r="B21" s="6" t="s">
        <v>39</v>
      </c>
      <c r="C21" s="6" t="s">
        <v>40</v>
      </c>
    </row>
    <row r="22" spans="1:3" ht="42.95">
      <c r="A22" s="5" t="str">
        <f>HYPERLINK("#'QA7_1'!A1", "QA7_1")</f>
        <v>QA7_1</v>
      </c>
      <c r="B22" s="6" t="s">
        <v>41</v>
      </c>
      <c r="C22" s="6" t="s">
        <v>42</v>
      </c>
    </row>
    <row r="23" spans="1:3" ht="42.95">
      <c r="A23" s="5" t="str">
        <f>HYPERLINK("#'QA7_2'!A1", "QA7_2")</f>
        <v>QA7_2</v>
      </c>
      <c r="B23" s="6" t="s">
        <v>43</v>
      </c>
      <c r="C23" s="6" t="s">
        <v>44</v>
      </c>
    </row>
    <row r="24" spans="1:3" ht="42.95">
      <c r="A24" s="5" t="str">
        <f>HYPERLINK("#'QA7_3'!A1", "QA7_3")</f>
        <v>QA7_3</v>
      </c>
      <c r="B24" s="6" t="s">
        <v>45</v>
      </c>
      <c r="C24" s="6" t="s">
        <v>46</v>
      </c>
    </row>
    <row r="25" spans="1:3" ht="42.95">
      <c r="A25" s="5" t="str">
        <f>HYPERLINK("#'QA7_4'!A1", "QA7_4")</f>
        <v>QA7_4</v>
      </c>
      <c r="B25" s="6" t="s">
        <v>47</v>
      </c>
      <c r="C25" s="6" t="s">
        <v>48</v>
      </c>
    </row>
    <row r="26" spans="1:3" ht="42.95">
      <c r="A26" s="5" t="str">
        <f>HYPERLINK("#'QA7_5'!A1", "QA7_5")</f>
        <v>QA7_5</v>
      </c>
      <c r="B26" s="6" t="s">
        <v>49</v>
      </c>
      <c r="C26" s="6" t="s">
        <v>50</v>
      </c>
    </row>
    <row r="27" spans="1:3" ht="29.1">
      <c r="A27" s="5" t="str">
        <f>HYPERLINK("#'QA8a'!A1", "QA8a")</f>
        <v>QA8a</v>
      </c>
      <c r="B27" s="6" t="s">
        <v>51</v>
      </c>
      <c r="C27" s="6" t="s">
        <v>52</v>
      </c>
    </row>
    <row r="28" spans="1:3">
      <c r="A28" s="5" t="str">
        <f>HYPERLINK("#'QA8b'!A1", "QA8b")</f>
        <v>QA8b</v>
      </c>
      <c r="B28" s="6" t="s">
        <v>53</v>
      </c>
      <c r="C28" s="6" t="s">
        <v>54</v>
      </c>
    </row>
    <row r="29" spans="1:3" ht="29.1">
      <c r="A29" s="5" t="str">
        <f>HYPERLINK("#'QA8ab'!A1", "QA8ab")</f>
        <v>QA8ab</v>
      </c>
      <c r="B29" s="6" t="s">
        <v>55</v>
      </c>
      <c r="C29" s="6" t="s">
        <v>56</v>
      </c>
    </row>
    <row r="30" spans="1:3">
      <c r="A30" s="5" t="str">
        <f>HYPERLINK("#'QA9_1'!A1", "QA9_1")</f>
        <v>QA9_1</v>
      </c>
      <c r="B30" s="6" t="s">
        <v>57</v>
      </c>
      <c r="C30" s="6" t="s">
        <v>58</v>
      </c>
    </row>
    <row r="31" spans="1:3">
      <c r="A31" s="5" t="str">
        <f>HYPERLINK("#'QA9_2'!A1", "QA9_2")</f>
        <v>QA9_2</v>
      </c>
      <c r="B31" s="6" t="s">
        <v>59</v>
      </c>
      <c r="C31" s="6" t="s">
        <v>60</v>
      </c>
    </row>
    <row r="32" spans="1:3">
      <c r="A32" s="5" t="str">
        <f>HYPERLINK("#'QA9_3'!A1", "QA9_3")</f>
        <v>QA9_3</v>
      </c>
      <c r="B32" s="6" t="s">
        <v>61</v>
      </c>
      <c r="C32" s="6" t="s">
        <v>62</v>
      </c>
    </row>
    <row r="33" spans="1:3">
      <c r="A33" s="5" t="str">
        <f>HYPERLINK("#'QA9_4'!A1", "QA9_4")</f>
        <v>QA9_4</v>
      </c>
      <c r="B33" s="6" t="s">
        <v>63</v>
      </c>
      <c r="C33" s="6" t="s">
        <v>64</v>
      </c>
    </row>
    <row r="34" spans="1:3">
      <c r="A34" s="5" t="str">
        <f>HYPERLINK("#'QA9_5'!A1", "QA9_5")</f>
        <v>QA9_5</v>
      </c>
      <c r="B34" s="6" t="s">
        <v>65</v>
      </c>
      <c r="C34" s="6" t="s">
        <v>66</v>
      </c>
    </row>
    <row r="35" spans="1:3" ht="29.1">
      <c r="A35" s="5" t="str">
        <f>HYPERLINK("#'QA10_1'!A1", "QA10_1")</f>
        <v>QA10_1</v>
      </c>
      <c r="B35" s="6" t="s">
        <v>67</v>
      </c>
      <c r="C35" s="6" t="s">
        <v>68</v>
      </c>
    </row>
    <row r="36" spans="1:3" ht="42.95">
      <c r="A36" s="5" t="str">
        <f>HYPERLINK("#'QA10_2'!A1", "QA10_2")</f>
        <v>QA10_2</v>
      </c>
      <c r="B36" s="6" t="s">
        <v>69</v>
      </c>
      <c r="C36" s="6" t="s">
        <v>70</v>
      </c>
    </row>
    <row r="37" spans="1:3" ht="42.95">
      <c r="A37" s="5" t="str">
        <f>HYPERLINK("#'QA11_1'!A1", "QA11_1")</f>
        <v>QA11_1</v>
      </c>
      <c r="B37" s="6" t="s">
        <v>71</v>
      </c>
      <c r="C37" s="6" t="s">
        <v>72</v>
      </c>
    </row>
    <row r="38" spans="1:3" ht="57">
      <c r="A38" s="5" t="str">
        <f>HYPERLINK("#'QA11_2'!A1", "QA11_2")</f>
        <v>QA11_2</v>
      </c>
      <c r="B38" s="6" t="s">
        <v>73</v>
      </c>
      <c r="C38" s="6" t="s">
        <v>74</v>
      </c>
    </row>
    <row r="39" spans="1:3" ht="42.95">
      <c r="A39" s="5" t="str">
        <f>HYPERLINK("#'QA11_3'!A1", "QA11_3")</f>
        <v>QA11_3</v>
      </c>
      <c r="B39" s="6" t="s">
        <v>75</v>
      </c>
      <c r="C39" s="6" t="s">
        <v>76</v>
      </c>
    </row>
    <row r="40" spans="1:3" ht="29.1">
      <c r="A40" s="5" t="str">
        <f>HYPERLINK("#'QA12'!A1", "QA12")</f>
        <v>QA12</v>
      </c>
      <c r="B40" s="6" t="s">
        <v>77</v>
      </c>
      <c r="C40" s="6" t="s">
        <v>78</v>
      </c>
    </row>
    <row r="41" spans="1:3">
      <c r="A41" s="5" t="str">
        <f>HYPERLINK("#'QB1'!A1", "QB1")</f>
        <v>QB1</v>
      </c>
      <c r="B41" s="6" t="s">
        <v>79</v>
      </c>
      <c r="C41" s="6" t="s">
        <v>80</v>
      </c>
    </row>
    <row r="42" spans="1:3">
      <c r="A42" s="5" t="str">
        <f>HYPERLINK("#'QB2'!A1", "QB2")</f>
        <v>QB2</v>
      </c>
      <c r="B42" s="6" t="s">
        <v>81</v>
      </c>
      <c r="C42" s="6" t="s">
        <v>82</v>
      </c>
    </row>
    <row r="43" spans="1:3" ht="29.1">
      <c r="A43" s="5" t="str">
        <f>HYPERLINK("#'QB3'!A1", "QB3")</f>
        <v>QB3</v>
      </c>
      <c r="B43" s="6" t="s">
        <v>83</v>
      </c>
      <c r="C43" s="6" t="s">
        <v>84</v>
      </c>
    </row>
    <row r="44" spans="1:3" ht="42.95">
      <c r="A44" s="5" t="str">
        <f>HYPERLINK("#'QB4_1'!A1", "QB4_1")</f>
        <v>QB4_1</v>
      </c>
      <c r="B44" s="6" t="s">
        <v>85</v>
      </c>
      <c r="C44" s="6" t="s">
        <v>86</v>
      </c>
    </row>
    <row r="45" spans="1:3" ht="42.95">
      <c r="A45" s="5" t="str">
        <f>HYPERLINK("#'QB4_2'!A1", "QB4_2")</f>
        <v>QB4_2</v>
      </c>
      <c r="B45" s="6" t="s">
        <v>87</v>
      </c>
      <c r="C45" s="6" t="s">
        <v>88</v>
      </c>
    </row>
    <row r="46" spans="1:3" ht="29.1">
      <c r="A46" s="5" t="str">
        <f>HYPERLINK("#'QB4_3'!A1", "QB4_3")</f>
        <v>QB4_3</v>
      </c>
      <c r="B46" s="6" t="s">
        <v>89</v>
      </c>
      <c r="C46" s="6" t="s">
        <v>90</v>
      </c>
    </row>
    <row r="47" spans="1:3">
      <c r="A47" s="5" t="str">
        <f>HYPERLINK("#'QB4T'!A1", "QB4T")</f>
        <v>QB4T</v>
      </c>
      <c r="B47" s="6" t="s">
        <v>91</v>
      </c>
      <c r="C47" s="6" t="s">
        <v>92</v>
      </c>
    </row>
    <row r="48" spans="1:3" ht="29.1">
      <c r="A48" s="5" t="str">
        <f>HYPERLINK("#'QB5a'!A1", "QB5a")</f>
        <v>QB5a</v>
      </c>
      <c r="B48" s="6" t="s">
        <v>93</v>
      </c>
      <c r="C48" s="6" t="s">
        <v>94</v>
      </c>
    </row>
    <row r="49" spans="1:3">
      <c r="A49" s="5" t="str">
        <f>HYPERLINK("#'QB5b'!A1", "QB5b")</f>
        <v>QB5b</v>
      </c>
      <c r="B49" s="6" t="s">
        <v>95</v>
      </c>
      <c r="C49" s="6" t="s">
        <v>96</v>
      </c>
    </row>
    <row r="50" spans="1:3" ht="42.95">
      <c r="A50" s="5" t="str">
        <f>HYPERLINK("#'QB5ab'!A1", "QB5ab")</f>
        <v>QB5ab</v>
      </c>
      <c r="B50" s="6" t="s">
        <v>97</v>
      </c>
      <c r="C50" s="6" t="s">
        <v>98</v>
      </c>
    </row>
    <row r="51" spans="1:3" ht="42.95">
      <c r="A51" s="5" t="str">
        <f>HYPERLINK("#'QB6_1'!A1", "QB6_1")</f>
        <v>QB6_1</v>
      </c>
      <c r="B51" s="6" t="s">
        <v>99</v>
      </c>
      <c r="C51" s="6" t="s">
        <v>100</v>
      </c>
    </row>
    <row r="52" spans="1:3" ht="29.1">
      <c r="A52" s="5" t="str">
        <f>HYPERLINK("#'QB6_2'!A1", "QB6_2")</f>
        <v>QB6_2</v>
      </c>
      <c r="B52" s="6" t="s">
        <v>101</v>
      </c>
      <c r="C52" s="6" t="s">
        <v>102</v>
      </c>
    </row>
    <row r="53" spans="1:3" ht="29.1">
      <c r="A53" s="5" t="str">
        <f>HYPERLINK("#'QB6_3'!A1", "QB6_3")</f>
        <v>QB6_3</v>
      </c>
      <c r="B53" s="6" t="s">
        <v>103</v>
      </c>
      <c r="C53" s="6" t="s">
        <v>104</v>
      </c>
    </row>
    <row r="54" spans="1:3" ht="29.1">
      <c r="A54" s="5" t="str">
        <f>HYPERLINK("#'QB6_4'!A1", "QB6_4")</f>
        <v>QB6_4</v>
      </c>
      <c r="B54" s="6" t="s">
        <v>105</v>
      </c>
      <c r="C54" s="6" t="s">
        <v>106</v>
      </c>
    </row>
    <row r="55" spans="1:3">
      <c r="A55" s="5" t="str">
        <f>HYPERLINK("#'QB6T'!A1", "QB6T")</f>
        <v>QB6T</v>
      </c>
      <c r="B55" s="6" t="s">
        <v>107</v>
      </c>
      <c r="C55" s="6" t="s">
        <v>108</v>
      </c>
    </row>
    <row r="56" spans="1:3" ht="29.1">
      <c r="A56" s="5" t="str">
        <f>HYPERLINK("#'QC1'!A1", "QC1")</f>
        <v>QC1</v>
      </c>
      <c r="B56" s="6" t="s">
        <v>109</v>
      </c>
      <c r="C56" s="6" t="s">
        <v>110</v>
      </c>
    </row>
    <row r="57" spans="1:3">
      <c r="A57" s="5" t="str">
        <f>HYPERLINK("#'QC2a'!A1", "QC2a")</f>
        <v>QC2a</v>
      </c>
      <c r="B57" s="6" t="s">
        <v>111</v>
      </c>
      <c r="C57" s="6" t="s">
        <v>112</v>
      </c>
    </row>
    <row r="58" spans="1:3">
      <c r="A58" s="5" t="str">
        <f>HYPERLINK("#'QC2b'!A1", "QC2b")</f>
        <v>QC2b</v>
      </c>
      <c r="B58" s="6" t="s">
        <v>113</v>
      </c>
      <c r="C58" s="6" t="s">
        <v>114</v>
      </c>
    </row>
    <row r="59" spans="1:3" ht="29.1">
      <c r="A59" s="5" t="str">
        <f>HYPERLINK("#'QC2ab'!A1", "QC2ab")</f>
        <v>QC2ab</v>
      </c>
      <c r="B59" s="6" t="s">
        <v>115</v>
      </c>
      <c r="C59" s="6" t="s">
        <v>116</v>
      </c>
    </row>
    <row r="60" spans="1:3">
      <c r="A60" s="5" t="str">
        <f>HYPERLINK("#'QC3'!A1", "QC3")</f>
        <v>QC3</v>
      </c>
      <c r="B60" s="6" t="s">
        <v>117</v>
      </c>
      <c r="C60" s="6" t="s">
        <v>118</v>
      </c>
    </row>
    <row r="61" spans="1:3">
      <c r="A61" s="5" t="str">
        <f>HYPERLINK("#'QC4_1'!A1", "QC4_1")</f>
        <v>QC4_1</v>
      </c>
      <c r="B61" s="6" t="s">
        <v>119</v>
      </c>
      <c r="C61" s="6" t="s">
        <v>120</v>
      </c>
    </row>
    <row r="62" spans="1:3">
      <c r="A62" s="5" t="str">
        <f>HYPERLINK("#'QC4_2'!A1", "QC4_2")</f>
        <v>QC4_2</v>
      </c>
      <c r="B62" s="6" t="s">
        <v>121</v>
      </c>
      <c r="C62" s="6" t="s">
        <v>122</v>
      </c>
    </row>
    <row r="63" spans="1:3" ht="29.1">
      <c r="A63" s="5" t="str">
        <f>HYPERLINK("#'QC5_1'!A1", "QC5_1")</f>
        <v>QC5_1</v>
      </c>
      <c r="B63" s="6" t="s">
        <v>123</v>
      </c>
      <c r="C63" s="6" t="s">
        <v>124</v>
      </c>
    </row>
    <row r="64" spans="1:3" ht="29.1">
      <c r="A64" s="5" t="str">
        <f>HYPERLINK("#'QC5_2'!A1", "QC5_2")</f>
        <v>QC5_2</v>
      </c>
      <c r="B64" s="6" t="s">
        <v>125</v>
      </c>
      <c r="C64" s="6" t="s">
        <v>126</v>
      </c>
    </row>
    <row r="65" spans="1:3" ht="29.1">
      <c r="A65" s="5" t="str">
        <f>HYPERLINK("#'QC5_3'!A1", "QC5_3")</f>
        <v>QC5_3</v>
      </c>
      <c r="B65" s="6" t="s">
        <v>127</v>
      </c>
      <c r="C65" s="6" t="s">
        <v>128</v>
      </c>
    </row>
    <row r="66" spans="1:3" ht="29.1">
      <c r="A66" s="5" t="str">
        <f>HYPERLINK("#'QC5_4'!A1", "QC5_4")</f>
        <v>QC5_4</v>
      </c>
      <c r="B66" s="6" t="s">
        <v>129</v>
      </c>
      <c r="C66" s="6" t="s">
        <v>130</v>
      </c>
    </row>
    <row r="67" spans="1:3" ht="29.1">
      <c r="A67" s="5" t="str">
        <f>HYPERLINK("#'QC5_5'!A1", "QC5_5")</f>
        <v>QC5_5</v>
      </c>
      <c r="B67" s="6" t="s">
        <v>131</v>
      </c>
      <c r="C67" s="6" t="s">
        <v>132</v>
      </c>
    </row>
    <row r="68" spans="1:3" ht="29.1">
      <c r="A68" s="5" t="str">
        <f>HYPERLINK("#'QC5_6'!A1", "QC5_6")</f>
        <v>QC5_6</v>
      </c>
      <c r="B68" s="6" t="s">
        <v>133</v>
      </c>
      <c r="C68" s="6" t="s">
        <v>134</v>
      </c>
    </row>
    <row r="69" spans="1:3" ht="42.95">
      <c r="A69" s="5" t="str">
        <f>HYPERLINK("#'QC5_7'!A1", "QC5_7")</f>
        <v>QC5_7</v>
      </c>
      <c r="B69" s="6" t="s">
        <v>135</v>
      </c>
      <c r="C69" s="6" t="s">
        <v>136</v>
      </c>
    </row>
    <row r="70" spans="1:3" ht="29.1">
      <c r="A70" s="5" t="str">
        <f>HYPERLINK("#'QC5_8'!A1", "QC5_8")</f>
        <v>QC5_8</v>
      </c>
      <c r="B70" s="6" t="s">
        <v>137</v>
      </c>
      <c r="C70" s="6" t="s">
        <v>138</v>
      </c>
    </row>
    <row r="71" spans="1:3" ht="29.1">
      <c r="A71" s="5" t="str">
        <f>HYPERLINK("#'QC5_9'!A1", "QC5_9")</f>
        <v>QC5_9</v>
      </c>
      <c r="B71" s="6" t="s">
        <v>139</v>
      </c>
      <c r="C71" s="6" t="s">
        <v>140</v>
      </c>
    </row>
    <row r="72" spans="1:3" ht="29.1">
      <c r="A72" s="5" t="str">
        <f>HYPERLINK("#'QC5_10'!A1", "QC5_10")</f>
        <v>QC5_10</v>
      </c>
      <c r="B72" s="6" t="s">
        <v>141</v>
      </c>
      <c r="C72" s="6" t="s">
        <v>142</v>
      </c>
    </row>
    <row r="73" spans="1:3" ht="29.1">
      <c r="A73" s="5" t="str">
        <f>HYPERLINK("#'QC5T'!A1", "QC5T")</f>
        <v>QC5T</v>
      </c>
      <c r="B73" s="6" t="s">
        <v>143</v>
      </c>
      <c r="C73" s="6" t="s">
        <v>144</v>
      </c>
    </row>
    <row r="74" spans="1:3">
      <c r="A74" s="5" t="str">
        <f>HYPERLINK("#'QC6a'!A1", "QC6a")</f>
        <v>QC6a</v>
      </c>
      <c r="B74" s="6" t="s">
        <v>145</v>
      </c>
      <c r="C74" s="6" t="s">
        <v>146</v>
      </c>
    </row>
    <row r="75" spans="1:3">
      <c r="A75" s="5" t="str">
        <f>HYPERLINK("#'QC6b'!A1", "QC6b")</f>
        <v>QC6b</v>
      </c>
      <c r="B75" s="6" t="s">
        <v>147</v>
      </c>
      <c r="C75" s="6" t="s">
        <v>148</v>
      </c>
    </row>
    <row r="76" spans="1:3" ht="29.1">
      <c r="A76" s="5" t="str">
        <f>HYPERLINK("#'QC6ab'!A1", "QC6ab")</f>
        <v>QC6ab</v>
      </c>
      <c r="B76" s="6" t="s">
        <v>149</v>
      </c>
      <c r="C76" s="6" t="s">
        <v>150</v>
      </c>
    </row>
    <row r="77" spans="1:3" ht="29.1">
      <c r="A77" s="5" t="str">
        <f>HYPERLINK("#'QC7a'!A1", "QC7a")</f>
        <v>QC7a</v>
      </c>
      <c r="B77" s="6" t="s">
        <v>151</v>
      </c>
      <c r="C77" s="6" t="s">
        <v>152</v>
      </c>
    </row>
    <row r="78" spans="1:3">
      <c r="A78" s="5" t="str">
        <f>HYPERLINK("#'QC7b'!A1", "QC7b")</f>
        <v>QC7b</v>
      </c>
      <c r="B78" s="6" t="s">
        <v>153</v>
      </c>
      <c r="C78" s="6" t="s">
        <v>154</v>
      </c>
    </row>
    <row r="79" spans="1:3" ht="29.1">
      <c r="A79" s="5" t="str">
        <f>HYPERLINK("#'QC7ab'!A1", "QC7ab")</f>
        <v>QC7ab</v>
      </c>
      <c r="B79" s="6" t="s">
        <v>155</v>
      </c>
      <c r="C79" s="6" t="s">
        <v>156</v>
      </c>
    </row>
    <row r="80" spans="1:3" ht="29.1">
      <c r="A80" s="5" t="str">
        <f>HYPERLINK("#'QC8a'!A1", "QC8a")</f>
        <v>QC8a</v>
      </c>
      <c r="B80" s="6" t="s">
        <v>157</v>
      </c>
      <c r="C80" s="6" t="s">
        <v>158</v>
      </c>
    </row>
    <row r="81" spans="1:3">
      <c r="A81" s="5" t="str">
        <f>HYPERLINK("#'QC8b'!A1", "QC8b")</f>
        <v>QC8b</v>
      </c>
      <c r="B81" s="6" t="s">
        <v>159</v>
      </c>
      <c r="C81" s="6" t="s">
        <v>160</v>
      </c>
    </row>
    <row r="82" spans="1:3" ht="29.1">
      <c r="A82" s="5" t="str">
        <f>HYPERLINK("#'QC8ab'!A1", "QC8ab")</f>
        <v>QC8ab</v>
      </c>
      <c r="B82" s="6" t="s">
        <v>161</v>
      </c>
      <c r="C82" s="6" t="s">
        <v>162</v>
      </c>
    </row>
    <row r="83" spans="1:3" ht="29.1">
      <c r="A83" s="5" t="str">
        <f>HYPERLINK("#'QC9a'!A1", "QC9a")</f>
        <v>QC9a</v>
      </c>
      <c r="B83" s="6" t="s">
        <v>163</v>
      </c>
      <c r="C83" s="6" t="s">
        <v>164</v>
      </c>
    </row>
    <row r="84" spans="1:3">
      <c r="A84" s="5" t="str">
        <f>HYPERLINK("#'QC9b'!A1", "QC9b")</f>
        <v>QC9b</v>
      </c>
      <c r="B84" s="6" t="s">
        <v>165</v>
      </c>
      <c r="C84" s="6" t="s">
        <v>166</v>
      </c>
    </row>
    <row r="85" spans="1:3" ht="29.1">
      <c r="A85" s="5" t="str">
        <f>HYPERLINK("#'QC9ab'!A1", "QC9ab")</f>
        <v>QC9ab</v>
      </c>
      <c r="B85" s="6" t="s">
        <v>167</v>
      </c>
      <c r="C85" s="6" t="s">
        <v>168</v>
      </c>
    </row>
    <row r="86" spans="1:3" ht="29.1">
      <c r="A86" s="5" t="str">
        <f>HYPERLINK("#'QC10a'!A1", "QC10a")</f>
        <v>QC10a</v>
      </c>
      <c r="B86" s="6" t="s">
        <v>169</v>
      </c>
      <c r="C86" s="6" t="s">
        <v>170</v>
      </c>
    </row>
    <row r="87" spans="1:3">
      <c r="A87" s="5" t="str">
        <f>HYPERLINK("#'QC10b'!A1", "QC10b")</f>
        <v>QC10b</v>
      </c>
      <c r="B87" s="6" t="s">
        <v>171</v>
      </c>
      <c r="C87" s="6" t="s">
        <v>172</v>
      </c>
    </row>
    <row r="88" spans="1:3" ht="29.1">
      <c r="A88" s="5" t="str">
        <f>HYPERLINK("#'QC10ab'!A1", "QC10ab")</f>
        <v>QC10ab</v>
      </c>
      <c r="B88" s="6" t="s">
        <v>173</v>
      </c>
      <c r="C88" s="6" t="s">
        <v>174</v>
      </c>
    </row>
    <row r="89" spans="1:3" ht="29.1">
      <c r="A89" s="5" t="str">
        <f>HYPERLINK("#'SD1'!A1", "SD1")</f>
        <v>SD1</v>
      </c>
      <c r="B89" s="6" t="s">
        <v>175</v>
      </c>
      <c r="C89" s="6" t="s">
        <v>176</v>
      </c>
    </row>
    <row r="90" spans="1:3">
      <c r="A90" s="5" t="str">
        <f>HYPERLINK("#'SD2'!A1", "SD2")</f>
        <v>SD2</v>
      </c>
      <c r="B90" s="6" t="s">
        <v>177</v>
      </c>
      <c r="C90" s="6" t="s">
        <v>178</v>
      </c>
    </row>
    <row r="91" spans="1:3" ht="29.1">
      <c r="A91" s="5" t="str">
        <f>HYPERLINK("#'QD1a'!A1", "QD1a")</f>
        <v>QD1a</v>
      </c>
      <c r="B91" s="6" t="s">
        <v>179</v>
      </c>
      <c r="C91" s="6" t="s">
        <v>180</v>
      </c>
    </row>
    <row r="92" spans="1:3">
      <c r="A92" s="5" t="str">
        <f>HYPERLINK("#'QD1b'!A1", "QD1b")</f>
        <v>QD1b</v>
      </c>
      <c r="B92" s="6" t="s">
        <v>181</v>
      </c>
      <c r="C92" s="6" t="s">
        <v>182</v>
      </c>
    </row>
    <row r="93" spans="1:3" ht="29.1">
      <c r="A93" s="5" t="str">
        <f>HYPERLINK("#'QD1ab'!A1", "QD1ab")</f>
        <v>QD1ab</v>
      </c>
      <c r="B93" s="6" t="s">
        <v>183</v>
      </c>
      <c r="C93" s="6" t="s">
        <v>184</v>
      </c>
    </row>
    <row r="94" spans="1:3">
      <c r="A94" s="5" t="str">
        <f>HYPERLINK("#'QD2'!A1", "QD2")</f>
        <v>QD2</v>
      </c>
      <c r="B94" s="6" t="s">
        <v>185</v>
      </c>
      <c r="C94" s="6" t="s">
        <v>186</v>
      </c>
    </row>
    <row r="95" spans="1:3" ht="29.1">
      <c r="A95" s="5" t="str">
        <f>HYPERLINK("#'QD3a'!A1", "QD3a")</f>
        <v>QD3a</v>
      </c>
      <c r="B95" s="6" t="s">
        <v>187</v>
      </c>
      <c r="C95" s="6" t="s">
        <v>188</v>
      </c>
    </row>
    <row r="96" spans="1:3">
      <c r="A96" s="5" t="str">
        <f>HYPERLINK("#'QD3b'!A1", "QD3b")</f>
        <v>QD3b</v>
      </c>
      <c r="B96" s="6" t="s">
        <v>189</v>
      </c>
      <c r="C96" s="6" t="s">
        <v>190</v>
      </c>
    </row>
    <row r="97" spans="1:3" ht="29.1">
      <c r="A97" s="5" t="str">
        <f>HYPERLINK("#'QD3ab'!A1", "QD3ab")</f>
        <v>QD3ab</v>
      </c>
      <c r="B97" s="6" t="s">
        <v>191</v>
      </c>
      <c r="C97" s="6" t="s">
        <v>192</v>
      </c>
    </row>
    <row r="98" spans="1:3" ht="29.1">
      <c r="A98" s="5" t="str">
        <f>HYPERLINK("#'QD4_1'!A1", "QD4_1")</f>
        <v>QD4_1</v>
      </c>
      <c r="B98" s="6" t="s">
        <v>193</v>
      </c>
      <c r="C98" s="6" t="s">
        <v>194</v>
      </c>
    </row>
    <row r="99" spans="1:3" ht="29.1">
      <c r="A99" s="5" t="str">
        <f>HYPERLINK("#'QD4_2'!A1", "QD4_2")</f>
        <v>QD4_2</v>
      </c>
      <c r="B99" s="6" t="s">
        <v>195</v>
      </c>
      <c r="C99" s="6" t="s">
        <v>196</v>
      </c>
    </row>
    <row r="100" spans="1:3" ht="29.1">
      <c r="A100" s="5" t="str">
        <f>HYPERLINK("#'QD4_3'!A1", "QD4_3")</f>
        <v>QD4_3</v>
      </c>
      <c r="B100" s="6" t="s">
        <v>197</v>
      </c>
      <c r="C100" s="6" t="s">
        <v>198</v>
      </c>
    </row>
    <row r="101" spans="1:3" ht="29.1">
      <c r="A101" s="5" t="str">
        <f>HYPERLINK("#'QD4_4'!A1", "QD4_4")</f>
        <v>QD4_4</v>
      </c>
      <c r="B101" s="6" t="s">
        <v>199</v>
      </c>
      <c r="C101" s="6" t="s">
        <v>200</v>
      </c>
    </row>
    <row r="102" spans="1:3" ht="42.95">
      <c r="A102" s="5" t="str">
        <f>HYPERLINK("#'QD4_5'!A1", "QD4_5")</f>
        <v>QD4_5</v>
      </c>
      <c r="B102" s="6" t="s">
        <v>201</v>
      </c>
      <c r="C102" s="6" t="s">
        <v>202</v>
      </c>
    </row>
    <row r="103" spans="1:3" ht="29.1">
      <c r="A103" s="5" t="str">
        <f>HYPERLINK("#'QD5'!A1", "QD5")</f>
        <v>QD5</v>
      </c>
      <c r="B103" s="6" t="s">
        <v>203</v>
      </c>
      <c r="C103" s="6" t="s">
        <v>204</v>
      </c>
    </row>
    <row r="104" spans="1:3" ht="29.1">
      <c r="A104" s="5" t="str">
        <f>HYPERLINK("#'QD6'!A1", "QD6")</f>
        <v>QD6</v>
      </c>
      <c r="B104" s="6" t="s">
        <v>205</v>
      </c>
      <c r="C104" s="6" t="s">
        <v>206</v>
      </c>
    </row>
    <row r="105" spans="1:3" ht="29.1">
      <c r="A105" s="5" t="str">
        <f>HYPERLINK("#'QD7'!A1", "QD7")</f>
        <v>QD7</v>
      </c>
      <c r="B105" s="6" t="s">
        <v>207</v>
      </c>
      <c r="C105" s="6" t="s">
        <v>208</v>
      </c>
    </row>
    <row r="106" spans="1:3" ht="29.1">
      <c r="A106" s="5" t="str">
        <f>HYPERLINK("#'QD8_1'!A1", "QD8_1")</f>
        <v>QD8_1</v>
      </c>
      <c r="B106" s="6" t="s">
        <v>209</v>
      </c>
      <c r="C106" s="6" t="s">
        <v>210</v>
      </c>
    </row>
    <row r="107" spans="1:3" ht="29.1">
      <c r="A107" s="5" t="str">
        <f>HYPERLINK("#'QD8_2'!A1", "QD8_2")</f>
        <v>QD8_2</v>
      </c>
      <c r="B107" s="6" t="s">
        <v>211</v>
      </c>
      <c r="C107" s="6" t="s">
        <v>212</v>
      </c>
    </row>
    <row r="108" spans="1:3" ht="29.1">
      <c r="A108" s="5" t="str">
        <f>HYPERLINK("#'QD8_3'!A1", "QD8_3")</f>
        <v>QD8_3</v>
      </c>
      <c r="B108" s="6" t="s">
        <v>213</v>
      </c>
      <c r="C108" s="6" t="s">
        <v>214</v>
      </c>
    </row>
    <row r="109" spans="1:3" ht="42.95">
      <c r="A109" s="5" t="str">
        <f>HYPERLINK("#'QD9_1'!A1", "QD9_1")</f>
        <v>QD9_1</v>
      </c>
      <c r="B109" s="6" t="s">
        <v>215</v>
      </c>
      <c r="C109" s="6" t="s">
        <v>216</v>
      </c>
    </row>
    <row r="110" spans="1:3" ht="42.95">
      <c r="A110" s="5" t="str">
        <f>HYPERLINK("#'QD9_2'!A1", "QD9_2")</f>
        <v>QD9_2</v>
      </c>
      <c r="B110" s="6" t="s">
        <v>217</v>
      </c>
      <c r="C110" s="6" t="s">
        <v>218</v>
      </c>
    </row>
    <row r="111" spans="1:3" ht="42.95">
      <c r="A111" s="5" t="str">
        <f>HYPERLINK("#'QD9_3'!A1", "QD9_3")</f>
        <v>QD9_3</v>
      </c>
      <c r="B111" s="6" t="s">
        <v>219</v>
      </c>
      <c r="C111" s="6" t="s">
        <v>220</v>
      </c>
    </row>
    <row r="112" spans="1:3" ht="42.95">
      <c r="A112" s="5" t="str">
        <f>HYPERLINK("#'QD10'!A1", "QD10")</f>
        <v>QD10</v>
      </c>
      <c r="B112" s="6" t="s">
        <v>221</v>
      </c>
      <c r="C112" s="6" t="s">
        <v>222</v>
      </c>
    </row>
    <row r="113" spans="1:3" ht="42.95">
      <c r="A113" s="5" t="str">
        <f>HYPERLINK("#'QD11_1'!A1", "QD11_1")</f>
        <v>QD11_1</v>
      </c>
      <c r="B113" s="6" t="s">
        <v>223</v>
      </c>
      <c r="C113" s="6" t="s">
        <v>224</v>
      </c>
    </row>
    <row r="114" spans="1:3" ht="42.95">
      <c r="A114" s="5" t="str">
        <f>HYPERLINK("#'QD11_2'!A1", "QD11_2")</f>
        <v>QD11_2</v>
      </c>
      <c r="B114" s="6" t="s">
        <v>225</v>
      </c>
      <c r="C114" s="6" t="s">
        <v>226</v>
      </c>
    </row>
    <row r="115" spans="1:3" ht="29.1">
      <c r="A115" s="5" t="str">
        <f>HYPERLINK("#'QD12'!A1", "QD12")</f>
        <v>QD12</v>
      </c>
      <c r="B115" s="6" t="s">
        <v>227</v>
      </c>
      <c r="C115" s="6" t="s">
        <v>228</v>
      </c>
    </row>
    <row r="116" spans="1:3" ht="57">
      <c r="A116" s="5" t="str">
        <f>HYPERLINK("#'QD13_1'!A1", "QD13_1")</f>
        <v>QD13_1</v>
      </c>
      <c r="B116" s="6" t="s">
        <v>229</v>
      </c>
      <c r="C116" s="6" t="s">
        <v>230</v>
      </c>
    </row>
    <row r="117" spans="1:3" ht="57">
      <c r="A117" s="5" t="str">
        <f>HYPERLINK("#'QD13_2'!A1", "QD13_2")</f>
        <v>QD13_2</v>
      </c>
      <c r="B117" s="6" t="s">
        <v>231</v>
      </c>
      <c r="C117" s="6" t="s">
        <v>232</v>
      </c>
    </row>
    <row r="118" spans="1:3" ht="57">
      <c r="A118" s="5" t="str">
        <f>HYPERLINK("#'QD13_3'!A1", "QD13_3")</f>
        <v>QD13_3</v>
      </c>
      <c r="B118" s="6" t="s">
        <v>233</v>
      </c>
      <c r="C118" s="6" t="s">
        <v>234</v>
      </c>
    </row>
    <row r="119" spans="1:3" ht="42.95">
      <c r="A119" s="5" t="str">
        <f>HYPERLINK("#'QD14_1'!A1", "QD14_1")</f>
        <v>QD14_1</v>
      </c>
      <c r="B119" s="6" t="s">
        <v>235</v>
      </c>
      <c r="C119" s="6" t="s">
        <v>236</v>
      </c>
    </row>
    <row r="120" spans="1:3" ht="42.95">
      <c r="A120" s="5" t="str">
        <f>HYPERLINK("#'QD14_2'!A1", "QD14_2")</f>
        <v>QD14_2</v>
      </c>
      <c r="B120" s="6" t="s">
        <v>237</v>
      </c>
      <c r="C120" s="6" t="s">
        <v>238</v>
      </c>
    </row>
    <row r="121" spans="1:3" ht="42.95">
      <c r="A121" s="5" t="str">
        <f>HYPERLINK("#'QD15_1'!A1", "QD15_1")</f>
        <v>QD15_1</v>
      </c>
      <c r="B121" s="6" t="s">
        <v>239</v>
      </c>
      <c r="C121" s="6" t="s">
        <v>240</v>
      </c>
    </row>
    <row r="122" spans="1:3" ht="42.95">
      <c r="A122" s="5" t="str">
        <f>HYPERLINK("#'QD15_2'!A1", "QD15_2")</f>
        <v>QD15_2</v>
      </c>
      <c r="B122" s="6" t="s">
        <v>241</v>
      </c>
      <c r="C122" s="6" t="s">
        <v>242</v>
      </c>
    </row>
    <row r="123" spans="1:3" ht="29.1">
      <c r="A123" s="5" t="str">
        <f>HYPERLINK("#'QE1_1'!A1", "QE1_1")</f>
        <v>QE1_1</v>
      </c>
      <c r="B123" s="6" t="s">
        <v>243</v>
      </c>
      <c r="C123" s="6" t="s">
        <v>244</v>
      </c>
    </row>
    <row r="124" spans="1:3" ht="42.95">
      <c r="A124" s="5" t="str">
        <f>HYPERLINK("#'QE1_2'!A1", "QE1_2")</f>
        <v>QE1_2</v>
      </c>
      <c r="B124" s="6" t="s">
        <v>245</v>
      </c>
      <c r="C124" s="6" t="s">
        <v>246</v>
      </c>
    </row>
    <row r="125" spans="1:3" ht="29.1">
      <c r="A125" s="5" t="str">
        <f>HYPERLINK("#'QE1_3'!A1", "QE1_3")</f>
        <v>QE1_3</v>
      </c>
      <c r="B125" s="6" t="s">
        <v>247</v>
      </c>
      <c r="C125" s="6" t="s">
        <v>248</v>
      </c>
    </row>
    <row r="126" spans="1:3" ht="29.1">
      <c r="A126" s="5" t="str">
        <f>HYPERLINK("#'QE1_4'!A1", "QE1_4")</f>
        <v>QE1_4</v>
      </c>
      <c r="B126" s="6" t="s">
        <v>249</v>
      </c>
      <c r="C126" s="6" t="s">
        <v>250</v>
      </c>
    </row>
    <row r="127" spans="1:3" ht="42.95">
      <c r="A127" s="5" t="str">
        <f>HYPERLINK("#'QE1_5'!A1", "QE1_5")</f>
        <v>QE1_5</v>
      </c>
      <c r="B127" s="6" t="s">
        <v>251</v>
      </c>
      <c r="C127" s="6" t="s">
        <v>252</v>
      </c>
    </row>
    <row r="128" spans="1:3" ht="42.95">
      <c r="A128" s="5" t="str">
        <f>HYPERLINK("#'QE1_6'!A1", "QE1_6")</f>
        <v>QE1_6</v>
      </c>
      <c r="B128" s="6" t="s">
        <v>253</v>
      </c>
      <c r="C128" s="6" t="s">
        <v>254</v>
      </c>
    </row>
    <row r="129" spans="1:3" ht="29.1">
      <c r="A129" s="5" t="str">
        <f>HYPERLINK("#'QE1_7'!A1", "QE1_7")</f>
        <v>QE1_7</v>
      </c>
      <c r="B129" s="6" t="s">
        <v>255</v>
      </c>
      <c r="C129" s="6" t="s">
        <v>256</v>
      </c>
    </row>
    <row r="130" spans="1:3" ht="42.95">
      <c r="A130" s="5" t="str">
        <f>HYPERLINK("#'QE1_8'!A1", "QE1_8")</f>
        <v>QE1_8</v>
      </c>
      <c r="B130" s="6" t="s">
        <v>257</v>
      </c>
      <c r="C130" s="6" t="s">
        <v>258</v>
      </c>
    </row>
    <row r="131" spans="1:3" ht="29.1">
      <c r="A131" s="5" t="str">
        <f>HYPERLINK("#'QE1_9'!A1", "QE1_9")</f>
        <v>QE1_9</v>
      </c>
      <c r="B131" s="6" t="s">
        <v>259</v>
      </c>
      <c r="C131" s="6" t="s">
        <v>260</v>
      </c>
    </row>
    <row r="132" spans="1:3" ht="29.1">
      <c r="A132" s="5" t="str">
        <f>HYPERLINK("#'QE1_10'!A1", "QE1_10")</f>
        <v>QE1_10</v>
      </c>
      <c r="B132" s="6" t="s">
        <v>261</v>
      </c>
      <c r="C132" s="6" t="s">
        <v>262</v>
      </c>
    </row>
    <row r="133" spans="1:3" ht="29.1">
      <c r="A133" s="5" t="str">
        <f>HYPERLINK("#'QE2'!A1", "QE2")</f>
        <v>QE2</v>
      </c>
      <c r="B133" s="6" t="s">
        <v>263</v>
      </c>
      <c r="C133" s="6" t="s">
        <v>264</v>
      </c>
    </row>
    <row r="134" spans="1:3" ht="29.1">
      <c r="A134" s="5" t="str">
        <f>HYPERLINK("#'QE3_1'!A1", "QE3_1")</f>
        <v>QE3_1</v>
      </c>
      <c r="B134" s="6" t="s">
        <v>265</v>
      </c>
      <c r="C134" s="6" t="s">
        <v>266</v>
      </c>
    </row>
    <row r="135" spans="1:3" ht="42.95">
      <c r="A135" s="5" t="str">
        <f>HYPERLINK("#'QE3_2'!A1", "QE3_2")</f>
        <v>QE3_2</v>
      </c>
      <c r="B135" s="6" t="s">
        <v>267</v>
      </c>
      <c r="C135" s="6" t="s">
        <v>268</v>
      </c>
    </row>
    <row r="136" spans="1:3" ht="42.95">
      <c r="A136" s="5" t="str">
        <f>HYPERLINK("#'QE3_3'!A1", "QE3_3")</f>
        <v>QE3_3</v>
      </c>
      <c r="B136" s="6" t="s">
        <v>269</v>
      </c>
      <c r="C136" s="6" t="s">
        <v>270</v>
      </c>
    </row>
    <row r="137" spans="1:3" ht="42.95">
      <c r="A137" s="5" t="str">
        <f>HYPERLINK("#'QE3_4'!A1", "QE3_4")</f>
        <v>QE3_4</v>
      </c>
      <c r="B137" s="6" t="s">
        <v>271</v>
      </c>
      <c r="C137" s="6" t="s">
        <v>272</v>
      </c>
    </row>
    <row r="138" spans="1:3" ht="29.1">
      <c r="A138" s="5" t="str">
        <f>HYPERLINK("#'QE3_5'!A1", "QE3_5")</f>
        <v>QE3_5</v>
      </c>
      <c r="B138" s="6" t="s">
        <v>273</v>
      </c>
      <c r="C138" s="6" t="s">
        <v>274</v>
      </c>
    </row>
    <row r="139" spans="1:3" ht="42.95">
      <c r="A139" s="5" t="str">
        <f>HYPERLINK("#'QE4_1'!A1", "QE4_1")</f>
        <v>QE4_1</v>
      </c>
      <c r="B139" s="6" t="s">
        <v>275</v>
      </c>
      <c r="C139" s="6" t="s">
        <v>276</v>
      </c>
    </row>
    <row r="140" spans="1:3" ht="42.95">
      <c r="A140" s="5" t="str">
        <f>HYPERLINK("#'QE4_2'!A1", "QE4_2")</f>
        <v>QE4_2</v>
      </c>
      <c r="B140" s="6" t="s">
        <v>277</v>
      </c>
      <c r="C140" s="6" t="s">
        <v>278</v>
      </c>
    </row>
    <row r="141" spans="1:3" ht="42.95">
      <c r="A141" s="5" t="str">
        <f>HYPERLINK("#'QE4_3'!A1", "QE4_3")</f>
        <v>QE4_3</v>
      </c>
      <c r="B141" s="6" t="s">
        <v>279</v>
      </c>
      <c r="C141" s="6" t="s">
        <v>280</v>
      </c>
    </row>
    <row r="142" spans="1:3" ht="42.95">
      <c r="A142" s="5" t="str">
        <f>HYPERLINK("#'QE4_4'!A1", "QE4_4")</f>
        <v>QE4_4</v>
      </c>
      <c r="B142" s="6" t="s">
        <v>281</v>
      </c>
      <c r="C142" s="6" t="s">
        <v>282</v>
      </c>
    </row>
    <row r="143" spans="1:3" ht="29.1">
      <c r="A143" s="5" t="str">
        <f>HYPERLINK("#'QE4_5'!A1", "QE4_5")</f>
        <v>QE4_5</v>
      </c>
      <c r="B143" s="6" t="s">
        <v>283</v>
      </c>
      <c r="C143" s="6" t="s">
        <v>284</v>
      </c>
    </row>
    <row r="144" spans="1:3" ht="42.95">
      <c r="A144" s="5" t="str">
        <f>HYPERLINK("#'QE4_6'!A1", "QE4_6")</f>
        <v>QE4_6</v>
      </c>
      <c r="B144" s="6" t="s">
        <v>285</v>
      </c>
      <c r="C144" s="6" t="s">
        <v>286</v>
      </c>
    </row>
    <row r="145" spans="1:3" ht="29.1">
      <c r="A145" s="5" t="str">
        <f>HYPERLINK("#'QE4_7'!A1", "QE4_7")</f>
        <v>QE4_7</v>
      </c>
      <c r="B145" s="6" t="s">
        <v>287</v>
      </c>
      <c r="C145" s="6" t="s">
        <v>288</v>
      </c>
    </row>
    <row r="146" spans="1:3" ht="29.1">
      <c r="A146" s="5" t="str">
        <f>HYPERLINK("#'QE5'!A1", "QE5")</f>
        <v>QE5</v>
      </c>
      <c r="B146" s="6" t="s">
        <v>289</v>
      </c>
      <c r="C146" s="6" t="s">
        <v>290</v>
      </c>
    </row>
    <row r="147" spans="1:3" ht="29.1">
      <c r="A147" s="5" t="str">
        <f>HYPERLINK("#'QE6_1'!A1", "QE6_1")</f>
        <v>QE6_1</v>
      </c>
      <c r="B147" s="6" t="s">
        <v>291</v>
      </c>
      <c r="C147" s="6" t="s">
        <v>292</v>
      </c>
    </row>
    <row r="148" spans="1:3" ht="42.95">
      <c r="A148" s="5" t="str">
        <f>HYPERLINK("#'QE6_2'!A1", "QE6_2")</f>
        <v>QE6_2</v>
      </c>
      <c r="B148" s="6" t="s">
        <v>293</v>
      </c>
      <c r="C148" s="6" t="s">
        <v>294</v>
      </c>
    </row>
    <row r="149" spans="1:3" ht="29.1">
      <c r="A149" s="5" t="str">
        <f>HYPERLINK("#'QE6_3'!A1", "QE6_3")</f>
        <v>QE6_3</v>
      </c>
      <c r="B149" s="6" t="s">
        <v>295</v>
      </c>
      <c r="C149" s="6" t="s">
        <v>296</v>
      </c>
    </row>
    <row r="150" spans="1:3" ht="29.1">
      <c r="A150" s="5" t="str">
        <f>HYPERLINK("#'QE7'!A1", "QE7")</f>
        <v>QE7</v>
      </c>
      <c r="B150" s="6" t="s">
        <v>297</v>
      </c>
      <c r="C150" s="6" t="s">
        <v>298</v>
      </c>
    </row>
    <row r="151" spans="1:3">
      <c r="A151" s="5" t="str">
        <f>HYPERLINK("#'QE8'!A1", "QE8")</f>
        <v>QE8</v>
      </c>
      <c r="B151" s="6" t="s">
        <v>299</v>
      </c>
      <c r="C151" s="6" t="s">
        <v>300</v>
      </c>
    </row>
    <row r="152" spans="1:3" ht="29.1">
      <c r="A152" s="5" t="str">
        <f>HYPERLINK("#'QE9_1'!A1", "QE9_1")</f>
        <v>QE9_1</v>
      </c>
      <c r="B152" s="6" t="s">
        <v>301</v>
      </c>
      <c r="C152" s="6" t="s">
        <v>302</v>
      </c>
    </row>
    <row r="153" spans="1:3" ht="29.1">
      <c r="A153" s="5" t="str">
        <f>HYPERLINK("#'QE9_2'!A1", "QE9_2")</f>
        <v>QE9_2</v>
      </c>
      <c r="B153" s="6" t="s">
        <v>303</v>
      </c>
      <c r="C153" s="6" t="s">
        <v>304</v>
      </c>
    </row>
    <row r="154" spans="1:3" ht="42.95">
      <c r="A154" s="5" t="str">
        <f>HYPERLINK("#'QE9_3'!A1", "QE9_3")</f>
        <v>QE9_3</v>
      </c>
      <c r="B154" s="6" t="s">
        <v>305</v>
      </c>
      <c r="C154" s="6" t="s">
        <v>306</v>
      </c>
    </row>
    <row r="155" spans="1:3" ht="29.1">
      <c r="A155" s="5" t="str">
        <f>HYPERLINK("#'QE9_4'!A1", "QE9_4")</f>
        <v>QE9_4</v>
      </c>
      <c r="B155" s="6" t="s">
        <v>307</v>
      </c>
      <c r="C155" s="6" t="s">
        <v>308</v>
      </c>
    </row>
    <row r="156" spans="1:3" ht="42.95">
      <c r="A156" s="5" t="str">
        <f>HYPERLINK("#'QE9_5'!A1", "QE9_5")</f>
        <v>QE9_5</v>
      </c>
      <c r="B156" s="6" t="s">
        <v>309</v>
      </c>
      <c r="C156" s="6" t="s">
        <v>310</v>
      </c>
    </row>
    <row r="157" spans="1:3" ht="42.95">
      <c r="A157" s="5" t="str">
        <f>HYPERLINK("#'QE9_6'!A1", "QE9_6")</f>
        <v>QE9_6</v>
      </c>
      <c r="B157" s="6" t="s">
        <v>311</v>
      </c>
      <c r="C157" s="6" t="s">
        <v>312</v>
      </c>
    </row>
    <row r="158" spans="1:3" ht="42.95">
      <c r="A158" s="5" t="str">
        <f>HYPERLINK("#'QE9_7'!A1", "QE9_7")</f>
        <v>QE9_7</v>
      </c>
      <c r="B158" s="6" t="s">
        <v>313</v>
      </c>
      <c r="C158" s="6" t="s">
        <v>314</v>
      </c>
    </row>
    <row r="159" spans="1:3" ht="29.1">
      <c r="A159" s="5" t="str">
        <f>HYPERLINK("#'QE9_8'!A1", "QE9_8")</f>
        <v>QE9_8</v>
      </c>
      <c r="B159" s="6" t="s">
        <v>315</v>
      </c>
      <c r="C159" s="6" t="s">
        <v>316</v>
      </c>
    </row>
    <row r="160" spans="1:3" ht="29.1">
      <c r="A160" s="5" t="str">
        <f>HYPERLINK("#'QE9_9'!A1", "QE9_9")</f>
        <v>QE9_9</v>
      </c>
      <c r="B160" s="6" t="s">
        <v>317</v>
      </c>
      <c r="C160" s="6" t="s">
        <v>318</v>
      </c>
    </row>
    <row r="161" spans="1:3" ht="42.95">
      <c r="A161" s="5" t="str">
        <f>HYPERLINK("#'QE9_10'!A1", "QE9_10")</f>
        <v>QE9_10</v>
      </c>
      <c r="B161" s="6" t="s">
        <v>319</v>
      </c>
      <c r="C161" s="6" t="s">
        <v>320</v>
      </c>
    </row>
    <row r="162" spans="1:3" ht="42.95">
      <c r="A162" s="5" t="str">
        <f>HYPERLINK("#'QE9_11'!A1", "QE9_11")</f>
        <v>QE9_11</v>
      </c>
      <c r="B162" s="6" t="s">
        <v>321</v>
      </c>
      <c r="C162" s="6" t="s">
        <v>322</v>
      </c>
    </row>
    <row r="163" spans="1:3" ht="42.95">
      <c r="A163" s="5" t="str">
        <f>HYPERLINK("#'QE9_12'!A1", "QE9_12")</f>
        <v>QE9_12</v>
      </c>
      <c r="B163" s="6" t="s">
        <v>323</v>
      </c>
      <c r="C163" s="6" t="s">
        <v>324</v>
      </c>
    </row>
    <row r="164" spans="1:3" ht="29.1">
      <c r="A164" s="5" t="str">
        <f>HYPERLINK("#'QE9_13'!A1", "QE9_13")</f>
        <v>QE9_13</v>
      </c>
      <c r="B164" s="6" t="s">
        <v>325</v>
      </c>
      <c r="C164" s="6" t="s">
        <v>326</v>
      </c>
    </row>
    <row r="165" spans="1:3" ht="42.95">
      <c r="A165" s="5" t="str">
        <f>HYPERLINK("#'QE9_14'!A1", "QE9_14")</f>
        <v>QE9_14</v>
      </c>
      <c r="B165" s="6" t="s">
        <v>327</v>
      </c>
      <c r="C165" s="6" t="s">
        <v>328</v>
      </c>
    </row>
    <row r="166" spans="1:3" ht="42.95">
      <c r="A166" s="5" t="str">
        <f>HYPERLINK("#'QE9_15'!A1", "QE9_15")</f>
        <v>QE9_15</v>
      </c>
      <c r="B166" s="6" t="s">
        <v>329</v>
      </c>
      <c r="C166" s="6" t="s">
        <v>330</v>
      </c>
    </row>
    <row r="167" spans="1:3">
      <c r="A167" s="5" t="str">
        <f>HYPERLINK("#'D11'!A1", "D11")</f>
        <v>D11</v>
      </c>
      <c r="B167" s="6" t="s">
        <v>331</v>
      </c>
      <c r="C167" s="6" t="s">
        <v>332</v>
      </c>
    </row>
    <row r="168" spans="1:3">
      <c r="A168" s="5" t="str">
        <f>HYPERLINK("#'D11R'!A1", "D11R")</f>
        <v>D11R</v>
      </c>
      <c r="B168" s="6" t="s">
        <v>333</v>
      </c>
      <c r="C168" s="6" t="s">
        <v>334</v>
      </c>
    </row>
    <row r="169" spans="1:3">
      <c r="A169" s="5" t="str">
        <f>HYPERLINK("#'D11bis'!A1", "D11bis")</f>
        <v>D11bis</v>
      </c>
      <c r="B169" s="6" t="s">
        <v>335</v>
      </c>
      <c r="C169" s="6" t="s">
        <v>336</v>
      </c>
    </row>
    <row r="170" spans="1:3">
      <c r="A170" s="5" t="str">
        <f>HYPERLINK("#'D11G'!A1", "D11G")</f>
        <v>D11G</v>
      </c>
      <c r="B170" s="6" t="s">
        <v>337</v>
      </c>
      <c r="C170" s="6" t="s">
        <v>338</v>
      </c>
    </row>
    <row r="171" spans="1:3">
      <c r="A171" s="5" t="str">
        <f>HYPERLINK("#'D7'!A1", "D7")</f>
        <v>D7</v>
      </c>
      <c r="B171" s="6" t="s">
        <v>339</v>
      </c>
      <c r="C171" s="6" t="s">
        <v>340</v>
      </c>
    </row>
    <row r="172" spans="1:3">
      <c r="A172" s="5" t="str">
        <f>HYPERLINK("#'D7R1'!A1", "D7R1")</f>
        <v>D7R1</v>
      </c>
      <c r="B172" s="6" t="s">
        <v>341</v>
      </c>
      <c r="C172" s="6" t="s">
        <v>342</v>
      </c>
    </row>
    <row r="173" spans="1:3">
      <c r="A173" s="5" t="str">
        <f>HYPERLINK("#'D7R2'!A1", "D7R2")</f>
        <v>D7R2</v>
      </c>
      <c r="B173" s="6" t="s">
        <v>343</v>
      </c>
      <c r="C173" s="6" t="s">
        <v>344</v>
      </c>
    </row>
    <row r="174" spans="1:3" ht="29.1">
      <c r="A174" s="5" t="str">
        <f>HYPERLINK("#'D1'!A1", "D1")</f>
        <v>D1</v>
      </c>
      <c r="B174" s="6" t="s">
        <v>345</v>
      </c>
      <c r="C174" s="6" t="s">
        <v>346</v>
      </c>
    </row>
    <row r="175" spans="1:3">
      <c r="A175" s="5" t="str">
        <f>HYPERLINK("#'D1R1'!A1", "D1R1")</f>
        <v>D1R1</v>
      </c>
      <c r="B175" s="6" t="s">
        <v>347</v>
      </c>
      <c r="C175" s="6" t="s">
        <v>348</v>
      </c>
    </row>
    <row r="176" spans="1:3">
      <c r="A176" s="5" t="str">
        <f>HYPERLINK("#'D1R2'!A1", "D1R2")</f>
        <v>D1R2</v>
      </c>
      <c r="B176" s="6" t="s">
        <v>349</v>
      </c>
      <c r="C176" s="6" t="s">
        <v>350</v>
      </c>
    </row>
    <row r="177" spans="1:3">
      <c r="A177" s="5" t="str">
        <f>HYPERLINK("#'D8'!A1", "D8")</f>
        <v>D8</v>
      </c>
      <c r="B177" s="6" t="s">
        <v>351</v>
      </c>
      <c r="C177" s="6" t="s">
        <v>352</v>
      </c>
    </row>
    <row r="178" spans="1:3">
      <c r="A178" s="5" t="str">
        <f>HYPERLINK("#'D8c'!A1", "D8c")</f>
        <v>D8c</v>
      </c>
      <c r="B178" s="6" t="s">
        <v>353</v>
      </c>
      <c r="C178" s="6" t="s">
        <v>354</v>
      </c>
    </row>
    <row r="179" spans="1:3">
      <c r="A179" s="5" t="str">
        <f>HYPERLINK("#'D10'!A1", "D10")</f>
        <v>D10</v>
      </c>
      <c r="B179" s="6" t="s">
        <v>355</v>
      </c>
      <c r="C179" s="6" t="s">
        <v>356</v>
      </c>
    </row>
    <row r="180" spans="1:3">
      <c r="A180" s="5" t="str">
        <f>HYPERLINK("#'D15a'!A1", "D15a")</f>
        <v>D15a</v>
      </c>
      <c r="B180" s="6" t="s">
        <v>357</v>
      </c>
      <c r="C180" s="6" t="s">
        <v>358</v>
      </c>
    </row>
    <row r="181" spans="1:3">
      <c r="A181" s="5" t="str">
        <f>HYPERLINK("#'D15a2'!A1", "D15a2")</f>
        <v>D15a2</v>
      </c>
      <c r="B181" s="6" t="s">
        <v>359</v>
      </c>
      <c r="C181" s="6" t="s">
        <v>360</v>
      </c>
    </row>
    <row r="182" spans="1:3">
      <c r="A182" s="5" t="str">
        <f>HYPERLINK("#'C14'!A1", "C14")</f>
        <v>C14</v>
      </c>
      <c r="B182" s="6" t="s">
        <v>361</v>
      </c>
      <c r="C182" s="6" t="s">
        <v>362</v>
      </c>
    </row>
    <row r="183" spans="1:3">
      <c r="A183" s="5" t="str">
        <f>HYPERLINK("#'D15b'!A1", "D15b")</f>
        <v>D15b</v>
      </c>
      <c r="B183" s="6" t="s">
        <v>363</v>
      </c>
      <c r="C183" s="6" t="s">
        <v>364</v>
      </c>
    </row>
    <row r="184" spans="1:3">
      <c r="A184" s="5" t="str">
        <f>HYPERLINK("#'D15b2'!A1", "D15b2")</f>
        <v>D15b2</v>
      </c>
      <c r="B184" s="6" t="s">
        <v>365</v>
      </c>
      <c r="C184" s="6" t="s">
        <v>366</v>
      </c>
    </row>
    <row r="185" spans="1:3">
      <c r="A185" s="5" t="str">
        <f>HYPERLINK("#'D25'!A1", "D25")</f>
        <v>D25</v>
      </c>
      <c r="B185" s="6" t="s">
        <v>367</v>
      </c>
      <c r="C185" s="6" t="s">
        <v>368</v>
      </c>
    </row>
    <row r="186" spans="1:3" ht="29.1">
      <c r="A186" s="5" t="str">
        <f>HYPERLINK("#'D60'!A1", "D60")</f>
        <v>D60</v>
      </c>
      <c r="B186" s="6" t="s">
        <v>369</v>
      </c>
      <c r="C186" s="6" t="s">
        <v>370</v>
      </c>
    </row>
    <row r="187" spans="1:3">
      <c r="A187" s="5" t="str">
        <f>HYPERLINK("#'D43a'!A1", "D43a")</f>
        <v>D43a</v>
      </c>
      <c r="B187" s="6" t="s">
        <v>371</v>
      </c>
      <c r="C187" s="6" t="s">
        <v>372</v>
      </c>
    </row>
    <row r="188" spans="1:3">
      <c r="A188" s="5" t="str">
        <f>HYPERLINK("#'D43b'!A1", "D43b")</f>
        <v>D43b</v>
      </c>
      <c r="B188" s="6" t="s">
        <v>373</v>
      </c>
      <c r="C188" s="6" t="s">
        <v>374</v>
      </c>
    </row>
    <row r="189" spans="1:3">
      <c r="A189" s="5" t="str">
        <f>HYPERLINK("#'D43c'!A1", "D43c")</f>
        <v>D43c</v>
      </c>
      <c r="B189" s="6" t="s">
        <v>375</v>
      </c>
      <c r="C189" s="6" t="s">
        <v>376</v>
      </c>
    </row>
    <row r="190" spans="1:3">
      <c r="A190" s="5" t="str">
        <f>HYPERLINK("#'D43T'!A1", "D43T")</f>
        <v>D43T</v>
      </c>
      <c r="B190" s="6" t="s">
        <v>377</v>
      </c>
      <c r="C190" s="6" t="s">
        <v>378</v>
      </c>
    </row>
    <row r="191" spans="1:3">
      <c r="A191" s="5" t="str">
        <f>HYPERLINK("#'D62_1'!A1", "D62_1")</f>
        <v>D62_1</v>
      </c>
      <c r="B191" s="6" t="s">
        <v>379</v>
      </c>
      <c r="C191" s="6" t="s">
        <v>380</v>
      </c>
    </row>
    <row r="192" spans="1:3">
      <c r="A192" s="5" t="str">
        <f>HYPERLINK("#'D62_2'!A1", "D62_2")</f>
        <v>D62_2</v>
      </c>
      <c r="B192" s="6" t="s">
        <v>381</v>
      </c>
      <c r="C192" s="6" t="s">
        <v>382</v>
      </c>
    </row>
    <row r="193" spans="1:3" ht="29.1">
      <c r="A193" s="5" t="str">
        <f>HYPERLINK("#'D62_3'!A1", "D62_3")</f>
        <v>D62_3</v>
      </c>
      <c r="B193" s="6" t="s">
        <v>383</v>
      </c>
      <c r="C193" s="6" t="s">
        <v>384</v>
      </c>
    </row>
    <row r="194" spans="1:3">
      <c r="A194" s="5" t="str">
        <f>HYPERLINK("#'D62_4'!A1", "D62_4")</f>
        <v>D62_4</v>
      </c>
      <c r="B194" s="6" t="s">
        <v>385</v>
      </c>
      <c r="C194" s="6" t="s">
        <v>386</v>
      </c>
    </row>
    <row r="195" spans="1:3">
      <c r="A195" s="5" t="str">
        <f>HYPERLINK("#'D62R'!A1", "D62R")</f>
        <v>D62R</v>
      </c>
      <c r="B195" s="6" t="s">
        <v>387</v>
      </c>
      <c r="C195" s="6" t="s">
        <v>388</v>
      </c>
    </row>
    <row r="196" spans="1:3">
      <c r="A196" s="5" t="str">
        <f>HYPERLINK("#'D63'!A1", "D63")</f>
        <v>D63</v>
      </c>
      <c r="B196" s="6" t="s">
        <v>389</v>
      </c>
      <c r="C196" s="6" t="s">
        <v>390</v>
      </c>
    </row>
    <row r="197" spans="1:3" ht="29.1">
      <c r="A197" s="5" t="str">
        <f>HYPERLINK("#'D70'!A1", "D70")</f>
        <v>D70</v>
      </c>
      <c r="B197" s="6" t="s">
        <v>391</v>
      </c>
      <c r="C197" s="6" t="s">
        <v>392</v>
      </c>
    </row>
    <row r="198" spans="1:3" ht="29.1">
      <c r="A198" s="5" t="str">
        <f>HYPERLINK("#'D70a'!A1", "D70a")</f>
        <v>D70a</v>
      </c>
      <c r="B198" s="6" t="s">
        <v>393</v>
      </c>
      <c r="C198" s="6" t="s">
        <v>394</v>
      </c>
    </row>
    <row r="199" spans="1:3" ht="29.1">
      <c r="A199" s="5" t="str">
        <f>HYPERLINK("#'D73_1'!A1", "D73_1")</f>
        <v>D73_1</v>
      </c>
      <c r="B199" s="6" t="s">
        <v>395</v>
      </c>
      <c r="C199" s="6" t="s">
        <v>396</v>
      </c>
    </row>
    <row r="200" spans="1:3" ht="29.1">
      <c r="A200" s="5" t="str">
        <f>HYPERLINK("#'D73_2'!A1", "D73_2")</f>
        <v>D73_2</v>
      </c>
      <c r="B200" s="6" t="s">
        <v>397</v>
      </c>
      <c r="C200" s="6" t="s">
        <v>398</v>
      </c>
    </row>
    <row r="201" spans="1:3" ht="29.1">
      <c r="A201" s="5" t="str">
        <f>HYPERLINK("#'D73_3'!A1", "D73_3")</f>
        <v>D73_3</v>
      </c>
      <c r="B201" s="6" t="s">
        <v>399</v>
      </c>
      <c r="C201" s="6" t="s">
        <v>400</v>
      </c>
    </row>
    <row r="202" spans="1:3" ht="29.1">
      <c r="A202" s="5" t="str">
        <f>HYPERLINK("#'D73_4'!A1", "D73_4")</f>
        <v>D73_4</v>
      </c>
      <c r="B202" s="6" t="s">
        <v>401</v>
      </c>
      <c r="C202" s="6" t="s">
        <v>402</v>
      </c>
    </row>
    <row r="203" spans="1:3" ht="29.1">
      <c r="A203" s="5" t="str">
        <f>HYPERLINK("#'D71_1'!A1", "D71_1")</f>
        <v>D71_1</v>
      </c>
      <c r="B203" s="6" t="s">
        <v>403</v>
      </c>
      <c r="C203" s="6" t="s">
        <v>404</v>
      </c>
    </row>
    <row r="204" spans="1:3" ht="29.1">
      <c r="A204" s="5" t="str">
        <f>HYPERLINK("#'D71_2'!A1", "D71_2")</f>
        <v>D71_2</v>
      </c>
      <c r="B204" s="6" t="s">
        <v>405</v>
      </c>
      <c r="C204" s="6" t="s">
        <v>406</v>
      </c>
    </row>
    <row r="205" spans="1:3" ht="29.1">
      <c r="A205" s="5" t="str">
        <f>HYPERLINK("#'D71_3'!A1", "D71_3")</f>
        <v>D71_3</v>
      </c>
      <c r="B205" s="6" t="s">
        <v>407</v>
      </c>
      <c r="C205" s="6" t="s">
        <v>408</v>
      </c>
    </row>
    <row r="206" spans="1:3">
      <c r="A206" s="5" t="str">
        <f>HYPERLINK("#'C2'!A1", "C2")</f>
        <v>C2</v>
      </c>
      <c r="B206" s="6" t="s">
        <v>409</v>
      </c>
      <c r="C206" s="6" t="s">
        <v>410</v>
      </c>
    </row>
    <row r="207" spans="1:3" ht="29.1">
      <c r="A207" s="5" t="str">
        <f>HYPERLINK("#'D78'!A1", "D78")</f>
        <v>D78</v>
      </c>
      <c r="B207" s="6" t="s">
        <v>411</v>
      </c>
      <c r="C207" s="6" t="s">
        <v>412</v>
      </c>
    </row>
    <row r="208" spans="1:3" ht="29.1">
      <c r="A208" s="5" t="str">
        <f>HYPERLINK("#'SD18a'!A1", "SD18a")</f>
        <v>SD18a</v>
      </c>
      <c r="B208" s="6" t="s">
        <v>413</v>
      </c>
      <c r="C208" s="6" t="s">
        <v>414</v>
      </c>
    </row>
    <row r="209" spans="1:3">
      <c r="A209" s="5" t="str">
        <f>HYPERLINK("#'SD18b'!A1", "SD18b")</f>
        <v>SD18b</v>
      </c>
      <c r="B209" s="6" t="s">
        <v>415</v>
      </c>
      <c r="C209" s="6" t="s">
        <v>416</v>
      </c>
    </row>
    <row r="210" spans="1:3" ht="29.1">
      <c r="A210" s="5" t="str">
        <f>HYPERLINK("#'SD19a_1'!A1", "SD19a_1")</f>
        <v>SD19a_1</v>
      </c>
      <c r="B210" s="6" t="s">
        <v>417</v>
      </c>
      <c r="C210" s="6" t="s">
        <v>418</v>
      </c>
    </row>
    <row r="211" spans="1:3" ht="29.1">
      <c r="A211" s="5" t="str">
        <f>HYPERLINK("#'SD19a_2'!A1", "SD19a_2")</f>
        <v>SD19a_2</v>
      </c>
      <c r="B211" s="6" t="s">
        <v>419</v>
      </c>
      <c r="C211" s="6" t="s">
        <v>420</v>
      </c>
    </row>
    <row r="212" spans="1:3" ht="29.1">
      <c r="A212" s="5" t="str">
        <f>HYPERLINK("#'SD19a_3'!A1", "SD19a_3")</f>
        <v>SD19a_3</v>
      </c>
      <c r="B212" s="6" t="s">
        <v>421</v>
      </c>
      <c r="C212" s="6" t="s">
        <v>422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9</v>
      </c>
      <c r="C3" s="18"/>
      <c r="D3" s="18"/>
      <c r="E3" s="18"/>
      <c r="F3" s="18"/>
      <c r="H3" s="18" t="s">
        <v>10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450</v>
      </c>
      <c r="C12" s="12">
        <v>538</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1008</v>
      </c>
      <c r="Z12" s="12">
        <v>0</v>
      </c>
      <c r="AA12" s="12">
        <v>0</v>
      </c>
      <c r="AB12" s="12">
        <v>0</v>
      </c>
      <c r="AC12" s="12">
        <v>0</v>
      </c>
      <c r="AD12" s="12">
        <v>0</v>
      </c>
      <c r="AE12" s="12">
        <v>0</v>
      </c>
      <c r="AF12" s="12">
        <v>0</v>
      </c>
    </row>
    <row r="13" spans="1:32">
      <c r="A13" s="20"/>
      <c r="B13" s="13" t="s">
        <v>450</v>
      </c>
      <c r="C13" s="14">
        <v>0.02</v>
      </c>
      <c r="D13" s="15" t="s">
        <v>459</v>
      </c>
      <c r="E13" s="15" t="s">
        <v>459</v>
      </c>
      <c r="F13" s="15" t="s">
        <v>459</v>
      </c>
      <c r="G13" s="15" t="s">
        <v>459</v>
      </c>
      <c r="H13" s="15" t="s">
        <v>459</v>
      </c>
      <c r="I13" s="15" t="s">
        <v>459</v>
      </c>
      <c r="J13" s="15" t="s">
        <v>459</v>
      </c>
      <c r="K13" s="15" t="s">
        <v>459</v>
      </c>
      <c r="L13" s="15" t="s">
        <v>459</v>
      </c>
      <c r="M13" s="15" t="s">
        <v>459</v>
      </c>
      <c r="N13" s="15" t="s">
        <v>459</v>
      </c>
      <c r="O13" s="15" t="s">
        <v>459</v>
      </c>
      <c r="P13" s="15" t="s">
        <v>459</v>
      </c>
      <c r="Q13" s="15" t="s">
        <v>459</v>
      </c>
      <c r="R13" s="15" t="s">
        <v>459</v>
      </c>
      <c r="S13" s="15" t="s">
        <v>459</v>
      </c>
      <c r="T13" s="15" t="s">
        <v>459</v>
      </c>
      <c r="U13" s="15" t="s">
        <v>459</v>
      </c>
      <c r="V13" s="15" t="s">
        <v>459</v>
      </c>
      <c r="W13" s="15" t="s">
        <v>459</v>
      </c>
      <c r="X13" s="15" t="s">
        <v>459</v>
      </c>
      <c r="Y13" s="14">
        <v>1</v>
      </c>
      <c r="Z13" s="15" t="s">
        <v>459</v>
      </c>
      <c r="AA13" s="15" t="s">
        <v>459</v>
      </c>
      <c r="AB13" s="15" t="s">
        <v>459</v>
      </c>
      <c r="AC13" s="15" t="s">
        <v>459</v>
      </c>
      <c r="AD13" s="15" t="s">
        <v>459</v>
      </c>
      <c r="AE13" s="15" t="s">
        <v>459</v>
      </c>
      <c r="AF13" s="15" t="s">
        <v>459</v>
      </c>
    </row>
    <row r="14" spans="1:32">
      <c r="A14" s="20"/>
      <c r="B14" s="11" t="s">
        <v>429</v>
      </c>
      <c r="C14" s="12">
        <v>679</v>
      </c>
      <c r="D14" s="12">
        <v>1003</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row>
    <row r="15" spans="1:32">
      <c r="A15" s="20"/>
      <c r="B15" s="13" t="s">
        <v>429</v>
      </c>
      <c r="C15" s="14">
        <v>0.03</v>
      </c>
      <c r="D15" s="14">
        <v>1</v>
      </c>
      <c r="E15" s="15" t="s">
        <v>459</v>
      </c>
      <c r="F15" s="15" t="s">
        <v>459</v>
      </c>
      <c r="G15" s="15" t="s">
        <v>459</v>
      </c>
      <c r="H15" s="15" t="s">
        <v>459</v>
      </c>
      <c r="I15" s="15" t="s">
        <v>459</v>
      </c>
      <c r="J15" s="15" t="s">
        <v>459</v>
      </c>
      <c r="K15" s="15" t="s">
        <v>459</v>
      </c>
      <c r="L15" s="15" t="s">
        <v>459</v>
      </c>
      <c r="M15" s="15" t="s">
        <v>459</v>
      </c>
      <c r="N15" s="15" t="s">
        <v>459</v>
      </c>
      <c r="O15" s="15" t="s">
        <v>459</v>
      </c>
      <c r="P15" s="15" t="s">
        <v>459</v>
      </c>
      <c r="Q15" s="15" t="s">
        <v>459</v>
      </c>
      <c r="R15" s="15" t="s">
        <v>459</v>
      </c>
      <c r="S15" s="15" t="s">
        <v>459</v>
      </c>
      <c r="T15" s="15" t="s">
        <v>459</v>
      </c>
      <c r="U15" s="15" t="s">
        <v>459</v>
      </c>
      <c r="V15" s="15" t="s">
        <v>459</v>
      </c>
      <c r="W15" s="15" t="s">
        <v>459</v>
      </c>
      <c r="X15" s="15" t="s">
        <v>459</v>
      </c>
      <c r="Y15" s="15" t="s">
        <v>459</v>
      </c>
      <c r="Z15" s="15" t="s">
        <v>459</v>
      </c>
      <c r="AA15" s="15" t="s">
        <v>459</v>
      </c>
      <c r="AB15" s="15" t="s">
        <v>459</v>
      </c>
      <c r="AC15" s="15" t="s">
        <v>459</v>
      </c>
      <c r="AD15" s="15" t="s">
        <v>459</v>
      </c>
      <c r="AE15" s="15" t="s">
        <v>459</v>
      </c>
      <c r="AF15" s="15" t="s">
        <v>459</v>
      </c>
    </row>
    <row r="16" spans="1:32">
      <c r="A16" s="20"/>
      <c r="B16" s="11" t="s">
        <v>430</v>
      </c>
      <c r="C16" s="12">
        <v>380</v>
      </c>
      <c r="D16" s="12">
        <v>0</v>
      </c>
      <c r="E16" s="12">
        <v>1018</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row>
    <row r="17" spans="1:32">
      <c r="A17" s="20"/>
      <c r="B17" s="13" t="s">
        <v>430</v>
      </c>
      <c r="C17" s="14">
        <v>0.02</v>
      </c>
      <c r="D17" s="15" t="s">
        <v>459</v>
      </c>
      <c r="E17" s="14">
        <v>1</v>
      </c>
      <c r="F17" s="15" t="s">
        <v>459</v>
      </c>
      <c r="G17" s="15" t="s">
        <v>459</v>
      </c>
      <c r="H17" s="15" t="s">
        <v>459</v>
      </c>
      <c r="I17" s="15" t="s">
        <v>459</v>
      </c>
      <c r="J17" s="15" t="s">
        <v>459</v>
      </c>
      <c r="K17" s="15" t="s">
        <v>459</v>
      </c>
      <c r="L17" s="15" t="s">
        <v>459</v>
      </c>
      <c r="M17" s="15" t="s">
        <v>459</v>
      </c>
      <c r="N17" s="15" t="s">
        <v>459</v>
      </c>
      <c r="O17" s="15" t="s">
        <v>459</v>
      </c>
      <c r="P17" s="15" t="s">
        <v>459</v>
      </c>
      <c r="Q17" s="15" t="s">
        <v>459</v>
      </c>
      <c r="R17" s="15" t="s">
        <v>459</v>
      </c>
      <c r="S17" s="15" t="s">
        <v>459</v>
      </c>
      <c r="T17" s="15" t="s">
        <v>459</v>
      </c>
      <c r="U17" s="15" t="s">
        <v>459</v>
      </c>
      <c r="V17" s="15" t="s">
        <v>459</v>
      </c>
      <c r="W17" s="15" t="s">
        <v>459</v>
      </c>
      <c r="X17" s="15" t="s">
        <v>459</v>
      </c>
      <c r="Y17" s="15" t="s">
        <v>459</v>
      </c>
      <c r="Z17" s="15" t="s">
        <v>459</v>
      </c>
      <c r="AA17" s="15" t="s">
        <v>459</v>
      </c>
      <c r="AB17" s="15" t="s">
        <v>459</v>
      </c>
      <c r="AC17" s="15" t="s">
        <v>459</v>
      </c>
      <c r="AD17" s="15" t="s">
        <v>459</v>
      </c>
      <c r="AE17" s="15" t="s">
        <v>459</v>
      </c>
      <c r="AF17" s="15" t="s">
        <v>459</v>
      </c>
    </row>
    <row r="18" spans="1:32">
      <c r="A18" s="20"/>
      <c r="B18" s="11" t="s">
        <v>443</v>
      </c>
      <c r="C18" s="12">
        <v>56</v>
      </c>
      <c r="D18" s="12">
        <v>0</v>
      </c>
      <c r="E18" s="12">
        <v>0</v>
      </c>
      <c r="F18" s="12">
        <v>0</v>
      </c>
      <c r="G18" s="12">
        <v>0</v>
      </c>
      <c r="H18" s="12">
        <v>0</v>
      </c>
      <c r="I18" s="12">
        <v>0</v>
      </c>
      <c r="J18" s="12">
        <v>0</v>
      </c>
      <c r="K18" s="12">
        <v>0</v>
      </c>
      <c r="L18" s="12">
        <v>0</v>
      </c>
      <c r="M18" s="12">
        <v>0</v>
      </c>
      <c r="N18" s="12">
        <v>0</v>
      </c>
      <c r="O18" s="12">
        <v>0</v>
      </c>
      <c r="P18" s="12">
        <v>0</v>
      </c>
      <c r="Q18" s="12">
        <v>0</v>
      </c>
      <c r="R18" s="12">
        <v>500</v>
      </c>
      <c r="S18" s="12">
        <v>0</v>
      </c>
      <c r="T18" s="12">
        <v>0</v>
      </c>
      <c r="U18" s="12">
        <v>0</v>
      </c>
      <c r="V18" s="12">
        <v>0</v>
      </c>
      <c r="W18" s="12">
        <v>0</v>
      </c>
      <c r="X18" s="12">
        <v>0</v>
      </c>
      <c r="Y18" s="12">
        <v>0</v>
      </c>
      <c r="Z18" s="12">
        <v>0</v>
      </c>
      <c r="AA18" s="12">
        <v>0</v>
      </c>
      <c r="AB18" s="12">
        <v>0</v>
      </c>
      <c r="AC18" s="12">
        <v>0</v>
      </c>
      <c r="AD18" s="12">
        <v>0</v>
      </c>
      <c r="AE18" s="12">
        <v>0</v>
      </c>
      <c r="AF18" s="12">
        <v>0</v>
      </c>
    </row>
    <row r="19" spans="1:32">
      <c r="A19" s="20"/>
      <c r="B19" s="13" t="s">
        <v>443</v>
      </c>
      <c r="C19" s="15" t="s">
        <v>459</v>
      </c>
      <c r="D19" s="15" t="s">
        <v>459</v>
      </c>
      <c r="E19" s="15" t="s">
        <v>459</v>
      </c>
      <c r="F19" s="15" t="s">
        <v>459</v>
      </c>
      <c r="G19" s="15" t="s">
        <v>459</v>
      </c>
      <c r="H19" s="15" t="s">
        <v>459</v>
      </c>
      <c r="I19" s="15" t="s">
        <v>459</v>
      </c>
      <c r="J19" s="15" t="s">
        <v>459</v>
      </c>
      <c r="K19" s="15" t="s">
        <v>459</v>
      </c>
      <c r="L19" s="15" t="s">
        <v>459</v>
      </c>
      <c r="M19" s="15" t="s">
        <v>459</v>
      </c>
      <c r="N19" s="15" t="s">
        <v>459</v>
      </c>
      <c r="O19" s="15" t="s">
        <v>459</v>
      </c>
      <c r="P19" s="15" t="s">
        <v>459</v>
      </c>
      <c r="Q19" s="15" t="s">
        <v>459</v>
      </c>
      <c r="R19" s="14">
        <v>1</v>
      </c>
      <c r="S19" s="15" t="s">
        <v>459</v>
      </c>
      <c r="T19" s="15" t="s">
        <v>459</v>
      </c>
      <c r="U19" s="15" t="s">
        <v>459</v>
      </c>
      <c r="V19" s="15" t="s">
        <v>459</v>
      </c>
      <c r="W19" s="15" t="s">
        <v>459</v>
      </c>
      <c r="X19" s="15" t="s">
        <v>459</v>
      </c>
      <c r="Y19" s="15" t="s">
        <v>459</v>
      </c>
      <c r="Z19" s="15" t="s">
        <v>459</v>
      </c>
      <c r="AA19" s="15" t="s">
        <v>459</v>
      </c>
      <c r="AB19" s="15" t="s">
        <v>459</v>
      </c>
      <c r="AC19" s="15" t="s">
        <v>459</v>
      </c>
      <c r="AD19" s="15" t="s">
        <v>459</v>
      </c>
      <c r="AE19" s="15" t="s">
        <v>459</v>
      </c>
      <c r="AF19" s="15" t="s">
        <v>459</v>
      </c>
    </row>
    <row r="20" spans="1:32">
      <c r="A20" s="20"/>
      <c r="B20" s="11" t="s">
        <v>431</v>
      </c>
      <c r="C20" s="12">
        <v>629</v>
      </c>
      <c r="D20" s="12">
        <v>0</v>
      </c>
      <c r="E20" s="12">
        <v>0</v>
      </c>
      <c r="F20" s="12">
        <v>1005</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row>
    <row r="21" spans="1:32">
      <c r="A21" s="20"/>
      <c r="B21" s="13" t="s">
        <v>431</v>
      </c>
      <c r="C21" s="14">
        <v>0.02</v>
      </c>
      <c r="D21" s="15" t="s">
        <v>459</v>
      </c>
      <c r="E21" s="15" t="s">
        <v>459</v>
      </c>
      <c r="F21" s="14">
        <v>1</v>
      </c>
      <c r="G21" s="15" t="s">
        <v>459</v>
      </c>
      <c r="H21" s="15" t="s">
        <v>459</v>
      </c>
      <c r="I21" s="15" t="s">
        <v>459</v>
      </c>
      <c r="J21" s="15" t="s">
        <v>459</v>
      </c>
      <c r="K21" s="15" t="s">
        <v>459</v>
      </c>
      <c r="L21" s="15" t="s">
        <v>459</v>
      </c>
      <c r="M21" s="15" t="s">
        <v>459</v>
      </c>
      <c r="N21" s="15" t="s">
        <v>459</v>
      </c>
      <c r="O21" s="15" t="s">
        <v>459</v>
      </c>
      <c r="P21" s="15" t="s">
        <v>459</v>
      </c>
      <c r="Q21" s="15" t="s">
        <v>459</v>
      </c>
      <c r="R21" s="15" t="s">
        <v>459</v>
      </c>
      <c r="S21" s="15" t="s">
        <v>459</v>
      </c>
      <c r="T21" s="15" t="s">
        <v>459</v>
      </c>
      <c r="U21" s="15" t="s">
        <v>459</v>
      </c>
      <c r="V21" s="15" t="s">
        <v>459</v>
      </c>
      <c r="W21" s="15" t="s">
        <v>459</v>
      </c>
      <c r="X21" s="15" t="s">
        <v>459</v>
      </c>
      <c r="Y21" s="15" t="s">
        <v>459</v>
      </c>
      <c r="Z21" s="15" t="s">
        <v>459</v>
      </c>
      <c r="AA21" s="15" t="s">
        <v>459</v>
      </c>
      <c r="AB21" s="15" t="s">
        <v>459</v>
      </c>
      <c r="AC21" s="15" t="s">
        <v>459</v>
      </c>
      <c r="AD21" s="15" t="s">
        <v>459</v>
      </c>
      <c r="AE21" s="15" t="s">
        <v>459</v>
      </c>
      <c r="AF21" s="15" t="s">
        <v>459</v>
      </c>
    </row>
    <row r="22" spans="1:32">
      <c r="A22" s="20"/>
      <c r="B22" s="11" t="s">
        <v>432</v>
      </c>
      <c r="C22" s="12">
        <v>345</v>
      </c>
      <c r="D22" s="12">
        <v>0</v>
      </c>
      <c r="E22" s="12">
        <v>0</v>
      </c>
      <c r="F22" s="12">
        <v>0</v>
      </c>
      <c r="G22" s="12">
        <v>1004</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row>
    <row r="23" spans="1:32">
      <c r="A23" s="20"/>
      <c r="B23" s="13" t="s">
        <v>432</v>
      </c>
      <c r="C23" s="14">
        <v>0.01</v>
      </c>
      <c r="D23" s="15" t="s">
        <v>459</v>
      </c>
      <c r="E23" s="15" t="s">
        <v>459</v>
      </c>
      <c r="F23" s="15" t="s">
        <v>459</v>
      </c>
      <c r="G23" s="14">
        <v>1</v>
      </c>
      <c r="H23" s="15" t="s">
        <v>459</v>
      </c>
      <c r="I23" s="15" t="s">
        <v>459</v>
      </c>
      <c r="J23" s="15" t="s">
        <v>459</v>
      </c>
      <c r="K23" s="15" t="s">
        <v>459</v>
      </c>
      <c r="L23" s="15" t="s">
        <v>459</v>
      </c>
      <c r="M23" s="15" t="s">
        <v>459</v>
      </c>
      <c r="N23" s="15" t="s">
        <v>459</v>
      </c>
      <c r="O23" s="15" t="s">
        <v>459</v>
      </c>
      <c r="P23" s="15" t="s">
        <v>459</v>
      </c>
      <c r="Q23" s="15" t="s">
        <v>459</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row r="24" spans="1:32">
      <c r="A24" s="20"/>
      <c r="B24" s="11" t="s">
        <v>436</v>
      </c>
      <c r="C24" s="12">
        <v>79</v>
      </c>
      <c r="D24" s="12">
        <v>0</v>
      </c>
      <c r="E24" s="12">
        <v>0</v>
      </c>
      <c r="F24" s="12">
        <v>0</v>
      </c>
      <c r="G24" s="12">
        <v>0</v>
      </c>
      <c r="H24" s="12">
        <v>0</v>
      </c>
      <c r="I24" s="12">
        <v>0</v>
      </c>
      <c r="J24" s="12">
        <v>0</v>
      </c>
      <c r="K24" s="12">
        <v>1006</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row>
    <row r="25" spans="1:32">
      <c r="A25" s="20"/>
      <c r="B25" s="13" t="s">
        <v>436</v>
      </c>
      <c r="C25" s="15" t="s">
        <v>459</v>
      </c>
      <c r="D25" s="15" t="s">
        <v>459</v>
      </c>
      <c r="E25" s="15" t="s">
        <v>459</v>
      </c>
      <c r="F25" s="15" t="s">
        <v>459</v>
      </c>
      <c r="G25" s="15" t="s">
        <v>459</v>
      </c>
      <c r="H25" s="15" t="s">
        <v>459</v>
      </c>
      <c r="I25" s="15" t="s">
        <v>459</v>
      </c>
      <c r="J25" s="15" t="s">
        <v>459</v>
      </c>
      <c r="K25" s="14">
        <v>1</v>
      </c>
      <c r="L25" s="15" t="s">
        <v>459</v>
      </c>
      <c r="M25" s="15" t="s">
        <v>459</v>
      </c>
      <c r="N25" s="15" t="s">
        <v>459</v>
      </c>
      <c r="O25" s="15" t="s">
        <v>459</v>
      </c>
      <c r="P25" s="15" t="s">
        <v>459</v>
      </c>
      <c r="Q25" s="15" t="s">
        <v>459</v>
      </c>
      <c r="R25" s="15" t="s">
        <v>459</v>
      </c>
      <c r="S25" s="15" t="s">
        <v>459</v>
      </c>
      <c r="T25" s="15" t="s">
        <v>459</v>
      </c>
      <c r="U25" s="15" t="s">
        <v>459</v>
      </c>
      <c r="V25" s="15" t="s">
        <v>459</v>
      </c>
      <c r="W25" s="15" t="s">
        <v>459</v>
      </c>
      <c r="X25" s="15" t="s">
        <v>459</v>
      </c>
      <c r="Y25" s="15" t="s">
        <v>459</v>
      </c>
      <c r="Z25" s="15" t="s">
        <v>459</v>
      </c>
      <c r="AA25" s="15" t="s">
        <v>459</v>
      </c>
      <c r="AB25" s="15" t="s">
        <v>459</v>
      </c>
      <c r="AC25" s="15" t="s">
        <v>459</v>
      </c>
      <c r="AD25" s="15" t="s">
        <v>459</v>
      </c>
      <c r="AE25" s="15" t="s">
        <v>459</v>
      </c>
      <c r="AF25" s="15" t="s">
        <v>459</v>
      </c>
    </row>
    <row r="26" spans="1:32">
      <c r="A26" s="20"/>
      <c r="B26" s="11" t="s">
        <v>438</v>
      </c>
      <c r="C26" s="12">
        <v>620</v>
      </c>
      <c r="D26" s="12">
        <v>0</v>
      </c>
      <c r="E26" s="12">
        <v>0</v>
      </c>
      <c r="F26" s="12">
        <v>0</v>
      </c>
      <c r="G26" s="12">
        <v>0</v>
      </c>
      <c r="H26" s="12">
        <v>0</v>
      </c>
      <c r="I26" s="12">
        <v>0</v>
      </c>
      <c r="J26" s="12">
        <v>0</v>
      </c>
      <c r="K26" s="12">
        <v>0</v>
      </c>
      <c r="L26" s="12">
        <v>0</v>
      </c>
      <c r="M26" s="12">
        <v>1003</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row>
    <row r="27" spans="1:32">
      <c r="A27" s="20"/>
      <c r="B27" s="13" t="s">
        <v>438</v>
      </c>
      <c r="C27" s="14">
        <v>0.02</v>
      </c>
      <c r="D27" s="15" t="s">
        <v>459</v>
      </c>
      <c r="E27" s="15" t="s">
        <v>459</v>
      </c>
      <c r="F27" s="15" t="s">
        <v>459</v>
      </c>
      <c r="G27" s="15" t="s">
        <v>459</v>
      </c>
      <c r="H27" s="15" t="s">
        <v>459</v>
      </c>
      <c r="I27" s="15" t="s">
        <v>459</v>
      </c>
      <c r="J27" s="15" t="s">
        <v>459</v>
      </c>
      <c r="K27" s="15" t="s">
        <v>459</v>
      </c>
      <c r="L27" s="15" t="s">
        <v>459</v>
      </c>
      <c r="M27" s="14">
        <v>1</v>
      </c>
      <c r="N27" s="15" t="s">
        <v>459</v>
      </c>
      <c r="O27" s="15" t="s">
        <v>459</v>
      </c>
      <c r="P27" s="15" t="s">
        <v>459</v>
      </c>
      <c r="Q27" s="15" t="s">
        <v>459</v>
      </c>
      <c r="R27" s="15" t="s">
        <v>459</v>
      </c>
      <c r="S27" s="15" t="s">
        <v>459</v>
      </c>
      <c r="T27" s="15" t="s">
        <v>459</v>
      </c>
      <c r="U27" s="15" t="s">
        <v>459</v>
      </c>
      <c r="V27" s="15" t="s">
        <v>459</v>
      </c>
      <c r="W27" s="15" t="s">
        <v>459</v>
      </c>
      <c r="X27" s="15" t="s">
        <v>459</v>
      </c>
      <c r="Y27" s="15" t="s">
        <v>459</v>
      </c>
      <c r="Z27" s="15" t="s">
        <v>459</v>
      </c>
      <c r="AA27" s="15" t="s">
        <v>459</v>
      </c>
      <c r="AB27" s="15" t="s">
        <v>459</v>
      </c>
      <c r="AC27" s="15" t="s">
        <v>459</v>
      </c>
      <c r="AD27" s="15" t="s">
        <v>459</v>
      </c>
      <c r="AE27" s="15" t="s">
        <v>459</v>
      </c>
      <c r="AF27" s="15" t="s">
        <v>459</v>
      </c>
    </row>
    <row r="28" spans="1:32">
      <c r="A28" s="20"/>
      <c r="B28" s="11" t="s">
        <v>439</v>
      </c>
      <c r="C28" s="12">
        <v>2895</v>
      </c>
      <c r="D28" s="12">
        <v>0</v>
      </c>
      <c r="E28" s="12">
        <v>0</v>
      </c>
      <c r="F28" s="12">
        <v>0</v>
      </c>
      <c r="G28" s="12">
        <v>0</v>
      </c>
      <c r="H28" s="12">
        <v>0</v>
      </c>
      <c r="I28" s="12">
        <v>0</v>
      </c>
      <c r="J28" s="12">
        <v>0</v>
      </c>
      <c r="K28" s="12">
        <v>0</v>
      </c>
      <c r="L28" s="12">
        <v>0</v>
      </c>
      <c r="M28" s="12">
        <v>0</v>
      </c>
      <c r="N28" s="12">
        <v>1004</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row>
    <row r="29" spans="1:32">
      <c r="A29" s="20"/>
      <c r="B29" s="13" t="s">
        <v>439</v>
      </c>
      <c r="C29" s="14">
        <v>0.11</v>
      </c>
      <c r="D29" s="15" t="s">
        <v>459</v>
      </c>
      <c r="E29" s="15" t="s">
        <v>459</v>
      </c>
      <c r="F29" s="15" t="s">
        <v>459</v>
      </c>
      <c r="G29" s="15" t="s">
        <v>459</v>
      </c>
      <c r="H29" s="15" t="s">
        <v>459</v>
      </c>
      <c r="I29" s="15" t="s">
        <v>459</v>
      </c>
      <c r="J29" s="15" t="s">
        <v>459</v>
      </c>
      <c r="K29" s="15" t="s">
        <v>459</v>
      </c>
      <c r="L29" s="15" t="s">
        <v>459</v>
      </c>
      <c r="M29" s="15" t="s">
        <v>459</v>
      </c>
      <c r="N29" s="14">
        <v>1</v>
      </c>
      <c r="O29" s="15" t="s">
        <v>459</v>
      </c>
      <c r="P29" s="15" t="s">
        <v>459</v>
      </c>
      <c r="Q29" s="15" t="s">
        <v>459</v>
      </c>
      <c r="R29" s="15" t="s">
        <v>459</v>
      </c>
      <c r="S29" s="15" t="s">
        <v>459</v>
      </c>
      <c r="T29" s="15" t="s">
        <v>459</v>
      </c>
      <c r="U29" s="15" t="s">
        <v>459</v>
      </c>
      <c r="V29" s="15" t="s">
        <v>459</v>
      </c>
      <c r="W29" s="15" t="s">
        <v>459</v>
      </c>
      <c r="X29" s="15" t="s">
        <v>459</v>
      </c>
      <c r="Y29" s="15" t="s">
        <v>459</v>
      </c>
      <c r="Z29" s="15" t="s">
        <v>459</v>
      </c>
      <c r="AA29" s="15" t="s">
        <v>459</v>
      </c>
      <c r="AB29" s="15" t="s">
        <v>459</v>
      </c>
      <c r="AC29" s="15" t="s">
        <v>459</v>
      </c>
      <c r="AD29" s="15" t="s">
        <v>459</v>
      </c>
      <c r="AE29" s="15" t="s">
        <v>459</v>
      </c>
      <c r="AF29" s="15" t="s">
        <v>459</v>
      </c>
    </row>
    <row r="30" spans="1:32">
      <c r="A30" s="20"/>
      <c r="B30" s="11" t="s">
        <v>456</v>
      </c>
      <c r="C30" s="12">
        <v>327</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1001</v>
      </c>
      <c r="AF30" s="12">
        <v>0</v>
      </c>
    </row>
    <row r="31" spans="1:32">
      <c r="A31" s="20"/>
      <c r="B31" s="13" t="s">
        <v>456</v>
      </c>
      <c r="C31" s="14">
        <v>0.01</v>
      </c>
      <c r="D31" s="15" t="s">
        <v>459</v>
      </c>
      <c r="E31" s="15" t="s">
        <v>459</v>
      </c>
      <c r="F31" s="15" t="s">
        <v>459</v>
      </c>
      <c r="G31" s="15" t="s">
        <v>459</v>
      </c>
      <c r="H31" s="15" t="s">
        <v>459</v>
      </c>
      <c r="I31" s="15" t="s">
        <v>459</v>
      </c>
      <c r="J31" s="15" t="s">
        <v>459</v>
      </c>
      <c r="K31" s="15" t="s">
        <v>459</v>
      </c>
      <c r="L31" s="15" t="s">
        <v>459</v>
      </c>
      <c r="M31" s="15" t="s">
        <v>459</v>
      </c>
      <c r="N31" s="15" t="s">
        <v>459</v>
      </c>
      <c r="O31" s="15" t="s">
        <v>459</v>
      </c>
      <c r="P31" s="15" t="s">
        <v>459</v>
      </c>
      <c r="Q31" s="15" t="s">
        <v>459</v>
      </c>
      <c r="R31" s="15" t="s">
        <v>459</v>
      </c>
      <c r="S31" s="15" t="s">
        <v>459</v>
      </c>
      <c r="T31" s="15" t="s">
        <v>459</v>
      </c>
      <c r="U31" s="15" t="s">
        <v>459</v>
      </c>
      <c r="V31" s="15" t="s">
        <v>459</v>
      </c>
      <c r="W31" s="15" t="s">
        <v>459</v>
      </c>
      <c r="X31" s="15" t="s">
        <v>459</v>
      </c>
      <c r="Y31" s="15" t="s">
        <v>459</v>
      </c>
      <c r="Z31" s="15" t="s">
        <v>459</v>
      </c>
      <c r="AA31" s="15" t="s">
        <v>459</v>
      </c>
      <c r="AB31" s="15" t="s">
        <v>459</v>
      </c>
      <c r="AC31" s="15" t="s">
        <v>459</v>
      </c>
      <c r="AD31" s="15" t="s">
        <v>459</v>
      </c>
      <c r="AE31" s="14">
        <v>1</v>
      </c>
      <c r="AF31" s="15" t="s">
        <v>459</v>
      </c>
    </row>
    <row r="32" spans="1:32">
      <c r="A32" s="20"/>
      <c r="B32" s="11" t="s">
        <v>440</v>
      </c>
      <c r="C32" s="12">
        <v>3901</v>
      </c>
      <c r="D32" s="12">
        <v>0</v>
      </c>
      <c r="E32" s="12">
        <v>0</v>
      </c>
      <c r="F32" s="12">
        <v>0</v>
      </c>
      <c r="G32" s="12">
        <v>0</v>
      </c>
      <c r="H32" s="12">
        <v>0</v>
      </c>
      <c r="I32" s="12">
        <v>0</v>
      </c>
      <c r="J32" s="12">
        <v>0</v>
      </c>
      <c r="K32" s="12">
        <v>0</v>
      </c>
      <c r="L32" s="12">
        <v>0</v>
      </c>
      <c r="M32" s="12">
        <v>0</v>
      </c>
      <c r="N32" s="12">
        <v>0</v>
      </c>
      <c r="O32" s="12">
        <v>1003</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c r="A33" s="20"/>
      <c r="B33" s="13" t="s">
        <v>440</v>
      </c>
      <c r="C33" s="14">
        <v>0.15</v>
      </c>
      <c r="D33" s="15" t="s">
        <v>459</v>
      </c>
      <c r="E33" s="15" t="s">
        <v>459</v>
      </c>
      <c r="F33" s="15" t="s">
        <v>459</v>
      </c>
      <c r="G33" s="15" t="s">
        <v>459</v>
      </c>
      <c r="H33" s="15" t="s">
        <v>459</v>
      </c>
      <c r="I33" s="15" t="s">
        <v>459</v>
      </c>
      <c r="J33" s="15" t="s">
        <v>459</v>
      </c>
      <c r="K33" s="15" t="s">
        <v>459</v>
      </c>
      <c r="L33" s="15" t="s">
        <v>459</v>
      </c>
      <c r="M33" s="15" t="s">
        <v>459</v>
      </c>
      <c r="N33" s="15" t="s">
        <v>459</v>
      </c>
      <c r="O33" s="14">
        <v>1</v>
      </c>
      <c r="P33" s="15" t="s">
        <v>459</v>
      </c>
      <c r="Q33" s="15" t="s">
        <v>459</v>
      </c>
      <c r="R33" s="15" t="s">
        <v>459</v>
      </c>
      <c r="S33" s="15" t="s">
        <v>459</v>
      </c>
      <c r="T33" s="15" t="s">
        <v>459</v>
      </c>
      <c r="U33" s="15" t="s">
        <v>459</v>
      </c>
      <c r="V33" s="15" t="s">
        <v>459</v>
      </c>
      <c r="W33" s="15" t="s">
        <v>459</v>
      </c>
      <c r="X33" s="15" t="s">
        <v>459</v>
      </c>
      <c r="Y33" s="15" t="s">
        <v>459</v>
      </c>
      <c r="Z33" s="15" t="s">
        <v>459</v>
      </c>
      <c r="AA33" s="15" t="s">
        <v>459</v>
      </c>
      <c r="AB33" s="15" t="s">
        <v>459</v>
      </c>
      <c r="AC33" s="15" t="s">
        <v>459</v>
      </c>
      <c r="AD33" s="15" t="s">
        <v>459</v>
      </c>
      <c r="AE33" s="15" t="s">
        <v>459</v>
      </c>
      <c r="AF33" s="15" t="s">
        <v>459</v>
      </c>
    </row>
    <row r="34" spans="1:32">
      <c r="A34" s="20"/>
      <c r="B34" s="11" t="s">
        <v>441</v>
      </c>
      <c r="C34" s="12">
        <v>228</v>
      </c>
      <c r="D34" s="12">
        <v>0</v>
      </c>
      <c r="E34" s="12">
        <v>0</v>
      </c>
      <c r="F34" s="12">
        <v>0</v>
      </c>
      <c r="G34" s="12">
        <v>0</v>
      </c>
      <c r="H34" s="12">
        <v>0</v>
      </c>
      <c r="I34" s="12">
        <v>0</v>
      </c>
      <c r="J34" s="12">
        <v>0</v>
      </c>
      <c r="K34" s="12">
        <v>0</v>
      </c>
      <c r="L34" s="12">
        <v>0</v>
      </c>
      <c r="M34" s="12">
        <v>0</v>
      </c>
      <c r="N34" s="12">
        <v>0</v>
      </c>
      <c r="O34" s="12">
        <v>0</v>
      </c>
      <c r="P34" s="12">
        <v>1022</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c r="A35" s="20"/>
      <c r="B35" s="13" t="s">
        <v>441</v>
      </c>
      <c r="C35" s="14">
        <v>0.01</v>
      </c>
      <c r="D35" s="15" t="s">
        <v>459</v>
      </c>
      <c r="E35" s="15" t="s">
        <v>459</v>
      </c>
      <c r="F35" s="15" t="s">
        <v>459</v>
      </c>
      <c r="G35" s="15" t="s">
        <v>459</v>
      </c>
      <c r="H35" s="15" t="s">
        <v>459</v>
      </c>
      <c r="I35" s="15" t="s">
        <v>459</v>
      </c>
      <c r="J35" s="15" t="s">
        <v>459</v>
      </c>
      <c r="K35" s="15" t="s">
        <v>459</v>
      </c>
      <c r="L35" s="15" t="s">
        <v>459</v>
      </c>
      <c r="M35" s="15" t="s">
        <v>459</v>
      </c>
      <c r="N35" s="15" t="s">
        <v>459</v>
      </c>
      <c r="O35" s="15" t="s">
        <v>459</v>
      </c>
      <c r="P35" s="14">
        <v>1</v>
      </c>
      <c r="Q35" s="15" t="s">
        <v>459</v>
      </c>
      <c r="R35" s="15" t="s">
        <v>459</v>
      </c>
      <c r="S35" s="15" t="s">
        <v>459</v>
      </c>
      <c r="T35" s="15" t="s">
        <v>459</v>
      </c>
      <c r="U35" s="15" t="s">
        <v>459</v>
      </c>
      <c r="V35" s="15" t="s">
        <v>459</v>
      </c>
      <c r="W35" s="15" t="s">
        <v>459</v>
      </c>
      <c r="X35" s="15" t="s">
        <v>459</v>
      </c>
      <c r="Y35" s="15" t="s">
        <v>459</v>
      </c>
      <c r="Z35" s="15" t="s">
        <v>459</v>
      </c>
      <c r="AA35" s="15" t="s">
        <v>459</v>
      </c>
      <c r="AB35" s="15" t="s">
        <v>459</v>
      </c>
      <c r="AC35" s="15" t="s">
        <v>459</v>
      </c>
      <c r="AD35" s="15" t="s">
        <v>459</v>
      </c>
      <c r="AE35" s="15" t="s">
        <v>459</v>
      </c>
      <c r="AF35" s="15" t="s">
        <v>459</v>
      </c>
    </row>
    <row r="36" spans="1:32">
      <c r="A36" s="20"/>
      <c r="B36" s="11" t="s">
        <v>447</v>
      </c>
      <c r="C36" s="12">
        <v>563</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1017</v>
      </c>
      <c r="W36" s="12">
        <v>0</v>
      </c>
      <c r="X36" s="12">
        <v>0</v>
      </c>
      <c r="Y36" s="12">
        <v>0</v>
      </c>
      <c r="Z36" s="12">
        <v>0</v>
      </c>
      <c r="AA36" s="12">
        <v>0</v>
      </c>
      <c r="AB36" s="12">
        <v>0</v>
      </c>
      <c r="AC36" s="12">
        <v>0</v>
      </c>
      <c r="AD36" s="12">
        <v>0</v>
      </c>
      <c r="AE36" s="12">
        <v>0</v>
      </c>
      <c r="AF36" s="12">
        <v>0</v>
      </c>
    </row>
    <row r="37" spans="1:32">
      <c r="A37" s="20"/>
      <c r="B37" s="13" t="s">
        <v>447</v>
      </c>
      <c r="C37" s="14">
        <v>0.02</v>
      </c>
      <c r="D37" s="15" t="s">
        <v>459</v>
      </c>
      <c r="E37" s="15" t="s">
        <v>459</v>
      </c>
      <c r="F37" s="15" t="s">
        <v>459</v>
      </c>
      <c r="G37" s="15" t="s">
        <v>459</v>
      </c>
      <c r="H37" s="15" t="s">
        <v>459</v>
      </c>
      <c r="I37" s="15" t="s">
        <v>459</v>
      </c>
      <c r="J37" s="15" t="s">
        <v>459</v>
      </c>
      <c r="K37" s="15" t="s">
        <v>459</v>
      </c>
      <c r="L37" s="15" t="s">
        <v>459</v>
      </c>
      <c r="M37" s="15" t="s">
        <v>459</v>
      </c>
      <c r="N37" s="15" t="s">
        <v>459</v>
      </c>
      <c r="O37" s="15" t="s">
        <v>459</v>
      </c>
      <c r="P37" s="15" t="s">
        <v>459</v>
      </c>
      <c r="Q37" s="15" t="s">
        <v>459</v>
      </c>
      <c r="R37" s="15" t="s">
        <v>459</v>
      </c>
      <c r="S37" s="15" t="s">
        <v>459</v>
      </c>
      <c r="T37" s="15" t="s">
        <v>459</v>
      </c>
      <c r="U37" s="15" t="s">
        <v>459</v>
      </c>
      <c r="V37" s="14">
        <v>1</v>
      </c>
      <c r="W37" s="15" t="s">
        <v>459</v>
      </c>
      <c r="X37" s="15" t="s">
        <v>459</v>
      </c>
      <c r="Y37" s="15" t="s">
        <v>459</v>
      </c>
      <c r="Z37" s="15" t="s">
        <v>459</v>
      </c>
      <c r="AA37" s="15" t="s">
        <v>459</v>
      </c>
      <c r="AB37" s="15" t="s">
        <v>459</v>
      </c>
      <c r="AC37" s="15" t="s">
        <v>459</v>
      </c>
      <c r="AD37" s="15" t="s">
        <v>459</v>
      </c>
      <c r="AE37" s="15" t="s">
        <v>459</v>
      </c>
      <c r="AF37" s="15" t="s">
        <v>459</v>
      </c>
    </row>
    <row r="38" spans="1:32">
      <c r="A38" s="20"/>
      <c r="B38" s="11" t="s">
        <v>437</v>
      </c>
      <c r="C38" s="12">
        <v>298</v>
      </c>
      <c r="D38" s="12">
        <v>0</v>
      </c>
      <c r="E38" s="12">
        <v>0</v>
      </c>
      <c r="F38" s="12">
        <v>0</v>
      </c>
      <c r="G38" s="12">
        <v>0</v>
      </c>
      <c r="H38" s="12">
        <v>0</v>
      </c>
      <c r="I38" s="12">
        <v>0</v>
      </c>
      <c r="J38" s="12">
        <v>0</v>
      </c>
      <c r="K38" s="12">
        <v>0</v>
      </c>
      <c r="L38" s="12">
        <v>1007</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row>
    <row r="39" spans="1:32">
      <c r="A39" s="20"/>
      <c r="B39" s="13" t="s">
        <v>437</v>
      </c>
      <c r="C39" s="14">
        <v>0.01</v>
      </c>
      <c r="D39" s="15" t="s">
        <v>459</v>
      </c>
      <c r="E39" s="15" t="s">
        <v>459</v>
      </c>
      <c r="F39" s="15" t="s">
        <v>459</v>
      </c>
      <c r="G39" s="15" t="s">
        <v>459</v>
      </c>
      <c r="H39" s="15" t="s">
        <v>459</v>
      </c>
      <c r="I39" s="15" t="s">
        <v>459</v>
      </c>
      <c r="J39" s="15" t="s">
        <v>459</v>
      </c>
      <c r="K39" s="15" t="s">
        <v>459</v>
      </c>
      <c r="L39" s="14">
        <v>1</v>
      </c>
      <c r="M39" s="15" t="s">
        <v>459</v>
      </c>
      <c r="N39" s="15" t="s">
        <v>459</v>
      </c>
      <c r="O39" s="15" t="s">
        <v>459</v>
      </c>
      <c r="P39" s="15" t="s">
        <v>459</v>
      </c>
      <c r="Q39" s="15" t="s">
        <v>459</v>
      </c>
      <c r="R39" s="15" t="s">
        <v>459</v>
      </c>
      <c r="S39" s="15" t="s">
        <v>459</v>
      </c>
      <c r="T39" s="15" t="s">
        <v>459</v>
      </c>
      <c r="U39" s="15" t="s">
        <v>459</v>
      </c>
      <c r="V39" s="15" t="s">
        <v>459</v>
      </c>
      <c r="W39" s="15" t="s">
        <v>459</v>
      </c>
      <c r="X39" s="15" t="s">
        <v>459</v>
      </c>
      <c r="Y39" s="15" t="s">
        <v>459</v>
      </c>
      <c r="Z39" s="15" t="s">
        <v>459</v>
      </c>
      <c r="AA39" s="15" t="s">
        <v>459</v>
      </c>
      <c r="AB39" s="15" t="s">
        <v>459</v>
      </c>
      <c r="AC39" s="15" t="s">
        <v>459</v>
      </c>
      <c r="AD39" s="15" t="s">
        <v>459</v>
      </c>
      <c r="AE39" s="15" t="s">
        <v>459</v>
      </c>
      <c r="AF39" s="15" t="s">
        <v>459</v>
      </c>
    </row>
    <row r="40" spans="1:32">
      <c r="A40" s="20"/>
      <c r="B40" s="11" t="s">
        <v>442</v>
      </c>
      <c r="C40" s="12">
        <v>3553</v>
      </c>
      <c r="D40" s="12">
        <v>0</v>
      </c>
      <c r="E40" s="12">
        <v>0</v>
      </c>
      <c r="F40" s="12">
        <v>0</v>
      </c>
      <c r="G40" s="12">
        <v>0</v>
      </c>
      <c r="H40" s="12">
        <v>0</v>
      </c>
      <c r="I40" s="12">
        <v>0</v>
      </c>
      <c r="J40" s="12">
        <v>0</v>
      </c>
      <c r="K40" s="12">
        <v>0</v>
      </c>
      <c r="L40" s="12">
        <v>0</v>
      </c>
      <c r="M40" s="12">
        <v>0</v>
      </c>
      <c r="N40" s="12">
        <v>0</v>
      </c>
      <c r="O40" s="12">
        <v>0</v>
      </c>
      <c r="P40" s="12">
        <v>0</v>
      </c>
      <c r="Q40" s="12">
        <v>1019</v>
      </c>
      <c r="R40" s="12">
        <v>0</v>
      </c>
      <c r="S40" s="12">
        <v>0</v>
      </c>
      <c r="T40" s="12">
        <v>0</v>
      </c>
      <c r="U40" s="12">
        <v>0</v>
      </c>
      <c r="V40" s="12">
        <v>0</v>
      </c>
      <c r="W40" s="12">
        <v>0</v>
      </c>
      <c r="X40" s="12">
        <v>0</v>
      </c>
      <c r="Y40" s="12">
        <v>0</v>
      </c>
      <c r="Z40" s="12">
        <v>0</v>
      </c>
      <c r="AA40" s="12">
        <v>0</v>
      </c>
      <c r="AB40" s="12">
        <v>0</v>
      </c>
      <c r="AC40" s="12">
        <v>0</v>
      </c>
      <c r="AD40" s="12">
        <v>0</v>
      </c>
      <c r="AE40" s="12">
        <v>0</v>
      </c>
      <c r="AF40" s="12">
        <v>0</v>
      </c>
    </row>
    <row r="41" spans="1:32">
      <c r="A41" s="20"/>
      <c r="B41" s="13" t="s">
        <v>442</v>
      </c>
      <c r="C41" s="14">
        <v>0.14000000000000001</v>
      </c>
      <c r="D41" s="15" t="s">
        <v>459</v>
      </c>
      <c r="E41" s="15" t="s">
        <v>459</v>
      </c>
      <c r="F41" s="15" t="s">
        <v>459</v>
      </c>
      <c r="G41" s="15" t="s">
        <v>459</v>
      </c>
      <c r="H41" s="15" t="s">
        <v>459</v>
      </c>
      <c r="I41" s="15" t="s">
        <v>459</v>
      </c>
      <c r="J41" s="15" t="s">
        <v>459</v>
      </c>
      <c r="K41" s="15" t="s">
        <v>459</v>
      </c>
      <c r="L41" s="15" t="s">
        <v>459</v>
      </c>
      <c r="M41" s="15" t="s">
        <v>459</v>
      </c>
      <c r="N41" s="15" t="s">
        <v>459</v>
      </c>
      <c r="O41" s="15" t="s">
        <v>459</v>
      </c>
      <c r="P41" s="15" t="s">
        <v>459</v>
      </c>
      <c r="Q41" s="14">
        <v>1</v>
      </c>
      <c r="R41" s="15" t="s">
        <v>459</v>
      </c>
      <c r="S41" s="15" t="s">
        <v>459</v>
      </c>
      <c r="T41" s="15" t="s">
        <v>459</v>
      </c>
      <c r="U41" s="15" t="s">
        <v>459</v>
      </c>
      <c r="V41" s="15" t="s">
        <v>459</v>
      </c>
      <c r="W41" s="15" t="s">
        <v>459</v>
      </c>
      <c r="X41" s="15" t="s">
        <v>459</v>
      </c>
      <c r="Y41" s="15" t="s">
        <v>459</v>
      </c>
      <c r="Z41" s="15" t="s">
        <v>459</v>
      </c>
      <c r="AA41" s="15" t="s">
        <v>459</v>
      </c>
      <c r="AB41" s="15" t="s">
        <v>459</v>
      </c>
      <c r="AC41" s="15" t="s">
        <v>459</v>
      </c>
      <c r="AD41" s="15" t="s">
        <v>459</v>
      </c>
      <c r="AE41" s="15" t="s">
        <v>459</v>
      </c>
      <c r="AF41" s="15" t="s">
        <v>459</v>
      </c>
    </row>
    <row r="42" spans="1:32">
      <c r="A42" s="20"/>
      <c r="B42" s="11" t="s">
        <v>445</v>
      </c>
      <c r="C42" s="12">
        <v>169</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1014</v>
      </c>
      <c r="U42" s="12">
        <v>0</v>
      </c>
      <c r="V42" s="12">
        <v>0</v>
      </c>
      <c r="W42" s="12">
        <v>0</v>
      </c>
      <c r="X42" s="12">
        <v>0</v>
      </c>
      <c r="Y42" s="12">
        <v>0</v>
      </c>
      <c r="Z42" s="12">
        <v>0</v>
      </c>
      <c r="AA42" s="12">
        <v>0</v>
      </c>
      <c r="AB42" s="12">
        <v>0</v>
      </c>
      <c r="AC42" s="12">
        <v>0</v>
      </c>
      <c r="AD42" s="12">
        <v>0</v>
      </c>
      <c r="AE42" s="12">
        <v>0</v>
      </c>
      <c r="AF42" s="12">
        <v>0</v>
      </c>
    </row>
    <row r="43" spans="1:32">
      <c r="A43" s="20"/>
      <c r="B43" s="13" t="s">
        <v>445</v>
      </c>
      <c r="C43" s="14">
        <v>0.01</v>
      </c>
      <c r="D43" s="15" t="s">
        <v>459</v>
      </c>
      <c r="E43" s="15" t="s">
        <v>459</v>
      </c>
      <c r="F43" s="15" t="s">
        <v>459</v>
      </c>
      <c r="G43" s="15" t="s">
        <v>459</v>
      </c>
      <c r="H43" s="15" t="s">
        <v>459</v>
      </c>
      <c r="I43" s="15" t="s">
        <v>459</v>
      </c>
      <c r="J43" s="15" t="s">
        <v>459</v>
      </c>
      <c r="K43" s="15" t="s">
        <v>459</v>
      </c>
      <c r="L43" s="15" t="s">
        <v>459</v>
      </c>
      <c r="M43" s="15" t="s">
        <v>459</v>
      </c>
      <c r="N43" s="15" t="s">
        <v>459</v>
      </c>
      <c r="O43" s="15" t="s">
        <v>459</v>
      </c>
      <c r="P43" s="15" t="s">
        <v>459</v>
      </c>
      <c r="Q43" s="15" t="s">
        <v>459</v>
      </c>
      <c r="R43" s="15" t="s">
        <v>459</v>
      </c>
      <c r="S43" s="15" t="s">
        <v>459</v>
      </c>
      <c r="T43" s="14">
        <v>1</v>
      </c>
      <c r="U43" s="15" t="s">
        <v>459</v>
      </c>
      <c r="V43" s="15" t="s">
        <v>459</v>
      </c>
      <c r="W43" s="15" t="s">
        <v>459</v>
      </c>
      <c r="X43" s="15" t="s">
        <v>459</v>
      </c>
      <c r="Y43" s="15" t="s">
        <v>459</v>
      </c>
      <c r="Z43" s="15" t="s">
        <v>459</v>
      </c>
      <c r="AA43" s="15" t="s">
        <v>459</v>
      </c>
      <c r="AB43" s="15" t="s">
        <v>459</v>
      </c>
      <c r="AC43" s="15" t="s">
        <v>459</v>
      </c>
      <c r="AD43" s="15" t="s">
        <v>459</v>
      </c>
      <c r="AE43" s="15" t="s">
        <v>459</v>
      </c>
      <c r="AF43" s="15" t="s">
        <v>459</v>
      </c>
    </row>
    <row r="44" spans="1:32">
      <c r="A44" s="20"/>
      <c r="B44" s="11" t="s">
        <v>446</v>
      </c>
      <c r="C44" s="12">
        <v>39</v>
      </c>
      <c r="D44" s="12">
        <v>0</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2">
        <v>507</v>
      </c>
      <c r="V44" s="12">
        <v>0</v>
      </c>
      <c r="W44" s="12">
        <v>0</v>
      </c>
      <c r="X44" s="12">
        <v>0</v>
      </c>
      <c r="Y44" s="12">
        <v>0</v>
      </c>
      <c r="Z44" s="12">
        <v>0</v>
      </c>
      <c r="AA44" s="12">
        <v>0</v>
      </c>
      <c r="AB44" s="12">
        <v>0</v>
      </c>
      <c r="AC44" s="12">
        <v>0</v>
      </c>
      <c r="AD44" s="12">
        <v>0</v>
      </c>
      <c r="AE44" s="12">
        <v>0</v>
      </c>
      <c r="AF44" s="12">
        <v>0</v>
      </c>
    </row>
    <row r="45" spans="1:32">
      <c r="A45" s="20"/>
      <c r="B45" s="13" t="s">
        <v>446</v>
      </c>
      <c r="C45" s="15" t="s">
        <v>459</v>
      </c>
      <c r="D45" s="15" t="s">
        <v>459</v>
      </c>
      <c r="E45" s="15" t="s">
        <v>459</v>
      </c>
      <c r="F45" s="15" t="s">
        <v>459</v>
      </c>
      <c r="G45" s="15" t="s">
        <v>459</v>
      </c>
      <c r="H45" s="15" t="s">
        <v>459</v>
      </c>
      <c r="I45" s="15" t="s">
        <v>459</v>
      </c>
      <c r="J45" s="15" t="s">
        <v>459</v>
      </c>
      <c r="K45" s="15" t="s">
        <v>459</v>
      </c>
      <c r="L45" s="15" t="s">
        <v>459</v>
      </c>
      <c r="M45" s="15" t="s">
        <v>459</v>
      </c>
      <c r="N45" s="15" t="s">
        <v>459</v>
      </c>
      <c r="O45" s="15" t="s">
        <v>459</v>
      </c>
      <c r="P45" s="15" t="s">
        <v>459</v>
      </c>
      <c r="Q45" s="15" t="s">
        <v>459</v>
      </c>
      <c r="R45" s="15" t="s">
        <v>459</v>
      </c>
      <c r="S45" s="15" t="s">
        <v>459</v>
      </c>
      <c r="T45" s="15" t="s">
        <v>459</v>
      </c>
      <c r="U45" s="14">
        <v>1</v>
      </c>
      <c r="V45" s="15" t="s">
        <v>459</v>
      </c>
      <c r="W45" s="15" t="s">
        <v>459</v>
      </c>
      <c r="X45" s="15" t="s">
        <v>459</v>
      </c>
      <c r="Y45" s="15" t="s">
        <v>459</v>
      </c>
      <c r="Z45" s="15" t="s">
        <v>459</v>
      </c>
      <c r="AA45" s="15" t="s">
        <v>459</v>
      </c>
      <c r="AB45" s="15" t="s">
        <v>459</v>
      </c>
      <c r="AC45" s="15" t="s">
        <v>459</v>
      </c>
      <c r="AD45" s="15" t="s">
        <v>459</v>
      </c>
      <c r="AE45" s="15" t="s">
        <v>459</v>
      </c>
      <c r="AF45" s="15" t="s">
        <v>459</v>
      </c>
    </row>
    <row r="46" spans="1:32">
      <c r="A46" s="20"/>
      <c r="B46" s="11" t="s">
        <v>444</v>
      </c>
      <c r="C46" s="12">
        <v>108</v>
      </c>
      <c r="D46" s="12">
        <v>0</v>
      </c>
      <c r="E46" s="12">
        <v>0</v>
      </c>
      <c r="F46" s="12">
        <v>0</v>
      </c>
      <c r="G46" s="12">
        <v>0</v>
      </c>
      <c r="H46" s="12">
        <v>0</v>
      </c>
      <c r="I46" s="12">
        <v>0</v>
      </c>
      <c r="J46" s="12">
        <v>0</v>
      </c>
      <c r="K46" s="12">
        <v>0</v>
      </c>
      <c r="L46" s="12">
        <v>0</v>
      </c>
      <c r="M46" s="12">
        <v>0</v>
      </c>
      <c r="N46" s="12">
        <v>0</v>
      </c>
      <c r="O46" s="12">
        <v>0</v>
      </c>
      <c r="P46" s="12">
        <v>0</v>
      </c>
      <c r="Q46" s="12">
        <v>0</v>
      </c>
      <c r="R46" s="12">
        <v>0</v>
      </c>
      <c r="S46" s="12">
        <v>1008</v>
      </c>
      <c r="T46" s="12">
        <v>0</v>
      </c>
      <c r="U46" s="12">
        <v>0</v>
      </c>
      <c r="V46" s="12">
        <v>0</v>
      </c>
      <c r="W46" s="12">
        <v>0</v>
      </c>
      <c r="X46" s="12">
        <v>0</v>
      </c>
      <c r="Y46" s="12">
        <v>0</v>
      </c>
      <c r="Z46" s="12">
        <v>0</v>
      </c>
      <c r="AA46" s="12">
        <v>0</v>
      </c>
      <c r="AB46" s="12">
        <v>0</v>
      </c>
      <c r="AC46" s="12">
        <v>0</v>
      </c>
      <c r="AD46" s="12">
        <v>0</v>
      </c>
      <c r="AE46" s="12">
        <v>0</v>
      </c>
      <c r="AF46" s="12">
        <v>0</v>
      </c>
    </row>
    <row r="47" spans="1:32">
      <c r="A47" s="20"/>
      <c r="B47" s="13" t="s">
        <v>444</v>
      </c>
      <c r="C47" s="15" t="s">
        <v>459</v>
      </c>
      <c r="D47" s="15" t="s">
        <v>459</v>
      </c>
      <c r="E47" s="15" t="s">
        <v>459</v>
      </c>
      <c r="F47" s="15" t="s">
        <v>459</v>
      </c>
      <c r="G47" s="15" t="s">
        <v>459</v>
      </c>
      <c r="H47" s="15" t="s">
        <v>459</v>
      </c>
      <c r="I47" s="15" t="s">
        <v>459</v>
      </c>
      <c r="J47" s="15" t="s">
        <v>459</v>
      </c>
      <c r="K47" s="15" t="s">
        <v>459</v>
      </c>
      <c r="L47" s="15" t="s">
        <v>459</v>
      </c>
      <c r="M47" s="15" t="s">
        <v>459</v>
      </c>
      <c r="N47" s="15" t="s">
        <v>459</v>
      </c>
      <c r="O47" s="15" t="s">
        <v>459</v>
      </c>
      <c r="P47" s="15" t="s">
        <v>459</v>
      </c>
      <c r="Q47" s="15" t="s">
        <v>459</v>
      </c>
      <c r="R47" s="15" t="s">
        <v>459</v>
      </c>
      <c r="S47" s="14">
        <v>1</v>
      </c>
      <c r="T47" s="15" t="s">
        <v>459</v>
      </c>
      <c r="U47" s="15" t="s">
        <v>459</v>
      </c>
      <c r="V47" s="15" t="s">
        <v>459</v>
      </c>
      <c r="W47" s="15" t="s">
        <v>459</v>
      </c>
      <c r="X47" s="15" t="s">
        <v>459</v>
      </c>
      <c r="Y47" s="15" t="s">
        <v>459</v>
      </c>
      <c r="Z47" s="15" t="s">
        <v>459</v>
      </c>
      <c r="AA47" s="15" t="s">
        <v>459</v>
      </c>
      <c r="AB47" s="15" t="s">
        <v>459</v>
      </c>
      <c r="AC47" s="15" t="s">
        <v>459</v>
      </c>
      <c r="AD47" s="15" t="s">
        <v>459</v>
      </c>
      <c r="AE47" s="15" t="s">
        <v>459</v>
      </c>
      <c r="AF47" s="15" t="s">
        <v>459</v>
      </c>
    </row>
    <row r="48" spans="1:32">
      <c r="A48" s="20"/>
      <c r="B48" s="11" t="s">
        <v>448</v>
      </c>
      <c r="C48" s="12">
        <v>34</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503</v>
      </c>
      <c r="X48" s="12">
        <v>0</v>
      </c>
      <c r="Y48" s="12">
        <v>0</v>
      </c>
      <c r="Z48" s="12">
        <v>0</v>
      </c>
      <c r="AA48" s="12">
        <v>0</v>
      </c>
      <c r="AB48" s="12">
        <v>0</v>
      </c>
      <c r="AC48" s="12">
        <v>0</v>
      </c>
      <c r="AD48" s="12">
        <v>0</v>
      </c>
      <c r="AE48" s="12">
        <v>0</v>
      </c>
      <c r="AF48" s="12">
        <v>0</v>
      </c>
    </row>
    <row r="49" spans="1:32">
      <c r="A49" s="20"/>
      <c r="B49" s="13" t="s">
        <v>448</v>
      </c>
      <c r="C49" s="15" t="s">
        <v>459</v>
      </c>
      <c r="D49" s="15" t="s">
        <v>459</v>
      </c>
      <c r="E49" s="15" t="s">
        <v>459</v>
      </c>
      <c r="F49" s="15" t="s">
        <v>459</v>
      </c>
      <c r="G49" s="15" t="s">
        <v>459</v>
      </c>
      <c r="H49" s="15" t="s">
        <v>459</v>
      </c>
      <c r="I49" s="15" t="s">
        <v>459</v>
      </c>
      <c r="J49" s="15" t="s">
        <v>459</v>
      </c>
      <c r="K49" s="15" t="s">
        <v>459</v>
      </c>
      <c r="L49" s="15" t="s">
        <v>459</v>
      </c>
      <c r="M49" s="15" t="s">
        <v>459</v>
      </c>
      <c r="N49" s="15" t="s">
        <v>459</v>
      </c>
      <c r="O49" s="15" t="s">
        <v>459</v>
      </c>
      <c r="P49" s="15" t="s">
        <v>459</v>
      </c>
      <c r="Q49" s="15" t="s">
        <v>459</v>
      </c>
      <c r="R49" s="15" t="s">
        <v>459</v>
      </c>
      <c r="S49" s="15" t="s">
        <v>459</v>
      </c>
      <c r="T49" s="15" t="s">
        <v>459</v>
      </c>
      <c r="U49" s="15" t="s">
        <v>459</v>
      </c>
      <c r="V49" s="15" t="s">
        <v>459</v>
      </c>
      <c r="W49" s="14">
        <v>1</v>
      </c>
      <c r="X49" s="15" t="s">
        <v>459</v>
      </c>
      <c r="Y49" s="15" t="s">
        <v>459</v>
      </c>
      <c r="Z49" s="15" t="s">
        <v>459</v>
      </c>
      <c r="AA49" s="15" t="s">
        <v>459</v>
      </c>
      <c r="AB49" s="15" t="s">
        <v>459</v>
      </c>
      <c r="AC49" s="15" t="s">
        <v>459</v>
      </c>
      <c r="AD49" s="15" t="s">
        <v>459</v>
      </c>
      <c r="AE49" s="15" t="s">
        <v>459</v>
      </c>
      <c r="AF49" s="15" t="s">
        <v>459</v>
      </c>
    </row>
    <row r="50" spans="1:32">
      <c r="A50" s="20"/>
      <c r="B50" s="11" t="s">
        <v>449</v>
      </c>
      <c r="C50" s="12">
        <v>1045</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1021</v>
      </c>
      <c r="Y50" s="12">
        <v>0</v>
      </c>
      <c r="Z50" s="12">
        <v>0</v>
      </c>
      <c r="AA50" s="12">
        <v>0</v>
      </c>
      <c r="AB50" s="12">
        <v>0</v>
      </c>
      <c r="AC50" s="12">
        <v>0</v>
      </c>
      <c r="AD50" s="12">
        <v>0</v>
      </c>
      <c r="AE50" s="12">
        <v>0</v>
      </c>
      <c r="AF50" s="12">
        <v>0</v>
      </c>
    </row>
    <row r="51" spans="1:32">
      <c r="A51" s="20"/>
      <c r="B51" s="13" t="s">
        <v>449</v>
      </c>
      <c r="C51" s="14">
        <v>0.04</v>
      </c>
      <c r="D51" s="15" t="s">
        <v>459</v>
      </c>
      <c r="E51" s="15" t="s">
        <v>459</v>
      </c>
      <c r="F51" s="15" t="s">
        <v>459</v>
      </c>
      <c r="G51" s="15" t="s">
        <v>459</v>
      </c>
      <c r="H51" s="15" t="s">
        <v>459</v>
      </c>
      <c r="I51" s="15" t="s">
        <v>459</v>
      </c>
      <c r="J51" s="15" t="s">
        <v>459</v>
      </c>
      <c r="K51" s="15" t="s">
        <v>459</v>
      </c>
      <c r="L51" s="15" t="s">
        <v>459</v>
      </c>
      <c r="M51" s="15" t="s">
        <v>459</v>
      </c>
      <c r="N51" s="15" t="s">
        <v>459</v>
      </c>
      <c r="O51" s="15" t="s">
        <v>459</v>
      </c>
      <c r="P51" s="15" t="s">
        <v>459</v>
      </c>
      <c r="Q51" s="15" t="s">
        <v>459</v>
      </c>
      <c r="R51" s="15" t="s">
        <v>459</v>
      </c>
      <c r="S51" s="15" t="s">
        <v>459</v>
      </c>
      <c r="T51" s="15" t="s">
        <v>459</v>
      </c>
      <c r="U51" s="15" t="s">
        <v>459</v>
      </c>
      <c r="V51" s="15" t="s">
        <v>459</v>
      </c>
      <c r="W51" s="15" t="s">
        <v>459</v>
      </c>
      <c r="X51" s="14">
        <v>1</v>
      </c>
      <c r="Y51" s="15" t="s">
        <v>459</v>
      </c>
      <c r="Z51" s="15" t="s">
        <v>459</v>
      </c>
      <c r="AA51" s="15" t="s">
        <v>459</v>
      </c>
      <c r="AB51" s="15" t="s">
        <v>459</v>
      </c>
      <c r="AC51" s="15" t="s">
        <v>459</v>
      </c>
      <c r="AD51" s="15" t="s">
        <v>459</v>
      </c>
      <c r="AE51" s="15" t="s">
        <v>459</v>
      </c>
      <c r="AF51" s="15" t="s">
        <v>459</v>
      </c>
    </row>
    <row r="52" spans="1:32">
      <c r="A52" s="20"/>
      <c r="B52" s="11" t="s">
        <v>451</v>
      </c>
      <c r="C52" s="12">
        <v>2133</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v>0</v>
      </c>
      <c r="W52" s="12">
        <v>0</v>
      </c>
      <c r="X52" s="12">
        <v>0</v>
      </c>
      <c r="Y52" s="12">
        <v>0</v>
      </c>
      <c r="Z52" s="12">
        <v>1008</v>
      </c>
      <c r="AA52" s="12">
        <v>0</v>
      </c>
      <c r="AB52" s="12">
        <v>0</v>
      </c>
      <c r="AC52" s="12">
        <v>0</v>
      </c>
      <c r="AD52" s="12">
        <v>0</v>
      </c>
      <c r="AE52" s="12">
        <v>0</v>
      </c>
      <c r="AF52" s="12">
        <v>0</v>
      </c>
    </row>
    <row r="53" spans="1:32">
      <c r="A53" s="20"/>
      <c r="B53" s="13" t="s">
        <v>451</v>
      </c>
      <c r="C53" s="14">
        <v>0.08</v>
      </c>
      <c r="D53" s="15" t="s">
        <v>459</v>
      </c>
      <c r="E53" s="15" t="s">
        <v>459</v>
      </c>
      <c r="F53" s="15" t="s">
        <v>459</v>
      </c>
      <c r="G53" s="15" t="s">
        <v>459</v>
      </c>
      <c r="H53" s="15" t="s">
        <v>459</v>
      </c>
      <c r="I53" s="15" t="s">
        <v>459</v>
      </c>
      <c r="J53" s="15" t="s">
        <v>459</v>
      </c>
      <c r="K53" s="15" t="s">
        <v>459</v>
      </c>
      <c r="L53" s="15" t="s">
        <v>459</v>
      </c>
      <c r="M53" s="15" t="s">
        <v>459</v>
      </c>
      <c r="N53" s="15" t="s">
        <v>459</v>
      </c>
      <c r="O53" s="15" t="s">
        <v>459</v>
      </c>
      <c r="P53" s="15" t="s">
        <v>459</v>
      </c>
      <c r="Q53" s="15" t="s">
        <v>459</v>
      </c>
      <c r="R53" s="15" t="s">
        <v>459</v>
      </c>
      <c r="S53" s="15" t="s">
        <v>459</v>
      </c>
      <c r="T53" s="15" t="s">
        <v>459</v>
      </c>
      <c r="U53" s="15" t="s">
        <v>459</v>
      </c>
      <c r="V53" s="15" t="s">
        <v>459</v>
      </c>
      <c r="W53" s="15" t="s">
        <v>459</v>
      </c>
      <c r="X53" s="15" t="s">
        <v>459</v>
      </c>
      <c r="Y53" s="15" t="s">
        <v>459</v>
      </c>
      <c r="Z53" s="14">
        <v>1</v>
      </c>
      <c r="AA53" s="15" t="s">
        <v>459</v>
      </c>
      <c r="AB53" s="15" t="s">
        <v>459</v>
      </c>
      <c r="AC53" s="15" t="s">
        <v>459</v>
      </c>
      <c r="AD53" s="15" t="s">
        <v>459</v>
      </c>
      <c r="AE53" s="15" t="s">
        <v>459</v>
      </c>
      <c r="AF53" s="15" t="s">
        <v>459</v>
      </c>
    </row>
    <row r="54" spans="1:32">
      <c r="A54" s="20"/>
      <c r="B54" s="11" t="s">
        <v>452</v>
      </c>
      <c r="C54" s="12">
        <v>636</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1053</v>
      </c>
      <c r="AB54" s="12">
        <v>0</v>
      </c>
      <c r="AC54" s="12">
        <v>0</v>
      </c>
      <c r="AD54" s="12">
        <v>0</v>
      </c>
      <c r="AE54" s="12">
        <v>0</v>
      </c>
      <c r="AF54" s="12">
        <v>0</v>
      </c>
    </row>
    <row r="55" spans="1:32">
      <c r="A55" s="20"/>
      <c r="B55" s="13" t="s">
        <v>452</v>
      </c>
      <c r="C55" s="14">
        <v>0.03</v>
      </c>
      <c r="D55" s="15" t="s">
        <v>459</v>
      </c>
      <c r="E55" s="15" t="s">
        <v>459</v>
      </c>
      <c r="F55" s="15" t="s">
        <v>459</v>
      </c>
      <c r="G55" s="15" t="s">
        <v>459</v>
      </c>
      <c r="H55" s="15" t="s">
        <v>459</v>
      </c>
      <c r="I55" s="15" t="s">
        <v>459</v>
      </c>
      <c r="J55" s="15" t="s">
        <v>459</v>
      </c>
      <c r="K55" s="15" t="s">
        <v>459</v>
      </c>
      <c r="L55" s="15" t="s">
        <v>459</v>
      </c>
      <c r="M55" s="15" t="s">
        <v>459</v>
      </c>
      <c r="N55" s="15" t="s">
        <v>459</v>
      </c>
      <c r="O55" s="15" t="s">
        <v>459</v>
      </c>
      <c r="P55" s="15" t="s">
        <v>459</v>
      </c>
      <c r="Q55" s="15" t="s">
        <v>459</v>
      </c>
      <c r="R55" s="15" t="s">
        <v>459</v>
      </c>
      <c r="S55" s="15" t="s">
        <v>459</v>
      </c>
      <c r="T55" s="15" t="s">
        <v>459</v>
      </c>
      <c r="U55" s="15" t="s">
        <v>459</v>
      </c>
      <c r="V55" s="15" t="s">
        <v>459</v>
      </c>
      <c r="W55" s="15" t="s">
        <v>459</v>
      </c>
      <c r="X55" s="15" t="s">
        <v>459</v>
      </c>
      <c r="Y55" s="15" t="s">
        <v>459</v>
      </c>
      <c r="Z55" s="15" t="s">
        <v>459</v>
      </c>
      <c r="AA55" s="14">
        <v>1</v>
      </c>
      <c r="AB55" s="15" t="s">
        <v>459</v>
      </c>
      <c r="AC55" s="15" t="s">
        <v>459</v>
      </c>
      <c r="AD55" s="15" t="s">
        <v>459</v>
      </c>
      <c r="AE55" s="15" t="s">
        <v>459</v>
      </c>
      <c r="AF55" s="15" t="s">
        <v>459</v>
      </c>
    </row>
    <row r="56" spans="1:32">
      <c r="A56" s="20"/>
      <c r="B56" s="11" t="s">
        <v>453</v>
      </c>
      <c r="C56" s="12">
        <v>1100</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1039</v>
      </c>
      <c r="AC56" s="12">
        <v>0</v>
      </c>
      <c r="AD56" s="12">
        <v>0</v>
      </c>
      <c r="AE56" s="12">
        <v>0</v>
      </c>
      <c r="AF56" s="12">
        <v>0</v>
      </c>
    </row>
    <row r="57" spans="1:32">
      <c r="A57" s="20"/>
      <c r="B57" s="13" t="s">
        <v>453</v>
      </c>
      <c r="C57" s="14">
        <v>0.04</v>
      </c>
      <c r="D57" s="15" t="s">
        <v>459</v>
      </c>
      <c r="E57" s="15" t="s">
        <v>459</v>
      </c>
      <c r="F57" s="15" t="s">
        <v>459</v>
      </c>
      <c r="G57" s="15" t="s">
        <v>459</v>
      </c>
      <c r="H57" s="15" t="s">
        <v>459</v>
      </c>
      <c r="I57" s="15" t="s">
        <v>459</v>
      </c>
      <c r="J57" s="15" t="s">
        <v>459</v>
      </c>
      <c r="K57" s="15" t="s">
        <v>459</v>
      </c>
      <c r="L57" s="15" t="s">
        <v>459</v>
      </c>
      <c r="M57" s="15" t="s">
        <v>459</v>
      </c>
      <c r="N57" s="15" t="s">
        <v>459</v>
      </c>
      <c r="O57" s="15" t="s">
        <v>459</v>
      </c>
      <c r="P57" s="15" t="s">
        <v>459</v>
      </c>
      <c r="Q57" s="15" t="s">
        <v>459</v>
      </c>
      <c r="R57" s="15" t="s">
        <v>459</v>
      </c>
      <c r="S57" s="15" t="s">
        <v>459</v>
      </c>
      <c r="T57" s="15" t="s">
        <v>459</v>
      </c>
      <c r="U57" s="15" t="s">
        <v>459</v>
      </c>
      <c r="V57" s="15" t="s">
        <v>459</v>
      </c>
      <c r="W57" s="15" t="s">
        <v>459</v>
      </c>
      <c r="X57" s="15" t="s">
        <v>459</v>
      </c>
      <c r="Y57" s="15" t="s">
        <v>459</v>
      </c>
      <c r="Z57" s="15" t="s">
        <v>459</v>
      </c>
      <c r="AA57" s="15" t="s">
        <v>459</v>
      </c>
      <c r="AB57" s="14">
        <v>1</v>
      </c>
      <c r="AC57" s="15" t="s">
        <v>459</v>
      </c>
      <c r="AD57" s="15" t="s">
        <v>459</v>
      </c>
      <c r="AE57" s="15" t="s">
        <v>459</v>
      </c>
      <c r="AF57" s="15" t="s">
        <v>459</v>
      </c>
    </row>
    <row r="58" spans="1:32">
      <c r="A58" s="20"/>
      <c r="B58" s="11" t="s">
        <v>457</v>
      </c>
      <c r="C58" s="12">
        <v>600</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1020</v>
      </c>
    </row>
    <row r="59" spans="1:32">
      <c r="A59" s="20"/>
      <c r="B59" s="13" t="s">
        <v>457</v>
      </c>
      <c r="C59" s="14">
        <v>0.02</v>
      </c>
      <c r="D59" s="15" t="s">
        <v>459</v>
      </c>
      <c r="E59" s="15" t="s">
        <v>459</v>
      </c>
      <c r="F59" s="15" t="s">
        <v>459</v>
      </c>
      <c r="G59" s="15" t="s">
        <v>459</v>
      </c>
      <c r="H59" s="15" t="s">
        <v>459</v>
      </c>
      <c r="I59" s="15" t="s">
        <v>459</v>
      </c>
      <c r="J59" s="15" t="s">
        <v>459</v>
      </c>
      <c r="K59" s="15" t="s">
        <v>459</v>
      </c>
      <c r="L59" s="15" t="s">
        <v>459</v>
      </c>
      <c r="M59" s="15" t="s">
        <v>459</v>
      </c>
      <c r="N59" s="15" t="s">
        <v>459</v>
      </c>
      <c r="O59" s="15" t="s">
        <v>459</v>
      </c>
      <c r="P59" s="15" t="s">
        <v>459</v>
      </c>
      <c r="Q59" s="15" t="s">
        <v>459</v>
      </c>
      <c r="R59" s="15" t="s">
        <v>459</v>
      </c>
      <c r="S59" s="15" t="s">
        <v>459</v>
      </c>
      <c r="T59" s="15" t="s">
        <v>459</v>
      </c>
      <c r="U59" s="15" t="s">
        <v>459</v>
      </c>
      <c r="V59" s="15" t="s">
        <v>459</v>
      </c>
      <c r="W59" s="15" t="s">
        <v>459</v>
      </c>
      <c r="X59" s="15" t="s">
        <v>459</v>
      </c>
      <c r="Y59" s="15" t="s">
        <v>459</v>
      </c>
      <c r="Z59" s="15" t="s">
        <v>459</v>
      </c>
      <c r="AA59" s="15" t="s">
        <v>459</v>
      </c>
      <c r="AB59" s="15" t="s">
        <v>459</v>
      </c>
      <c r="AC59" s="15" t="s">
        <v>459</v>
      </c>
      <c r="AD59" s="15" t="s">
        <v>459</v>
      </c>
      <c r="AE59" s="15" t="s">
        <v>459</v>
      </c>
      <c r="AF59" s="14">
        <v>1</v>
      </c>
    </row>
    <row r="60" spans="1:32">
      <c r="A60" s="20"/>
      <c r="B60" s="11" t="s">
        <v>454</v>
      </c>
      <c r="C60" s="12">
        <v>124</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1010</v>
      </c>
      <c r="AD60" s="12">
        <v>0</v>
      </c>
      <c r="AE60" s="12">
        <v>0</v>
      </c>
      <c r="AF60" s="12">
        <v>0</v>
      </c>
    </row>
    <row r="61" spans="1:32">
      <c r="A61" s="20"/>
      <c r="B61" s="13" t="s">
        <v>454</v>
      </c>
      <c r="C61" s="14">
        <v>0.01</v>
      </c>
      <c r="D61" s="15" t="s">
        <v>459</v>
      </c>
      <c r="E61" s="15" t="s">
        <v>459</v>
      </c>
      <c r="F61" s="15" t="s">
        <v>459</v>
      </c>
      <c r="G61" s="15" t="s">
        <v>459</v>
      </c>
      <c r="H61" s="15" t="s">
        <v>459</v>
      </c>
      <c r="I61" s="15" t="s">
        <v>459</v>
      </c>
      <c r="J61" s="15" t="s">
        <v>459</v>
      </c>
      <c r="K61" s="15" t="s">
        <v>459</v>
      </c>
      <c r="L61" s="15" t="s">
        <v>459</v>
      </c>
      <c r="M61" s="15" t="s">
        <v>459</v>
      </c>
      <c r="N61" s="15" t="s">
        <v>459</v>
      </c>
      <c r="O61" s="15" t="s">
        <v>459</v>
      </c>
      <c r="P61" s="15" t="s">
        <v>459</v>
      </c>
      <c r="Q61" s="15" t="s">
        <v>459</v>
      </c>
      <c r="R61" s="15" t="s">
        <v>459</v>
      </c>
      <c r="S61" s="15" t="s">
        <v>459</v>
      </c>
      <c r="T61" s="15" t="s">
        <v>459</v>
      </c>
      <c r="U61" s="15" t="s">
        <v>459</v>
      </c>
      <c r="V61" s="15" t="s">
        <v>459</v>
      </c>
      <c r="W61" s="15" t="s">
        <v>459</v>
      </c>
      <c r="X61" s="15" t="s">
        <v>459</v>
      </c>
      <c r="Y61" s="15" t="s">
        <v>459</v>
      </c>
      <c r="Z61" s="15" t="s">
        <v>459</v>
      </c>
      <c r="AA61" s="15" t="s">
        <v>459</v>
      </c>
      <c r="AB61" s="15" t="s">
        <v>459</v>
      </c>
      <c r="AC61" s="14">
        <v>1</v>
      </c>
      <c r="AD61" s="15" t="s">
        <v>459</v>
      </c>
      <c r="AE61" s="15" t="s">
        <v>459</v>
      </c>
      <c r="AF61" s="15" t="s">
        <v>459</v>
      </c>
    </row>
    <row r="62" spans="1:32">
      <c r="A62" s="20"/>
      <c r="B62" s="11" t="s">
        <v>455</v>
      </c>
      <c r="C62" s="12">
        <v>313</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1006</v>
      </c>
      <c r="AE62" s="12">
        <v>0</v>
      </c>
      <c r="AF62" s="12">
        <v>0</v>
      </c>
    </row>
    <row r="63" spans="1:32">
      <c r="A63" s="20"/>
      <c r="B63" s="13" t="s">
        <v>455</v>
      </c>
      <c r="C63" s="14">
        <v>0.01</v>
      </c>
      <c r="D63" s="15" t="s">
        <v>459</v>
      </c>
      <c r="E63" s="15" t="s">
        <v>459</v>
      </c>
      <c r="F63" s="15" t="s">
        <v>459</v>
      </c>
      <c r="G63" s="15" t="s">
        <v>459</v>
      </c>
      <c r="H63" s="15" t="s">
        <v>459</v>
      </c>
      <c r="I63" s="15" t="s">
        <v>459</v>
      </c>
      <c r="J63" s="15" t="s">
        <v>459</v>
      </c>
      <c r="K63" s="15" t="s">
        <v>459</v>
      </c>
      <c r="L63" s="15" t="s">
        <v>459</v>
      </c>
      <c r="M63" s="15" t="s">
        <v>459</v>
      </c>
      <c r="N63" s="15" t="s">
        <v>459</v>
      </c>
      <c r="O63" s="15" t="s">
        <v>459</v>
      </c>
      <c r="P63" s="15" t="s">
        <v>459</v>
      </c>
      <c r="Q63" s="15" t="s">
        <v>459</v>
      </c>
      <c r="R63" s="15" t="s">
        <v>459</v>
      </c>
      <c r="S63" s="15" t="s">
        <v>459</v>
      </c>
      <c r="T63" s="15" t="s">
        <v>459</v>
      </c>
      <c r="U63" s="15" t="s">
        <v>459</v>
      </c>
      <c r="V63" s="15" t="s">
        <v>459</v>
      </c>
      <c r="W63" s="15" t="s">
        <v>459</v>
      </c>
      <c r="X63" s="15" t="s">
        <v>459</v>
      </c>
      <c r="Y63" s="15" t="s">
        <v>459</v>
      </c>
      <c r="Z63" s="15" t="s">
        <v>459</v>
      </c>
      <c r="AA63" s="15" t="s">
        <v>459</v>
      </c>
      <c r="AB63" s="15" t="s">
        <v>459</v>
      </c>
      <c r="AC63" s="15" t="s">
        <v>459</v>
      </c>
      <c r="AD63" s="14">
        <v>1</v>
      </c>
      <c r="AE63" s="15" t="s">
        <v>459</v>
      </c>
      <c r="AF63" s="15" t="s">
        <v>459</v>
      </c>
    </row>
    <row r="64" spans="1:32">
      <c r="A64" s="20"/>
      <c r="B64" s="11" t="s">
        <v>433</v>
      </c>
      <c r="C64" s="12">
        <v>3969</v>
      </c>
      <c r="D64" s="12">
        <v>0</v>
      </c>
      <c r="E64" s="12">
        <v>0</v>
      </c>
      <c r="F64" s="12">
        <v>0</v>
      </c>
      <c r="G64" s="12">
        <v>0</v>
      </c>
      <c r="H64" s="12">
        <v>1216</v>
      </c>
      <c r="I64" s="12">
        <v>1216</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row>
    <row r="65" spans="1:32">
      <c r="A65" s="20"/>
      <c r="B65" s="13" t="s">
        <v>433</v>
      </c>
      <c r="C65" s="14">
        <v>0.15</v>
      </c>
      <c r="D65" s="15" t="s">
        <v>459</v>
      </c>
      <c r="E65" s="15" t="s">
        <v>459</v>
      </c>
      <c r="F65" s="15" t="s">
        <v>459</v>
      </c>
      <c r="G65" s="15" t="s">
        <v>459</v>
      </c>
      <c r="H65" s="14">
        <v>1</v>
      </c>
      <c r="I65" s="14">
        <v>0.81</v>
      </c>
      <c r="J65" s="15" t="s">
        <v>459</v>
      </c>
      <c r="K65" s="15" t="s">
        <v>459</v>
      </c>
      <c r="L65" s="15" t="s">
        <v>459</v>
      </c>
      <c r="M65" s="15" t="s">
        <v>459</v>
      </c>
      <c r="N65" s="15" t="s">
        <v>459</v>
      </c>
      <c r="O65" s="15" t="s">
        <v>459</v>
      </c>
      <c r="P65" s="15" t="s">
        <v>459</v>
      </c>
      <c r="Q65" s="15" t="s">
        <v>459</v>
      </c>
      <c r="R65" s="15" t="s">
        <v>459</v>
      </c>
      <c r="S65" s="15" t="s">
        <v>459</v>
      </c>
      <c r="T65" s="15" t="s">
        <v>459</v>
      </c>
      <c r="U65" s="15" t="s">
        <v>459</v>
      </c>
      <c r="V65" s="15" t="s">
        <v>459</v>
      </c>
      <c r="W65" s="15" t="s">
        <v>459</v>
      </c>
      <c r="X65" s="15" t="s">
        <v>459</v>
      </c>
      <c r="Y65" s="15" t="s">
        <v>459</v>
      </c>
      <c r="Z65" s="15" t="s">
        <v>459</v>
      </c>
      <c r="AA65" s="15" t="s">
        <v>459</v>
      </c>
      <c r="AB65" s="15" t="s">
        <v>459</v>
      </c>
      <c r="AC65" s="15" t="s">
        <v>459</v>
      </c>
      <c r="AD65" s="15" t="s">
        <v>459</v>
      </c>
      <c r="AE65" s="15" t="s">
        <v>459</v>
      </c>
      <c r="AF65" s="15" t="s">
        <v>459</v>
      </c>
    </row>
    <row r="66" spans="1:32">
      <c r="A66" s="20"/>
      <c r="B66" s="11" t="s">
        <v>435</v>
      </c>
      <c r="C66" s="12">
        <v>959</v>
      </c>
      <c r="D66" s="12">
        <v>0</v>
      </c>
      <c r="E66" s="12">
        <v>0</v>
      </c>
      <c r="F66" s="12">
        <v>0</v>
      </c>
      <c r="G66" s="12">
        <v>0</v>
      </c>
      <c r="H66" s="12">
        <v>0</v>
      </c>
      <c r="I66" s="12">
        <v>294</v>
      </c>
      <c r="J66" s="12">
        <v>294</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row>
    <row r="67" spans="1:32">
      <c r="A67" s="20"/>
      <c r="B67" s="13" t="s">
        <v>435</v>
      </c>
      <c r="C67" s="14">
        <v>0.04</v>
      </c>
      <c r="D67" s="15" t="s">
        <v>459</v>
      </c>
      <c r="E67" s="15" t="s">
        <v>459</v>
      </c>
      <c r="F67" s="15" t="s">
        <v>459</v>
      </c>
      <c r="G67" s="15" t="s">
        <v>459</v>
      </c>
      <c r="H67" s="15" t="s">
        <v>459</v>
      </c>
      <c r="I67" s="14">
        <v>0.19</v>
      </c>
      <c r="J67" s="14">
        <v>1</v>
      </c>
      <c r="K67" s="15" t="s">
        <v>459</v>
      </c>
      <c r="L67" s="15" t="s">
        <v>459</v>
      </c>
      <c r="M67" s="15" t="s">
        <v>459</v>
      </c>
      <c r="N67" s="15" t="s">
        <v>459</v>
      </c>
      <c r="O67" s="15" t="s">
        <v>459</v>
      </c>
      <c r="P67" s="15" t="s">
        <v>459</v>
      </c>
      <c r="Q67" s="15" t="s">
        <v>459</v>
      </c>
      <c r="R67" s="15" t="s">
        <v>459</v>
      </c>
      <c r="S67" s="15" t="s">
        <v>459</v>
      </c>
      <c r="T67" s="15" t="s">
        <v>459</v>
      </c>
      <c r="U67" s="15" t="s">
        <v>459</v>
      </c>
      <c r="V67" s="15" t="s">
        <v>459</v>
      </c>
      <c r="W67" s="15" t="s">
        <v>459</v>
      </c>
      <c r="X67" s="15" t="s">
        <v>459</v>
      </c>
      <c r="Y67" s="15" t="s">
        <v>459</v>
      </c>
      <c r="Z67" s="15" t="s">
        <v>459</v>
      </c>
      <c r="AA67" s="15" t="s">
        <v>459</v>
      </c>
      <c r="AB67" s="15" t="s">
        <v>459</v>
      </c>
      <c r="AC67" s="15" t="s">
        <v>459</v>
      </c>
      <c r="AD67" s="15" t="s">
        <v>459</v>
      </c>
      <c r="AE67" s="15" t="s">
        <v>459</v>
      </c>
      <c r="AF67" s="15" t="s">
        <v>459</v>
      </c>
    </row>
  </sheetData>
  <mergeCells count="9">
    <mergeCell ref="B10:B11"/>
    <mergeCell ref="H4:L4"/>
    <mergeCell ref="A10:A67"/>
    <mergeCell ref="B4:F4"/>
    <mergeCell ref="H3:L3"/>
    <mergeCell ref="C8:AF8"/>
    <mergeCell ref="B3:F3"/>
    <mergeCell ref="B5:F5"/>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11</v>
      </c>
      <c r="C3" s="18"/>
      <c r="D3" s="18"/>
      <c r="E3" s="18"/>
      <c r="F3" s="18"/>
      <c r="H3" s="18" t="s">
        <v>12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460</v>
      </c>
      <c r="C12" s="12">
        <v>1519</v>
      </c>
      <c r="D12" s="12">
        <v>64</v>
      </c>
      <c r="E12" s="12">
        <v>20</v>
      </c>
      <c r="F12" s="12">
        <v>30</v>
      </c>
      <c r="G12" s="12">
        <v>84</v>
      </c>
      <c r="H12" s="12">
        <v>93</v>
      </c>
      <c r="I12" s="12">
        <v>103</v>
      </c>
      <c r="J12" s="12">
        <v>10</v>
      </c>
      <c r="K12" s="12">
        <v>113</v>
      </c>
      <c r="L12" s="12">
        <v>89</v>
      </c>
      <c r="M12" s="12">
        <v>27</v>
      </c>
      <c r="N12" s="12">
        <v>60</v>
      </c>
      <c r="O12" s="12">
        <v>47</v>
      </c>
      <c r="P12" s="12">
        <v>27</v>
      </c>
      <c r="Q12" s="12">
        <v>54</v>
      </c>
      <c r="R12" s="12">
        <v>25</v>
      </c>
      <c r="S12" s="12">
        <v>71</v>
      </c>
      <c r="T12" s="12">
        <v>67</v>
      </c>
      <c r="U12" s="12">
        <v>43</v>
      </c>
      <c r="V12" s="12">
        <v>57</v>
      </c>
      <c r="W12" s="12">
        <v>100</v>
      </c>
      <c r="X12" s="12">
        <v>103</v>
      </c>
      <c r="Y12" s="12">
        <v>73</v>
      </c>
      <c r="Z12" s="12">
        <v>66</v>
      </c>
      <c r="AA12" s="12">
        <v>58</v>
      </c>
      <c r="AB12" s="12">
        <v>13</v>
      </c>
      <c r="AC12" s="12">
        <v>69</v>
      </c>
      <c r="AD12" s="12">
        <v>44</v>
      </c>
      <c r="AE12" s="12">
        <v>70</v>
      </c>
      <c r="AF12" s="12">
        <v>72</v>
      </c>
    </row>
    <row r="13" spans="1:32">
      <c r="A13" s="20"/>
      <c r="B13" s="13" t="s">
        <v>461</v>
      </c>
      <c r="C13" s="14">
        <v>0.06</v>
      </c>
      <c r="D13" s="14">
        <v>0.06</v>
      </c>
      <c r="E13" s="14">
        <v>0.02</v>
      </c>
      <c r="F13" s="14">
        <v>0.03</v>
      </c>
      <c r="G13" s="14">
        <v>0.08</v>
      </c>
      <c r="H13" s="14">
        <v>0.08</v>
      </c>
      <c r="I13" s="14">
        <v>7.0000000000000007E-2</v>
      </c>
      <c r="J13" s="14">
        <v>0.03</v>
      </c>
      <c r="K13" s="14">
        <v>0.11</v>
      </c>
      <c r="L13" s="14">
        <v>0.09</v>
      </c>
      <c r="M13" s="14">
        <v>0.03</v>
      </c>
      <c r="N13" s="14">
        <v>0.06</v>
      </c>
      <c r="O13" s="14">
        <v>0.05</v>
      </c>
      <c r="P13" s="14">
        <v>0.03</v>
      </c>
      <c r="Q13" s="14">
        <v>0.05</v>
      </c>
      <c r="R13" s="14">
        <v>0.05</v>
      </c>
      <c r="S13" s="14">
        <v>7.0000000000000007E-2</v>
      </c>
      <c r="T13" s="14">
        <v>7.0000000000000007E-2</v>
      </c>
      <c r="U13" s="14">
        <v>0.08</v>
      </c>
      <c r="V13" s="14">
        <v>0.06</v>
      </c>
      <c r="W13" s="14">
        <v>0.2</v>
      </c>
      <c r="X13" s="14">
        <v>0.1</v>
      </c>
      <c r="Y13" s="14">
        <v>7.0000000000000007E-2</v>
      </c>
      <c r="Z13" s="14">
        <v>7.0000000000000007E-2</v>
      </c>
      <c r="AA13" s="14">
        <v>0.06</v>
      </c>
      <c r="AB13" s="14">
        <v>0.01</v>
      </c>
      <c r="AC13" s="14">
        <v>7.0000000000000007E-2</v>
      </c>
      <c r="AD13" s="14">
        <v>0.04</v>
      </c>
      <c r="AE13" s="14">
        <v>7.0000000000000007E-2</v>
      </c>
      <c r="AF13" s="14">
        <v>7.0000000000000007E-2</v>
      </c>
    </row>
    <row r="14" spans="1:32" ht="24.95">
      <c r="A14" s="20"/>
      <c r="B14" s="11" t="s">
        <v>462</v>
      </c>
      <c r="C14" s="12">
        <v>1729</v>
      </c>
      <c r="D14" s="12">
        <v>110</v>
      </c>
      <c r="E14" s="12">
        <v>22</v>
      </c>
      <c r="F14" s="12">
        <v>30</v>
      </c>
      <c r="G14" s="12">
        <v>141</v>
      </c>
      <c r="H14" s="12">
        <v>64</v>
      </c>
      <c r="I14" s="12">
        <v>77</v>
      </c>
      <c r="J14" s="12">
        <v>13</v>
      </c>
      <c r="K14" s="12">
        <v>173</v>
      </c>
      <c r="L14" s="12">
        <v>118</v>
      </c>
      <c r="M14" s="12">
        <v>39</v>
      </c>
      <c r="N14" s="12">
        <v>62</v>
      </c>
      <c r="O14" s="12">
        <v>74</v>
      </c>
      <c r="P14" s="12">
        <v>47</v>
      </c>
      <c r="Q14" s="12">
        <v>40</v>
      </c>
      <c r="R14" s="12">
        <v>44</v>
      </c>
      <c r="S14" s="12">
        <v>132</v>
      </c>
      <c r="T14" s="12">
        <v>77</v>
      </c>
      <c r="U14" s="12">
        <v>71</v>
      </c>
      <c r="V14" s="12">
        <v>36</v>
      </c>
      <c r="W14" s="12">
        <v>61</v>
      </c>
      <c r="X14" s="12">
        <v>187</v>
      </c>
      <c r="Y14" s="12">
        <v>85</v>
      </c>
      <c r="Z14" s="12">
        <v>30</v>
      </c>
      <c r="AA14" s="12">
        <v>105</v>
      </c>
      <c r="AB14" s="12">
        <v>15</v>
      </c>
      <c r="AC14" s="12">
        <v>161</v>
      </c>
      <c r="AD14" s="12">
        <v>83</v>
      </c>
      <c r="AE14" s="12">
        <v>152</v>
      </c>
      <c r="AF14" s="12">
        <v>180</v>
      </c>
    </row>
    <row r="15" spans="1:32" ht="24.95">
      <c r="A15" s="20"/>
      <c r="B15" s="13" t="s">
        <v>463</v>
      </c>
      <c r="C15" s="14">
        <v>7.0000000000000007E-2</v>
      </c>
      <c r="D15" s="14">
        <v>0.11</v>
      </c>
      <c r="E15" s="14">
        <v>0.02</v>
      </c>
      <c r="F15" s="14">
        <v>0.03</v>
      </c>
      <c r="G15" s="14">
        <v>0.14000000000000001</v>
      </c>
      <c r="H15" s="14">
        <v>0.05</v>
      </c>
      <c r="I15" s="14">
        <v>0.05</v>
      </c>
      <c r="J15" s="14">
        <v>0.04</v>
      </c>
      <c r="K15" s="14">
        <v>0.17</v>
      </c>
      <c r="L15" s="14">
        <v>0.12</v>
      </c>
      <c r="M15" s="14">
        <v>0.04</v>
      </c>
      <c r="N15" s="14">
        <v>0.06</v>
      </c>
      <c r="O15" s="14">
        <v>7.0000000000000007E-2</v>
      </c>
      <c r="P15" s="14">
        <v>0.05</v>
      </c>
      <c r="Q15" s="14">
        <v>0.04</v>
      </c>
      <c r="R15" s="14">
        <v>0.09</v>
      </c>
      <c r="S15" s="14">
        <v>0.13</v>
      </c>
      <c r="T15" s="14">
        <v>0.08</v>
      </c>
      <c r="U15" s="14">
        <v>0.14000000000000001</v>
      </c>
      <c r="V15" s="14">
        <v>0.04</v>
      </c>
      <c r="W15" s="14">
        <v>0.12</v>
      </c>
      <c r="X15" s="14">
        <v>0.18</v>
      </c>
      <c r="Y15" s="14">
        <v>0.08</v>
      </c>
      <c r="Z15" s="14">
        <v>0.03</v>
      </c>
      <c r="AA15" s="14">
        <v>0.1</v>
      </c>
      <c r="AB15" s="14">
        <v>0.01</v>
      </c>
      <c r="AC15" s="14">
        <v>0.16</v>
      </c>
      <c r="AD15" s="14">
        <v>0.08</v>
      </c>
      <c r="AE15" s="14">
        <v>0.15</v>
      </c>
      <c r="AF15" s="14">
        <v>0.18</v>
      </c>
    </row>
    <row r="16" spans="1:32" ht="24.95">
      <c r="A16" s="20"/>
      <c r="B16" s="11" t="s">
        <v>464</v>
      </c>
      <c r="C16" s="12">
        <v>3410</v>
      </c>
      <c r="D16" s="12">
        <v>101</v>
      </c>
      <c r="E16" s="12">
        <v>127</v>
      </c>
      <c r="F16" s="12">
        <v>80</v>
      </c>
      <c r="G16" s="12">
        <v>98</v>
      </c>
      <c r="H16" s="12">
        <v>157</v>
      </c>
      <c r="I16" s="12">
        <v>204</v>
      </c>
      <c r="J16" s="12">
        <v>47</v>
      </c>
      <c r="K16" s="12">
        <v>296</v>
      </c>
      <c r="L16" s="12">
        <v>148</v>
      </c>
      <c r="M16" s="12">
        <v>150</v>
      </c>
      <c r="N16" s="12">
        <v>82</v>
      </c>
      <c r="O16" s="12">
        <v>152</v>
      </c>
      <c r="P16" s="12">
        <v>181</v>
      </c>
      <c r="Q16" s="12">
        <v>124</v>
      </c>
      <c r="R16" s="12">
        <v>67</v>
      </c>
      <c r="S16" s="12">
        <v>124</v>
      </c>
      <c r="T16" s="12">
        <v>158</v>
      </c>
      <c r="U16" s="12">
        <v>83</v>
      </c>
      <c r="V16" s="12">
        <v>98</v>
      </c>
      <c r="W16" s="12">
        <v>42</v>
      </c>
      <c r="X16" s="12">
        <v>232</v>
      </c>
      <c r="Y16" s="12">
        <v>161</v>
      </c>
      <c r="Z16" s="12">
        <v>58</v>
      </c>
      <c r="AA16" s="12">
        <v>196</v>
      </c>
      <c r="AB16" s="12">
        <v>81</v>
      </c>
      <c r="AC16" s="12">
        <v>187</v>
      </c>
      <c r="AD16" s="12">
        <v>232</v>
      </c>
      <c r="AE16" s="12">
        <v>276</v>
      </c>
      <c r="AF16" s="12">
        <v>240</v>
      </c>
    </row>
    <row r="17" spans="1:32">
      <c r="A17" s="20"/>
      <c r="B17" s="13" t="s">
        <v>465</v>
      </c>
      <c r="C17" s="14">
        <v>0.13</v>
      </c>
      <c r="D17" s="14">
        <v>0.1</v>
      </c>
      <c r="E17" s="14">
        <v>0.12</v>
      </c>
      <c r="F17" s="14">
        <v>0.08</v>
      </c>
      <c r="G17" s="14">
        <v>0.1</v>
      </c>
      <c r="H17" s="14">
        <v>0.13</v>
      </c>
      <c r="I17" s="14">
        <v>0.13</v>
      </c>
      <c r="J17" s="14">
        <v>0.16</v>
      </c>
      <c r="K17" s="14">
        <v>0.28999999999999998</v>
      </c>
      <c r="L17" s="14">
        <v>0.15</v>
      </c>
      <c r="M17" s="14">
        <v>0.15</v>
      </c>
      <c r="N17" s="14">
        <v>0.08</v>
      </c>
      <c r="O17" s="14">
        <v>0.15</v>
      </c>
      <c r="P17" s="14">
        <v>0.18</v>
      </c>
      <c r="Q17" s="14">
        <v>0.12</v>
      </c>
      <c r="R17" s="14">
        <v>0.13</v>
      </c>
      <c r="S17" s="14">
        <v>0.12</v>
      </c>
      <c r="T17" s="14">
        <v>0.16</v>
      </c>
      <c r="U17" s="14">
        <v>0.16</v>
      </c>
      <c r="V17" s="14">
        <v>0.1</v>
      </c>
      <c r="W17" s="14">
        <v>0.08</v>
      </c>
      <c r="X17" s="14">
        <v>0.23</v>
      </c>
      <c r="Y17" s="14">
        <v>0.16</v>
      </c>
      <c r="Z17" s="14">
        <v>0.06</v>
      </c>
      <c r="AA17" s="14">
        <v>0.19</v>
      </c>
      <c r="AB17" s="14">
        <v>0.08</v>
      </c>
      <c r="AC17" s="14">
        <v>0.19</v>
      </c>
      <c r="AD17" s="14">
        <v>0.23</v>
      </c>
      <c r="AE17" s="14">
        <v>0.28000000000000003</v>
      </c>
      <c r="AF17" s="14">
        <v>0.24</v>
      </c>
    </row>
    <row r="18" spans="1:32">
      <c r="A18" s="20"/>
      <c r="B18" s="11" t="s">
        <v>466</v>
      </c>
      <c r="C18" s="12">
        <v>20423</v>
      </c>
      <c r="D18" s="12">
        <v>745</v>
      </c>
      <c r="E18" s="12">
        <v>861</v>
      </c>
      <c r="F18" s="12">
        <v>871</v>
      </c>
      <c r="G18" s="12">
        <v>732</v>
      </c>
      <c r="H18" s="12">
        <v>941</v>
      </c>
      <c r="I18" s="12">
        <v>1171</v>
      </c>
      <c r="J18" s="12">
        <v>231</v>
      </c>
      <c r="K18" s="12">
        <v>540</v>
      </c>
      <c r="L18" s="12">
        <v>691</v>
      </c>
      <c r="M18" s="12">
        <v>811</v>
      </c>
      <c r="N18" s="12">
        <v>811</v>
      </c>
      <c r="O18" s="12">
        <v>762</v>
      </c>
      <c r="P18" s="12">
        <v>792</v>
      </c>
      <c r="Q18" s="12">
        <v>817</v>
      </c>
      <c r="R18" s="12">
        <v>373</v>
      </c>
      <c r="S18" s="12">
        <v>730</v>
      </c>
      <c r="T18" s="12">
        <v>739</v>
      </c>
      <c r="U18" s="12">
        <v>336</v>
      </c>
      <c r="V18" s="12">
        <v>836</v>
      </c>
      <c r="W18" s="12">
        <v>309</v>
      </c>
      <c r="X18" s="12">
        <v>587</v>
      </c>
      <c r="Y18" s="12">
        <v>735</v>
      </c>
      <c r="Z18" s="12">
        <v>862</v>
      </c>
      <c r="AA18" s="12">
        <v>796</v>
      </c>
      <c r="AB18" s="12">
        <v>933</v>
      </c>
      <c r="AC18" s="12">
        <v>689</v>
      </c>
      <c r="AD18" s="12">
        <v>701</v>
      </c>
      <c r="AE18" s="12">
        <v>596</v>
      </c>
      <c r="AF18" s="12">
        <v>622</v>
      </c>
    </row>
    <row r="19" spans="1:32">
      <c r="A19" s="20"/>
      <c r="B19" s="13" t="s">
        <v>467</v>
      </c>
      <c r="C19" s="14">
        <v>0.78</v>
      </c>
      <c r="D19" s="14">
        <v>0.74</v>
      </c>
      <c r="E19" s="14">
        <v>0.85</v>
      </c>
      <c r="F19" s="14">
        <v>0.87</v>
      </c>
      <c r="G19" s="14">
        <v>0.73</v>
      </c>
      <c r="H19" s="14">
        <v>0.77</v>
      </c>
      <c r="I19" s="14">
        <v>0.78</v>
      </c>
      <c r="J19" s="14">
        <v>0.79</v>
      </c>
      <c r="K19" s="14">
        <v>0.54</v>
      </c>
      <c r="L19" s="14">
        <v>0.69000000000000006</v>
      </c>
      <c r="M19" s="14">
        <v>0.81</v>
      </c>
      <c r="N19" s="14">
        <v>0.81</v>
      </c>
      <c r="O19" s="14">
        <v>0.76</v>
      </c>
      <c r="P19" s="14">
        <v>0.77</v>
      </c>
      <c r="Q19" s="14">
        <v>0.8</v>
      </c>
      <c r="R19" s="14">
        <v>0.75</v>
      </c>
      <c r="S19" s="14">
        <v>0.72</v>
      </c>
      <c r="T19" s="14">
        <v>0.73</v>
      </c>
      <c r="U19" s="14">
        <v>0.66</v>
      </c>
      <c r="V19" s="14">
        <v>0.82000000000000006</v>
      </c>
      <c r="W19" s="14">
        <v>0.62</v>
      </c>
      <c r="X19" s="14">
        <v>0.57000000000000006</v>
      </c>
      <c r="Y19" s="14">
        <v>0.73</v>
      </c>
      <c r="Z19" s="14">
        <v>0.86</v>
      </c>
      <c r="AA19" s="14">
        <v>0.76</v>
      </c>
      <c r="AB19" s="14">
        <v>0.9</v>
      </c>
      <c r="AC19" s="14">
        <v>0.68</v>
      </c>
      <c r="AD19" s="14">
        <v>0.70000000000000007</v>
      </c>
      <c r="AE19" s="14">
        <v>0.6</v>
      </c>
      <c r="AF19" s="14">
        <v>0.61</v>
      </c>
    </row>
    <row r="20" spans="1:32">
      <c r="A20" s="20"/>
      <c r="B20" s="11" t="s">
        <v>468</v>
      </c>
      <c r="C20" s="12">
        <v>9</v>
      </c>
      <c r="D20" s="12">
        <v>5</v>
      </c>
      <c r="E20" s="12">
        <v>0</v>
      </c>
      <c r="F20" s="12">
        <v>2</v>
      </c>
      <c r="G20" s="12">
        <v>0</v>
      </c>
      <c r="H20" s="12">
        <v>0</v>
      </c>
      <c r="I20" s="12">
        <v>0</v>
      </c>
      <c r="J20" s="12">
        <v>0</v>
      </c>
      <c r="K20" s="12">
        <v>1</v>
      </c>
      <c r="L20" s="12">
        <v>0</v>
      </c>
      <c r="M20" s="12">
        <v>0</v>
      </c>
      <c r="N20" s="12">
        <v>0</v>
      </c>
      <c r="O20" s="12">
        <v>0</v>
      </c>
      <c r="P20" s="12">
        <v>0</v>
      </c>
      <c r="Q20" s="12">
        <v>0</v>
      </c>
      <c r="R20" s="12">
        <v>0</v>
      </c>
      <c r="S20" s="12">
        <v>0</v>
      </c>
      <c r="T20" s="12">
        <v>7</v>
      </c>
      <c r="U20" s="12">
        <v>0</v>
      </c>
      <c r="V20" s="12">
        <v>0</v>
      </c>
      <c r="W20" s="12">
        <v>0</v>
      </c>
      <c r="X20" s="12">
        <v>0</v>
      </c>
      <c r="Y20" s="12">
        <v>3</v>
      </c>
      <c r="Z20" s="12">
        <v>0</v>
      </c>
      <c r="AA20" s="12">
        <v>0</v>
      </c>
      <c r="AB20" s="12">
        <v>1</v>
      </c>
      <c r="AC20" s="12">
        <v>0</v>
      </c>
      <c r="AD20" s="12">
        <v>0</v>
      </c>
      <c r="AE20" s="12">
        <v>2</v>
      </c>
      <c r="AF20" s="12">
        <v>0</v>
      </c>
    </row>
    <row r="21" spans="1:32">
      <c r="A21" s="20"/>
      <c r="B21" s="13" t="s">
        <v>469</v>
      </c>
      <c r="C21" s="16" t="s">
        <v>459</v>
      </c>
      <c r="D21" s="16">
        <v>0.01</v>
      </c>
      <c r="E21" s="16" t="s">
        <v>459</v>
      </c>
      <c r="F21" s="16" t="s">
        <v>459</v>
      </c>
      <c r="G21" s="16" t="s">
        <v>459</v>
      </c>
      <c r="H21" s="16" t="s">
        <v>459</v>
      </c>
      <c r="I21" s="16" t="s">
        <v>459</v>
      </c>
      <c r="J21" s="16" t="s">
        <v>459</v>
      </c>
      <c r="K21" s="16" t="s">
        <v>459</v>
      </c>
      <c r="L21" s="16" t="s">
        <v>459</v>
      </c>
      <c r="M21" s="16" t="s">
        <v>459</v>
      </c>
      <c r="N21" s="16" t="s">
        <v>459</v>
      </c>
      <c r="O21" s="16" t="s">
        <v>459</v>
      </c>
      <c r="P21" s="16" t="s">
        <v>459</v>
      </c>
      <c r="Q21" s="16" t="s">
        <v>459</v>
      </c>
      <c r="R21" s="16" t="s">
        <v>459</v>
      </c>
      <c r="S21" s="16" t="s">
        <v>459</v>
      </c>
      <c r="T21" s="14">
        <v>0.01</v>
      </c>
      <c r="U21" s="16" t="s">
        <v>459</v>
      </c>
      <c r="V21" s="16" t="s">
        <v>459</v>
      </c>
      <c r="W21" s="16" t="s">
        <v>459</v>
      </c>
      <c r="X21" s="16" t="s">
        <v>459</v>
      </c>
      <c r="Y21" s="16" t="s">
        <v>459</v>
      </c>
      <c r="Z21" s="16" t="s">
        <v>459</v>
      </c>
      <c r="AA21" s="16" t="s">
        <v>459</v>
      </c>
      <c r="AB21" s="16" t="s">
        <v>459</v>
      </c>
      <c r="AC21" s="16" t="s">
        <v>459</v>
      </c>
      <c r="AD21" s="16" t="s">
        <v>459</v>
      </c>
      <c r="AE21" s="16" t="s">
        <v>459</v>
      </c>
      <c r="AF21" s="16" t="s">
        <v>459</v>
      </c>
    </row>
    <row r="22" spans="1:32">
      <c r="A22" s="20"/>
      <c r="B22" s="11" t="s">
        <v>470</v>
      </c>
      <c r="C22" s="12">
        <v>5887</v>
      </c>
      <c r="D22" s="12">
        <v>253</v>
      </c>
      <c r="E22" s="12">
        <v>157</v>
      </c>
      <c r="F22" s="12">
        <v>132</v>
      </c>
      <c r="G22" s="12">
        <v>272</v>
      </c>
      <c r="H22" s="12">
        <v>276</v>
      </c>
      <c r="I22" s="12">
        <v>339</v>
      </c>
      <c r="J22" s="12">
        <v>63</v>
      </c>
      <c r="K22" s="12">
        <v>465</v>
      </c>
      <c r="L22" s="12">
        <v>316</v>
      </c>
      <c r="M22" s="12">
        <v>192</v>
      </c>
      <c r="N22" s="12">
        <v>193</v>
      </c>
      <c r="O22" s="12">
        <v>241</v>
      </c>
      <c r="P22" s="12">
        <v>230</v>
      </c>
      <c r="Q22" s="12">
        <v>202</v>
      </c>
      <c r="R22" s="12">
        <v>127</v>
      </c>
      <c r="S22" s="12">
        <v>278</v>
      </c>
      <c r="T22" s="12">
        <v>268</v>
      </c>
      <c r="U22" s="12">
        <v>171</v>
      </c>
      <c r="V22" s="12">
        <v>181</v>
      </c>
      <c r="W22" s="12">
        <v>194</v>
      </c>
      <c r="X22" s="12">
        <v>434</v>
      </c>
      <c r="Y22" s="12">
        <v>270</v>
      </c>
      <c r="Z22" s="12">
        <v>146</v>
      </c>
      <c r="AA22" s="12">
        <v>257</v>
      </c>
      <c r="AB22" s="12">
        <v>105</v>
      </c>
      <c r="AC22" s="12">
        <v>321</v>
      </c>
      <c r="AD22" s="12">
        <v>305</v>
      </c>
      <c r="AE22" s="12">
        <v>403</v>
      </c>
      <c r="AF22" s="12">
        <v>398</v>
      </c>
    </row>
    <row r="23" spans="1:32">
      <c r="A23" s="20"/>
      <c r="B23" s="13" t="s">
        <v>471</v>
      </c>
      <c r="C23" s="14">
        <v>0.22</v>
      </c>
      <c r="D23" s="14">
        <v>0.25</v>
      </c>
      <c r="E23" s="14">
        <v>0.15</v>
      </c>
      <c r="F23" s="14">
        <v>0.13</v>
      </c>
      <c r="G23" s="14">
        <v>0.27</v>
      </c>
      <c r="H23" s="14">
        <v>0.23</v>
      </c>
      <c r="I23" s="14">
        <v>0.22</v>
      </c>
      <c r="J23" s="14">
        <v>0.21</v>
      </c>
      <c r="K23" s="14">
        <v>0.46</v>
      </c>
      <c r="L23" s="14">
        <v>0.31</v>
      </c>
      <c r="M23" s="14">
        <v>0.19</v>
      </c>
      <c r="N23" s="14">
        <v>0.19</v>
      </c>
      <c r="O23" s="14">
        <v>0.24</v>
      </c>
      <c r="P23" s="14">
        <v>0.23</v>
      </c>
      <c r="Q23" s="14">
        <v>0.2</v>
      </c>
      <c r="R23" s="14">
        <v>0.25</v>
      </c>
      <c r="S23" s="14">
        <v>0.28000000000000003</v>
      </c>
      <c r="T23" s="14">
        <v>0.26</v>
      </c>
      <c r="U23" s="14">
        <v>0.34</v>
      </c>
      <c r="V23" s="14">
        <v>0.18</v>
      </c>
      <c r="W23" s="14">
        <v>0.38</v>
      </c>
      <c r="X23" s="14">
        <v>0.43</v>
      </c>
      <c r="Y23" s="14">
        <v>0.27</v>
      </c>
      <c r="Z23" s="14">
        <v>0.14000000000000001</v>
      </c>
      <c r="AA23" s="14">
        <v>0.24</v>
      </c>
      <c r="AB23" s="14">
        <v>0.1</v>
      </c>
      <c r="AC23" s="14">
        <v>0.32</v>
      </c>
      <c r="AD23" s="14">
        <v>0.3</v>
      </c>
      <c r="AE23" s="14">
        <v>0.4</v>
      </c>
      <c r="AF23" s="14">
        <v>0.39</v>
      </c>
    </row>
    <row r="24" spans="1:32">
      <c r="A24" s="19"/>
    </row>
    <row r="25" spans="1:32">
      <c r="A25" s="19"/>
    </row>
    <row r="26" spans="1:32">
      <c r="A26" s="19"/>
    </row>
    <row r="27" spans="1:32">
      <c r="A27" s="19"/>
    </row>
  </sheetData>
  <mergeCells count="10">
    <mergeCell ref="B4:F4"/>
    <mergeCell ref="A22:A27"/>
    <mergeCell ref="A10:A21"/>
    <mergeCell ref="H3:L3"/>
    <mergeCell ref="C8:AF8"/>
    <mergeCell ref="B3:F3"/>
    <mergeCell ref="B5:F5"/>
    <mergeCell ref="H5:L5"/>
    <mergeCell ref="B10:B11"/>
    <mergeCell ref="H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472</v>
      </c>
      <c r="C3" s="18"/>
      <c r="D3" s="18"/>
      <c r="E3" s="18"/>
      <c r="F3" s="18"/>
      <c r="H3" s="18" t="s">
        <v>473</v>
      </c>
      <c r="I3" s="18"/>
      <c r="J3" s="18"/>
      <c r="K3" s="18"/>
      <c r="L3" s="18"/>
    </row>
    <row r="4" spans="1:32" ht="27" customHeight="1">
      <c r="B4" s="18" t="s">
        <v>474</v>
      </c>
      <c r="C4" s="18"/>
      <c r="D4" s="18"/>
      <c r="E4" s="18"/>
      <c r="F4" s="18"/>
      <c r="H4" s="18" t="s">
        <v>475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476</v>
      </c>
      <c r="C12" s="12">
        <v>7815</v>
      </c>
      <c r="D12" s="12">
        <v>273</v>
      </c>
      <c r="E12" s="12">
        <v>190</v>
      </c>
      <c r="F12" s="12">
        <v>233</v>
      </c>
      <c r="G12" s="12">
        <v>611</v>
      </c>
      <c r="H12" s="12">
        <v>366</v>
      </c>
      <c r="I12" s="12">
        <v>443</v>
      </c>
      <c r="J12" s="12">
        <v>76</v>
      </c>
      <c r="K12" s="12">
        <v>300</v>
      </c>
      <c r="L12" s="12">
        <v>441</v>
      </c>
      <c r="M12" s="12">
        <v>233</v>
      </c>
      <c r="N12" s="12">
        <v>353</v>
      </c>
      <c r="O12" s="12">
        <v>368</v>
      </c>
      <c r="P12" s="12">
        <v>244</v>
      </c>
      <c r="Q12" s="12">
        <v>181</v>
      </c>
      <c r="R12" s="12">
        <v>138</v>
      </c>
      <c r="S12" s="12">
        <v>264</v>
      </c>
      <c r="T12" s="12">
        <v>267</v>
      </c>
      <c r="U12" s="12">
        <v>227</v>
      </c>
      <c r="V12" s="12">
        <v>330</v>
      </c>
      <c r="W12" s="12">
        <v>182</v>
      </c>
      <c r="X12" s="12">
        <v>513</v>
      </c>
      <c r="Y12" s="12">
        <v>396</v>
      </c>
      <c r="Z12" s="12">
        <v>203</v>
      </c>
      <c r="AA12" s="12">
        <v>204</v>
      </c>
      <c r="AB12" s="12">
        <v>182</v>
      </c>
      <c r="AC12" s="12">
        <v>325</v>
      </c>
      <c r="AD12" s="12">
        <v>215</v>
      </c>
      <c r="AE12" s="12">
        <v>466</v>
      </c>
      <c r="AF12" s="12">
        <v>490</v>
      </c>
    </row>
    <row r="13" spans="1:32">
      <c r="A13" s="20"/>
      <c r="B13" s="13" t="s">
        <v>477</v>
      </c>
      <c r="C13" s="14">
        <v>0.3</v>
      </c>
      <c r="D13" s="14">
        <v>0.27</v>
      </c>
      <c r="E13" s="14">
        <v>0.19</v>
      </c>
      <c r="F13" s="14">
        <v>0.23</v>
      </c>
      <c r="G13" s="14">
        <v>0.61</v>
      </c>
      <c r="H13" s="14">
        <v>0.3</v>
      </c>
      <c r="I13" s="14">
        <v>0.28999999999999998</v>
      </c>
      <c r="J13" s="14">
        <v>0.26</v>
      </c>
      <c r="K13" s="14">
        <v>0.3</v>
      </c>
      <c r="L13" s="14">
        <v>0.44</v>
      </c>
      <c r="M13" s="14">
        <v>0.23</v>
      </c>
      <c r="N13" s="14">
        <v>0.35</v>
      </c>
      <c r="O13" s="14">
        <v>0.37</v>
      </c>
      <c r="P13" s="14">
        <v>0.24</v>
      </c>
      <c r="Q13" s="14">
        <v>0.18</v>
      </c>
      <c r="R13" s="14">
        <v>0.28000000000000003</v>
      </c>
      <c r="S13" s="14">
        <v>0.26</v>
      </c>
      <c r="T13" s="14">
        <v>0.26</v>
      </c>
      <c r="U13" s="14">
        <v>0.45</v>
      </c>
      <c r="V13" s="14">
        <v>0.32</v>
      </c>
      <c r="W13" s="14">
        <v>0.36</v>
      </c>
      <c r="X13" s="14">
        <v>0.5</v>
      </c>
      <c r="Y13" s="14">
        <v>0.39</v>
      </c>
      <c r="Z13" s="14">
        <v>0.2</v>
      </c>
      <c r="AA13" s="14">
        <v>0.19</v>
      </c>
      <c r="AB13" s="14">
        <v>0.17</v>
      </c>
      <c r="AC13" s="14">
        <v>0.32</v>
      </c>
      <c r="AD13" s="14">
        <v>0.21</v>
      </c>
      <c r="AE13" s="14">
        <v>0.47</v>
      </c>
      <c r="AF13" s="14">
        <v>0.48</v>
      </c>
    </row>
    <row r="14" spans="1:32">
      <c r="A14" s="20"/>
      <c r="B14" s="11" t="s">
        <v>478</v>
      </c>
      <c r="C14" s="12">
        <v>15187</v>
      </c>
      <c r="D14" s="12">
        <v>595</v>
      </c>
      <c r="E14" s="12">
        <v>510</v>
      </c>
      <c r="F14" s="12">
        <v>606</v>
      </c>
      <c r="G14" s="12">
        <v>357</v>
      </c>
      <c r="H14" s="12">
        <v>747</v>
      </c>
      <c r="I14" s="12">
        <v>919</v>
      </c>
      <c r="J14" s="12">
        <v>172</v>
      </c>
      <c r="K14" s="12">
        <v>537</v>
      </c>
      <c r="L14" s="12">
        <v>507</v>
      </c>
      <c r="M14" s="12">
        <v>600</v>
      </c>
      <c r="N14" s="12">
        <v>546</v>
      </c>
      <c r="O14" s="12">
        <v>529</v>
      </c>
      <c r="P14" s="12">
        <v>620</v>
      </c>
      <c r="Q14" s="12">
        <v>683</v>
      </c>
      <c r="R14" s="12">
        <v>294</v>
      </c>
      <c r="S14" s="12">
        <v>548</v>
      </c>
      <c r="T14" s="12">
        <v>584</v>
      </c>
      <c r="U14" s="12">
        <v>236</v>
      </c>
      <c r="V14" s="12">
        <v>554</v>
      </c>
      <c r="W14" s="12">
        <v>275</v>
      </c>
      <c r="X14" s="12">
        <v>473</v>
      </c>
      <c r="Y14" s="12">
        <v>486</v>
      </c>
      <c r="Z14" s="12">
        <v>671</v>
      </c>
      <c r="AA14" s="12">
        <v>658</v>
      </c>
      <c r="AB14" s="12">
        <v>543</v>
      </c>
      <c r="AC14" s="12">
        <v>597</v>
      </c>
      <c r="AD14" s="12">
        <v>638</v>
      </c>
      <c r="AE14" s="12">
        <v>472</v>
      </c>
      <c r="AF14" s="12">
        <v>485</v>
      </c>
    </row>
    <row r="15" spans="1:32">
      <c r="A15" s="20"/>
      <c r="B15" s="13" t="s">
        <v>479</v>
      </c>
      <c r="C15" s="14">
        <v>0.57999999999999996</v>
      </c>
      <c r="D15" s="14">
        <v>0.59</v>
      </c>
      <c r="E15" s="14">
        <v>0.5</v>
      </c>
      <c r="F15" s="14">
        <v>0.6</v>
      </c>
      <c r="G15" s="14">
        <v>0.36</v>
      </c>
      <c r="H15" s="14">
        <v>0.61</v>
      </c>
      <c r="I15" s="14">
        <v>0.61</v>
      </c>
      <c r="J15" s="14">
        <v>0.59</v>
      </c>
      <c r="K15" s="14">
        <v>0.53</v>
      </c>
      <c r="L15" s="14">
        <v>0.5</v>
      </c>
      <c r="M15" s="14">
        <v>0.6</v>
      </c>
      <c r="N15" s="14">
        <v>0.55000000000000004</v>
      </c>
      <c r="O15" s="14">
        <v>0.53</v>
      </c>
      <c r="P15" s="14">
        <v>0.61</v>
      </c>
      <c r="Q15" s="14">
        <v>0.67</v>
      </c>
      <c r="R15" s="14">
        <v>0.59</v>
      </c>
      <c r="S15" s="14">
        <v>0.54</v>
      </c>
      <c r="T15" s="14">
        <v>0.57999999999999996</v>
      </c>
      <c r="U15" s="14">
        <v>0.46</v>
      </c>
      <c r="V15" s="14">
        <v>0.55000000000000004</v>
      </c>
      <c r="W15" s="14">
        <v>0.55000000000000004</v>
      </c>
      <c r="X15" s="14">
        <v>0.47</v>
      </c>
      <c r="Y15" s="14">
        <v>0.48</v>
      </c>
      <c r="Z15" s="14">
        <v>0.67</v>
      </c>
      <c r="AA15" s="14">
        <v>0.63</v>
      </c>
      <c r="AB15" s="14">
        <v>0.52</v>
      </c>
      <c r="AC15" s="14">
        <v>0.59</v>
      </c>
      <c r="AD15" s="14">
        <v>0.63</v>
      </c>
      <c r="AE15" s="14">
        <v>0.47</v>
      </c>
      <c r="AF15" s="14">
        <v>0.48</v>
      </c>
    </row>
    <row r="16" spans="1:32">
      <c r="A16" s="20"/>
      <c r="B16" s="11" t="s">
        <v>480</v>
      </c>
      <c r="C16" s="12">
        <v>2823</v>
      </c>
      <c r="D16" s="12">
        <v>118</v>
      </c>
      <c r="E16" s="12">
        <v>265</v>
      </c>
      <c r="F16" s="12">
        <v>132</v>
      </c>
      <c r="G16" s="12">
        <v>31</v>
      </c>
      <c r="H16" s="12">
        <v>82</v>
      </c>
      <c r="I16" s="12">
        <v>121</v>
      </c>
      <c r="J16" s="12">
        <v>39</v>
      </c>
      <c r="K16" s="12">
        <v>136</v>
      </c>
      <c r="L16" s="12">
        <v>43</v>
      </c>
      <c r="M16" s="12">
        <v>152</v>
      </c>
      <c r="N16" s="12">
        <v>91</v>
      </c>
      <c r="O16" s="12">
        <v>94</v>
      </c>
      <c r="P16" s="12">
        <v>144</v>
      </c>
      <c r="Q16" s="12">
        <v>137</v>
      </c>
      <c r="R16" s="12">
        <v>61</v>
      </c>
      <c r="S16" s="12">
        <v>158</v>
      </c>
      <c r="T16" s="12">
        <v>143</v>
      </c>
      <c r="U16" s="12">
        <v>37</v>
      </c>
      <c r="V16" s="12">
        <v>116</v>
      </c>
      <c r="W16" s="12">
        <v>41</v>
      </c>
      <c r="X16" s="12">
        <v>33</v>
      </c>
      <c r="Y16" s="12">
        <v>104</v>
      </c>
      <c r="Z16" s="12">
        <v>105</v>
      </c>
      <c r="AA16" s="12">
        <v>162</v>
      </c>
      <c r="AB16" s="12">
        <v>267</v>
      </c>
      <c r="AC16" s="12">
        <v>82</v>
      </c>
      <c r="AD16" s="12">
        <v>146</v>
      </c>
      <c r="AE16" s="12">
        <v>60</v>
      </c>
      <c r="AF16" s="12">
        <v>33</v>
      </c>
    </row>
    <row r="17" spans="1:32">
      <c r="A17" s="20"/>
      <c r="B17" s="13" t="s">
        <v>481</v>
      </c>
      <c r="C17" s="14">
        <v>0.11</v>
      </c>
      <c r="D17" s="14">
        <v>0.12</v>
      </c>
      <c r="E17" s="14">
        <v>0.26</v>
      </c>
      <c r="F17" s="14">
        <v>0.13</v>
      </c>
      <c r="G17" s="14">
        <v>0.03</v>
      </c>
      <c r="H17" s="14">
        <v>7.0000000000000007E-2</v>
      </c>
      <c r="I17" s="14">
        <v>0.08</v>
      </c>
      <c r="J17" s="14">
        <v>0.13</v>
      </c>
      <c r="K17" s="14">
        <v>0.13</v>
      </c>
      <c r="L17" s="14">
        <v>0.04</v>
      </c>
      <c r="M17" s="14">
        <v>0.15</v>
      </c>
      <c r="N17" s="14">
        <v>0.09</v>
      </c>
      <c r="O17" s="14">
        <v>0.09</v>
      </c>
      <c r="P17" s="14">
        <v>0.14000000000000001</v>
      </c>
      <c r="Q17" s="14">
        <v>0.13</v>
      </c>
      <c r="R17" s="14">
        <v>0.12</v>
      </c>
      <c r="S17" s="14">
        <v>0.16</v>
      </c>
      <c r="T17" s="14">
        <v>0.14000000000000001</v>
      </c>
      <c r="U17" s="14">
        <v>7.0000000000000007E-2</v>
      </c>
      <c r="V17" s="14">
        <v>0.11</v>
      </c>
      <c r="W17" s="14">
        <v>0.08</v>
      </c>
      <c r="X17" s="14">
        <v>0.03</v>
      </c>
      <c r="Y17" s="14">
        <v>0.1</v>
      </c>
      <c r="Z17" s="14">
        <v>0.1</v>
      </c>
      <c r="AA17" s="14">
        <v>0.15</v>
      </c>
      <c r="AB17" s="14">
        <v>0.26</v>
      </c>
      <c r="AC17" s="14">
        <v>0.08</v>
      </c>
      <c r="AD17" s="14">
        <v>0.15</v>
      </c>
      <c r="AE17" s="14">
        <v>0.06</v>
      </c>
      <c r="AF17" s="14">
        <v>0.03</v>
      </c>
    </row>
    <row r="18" spans="1:32">
      <c r="A18" s="20"/>
      <c r="B18" s="11" t="s">
        <v>482</v>
      </c>
      <c r="C18" s="12">
        <v>414</v>
      </c>
      <c r="D18" s="12">
        <v>17</v>
      </c>
      <c r="E18" s="12">
        <v>42</v>
      </c>
      <c r="F18" s="12">
        <v>26</v>
      </c>
      <c r="G18" s="12">
        <v>4</v>
      </c>
      <c r="H18" s="12">
        <v>18</v>
      </c>
      <c r="I18" s="12">
        <v>24</v>
      </c>
      <c r="J18" s="12">
        <v>6</v>
      </c>
      <c r="K18" s="12">
        <v>27</v>
      </c>
      <c r="L18" s="12">
        <v>11</v>
      </c>
      <c r="M18" s="12">
        <v>15</v>
      </c>
      <c r="N18" s="12">
        <v>12</v>
      </c>
      <c r="O18" s="12">
        <v>10</v>
      </c>
      <c r="P18" s="12">
        <v>13</v>
      </c>
      <c r="Q18" s="12">
        <v>18</v>
      </c>
      <c r="R18" s="12">
        <v>7</v>
      </c>
      <c r="S18" s="12">
        <v>25</v>
      </c>
      <c r="T18" s="12">
        <v>19</v>
      </c>
      <c r="U18" s="12">
        <v>7</v>
      </c>
      <c r="V18" s="12">
        <v>15</v>
      </c>
      <c r="W18" s="12">
        <v>4</v>
      </c>
      <c r="X18" s="12">
        <v>2</v>
      </c>
      <c r="Y18" s="12">
        <v>14</v>
      </c>
      <c r="Z18" s="12">
        <v>17</v>
      </c>
      <c r="AA18" s="12">
        <v>25</v>
      </c>
      <c r="AB18" s="12">
        <v>47</v>
      </c>
      <c r="AC18" s="12">
        <v>5</v>
      </c>
      <c r="AD18" s="12">
        <v>8</v>
      </c>
      <c r="AE18" s="12">
        <v>2</v>
      </c>
      <c r="AF18" s="12">
        <v>11</v>
      </c>
    </row>
    <row r="19" spans="1:32">
      <c r="A19" s="20"/>
      <c r="B19" s="13" t="s">
        <v>483</v>
      </c>
      <c r="C19" s="14">
        <v>0.01</v>
      </c>
      <c r="D19" s="14">
        <v>0.02</v>
      </c>
      <c r="E19" s="14">
        <v>0.04</v>
      </c>
      <c r="F19" s="14">
        <v>0.03</v>
      </c>
      <c r="G19" s="15" t="s">
        <v>459</v>
      </c>
      <c r="H19" s="14">
        <v>0.02</v>
      </c>
      <c r="I19" s="14">
        <v>0.02</v>
      </c>
      <c r="J19" s="14">
        <v>0.02</v>
      </c>
      <c r="K19" s="14">
        <v>0.03</v>
      </c>
      <c r="L19" s="14">
        <v>0.01</v>
      </c>
      <c r="M19" s="14">
        <v>0.02</v>
      </c>
      <c r="N19" s="14">
        <v>0.01</v>
      </c>
      <c r="O19" s="14">
        <v>0.01</v>
      </c>
      <c r="P19" s="14">
        <v>0.01</v>
      </c>
      <c r="Q19" s="14">
        <v>0.02</v>
      </c>
      <c r="R19" s="14">
        <v>0.01</v>
      </c>
      <c r="S19" s="14">
        <v>0.03</v>
      </c>
      <c r="T19" s="14">
        <v>0.02</v>
      </c>
      <c r="U19" s="14">
        <v>0.02</v>
      </c>
      <c r="V19" s="14">
        <v>0.02</v>
      </c>
      <c r="W19" s="14">
        <v>0.01</v>
      </c>
      <c r="X19" s="15" t="s">
        <v>459</v>
      </c>
      <c r="Y19" s="14">
        <v>0.02</v>
      </c>
      <c r="Z19" s="14">
        <v>0.02</v>
      </c>
      <c r="AA19" s="14">
        <v>0.02</v>
      </c>
      <c r="AB19" s="14">
        <v>0.05</v>
      </c>
      <c r="AC19" s="14">
        <v>0.01</v>
      </c>
      <c r="AD19" s="14">
        <v>0.01</v>
      </c>
      <c r="AE19" s="15" t="s">
        <v>459</v>
      </c>
      <c r="AF19" s="14">
        <v>0.01</v>
      </c>
    </row>
    <row r="20" spans="1:32">
      <c r="A20" s="20"/>
      <c r="B20" s="11" t="s">
        <v>468</v>
      </c>
      <c r="C20" s="12">
        <v>80</v>
      </c>
      <c r="D20" s="12">
        <v>1</v>
      </c>
      <c r="E20" s="12">
        <v>12</v>
      </c>
      <c r="F20" s="12">
        <v>8</v>
      </c>
      <c r="G20" s="12">
        <v>2</v>
      </c>
      <c r="H20" s="12">
        <v>3</v>
      </c>
      <c r="I20" s="12">
        <v>4</v>
      </c>
      <c r="J20" s="12">
        <v>1</v>
      </c>
      <c r="K20" s="12">
        <v>6</v>
      </c>
      <c r="L20" s="12">
        <v>6</v>
      </c>
      <c r="M20" s="12">
        <v>3</v>
      </c>
      <c r="N20" s="12">
        <v>2</v>
      </c>
      <c r="O20" s="12">
        <v>3</v>
      </c>
      <c r="P20" s="12">
        <v>1</v>
      </c>
      <c r="Q20" s="12">
        <v>1</v>
      </c>
      <c r="R20" s="12">
        <v>0</v>
      </c>
      <c r="S20" s="12">
        <v>13</v>
      </c>
      <c r="T20" s="12">
        <v>0</v>
      </c>
      <c r="U20" s="12">
        <v>0</v>
      </c>
      <c r="V20" s="12">
        <v>1</v>
      </c>
      <c r="W20" s="12">
        <v>1</v>
      </c>
      <c r="X20" s="12">
        <v>1</v>
      </c>
      <c r="Y20" s="12">
        <v>8</v>
      </c>
      <c r="Z20" s="12">
        <v>11</v>
      </c>
      <c r="AA20" s="12">
        <v>4</v>
      </c>
      <c r="AB20" s="12">
        <v>0</v>
      </c>
      <c r="AC20" s="12">
        <v>2</v>
      </c>
      <c r="AD20" s="12">
        <v>0</v>
      </c>
      <c r="AE20" s="12">
        <v>1</v>
      </c>
      <c r="AF20" s="12">
        <v>1</v>
      </c>
    </row>
    <row r="21" spans="1:32">
      <c r="A21" s="20"/>
      <c r="B21" s="13" t="s">
        <v>469</v>
      </c>
      <c r="C21" s="15" t="s">
        <v>459</v>
      </c>
      <c r="D21" s="15" t="s">
        <v>459</v>
      </c>
      <c r="E21" s="14">
        <v>0.01</v>
      </c>
      <c r="F21" s="14">
        <v>0.01</v>
      </c>
      <c r="G21" s="15" t="s">
        <v>459</v>
      </c>
      <c r="H21" s="15" t="s">
        <v>459</v>
      </c>
      <c r="I21" s="15" t="s">
        <v>459</v>
      </c>
      <c r="J21" s="15" t="s">
        <v>459</v>
      </c>
      <c r="K21" s="14">
        <v>0.01</v>
      </c>
      <c r="L21" s="14">
        <v>0.01</v>
      </c>
      <c r="M21" s="15" t="s">
        <v>459</v>
      </c>
      <c r="N21" s="15" t="s">
        <v>459</v>
      </c>
      <c r="O21" s="15" t="s">
        <v>459</v>
      </c>
      <c r="P21" s="15" t="s">
        <v>459</v>
      </c>
      <c r="Q21" s="15" t="s">
        <v>459</v>
      </c>
      <c r="R21" s="15" t="s">
        <v>459</v>
      </c>
      <c r="S21" s="14">
        <v>0.01</v>
      </c>
      <c r="T21" s="15" t="s">
        <v>459</v>
      </c>
      <c r="U21" s="15" t="s">
        <v>459</v>
      </c>
      <c r="V21" s="15" t="s">
        <v>459</v>
      </c>
      <c r="W21" s="15" t="s">
        <v>459</v>
      </c>
      <c r="X21" s="15" t="s">
        <v>459</v>
      </c>
      <c r="Y21" s="14">
        <v>0.01</v>
      </c>
      <c r="Z21" s="14">
        <v>0.01</v>
      </c>
      <c r="AA21" s="14">
        <v>0.01</v>
      </c>
      <c r="AB21" s="15" t="s">
        <v>459</v>
      </c>
      <c r="AC21" s="15" t="s">
        <v>459</v>
      </c>
      <c r="AD21" s="15" t="s">
        <v>459</v>
      </c>
      <c r="AE21" s="15" t="s">
        <v>459</v>
      </c>
      <c r="AF21" s="15" t="s">
        <v>459</v>
      </c>
    </row>
    <row r="22" spans="1:32">
      <c r="A22" s="20"/>
      <c r="B22" s="11" t="s">
        <v>484</v>
      </c>
      <c r="C22" s="12">
        <v>23002</v>
      </c>
      <c r="D22" s="12">
        <v>868</v>
      </c>
      <c r="E22" s="12">
        <v>700</v>
      </c>
      <c r="F22" s="12">
        <v>839</v>
      </c>
      <c r="G22" s="12">
        <v>968</v>
      </c>
      <c r="H22" s="12">
        <v>1113</v>
      </c>
      <c r="I22" s="12">
        <v>1362</v>
      </c>
      <c r="J22" s="12">
        <v>248</v>
      </c>
      <c r="K22" s="12">
        <v>837</v>
      </c>
      <c r="L22" s="12">
        <v>948</v>
      </c>
      <c r="M22" s="12">
        <v>833</v>
      </c>
      <c r="N22" s="12">
        <v>899</v>
      </c>
      <c r="O22" s="12">
        <v>897</v>
      </c>
      <c r="P22" s="12">
        <v>864</v>
      </c>
      <c r="Q22" s="12">
        <v>864</v>
      </c>
      <c r="R22" s="12">
        <v>432</v>
      </c>
      <c r="S22" s="12">
        <v>812</v>
      </c>
      <c r="T22" s="12">
        <v>851</v>
      </c>
      <c r="U22" s="12">
        <v>463</v>
      </c>
      <c r="V22" s="12">
        <v>884</v>
      </c>
      <c r="W22" s="12">
        <v>457</v>
      </c>
      <c r="X22" s="12">
        <v>986</v>
      </c>
      <c r="Y22" s="12">
        <v>882</v>
      </c>
      <c r="Z22" s="12">
        <v>874</v>
      </c>
      <c r="AA22" s="12">
        <v>862</v>
      </c>
      <c r="AB22" s="12">
        <v>725</v>
      </c>
      <c r="AC22" s="12">
        <v>922</v>
      </c>
      <c r="AD22" s="12">
        <v>853</v>
      </c>
      <c r="AE22" s="12">
        <v>938</v>
      </c>
      <c r="AF22" s="12">
        <v>975</v>
      </c>
    </row>
    <row r="23" spans="1:32">
      <c r="A23" s="20"/>
      <c r="B23" s="13" t="s">
        <v>485</v>
      </c>
      <c r="C23" s="14">
        <v>0.88</v>
      </c>
      <c r="D23" s="14">
        <v>0.86</v>
      </c>
      <c r="E23" s="14">
        <v>0.69000000000000006</v>
      </c>
      <c r="F23" s="14">
        <v>0.83000000000000007</v>
      </c>
      <c r="G23" s="14">
        <v>0.97</v>
      </c>
      <c r="H23" s="14">
        <v>0.91</v>
      </c>
      <c r="I23" s="14">
        <v>0.9</v>
      </c>
      <c r="J23" s="14">
        <v>0.85</v>
      </c>
      <c r="K23" s="14">
        <v>0.83000000000000007</v>
      </c>
      <c r="L23" s="14">
        <v>0.94000000000000006</v>
      </c>
      <c r="M23" s="14">
        <v>0.83000000000000007</v>
      </c>
      <c r="N23" s="14">
        <v>0.9</v>
      </c>
      <c r="O23" s="14">
        <v>0.9</v>
      </c>
      <c r="P23" s="14">
        <v>0.85</v>
      </c>
      <c r="Q23" s="14">
        <v>0.85</v>
      </c>
      <c r="R23" s="14">
        <v>0.87</v>
      </c>
      <c r="S23" s="14">
        <v>0.8</v>
      </c>
      <c r="T23" s="14">
        <v>0.84</v>
      </c>
      <c r="U23" s="14">
        <v>0.91</v>
      </c>
      <c r="V23" s="14">
        <v>0.87</v>
      </c>
      <c r="W23" s="14">
        <v>0.91</v>
      </c>
      <c r="X23" s="14">
        <v>0.97</v>
      </c>
      <c r="Y23" s="14">
        <v>0.87</v>
      </c>
      <c r="Z23" s="14">
        <v>0.87</v>
      </c>
      <c r="AA23" s="14">
        <v>0.82000000000000006</v>
      </c>
      <c r="AB23" s="14">
        <v>0.69000000000000006</v>
      </c>
      <c r="AC23" s="14">
        <v>0.91</v>
      </c>
      <c r="AD23" s="14">
        <v>0.84</v>
      </c>
      <c r="AE23" s="14">
        <v>0.94000000000000006</v>
      </c>
      <c r="AF23" s="14">
        <v>0.96</v>
      </c>
    </row>
    <row r="24" spans="1:32">
      <c r="A24" s="20"/>
      <c r="B24" s="11" t="s">
        <v>486</v>
      </c>
      <c r="C24" s="12">
        <v>3237</v>
      </c>
      <c r="D24" s="12">
        <v>135</v>
      </c>
      <c r="E24" s="12">
        <v>307</v>
      </c>
      <c r="F24" s="12">
        <v>158</v>
      </c>
      <c r="G24" s="12">
        <v>35</v>
      </c>
      <c r="H24" s="12">
        <v>100</v>
      </c>
      <c r="I24" s="12">
        <v>145</v>
      </c>
      <c r="J24" s="12">
        <v>45</v>
      </c>
      <c r="K24" s="12">
        <v>163</v>
      </c>
      <c r="L24" s="12">
        <v>54</v>
      </c>
      <c r="M24" s="12">
        <v>167</v>
      </c>
      <c r="N24" s="12">
        <v>103</v>
      </c>
      <c r="O24" s="12">
        <v>104</v>
      </c>
      <c r="P24" s="12">
        <v>157</v>
      </c>
      <c r="Q24" s="12">
        <v>155</v>
      </c>
      <c r="R24" s="12">
        <v>68</v>
      </c>
      <c r="S24" s="12">
        <v>183</v>
      </c>
      <c r="T24" s="12">
        <v>162</v>
      </c>
      <c r="U24" s="12">
        <v>44</v>
      </c>
      <c r="V24" s="12">
        <v>131</v>
      </c>
      <c r="W24" s="12">
        <v>45</v>
      </c>
      <c r="X24" s="12">
        <v>35</v>
      </c>
      <c r="Y24" s="12">
        <v>118</v>
      </c>
      <c r="Z24" s="12">
        <v>122</v>
      </c>
      <c r="AA24" s="12">
        <v>187</v>
      </c>
      <c r="AB24" s="12">
        <v>314</v>
      </c>
      <c r="AC24" s="12">
        <v>87</v>
      </c>
      <c r="AD24" s="12">
        <v>154</v>
      </c>
      <c r="AE24" s="12">
        <v>62</v>
      </c>
      <c r="AF24" s="12">
        <v>44</v>
      </c>
    </row>
    <row r="25" spans="1:32">
      <c r="A25" s="20"/>
      <c r="B25" s="13" t="s">
        <v>487</v>
      </c>
      <c r="C25" s="14">
        <v>0.12</v>
      </c>
      <c r="D25" s="14">
        <v>0.14000000000000001</v>
      </c>
      <c r="E25" s="14">
        <v>0.3</v>
      </c>
      <c r="F25" s="14">
        <v>0.16</v>
      </c>
      <c r="G25" s="14">
        <v>0.03</v>
      </c>
      <c r="H25" s="14">
        <v>0.09</v>
      </c>
      <c r="I25" s="14">
        <v>0.1</v>
      </c>
      <c r="J25" s="14">
        <v>0.15</v>
      </c>
      <c r="K25" s="14">
        <v>0.16</v>
      </c>
      <c r="L25" s="14">
        <v>0.05</v>
      </c>
      <c r="M25" s="14">
        <v>0.17</v>
      </c>
      <c r="N25" s="14">
        <v>0.1</v>
      </c>
      <c r="O25" s="14">
        <v>0.1</v>
      </c>
      <c r="P25" s="14">
        <v>0.15</v>
      </c>
      <c r="Q25" s="14">
        <v>0.15</v>
      </c>
      <c r="R25" s="14">
        <v>0.13</v>
      </c>
      <c r="S25" s="14">
        <v>0.19</v>
      </c>
      <c r="T25" s="14">
        <v>0.16</v>
      </c>
      <c r="U25" s="14">
        <v>0.09</v>
      </c>
      <c r="V25" s="14">
        <v>0.13</v>
      </c>
      <c r="W25" s="14">
        <v>0.09</v>
      </c>
      <c r="X25" s="14">
        <v>0.03</v>
      </c>
      <c r="Y25" s="14">
        <v>0.12</v>
      </c>
      <c r="Z25" s="14">
        <v>0.12</v>
      </c>
      <c r="AA25" s="14">
        <v>0.17</v>
      </c>
      <c r="AB25" s="14">
        <v>0.31</v>
      </c>
      <c r="AC25" s="14">
        <v>0.09</v>
      </c>
      <c r="AD25" s="14">
        <v>0.16</v>
      </c>
      <c r="AE25" s="14">
        <v>0.06</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488</v>
      </c>
      <c r="C3" s="18"/>
      <c r="D3" s="18"/>
      <c r="E3" s="18"/>
      <c r="F3" s="18"/>
      <c r="H3" s="18" t="s">
        <v>489</v>
      </c>
      <c r="I3" s="18"/>
      <c r="J3" s="18"/>
      <c r="K3" s="18"/>
      <c r="L3" s="18"/>
    </row>
    <row r="4" spans="1:32" ht="27" customHeight="1">
      <c r="B4" s="18" t="s">
        <v>490</v>
      </c>
      <c r="C4" s="18"/>
      <c r="D4" s="18"/>
      <c r="E4" s="18"/>
      <c r="F4" s="18"/>
      <c r="H4" s="18" t="s">
        <v>491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476</v>
      </c>
      <c r="C12" s="12">
        <v>5948</v>
      </c>
      <c r="D12" s="12">
        <v>236</v>
      </c>
      <c r="E12" s="12">
        <v>148</v>
      </c>
      <c r="F12" s="12">
        <v>186</v>
      </c>
      <c r="G12" s="12">
        <v>440</v>
      </c>
      <c r="H12" s="12">
        <v>288</v>
      </c>
      <c r="I12" s="12">
        <v>347</v>
      </c>
      <c r="J12" s="12">
        <v>59</v>
      </c>
      <c r="K12" s="12">
        <v>231</v>
      </c>
      <c r="L12" s="12">
        <v>386</v>
      </c>
      <c r="M12" s="12">
        <v>180</v>
      </c>
      <c r="N12" s="12">
        <v>289</v>
      </c>
      <c r="O12" s="12">
        <v>214</v>
      </c>
      <c r="P12" s="12">
        <v>194</v>
      </c>
      <c r="Q12" s="12">
        <v>149</v>
      </c>
      <c r="R12" s="12">
        <v>112</v>
      </c>
      <c r="S12" s="12">
        <v>233</v>
      </c>
      <c r="T12" s="12">
        <v>208</v>
      </c>
      <c r="U12" s="12">
        <v>196</v>
      </c>
      <c r="V12" s="12">
        <v>251</v>
      </c>
      <c r="W12" s="12">
        <v>151</v>
      </c>
      <c r="X12" s="12">
        <v>387</v>
      </c>
      <c r="Y12" s="12">
        <v>345</v>
      </c>
      <c r="Z12" s="12">
        <v>169</v>
      </c>
      <c r="AA12" s="12">
        <v>157</v>
      </c>
      <c r="AB12" s="12">
        <v>150</v>
      </c>
      <c r="AC12" s="12">
        <v>346</v>
      </c>
      <c r="AD12" s="12">
        <v>154</v>
      </c>
      <c r="AE12" s="12">
        <v>310</v>
      </c>
      <c r="AF12" s="12">
        <v>412</v>
      </c>
    </row>
    <row r="13" spans="1:32">
      <c r="A13" s="20"/>
      <c r="B13" s="13" t="s">
        <v>477</v>
      </c>
      <c r="C13" s="14">
        <v>0.23</v>
      </c>
      <c r="D13" s="14">
        <v>0.23</v>
      </c>
      <c r="E13" s="14">
        <v>0.15</v>
      </c>
      <c r="F13" s="14">
        <v>0.18</v>
      </c>
      <c r="G13" s="14">
        <v>0.44</v>
      </c>
      <c r="H13" s="14">
        <v>0.24</v>
      </c>
      <c r="I13" s="14">
        <v>0.23</v>
      </c>
      <c r="J13" s="14">
        <v>0.2</v>
      </c>
      <c r="K13" s="14">
        <v>0.23</v>
      </c>
      <c r="L13" s="14">
        <v>0.38</v>
      </c>
      <c r="M13" s="14">
        <v>0.18</v>
      </c>
      <c r="N13" s="14">
        <v>0.28999999999999998</v>
      </c>
      <c r="O13" s="14">
        <v>0.21</v>
      </c>
      <c r="P13" s="14">
        <v>0.19</v>
      </c>
      <c r="Q13" s="14">
        <v>0.15</v>
      </c>
      <c r="R13" s="14">
        <v>0.22</v>
      </c>
      <c r="S13" s="14">
        <v>0.23</v>
      </c>
      <c r="T13" s="14">
        <v>0.2</v>
      </c>
      <c r="U13" s="14">
        <v>0.39</v>
      </c>
      <c r="V13" s="14">
        <v>0.25</v>
      </c>
      <c r="W13" s="14">
        <v>0.3</v>
      </c>
      <c r="X13" s="14">
        <v>0.38</v>
      </c>
      <c r="Y13" s="14">
        <v>0.34</v>
      </c>
      <c r="Z13" s="14">
        <v>0.17</v>
      </c>
      <c r="AA13" s="14">
        <v>0.15</v>
      </c>
      <c r="AB13" s="14">
        <v>0.15</v>
      </c>
      <c r="AC13" s="14">
        <v>0.34</v>
      </c>
      <c r="AD13" s="14">
        <v>0.15</v>
      </c>
      <c r="AE13" s="14">
        <v>0.31</v>
      </c>
      <c r="AF13" s="14">
        <v>0.4</v>
      </c>
    </row>
    <row r="14" spans="1:32">
      <c r="A14" s="20"/>
      <c r="B14" s="11" t="s">
        <v>478</v>
      </c>
      <c r="C14" s="12">
        <v>12641</v>
      </c>
      <c r="D14" s="12">
        <v>478</v>
      </c>
      <c r="E14" s="12">
        <v>439</v>
      </c>
      <c r="F14" s="12">
        <v>564</v>
      </c>
      <c r="G14" s="12">
        <v>388</v>
      </c>
      <c r="H14" s="12">
        <v>599</v>
      </c>
      <c r="I14" s="12">
        <v>731</v>
      </c>
      <c r="J14" s="12">
        <v>132</v>
      </c>
      <c r="K14" s="12">
        <v>409</v>
      </c>
      <c r="L14" s="12">
        <v>459</v>
      </c>
      <c r="M14" s="12">
        <v>444</v>
      </c>
      <c r="N14" s="12">
        <v>462</v>
      </c>
      <c r="O14" s="12">
        <v>380</v>
      </c>
      <c r="P14" s="12">
        <v>513</v>
      </c>
      <c r="Q14" s="12">
        <v>579</v>
      </c>
      <c r="R14" s="12">
        <v>221</v>
      </c>
      <c r="S14" s="12">
        <v>470</v>
      </c>
      <c r="T14" s="12">
        <v>454</v>
      </c>
      <c r="U14" s="12">
        <v>192</v>
      </c>
      <c r="V14" s="12">
        <v>542</v>
      </c>
      <c r="W14" s="12">
        <v>252</v>
      </c>
      <c r="X14" s="12">
        <v>411</v>
      </c>
      <c r="Y14" s="12">
        <v>365</v>
      </c>
      <c r="Z14" s="12">
        <v>617</v>
      </c>
      <c r="AA14" s="12">
        <v>575</v>
      </c>
      <c r="AB14" s="12">
        <v>501</v>
      </c>
      <c r="AC14" s="12">
        <v>487</v>
      </c>
      <c r="AD14" s="12">
        <v>546</v>
      </c>
      <c r="AE14" s="12">
        <v>419</v>
      </c>
      <c r="AF14" s="12">
        <v>426</v>
      </c>
    </row>
    <row r="15" spans="1:32">
      <c r="A15" s="20"/>
      <c r="B15" s="13" t="s">
        <v>479</v>
      </c>
      <c r="C15" s="14">
        <v>0.48</v>
      </c>
      <c r="D15" s="14">
        <v>0.48</v>
      </c>
      <c r="E15" s="14">
        <v>0.43</v>
      </c>
      <c r="F15" s="14">
        <v>0.56000000000000005</v>
      </c>
      <c r="G15" s="14">
        <v>0.39</v>
      </c>
      <c r="H15" s="14">
        <v>0.49</v>
      </c>
      <c r="I15" s="14">
        <v>0.48</v>
      </c>
      <c r="J15" s="14">
        <v>0.45</v>
      </c>
      <c r="K15" s="14">
        <v>0.41</v>
      </c>
      <c r="L15" s="14">
        <v>0.46</v>
      </c>
      <c r="M15" s="14">
        <v>0.44</v>
      </c>
      <c r="N15" s="14">
        <v>0.46</v>
      </c>
      <c r="O15" s="14">
        <v>0.38</v>
      </c>
      <c r="P15" s="14">
        <v>0.5</v>
      </c>
      <c r="Q15" s="14">
        <v>0.57000000000000006</v>
      </c>
      <c r="R15" s="14">
        <v>0.44</v>
      </c>
      <c r="S15" s="14">
        <v>0.47</v>
      </c>
      <c r="T15" s="14">
        <v>0.45</v>
      </c>
      <c r="U15" s="14">
        <v>0.38</v>
      </c>
      <c r="V15" s="14">
        <v>0.53</v>
      </c>
      <c r="W15" s="14">
        <v>0.5</v>
      </c>
      <c r="X15" s="14">
        <v>0.4</v>
      </c>
      <c r="Y15" s="14">
        <v>0.36</v>
      </c>
      <c r="Z15" s="14">
        <v>0.61</v>
      </c>
      <c r="AA15" s="14">
        <v>0.55000000000000004</v>
      </c>
      <c r="AB15" s="14">
        <v>0.48</v>
      </c>
      <c r="AC15" s="14">
        <v>0.48</v>
      </c>
      <c r="AD15" s="14">
        <v>0.54</v>
      </c>
      <c r="AE15" s="14">
        <v>0.42</v>
      </c>
      <c r="AF15" s="14">
        <v>0.42</v>
      </c>
    </row>
    <row r="16" spans="1:32">
      <c r="A16" s="20"/>
      <c r="B16" s="11" t="s">
        <v>480</v>
      </c>
      <c r="C16" s="12">
        <v>3818</v>
      </c>
      <c r="D16" s="12">
        <v>165</v>
      </c>
      <c r="E16" s="12">
        <v>247</v>
      </c>
      <c r="F16" s="12">
        <v>161</v>
      </c>
      <c r="G16" s="12">
        <v>74</v>
      </c>
      <c r="H16" s="12">
        <v>135</v>
      </c>
      <c r="I16" s="12">
        <v>183</v>
      </c>
      <c r="J16" s="12">
        <v>47</v>
      </c>
      <c r="K16" s="12">
        <v>157</v>
      </c>
      <c r="L16" s="12">
        <v>83</v>
      </c>
      <c r="M16" s="12">
        <v>234</v>
      </c>
      <c r="N16" s="12">
        <v>166</v>
      </c>
      <c r="O16" s="12">
        <v>107</v>
      </c>
      <c r="P16" s="12">
        <v>204</v>
      </c>
      <c r="Q16" s="12">
        <v>166</v>
      </c>
      <c r="R16" s="12">
        <v>85</v>
      </c>
      <c r="S16" s="12">
        <v>190</v>
      </c>
      <c r="T16" s="12">
        <v>164</v>
      </c>
      <c r="U16" s="12">
        <v>58</v>
      </c>
      <c r="V16" s="12">
        <v>149</v>
      </c>
      <c r="W16" s="12">
        <v>38</v>
      </c>
      <c r="X16" s="12">
        <v>82</v>
      </c>
      <c r="Y16" s="12">
        <v>109</v>
      </c>
      <c r="Z16" s="12">
        <v>152</v>
      </c>
      <c r="AA16" s="12">
        <v>214</v>
      </c>
      <c r="AB16" s="12">
        <v>282</v>
      </c>
      <c r="AC16" s="12">
        <v>96</v>
      </c>
      <c r="AD16" s="12">
        <v>189</v>
      </c>
      <c r="AE16" s="12">
        <v>82</v>
      </c>
      <c r="AF16" s="12">
        <v>97</v>
      </c>
    </row>
    <row r="17" spans="1:32">
      <c r="A17" s="20"/>
      <c r="B17" s="13" t="s">
        <v>481</v>
      </c>
      <c r="C17" s="14">
        <v>0.15</v>
      </c>
      <c r="D17" s="14">
        <v>0.16</v>
      </c>
      <c r="E17" s="14">
        <v>0.24</v>
      </c>
      <c r="F17" s="14">
        <v>0.16</v>
      </c>
      <c r="G17" s="14">
        <v>7.0000000000000007E-2</v>
      </c>
      <c r="H17" s="14">
        <v>0.11</v>
      </c>
      <c r="I17" s="14">
        <v>0.12</v>
      </c>
      <c r="J17" s="14">
        <v>0.16</v>
      </c>
      <c r="K17" s="14">
        <v>0.16</v>
      </c>
      <c r="L17" s="14">
        <v>0.08</v>
      </c>
      <c r="M17" s="14">
        <v>0.23</v>
      </c>
      <c r="N17" s="14">
        <v>0.16</v>
      </c>
      <c r="O17" s="14">
        <v>0.11</v>
      </c>
      <c r="P17" s="14">
        <v>0.2</v>
      </c>
      <c r="Q17" s="14">
        <v>0.16</v>
      </c>
      <c r="R17" s="14">
        <v>0.17</v>
      </c>
      <c r="S17" s="14">
        <v>0.19</v>
      </c>
      <c r="T17" s="14">
        <v>0.16</v>
      </c>
      <c r="U17" s="14">
        <v>0.11</v>
      </c>
      <c r="V17" s="14">
        <v>0.15</v>
      </c>
      <c r="W17" s="14">
        <v>0.08</v>
      </c>
      <c r="X17" s="14">
        <v>0.08</v>
      </c>
      <c r="Y17" s="14">
        <v>0.11</v>
      </c>
      <c r="Z17" s="14">
        <v>0.15</v>
      </c>
      <c r="AA17" s="14">
        <v>0.2</v>
      </c>
      <c r="AB17" s="14">
        <v>0.27</v>
      </c>
      <c r="AC17" s="14">
        <v>0.1</v>
      </c>
      <c r="AD17" s="14">
        <v>0.19</v>
      </c>
      <c r="AE17" s="14">
        <v>0.08</v>
      </c>
      <c r="AF17" s="14">
        <v>0.09</v>
      </c>
    </row>
    <row r="18" spans="1:32">
      <c r="A18" s="20"/>
      <c r="B18" s="11" t="s">
        <v>482</v>
      </c>
      <c r="C18" s="12">
        <v>1698</v>
      </c>
      <c r="D18" s="12">
        <v>76</v>
      </c>
      <c r="E18" s="12">
        <v>91</v>
      </c>
      <c r="F18" s="12">
        <v>66</v>
      </c>
      <c r="G18" s="12">
        <v>26</v>
      </c>
      <c r="H18" s="12">
        <v>107</v>
      </c>
      <c r="I18" s="12">
        <v>145</v>
      </c>
      <c r="J18" s="12">
        <v>37</v>
      </c>
      <c r="K18" s="12">
        <v>75</v>
      </c>
      <c r="L18" s="12">
        <v>26</v>
      </c>
      <c r="M18" s="12">
        <v>94</v>
      </c>
      <c r="N18" s="12">
        <v>52</v>
      </c>
      <c r="O18" s="12">
        <v>50</v>
      </c>
      <c r="P18" s="12">
        <v>104</v>
      </c>
      <c r="Q18" s="12">
        <v>85</v>
      </c>
      <c r="R18" s="12">
        <v>33</v>
      </c>
      <c r="S18" s="12">
        <v>50</v>
      </c>
      <c r="T18" s="12">
        <v>52</v>
      </c>
      <c r="U18" s="12">
        <v>18</v>
      </c>
      <c r="V18" s="12">
        <v>23</v>
      </c>
      <c r="W18" s="12">
        <v>30</v>
      </c>
      <c r="X18" s="12">
        <v>45</v>
      </c>
      <c r="Y18" s="12">
        <v>115</v>
      </c>
      <c r="Z18" s="12">
        <v>28</v>
      </c>
      <c r="AA18" s="12">
        <v>48</v>
      </c>
      <c r="AB18" s="12">
        <v>71</v>
      </c>
      <c r="AC18" s="12">
        <v>41</v>
      </c>
      <c r="AD18" s="12">
        <v>54</v>
      </c>
      <c r="AE18" s="12">
        <v>43</v>
      </c>
      <c r="AF18" s="12">
        <v>26</v>
      </c>
    </row>
    <row r="19" spans="1:32">
      <c r="A19" s="20"/>
      <c r="B19" s="13" t="s">
        <v>483</v>
      </c>
      <c r="C19" s="14">
        <v>0.06</v>
      </c>
      <c r="D19" s="14">
        <v>0.08</v>
      </c>
      <c r="E19" s="14">
        <v>0.09</v>
      </c>
      <c r="F19" s="14">
        <v>7.0000000000000007E-2</v>
      </c>
      <c r="G19" s="14">
        <v>0.02</v>
      </c>
      <c r="H19" s="14">
        <v>0.09</v>
      </c>
      <c r="I19" s="14">
        <v>0.1</v>
      </c>
      <c r="J19" s="14">
        <v>0.13</v>
      </c>
      <c r="K19" s="14">
        <v>7.0000000000000007E-2</v>
      </c>
      <c r="L19" s="14">
        <v>0.03</v>
      </c>
      <c r="M19" s="14">
        <v>0.1</v>
      </c>
      <c r="N19" s="14">
        <v>0.05</v>
      </c>
      <c r="O19" s="14">
        <v>0.05</v>
      </c>
      <c r="P19" s="14">
        <v>0.1</v>
      </c>
      <c r="Q19" s="14">
        <v>0.08</v>
      </c>
      <c r="R19" s="14">
        <v>7.0000000000000007E-2</v>
      </c>
      <c r="S19" s="14">
        <v>0.05</v>
      </c>
      <c r="T19" s="14">
        <v>0.05</v>
      </c>
      <c r="U19" s="14">
        <v>0.03</v>
      </c>
      <c r="V19" s="14">
        <v>0.02</v>
      </c>
      <c r="W19" s="14">
        <v>0.06</v>
      </c>
      <c r="X19" s="14">
        <v>0.05</v>
      </c>
      <c r="Y19" s="14">
        <v>0.12</v>
      </c>
      <c r="Z19" s="14">
        <v>0.03</v>
      </c>
      <c r="AA19" s="14">
        <v>0.04</v>
      </c>
      <c r="AB19" s="14">
        <v>7.0000000000000007E-2</v>
      </c>
      <c r="AC19" s="14">
        <v>0.04</v>
      </c>
      <c r="AD19" s="14">
        <v>0.06</v>
      </c>
      <c r="AE19" s="14">
        <v>0.04</v>
      </c>
      <c r="AF19" s="14">
        <v>0.03</v>
      </c>
    </row>
    <row r="20" spans="1:32">
      <c r="A20" s="20"/>
      <c r="B20" s="11" t="s">
        <v>468</v>
      </c>
      <c r="C20" s="12">
        <v>2215</v>
      </c>
      <c r="D20" s="12">
        <v>48</v>
      </c>
      <c r="E20" s="12">
        <v>93</v>
      </c>
      <c r="F20" s="12">
        <v>28</v>
      </c>
      <c r="G20" s="12">
        <v>76</v>
      </c>
      <c r="H20" s="12">
        <v>86</v>
      </c>
      <c r="I20" s="12">
        <v>104</v>
      </c>
      <c r="J20" s="12">
        <v>18</v>
      </c>
      <c r="K20" s="12">
        <v>133</v>
      </c>
      <c r="L20" s="12">
        <v>53</v>
      </c>
      <c r="M20" s="12">
        <v>51</v>
      </c>
      <c r="N20" s="12">
        <v>36</v>
      </c>
      <c r="O20" s="12">
        <v>253</v>
      </c>
      <c r="P20" s="12">
        <v>7</v>
      </c>
      <c r="Q20" s="12">
        <v>41</v>
      </c>
      <c r="R20" s="12">
        <v>50</v>
      </c>
      <c r="S20" s="12">
        <v>65</v>
      </c>
      <c r="T20" s="12">
        <v>137</v>
      </c>
      <c r="U20" s="12">
        <v>43</v>
      </c>
      <c r="V20" s="12">
        <v>51</v>
      </c>
      <c r="W20" s="12">
        <v>31</v>
      </c>
      <c r="X20" s="12">
        <v>96</v>
      </c>
      <c r="Y20" s="12">
        <v>73</v>
      </c>
      <c r="Z20" s="12">
        <v>41</v>
      </c>
      <c r="AA20" s="12">
        <v>59</v>
      </c>
      <c r="AB20" s="12">
        <v>35</v>
      </c>
      <c r="AC20" s="12">
        <v>41</v>
      </c>
      <c r="AD20" s="12">
        <v>63</v>
      </c>
      <c r="AE20" s="12">
        <v>147</v>
      </c>
      <c r="AF20" s="12">
        <v>59</v>
      </c>
    </row>
    <row r="21" spans="1:32">
      <c r="A21" s="20"/>
      <c r="B21" s="13" t="s">
        <v>469</v>
      </c>
      <c r="C21" s="14">
        <v>0.08</v>
      </c>
      <c r="D21" s="14">
        <v>0.05</v>
      </c>
      <c r="E21" s="14">
        <v>0.09</v>
      </c>
      <c r="F21" s="14">
        <v>0.03</v>
      </c>
      <c r="G21" s="14">
        <v>0.08</v>
      </c>
      <c r="H21" s="14">
        <v>7.0000000000000007E-2</v>
      </c>
      <c r="I21" s="14">
        <v>7.0000000000000007E-2</v>
      </c>
      <c r="J21" s="14">
        <v>0.06</v>
      </c>
      <c r="K21" s="14">
        <v>0.13</v>
      </c>
      <c r="L21" s="14">
        <v>0.05</v>
      </c>
      <c r="M21" s="14">
        <v>0.05</v>
      </c>
      <c r="N21" s="14">
        <v>0.04</v>
      </c>
      <c r="O21" s="14">
        <v>0.25</v>
      </c>
      <c r="P21" s="14">
        <v>0.01</v>
      </c>
      <c r="Q21" s="14">
        <v>0.04</v>
      </c>
      <c r="R21" s="14">
        <v>0.1</v>
      </c>
      <c r="S21" s="14">
        <v>0.06</v>
      </c>
      <c r="T21" s="14">
        <v>0.14000000000000001</v>
      </c>
      <c r="U21" s="14">
        <v>0.09</v>
      </c>
      <c r="V21" s="14">
        <v>0.05</v>
      </c>
      <c r="W21" s="14">
        <v>0.06</v>
      </c>
      <c r="X21" s="14">
        <v>0.09</v>
      </c>
      <c r="Y21" s="14">
        <v>7.0000000000000007E-2</v>
      </c>
      <c r="Z21" s="14">
        <v>0.04</v>
      </c>
      <c r="AA21" s="14">
        <v>0.06</v>
      </c>
      <c r="AB21" s="14">
        <v>0.03</v>
      </c>
      <c r="AC21" s="14">
        <v>0.04</v>
      </c>
      <c r="AD21" s="14">
        <v>0.06</v>
      </c>
      <c r="AE21" s="14">
        <v>0.15</v>
      </c>
      <c r="AF21" s="14">
        <v>0.06</v>
      </c>
    </row>
    <row r="22" spans="1:32">
      <c r="A22" s="20"/>
      <c r="B22" s="11" t="s">
        <v>484</v>
      </c>
      <c r="C22" s="12">
        <v>18589</v>
      </c>
      <c r="D22" s="12">
        <v>714</v>
      </c>
      <c r="E22" s="12">
        <v>587</v>
      </c>
      <c r="F22" s="12">
        <v>750</v>
      </c>
      <c r="G22" s="12">
        <v>828</v>
      </c>
      <c r="H22" s="12">
        <v>887</v>
      </c>
      <c r="I22" s="12">
        <v>1078</v>
      </c>
      <c r="J22" s="12">
        <v>191</v>
      </c>
      <c r="K22" s="12">
        <v>640</v>
      </c>
      <c r="L22" s="12">
        <v>845</v>
      </c>
      <c r="M22" s="12">
        <v>624</v>
      </c>
      <c r="N22" s="12">
        <v>751</v>
      </c>
      <c r="O22" s="12">
        <v>594</v>
      </c>
      <c r="P22" s="12">
        <v>707</v>
      </c>
      <c r="Q22" s="12">
        <v>728</v>
      </c>
      <c r="R22" s="12">
        <v>333</v>
      </c>
      <c r="S22" s="12">
        <v>703</v>
      </c>
      <c r="T22" s="12">
        <v>662</v>
      </c>
      <c r="U22" s="12">
        <v>388</v>
      </c>
      <c r="V22" s="12">
        <v>793</v>
      </c>
      <c r="W22" s="12">
        <v>403</v>
      </c>
      <c r="X22" s="12">
        <v>798</v>
      </c>
      <c r="Y22" s="12">
        <v>710</v>
      </c>
      <c r="Z22" s="12">
        <v>786</v>
      </c>
      <c r="AA22" s="12">
        <v>732</v>
      </c>
      <c r="AB22" s="12">
        <v>651</v>
      </c>
      <c r="AC22" s="12">
        <v>833</v>
      </c>
      <c r="AD22" s="12">
        <v>700</v>
      </c>
      <c r="AE22" s="12">
        <v>729</v>
      </c>
      <c r="AF22" s="12">
        <v>838</v>
      </c>
    </row>
    <row r="23" spans="1:32">
      <c r="A23" s="20"/>
      <c r="B23" s="13" t="s">
        <v>485</v>
      </c>
      <c r="C23" s="14">
        <v>0.71</v>
      </c>
      <c r="D23" s="14">
        <v>0.71</v>
      </c>
      <c r="E23" s="14">
        <v>0.57999999999999996</v>
      </c>
      <c r="F23" s="14">
        <v>0.74</v>
      </c>
      <c r="G23" s="14">
        <v>0.83000000000000007</v>
      </c>
      <c r="H23" s="14">
        <v>0.73</v>
      </c>
      <c r="I23" s="14">
        <v>0.71</v>
      </c>
      <c r="J23" s="14">
        <v>0.65</v>
      </c>
      <c r="K23" s="14">
        <v>0.64</v>
      </c>
      <c r="L23" s="14">
        <v>0.84</v>
      </c>
      <c r="M23" s="14">
        <v>0.62</v>
      </c>
      <c r="N23" s="14">
        <v>0.75</v>
      </c>
      <c r="O23" s="14">
        <v>0.59</v>
      </c>
      <c r="P23" s="14">
        <v>0.69000000000000006</v>
      </c>
      <c r="Q23" s="14">
        <v>0.72</v>
      </c>
      <c r="R23" s="14">
        <v>0.66</v>
      </c>
      <c r="S23" s="14">
        <v>0.70000000000000007</v>
      </c>
      <c r="T23" s="14">
        <v>0.65</v>
      </c>
      <c r="U23" s="14">
        <v>0.77</v>
      </c>
      <c r="V23" s="14">
        <v>0.78</v>
      </c>
      <c r="W23" s="14">
        <v>0.8</v>
      </c>
      <c r="X23" s="14">
        <v>0.78</v>
      </c>
      <c r="Y23" s="14">
        <v>0.70000000000000007</v>
      </c>
      <c r="Z23" s="14">
        <v>0.78</v>
      </c>
      <c r="AA23" s="14">
        <v>0.70000000000000007</v>
      </c>
      <c r="AB23" s="14">
        <v>0.63</v>
      </c>
      <c r="AC23" s="14">
        <v>0.82000000000000006</v>
      </c>
      <c r="AD23" s="14">
        <v>0.69000000000000006</v>
      </c>
      <c r="AE23" s="14">
        <v>0.73</v>
      </c>
      <c r="AF23" s="14">
        <v>0.82000000000000006</v>
      </c>
    </row>
    <row r="24" spans="1:32">
      <c r="A24" s="20"/>
      <c r="B24" s="11" t="s">
        <v>486</v>
      </c>
      <c r="C24" s="12">
        <v>5516</v>
      </c>
      <c r="D24" s="12">
        <v>241</v>
      </c>
      <c r="E24" s="12">
        <v>338</v>
      </c>
      <c r="F24" s="12">
        <v>227</v>
      </c>
      <c r="G24" s="12">
        <v>100</v>
      </c>
      <c r="H24" s="12">
        <v>242</v>
      </c>
      <c r="I24" s="12">
        <v>328</v>
      </c>
      <c r="J24" s="12">
        <v>84</v>
      </c>
      <c r="K24" s="12">
        <v>232</v>
      </c>
      <c r="L24" s="12">
        <v>109</v>
      </c>
      <c r="M24" s="12">
        <v>328</v>
      </c>
      <c r="N24" s="12">
        <v>218</v>
      </c>
      <c r="O24" s="12">
        <v>157</v>
      </c>
      <c r="P24" s="12">
        <v>308</v>
      </c>
      <c r="Q24" s="12">
        <v>251</v>
      </c>
      <c r="R24" s="12">
        <v>118</v>
      </c>
      <c r="S24" s="12">
        <v>240</v>
      </c>
      <c r="T24" s="12">
        <v>216</v>
      </c>
      <c r="U24" s="12">
        <v>76</v>
      </c>
      <c r="V24" s="12">
        <v>172</v>
      </c>
      <c r="W24" s="12">
        <v>68</v>
      </c>
      <c r="X24" s="12">
        <v>127</v>
      </c>
      <c r="Y24" s="12">
        <v>224</v>
      </c>
      <c r="Z24" s="12">
        <v>180</v>
      </c>
      <c r="AA24" s="12">
        <v>262</v>
      </c>
      <c r="AB24" s="12">
        <v>353</v>
      </c>
      <c r="AC24" s="12">
        <v>137</v>
      </c>
      <c r="AD24" s="12">
        <v>243</v>
      </c>
      <c r="AE24" s="12">
        <v>125</v>
      </c>
      <c r="AF24" s="12">
        <v>123</v>
      </c>
    </row>
    <row r="25" spans="1:32">
      <c r="A25" s="20"/>
      <c r="B25" s="13" t="s">
        <v>487</v>
      </c>
      <c r="C25" s="14">
        <v>0.21</v>
      </c>
      <c r="D25" s="14">
        <v>0.24</v>
      </c>
      <c r="E25" s="14">
        <v>0.33</v>
      </c>
      <c r="F25" s="14">
        <v>0.23</v>
      </c>
      <c r="G25" s="14">
        <v>0.09</v>
      </c>
      <c r="H25" s="14">
        <v>0.2</v>
      </c>
      <c r="I25" s="14">
        <v>0.22</v>
      </c>
      <c r="J25" s="14">
        <v>0.28999999999999998</v>
      </c>
      <c r="K25" s="14">
        <v>0.23</v>
      </c>
      <c r="L25" s="14">
        <v>0.11</v>
      </c>
      <c r="M25" s="14">
        <v>0.33</v>
      </c>
      <c r="N25" s="14">
        <v>0.21</v>
      </c>
      <c r="O25" s="14">
        <v>0.16</v>
      </c>
      <c r="P25" s="14">
        <v>0.3</v>
      </c>
      <c r="Q25" s="14">
        <v>0.24</v>
      </c>
      <c r="R25" s="14">
        <v>0.24</v>
      </c>
      <c r="S25" s="14">
        <v>0.24</v>
      </c>
      <c r="T25" s="14">
        <v>0.21</v>
      </c>
      <c r="U25" s="14">
        <v>0.14000000000000001</v>
      </c>
      <c r="V25" s="14">
        <v>0.17</v>
      </c>
      <c r="W25" s="14">
        <v>0.14000000000000001</v>
      </c>
      <c r="X25" s="14">
        <v>0.13</v>
      </c>
      <c r="Y25" s="14">
        <v>0.23</v>
      </c>
      <c r="Z25" s="14">
        <v>0.18</v>
      </c>
      <c r="AA25" s="14">
        <v>0.24</v>
      </c>
      <c r="AB25" s="14">
        <v>0.34</v>
      </c>
      <c r="AC25" s="14">
        <v>0.14000000000000001</v>
      </c>
      <c r="AD25" s="14">
        <v>0.25</v>
      </c>
      <c r="AE25" s="14">
        <v>0.12</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17</v>
      </c>
      <c r="C3" s="18"/>
      <c r="D3" s="18"/>
      <c r="E3" s="18"/>
      <c r="F3" s="18"/>
      <c r="H3" s="18" t="s">
        <v>18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492</v>
      </c>
      <c r="C12" s="12">
        <v>7243</v>
      </c>
      <c r="D12" s="12">
        <v>290</v>
      </c>
      <c r="E12" s="12">
        <v>323</v>
      </c>
      <c r="F12" s="12">
        <v>197</v>
      </c>
      <c r="G12" s="12">
        <v>311</v>
      </c>
      <c r="H12" s="12">
        <v>242</v>
      </c>
      <c r="I12" s="12">
        <v>295</v>
      </c>
      <c r="J12" s="12">
        <v>52</v>
      </c>
      <c r="K12" s="12">
        <v>319</v>
      </c>
      <c r="L12" s="12">
        <v>452</v>
      </c>
      <c r="M12" s="12">
        <v>359</v>
      </c>
      <c r="N12" s="12">
        <v>371</v>
      </c>
      <c r="O12" s="12">
        <v>351</v>
      </c>
      <c r="P12" s="12">
        <v>144</v>
      </c>
      <c r="Q12" s="12">
        <v>300</v>
      </c>
      <c r="R12" s="12">
        <v>237</v>
      </c>
      <c r="S12" s="12">
        <v>248</v>
      </c>
      <c r="T12" s="12">
        <v>287</v>
      </c>
      <c r="U12" s="12">
        <v>244</v>
      </c>
      <c r="V12" s="12">
        <v>211</v>
      </c>
      <c r="W12" s="12">
        <v>246</v>
      </c>
      <c r="X12" s="12">
        <v>343</v>
      </c>
      <c r="Y12" s="12">
        <v>223</v>
      </c>
      <c r="Z12" s="12">
        <v>157</v>
      </c>
      <c r="AA12" s="12">
        <v>212</v>
      </c>
      <c r="AB12" s="12">
        <v>150</v>
      </c>
      <c r="AC12" s="12">
        <v>384</v>
      </c>
      <c r="AD12" s="12">
        <v>314</v>
      </c>
      <c r="AE12" s="12">
        <v>306</v>
      </c>
      <c r="AF12" s="12">
        <v>430</v>
      </c>
    </row>
    <row r="13" spans="1:32">
      <c r="A13" s="20"/>
      <c r="B13" s="13" t="s">
        <v>493</v>
      </c>
      <c r="C13" s="14">
        <v>0.28000000000000003</v>
      </c>
      <c r="D13" s="14">
        <v>0.28999999999999998</v>
      </c>
      <c r="E13" s="14">
        <v>0.32</v>
      </c>
      <c r="F13" s="14">
        <v>0.2</v>
      </c>
      <c r="G13" s="14">
        <v>0.31</v>
      </c>
      <c r="H13" s="14">
        <v>0.2</v>
      </c>
      <c r="I13" s="14">
        <v>0.2</v>
      </c>
      <c r="J13" s="14">
        <v>0.18</v>
      </c>
      <c r="K13" s="14">
        <v>0.32</v>
      </c>
      <c r="L13" s="14">
        <v>0.45</v>
      </c>
      <c r="M13" s="14">
        <v>0.36</v>
      </c>
      <c r="N13" s="14">
        <v>0.37</v>
      </c>
      <c r="O13" s="14">
        <v>0.35</v>
      </c>
      <c r="P13" s="14">
        <v>0.14000000000000001</v>
      </c>
      <c r="Q13" s="14">
        <v>0.28999999999999998</v>
      </c>
      <c r="R13" s="14">
        <v>0.47</v>
      </c>
      <c r="S13" s="14">
        <v>0.25</v>
      </c>
      <c r="T13" s="14">
        <v>0.28000000000000003</v>
      </c>
      <c r="U13" s="14">
        <v>0.48</v>
      </c>
      <c r="V13" s="14">
        <v>0.21</v>
      </c>
      <c r="W13" s="14">
        <v>0.49</v>
      </c>
      <c r="X13" s="14">
        <v>0.34</v>
      </c>
      <c r="Y13" s="14">
        <v>0.22</v>
      </c>
      <c r="Z13" s="14">
        <v>0.16</v>
      </c>
      <c r="AA13" s="14">
        <v>0.2</v>
      </c>
      <c r="AB13" s="14">
        <v>0.14000000000000001</v>
      </c>
      <c r="AC13" s="14">
        <v>0.38</v>
      </c>
      <c r="AD13" s="14">
        <v>0.31</v>
      </c>
      <c r="AE13" s="14">
        <v>0.31</v>
      </c>
      <c r="AF13" s="14">
        <v>0.42</v>
      </c>
    </row>
    <row r="14" spans="1:32">
      <c r="A14" s="20"/>
      <c r="B14" s="11" t="s">
        <v>494</v>
      </c>
      <c r="C14" s="12">
        <v>13489</v>
      </c>
      <c r="D14" s="12">
        <v>518</v>
      </c>
      <c r="E14" s="12">
        <v>478</v>
      </c>
      <c r="F14" s="12">
        <v>488</v>
      </c>
      <c r="G14" s="12">
        <v>482</v>
      </c>
      <c r="H14" s="12">
        <v>552</v>
      </c>
      <c r="I14" s="12">
        <v>692</v>
      </c>
      <c r="J14" s="12">
        <v>140</v>
      </c>
      <c r="K14" s="12">
        <v>478</v>
      </c>
      <c r="L14" s="12">
        <v>434</v>
      </c>
      <c r="M14" s="12">
        <v>485</v>
      </c>
      <c r="N14" s="12">
        <v>490</v>
      </c>
      <c r="O14" s="12">
        <v>486</v>
      </c>
      <c r="P14" s="12">
        <v>555</v>
      </c>
      <c r="Q14" s="12">
        <v>607</v>
      </c>
      <c r="R14" s="12">
        <v>212</v>
      </c>
      <c r="S14" s="12">
        <v>538</v>
      </c>
      <c r="T14" s="12">
        <v>498</v>
      </c>
      <c r="U14" s="12">
        <v>224</v>
      </c>
      <c r="V14" s="12">
        <v>577</v>
      </c>
      <c r="W14" s="12">
        <v>203</v>
      </c>
      <c r="X14" s="12">
        <v>505</v>
      </c>
      <c r="Y14" s="12">
        <v>401</v>
      </c>
      <c r="Z14" s="12">
        <v>666</v>
      </c>
      <c r="AA14" s="12">
        <v>682</v>
      </c>
      <c r="AB14" s="12">
        <v>490</v>
      </c>
      <c r="AC14" s="12">
        <v>498</v>
      </c>
      <c r="AD14" s="12">
        <v>489</v>
      </c>
      <c r="AE14" s="12">
        <v>474</v>
      </c>
      <c r="AF14" s="12">
        <v>456</v>
      </c>
    </row>
    <row r="15" spans="1:32">
      <c r="A15" s="20"/>
      <c r="B15" s="13" t="s">
        <v>495</v>
      </c>
      <c r="C15" s="14">
        <v>0.51</v>
      </c>
      <c r="D15" s="14">
        <v>0.52</v>
      </c>
      <c r="E15" s="14">
        <v>0.47</v>
      </c>
      <c r="F15" s="14">
        <v>0.49</v>
      </c>
      <c r="G15" s="14">
        <v>0.48</v>
      </c>
      <c r="H15" s="14">
        <v>0.45</v>
      </c>
      <c r="I15" s="14">
        <v>0.46</v>
      </c>
      <c r="J15" s="14">
        <v>0.47</v>
      </c>
      <c r="K15" s="14">
        <v>0.48</v>
      </c>
      <c r="L15" s="14">
        <v>0.43</v>
      </c>
      <c r="M15" s="14">
        <v>0.48</v>
      </c>
      <c r="N15" s="14">
        <v>0.49</v>
      </c>
      <c r="O15" s="14">
        <v>0.49</v>
      </c>
      <c r="P15" s="14">
        <v>0.54</v>
      </c>
      <c r="Q15" s="14">
        <v>0.6</v>
      </c>
      <c r="R15" s="14">
        <v>0.42</v>
      </c>
      <c r="S15" s="14">
        <v>0.53</v>
      </c>
      <c r="T15" s="14">
        <v>0.49</v>
      </c>
      <c r="U15" s="14">
        <v>0.44</v>
      </c>
      <c r="V15" s="14">
        <v>0.57000000000000006</v>
      </c>
      <c r="W15" s="14">
        <v>0.4</v>
      </c>
      <c r="X15" s="14">
        <v>0.5</v>
      </c>
      <c r="Y15" s="14">
        <v>0.4</v>
      </c>
      <c r="Z15" s="14">
        <v>0.66</v>
      </c>
      <c r="AA15" s="14">
        <v>0.65</v>
      </c>
      <c r="AB15" s="14">
        <v>0.47</v>
      </c>
      <c r="AC15" s="14">
        <v>0.49</v>
      </c>
      <c r="AD15" s="14">
        <v>0.49</v>
      </c>
      <c r="AE15" s="14">
        <v>0.47</v>
      </c>
      <c r="AF15" s="14">
        <v>0.45</v>
      </c>
    </row>
    <row r="16" spans="1:32">
      <c r="A16" s="20"/>
      <c r="B16" s="11" t="s">
        <v>496</v>
      </c>
      <c r="C16" s="12">
        <v>4632</v>
      </c>
      <c r="D16" s="12">
        <v>169</v>
      </c>
      <c r="E16" s="12">
        <v>156</v>
      </c>
      <c r="F16" s="12">
        <v>255</v>
      </c>
      <c r="G16" s="12">
        <v>182</v>
      </c>
      <c r="H16" s="12">
        <v>342</v>
      </c>
      <c r="I16" s="12">
        <v>424</v>
      </c>
      <c r="J16" s="12">
        <v>82</v>
      </c>
      <c r="K16" s="12">
        <v>173</v>
      </c>
      <c r="L16" s="12">
        <v>87</v>
      </c>
      <c r="M16" s="12">
        <v>122</v>
      </c>
      <c r="N16" s="12">
        <v>126</v>
      </c>
      <c r="O16" s="12">
        <v>139</v>
      </c>
      <c r="P16" s="12">
        <v>263</v>
      </c>
      <c r="Q16" s="12">
        <v>103</v>
      </c>
      <c r="R16" s="12">
        <v>40</v>
      </c>
      <c r="S16" s="12">
        <v>202</v>
      </c>
      <c r="T16" s="12">
        <v>189</v>
      </c>
      <c r="U16" s="12">
        <v>32</v>
      </c>
      <c r="V16" s="12">
        <v>198</v>
      </c>
      <c r="W16" s="12">
        <v>48</v>
      </c>
      <c r="X16" s="12">
        <v>158</v>
      </c>
      <c r="Y16" s="12">
        <v>244</v>
      </c>
      <c r="Z16" s="12">
        <v>157</v>
      </c>
      <c r="AA16" s="12">
        <v>140</v>
      </c>
      <c r="AB16" s="12">
        <v>319</v>
      </c>
      <c r="AC16" s="12">
        <v>113</v>
      </c>
      <c r="AD16" s="12">
        <v>184</v>
      </c>
      <c r="AE16" s="12">
        <v>184</v>
      </c>
      <c r="AF16" s="12">
        <v>114</v>
      </c>
    </row>
    <row r="17" spans="1:32">
      <c r="A17" s="20"/>
      <c r="B17" s="13" t="s">
        <v>497</v>
      </c>
      <c r="C17" s="14">
        <v>0.18</v>
      </c>
      <c r="D17" s="14">
        <v>0.17</v>
      </c>
      <c r="E17" s="14">
        <v>0.15</v>
      </c>
      <c r="F17" s="14">
        <v>0.25</v>
      </c>
      <c r="G17" s="14">
        <v>0.18</v>
      </c>
      <c r="H17" s="14">
        <v>0.28000000000000003</v>
      </c>
      <c r="I17" s="14">
        <v>0.28000000000000003</v>
      </c>
      <c r="J17" s="14">
        <v>0.28000000000000003</v>
      </c>
      <c r="K17" s="14">
        <v>0.17</v>
      </c>
      <c r="L17" s="14">
        <v>0.09</v>
      </c>
      <c r="M17" s="14">
        <v>0.12</v>
      </c>
      <c r="N17" s="14">
        <v>0.12</v>
      </c>
      <c r="O17" s="14">
        <v>0.14000000000000001</v>
      </c>
      <c r="P17" s="14">
        <v>0.26</v>
      </c>
      <c r="Q17" s="14">
        <v>0.1</v>
      </c>
      <c r="R17" s="14">
        <v>0.08</v>
      </c>
      <c r="S17" s="14">
        <v>0.2</v>
      </c>
      <c r="T17" s="14">
        <v>0.19</v>
      </c>
      <c r="U17" s="14">
        <v>0.06</v>
      </c>
      <c r="V17" s="14">
        <v>0.19</v>
      </c>
      <c r="W17" s="14">
        <v>0.1</v>
      </c>
      <c r="X17" s="14">
        <v>0.15</v>
      </c>
      <c r="Y17" s="14">
        <v>0.24</v>
      </c>
      <c r="Z17" s="14">
        <v>0.15</v>
      </c>
      <c r="AA17" s="14">
        <v>0.13</v>
      </c>
      <c r="AB17" s="14">
        <v>0.31</v>
      </c>
      <c r="AC17" s="14">
        <v>0.11</v>
      </c>
      <c r="AD17" s="14">
        <v>0.18</v>
      </c>
      <c r="AE17" s="14">
        <v>0.18</v>
      </c>
      <c r="AF17" s="14">
        <v>0.11</v>
      </c>
    </row>
    <row r="18" spans="1:32">
      <c r="A18" s="20"/>
      <c r="B18" s="11" t="s">
        <v>498</v>
      </c>
      <c r="C18" s="12">
        <v>892</v>
      </c>
      <c r="D18" s="12">
        <v>25</v>
      </c>
      <c r="E18" s="12">
        <v>45</v>
      </c>
      <c r="F18" s="12">
        <v>64</v>
      </c>
      <c r="G18" s="12">
        <v>27</v>
      </c>
      <c r="H18" s="12">
        <v>78</v>
      </c>
      <c r="I18" s="12">
        <v>98</v>
      </c>
      <c r="J18" s="12">
        <v>20</v>
      </c>
      <c r="K18" s="12">
        <v>32</v>
      </c>
      <c r="L18" s="12">
        <v>26</v>
      </c>
      <c r="M18" s="12">
        <v>37</v>
      </c>
      <c r="N18" s="12">
        <v>18</v>
      </c>
      <c r="O18" s="12">
        <v>23</v>
      </c>
      <c r="P18" s="12">
        <v>58</v>
      </c>
      <c r="Q18" s="12">
        <v>6</v>
      </c>
      <c r="R18" s="12">
        <v>8</v>
      </c>
      <c r="S18" s="12">
        <v>20</v>
      </c>
      <c r="T18" s="12">
        <v>38</v>
      </c>
      <c r="U18" s="12">
        <v>4</v>
      </c>
      <c r="V18" s="12">
        <v>32</v>
      </c>
      <c r="W18" s="12">
        <v>5</v>
      </c>
      <c r="X18" s="12">
        <v>15</v>
      </c>
      <c r="Y18" s="12">
        <v>133</v>
      </c>
      <c r="Z18" s="12">
        <v>21</v>
      </c>
      <c r="AA18" s="12">
        <v>18</v>
      </c>
      <c r="AB18" s="12">
        <v>78</v>
      </c>
      <c r="AC18" s="12">
        <v>14</v>
      </c>
      <c r="AD18" s="12">
        <v>19</v>
      </c>
      <c r="AE18" s="12">
        <v>35</v>
      </c>
      <c r="AF18" s="12">
        <v>20</v>
      </c>
    </row>
    <row r="19" spans="1:32">
      <c r="A19" s="20"/>
      <c r="B19" s="13" t="s">
        <v>499</v>
      </c>
      <c r="C19" s="14">
        <v>0.03</v>
      </c>
      <c r="D19" s="14">
        <v>0.02</v>
      </c>
      <c r="E19" s="14">
        <v>0.04</v>
      </c>
      <c r="F19" s="14">
        <v>0.06</v>
      </c>
      <c r="G19" s="14">
        <v>0.03</v>
      </c>
      <c r="H19" s="14">
        <v>7.0000000000000007E-2</v>
      </c>
      <c r="I19" s="14">
        <v>0.06</v>
      </c>
      <c r="J19" s="14">
        <v>7.0000000000000007E-2</v>
      </c>
      <c r="K19" s="14">
        <v>0.03</v>
      </c>
      <c r="L19" s="14">
        <v>0.02</v>
      </c>
      <c r="M19" s="14">
        <v>0.04</v>
      </c>
      <c r="N19" s="14">
        <v>0.02</v>
      </c>
      <c r="O19" s="14">
        <v>0.02</v>
      </c>
      <c r="P19" s="14">
        <v>0.06</v>
      </c>
      <c r="Q19" s="14">
        <v>0.01</v>
      </c>
      <c r="R19" s="14">
        <v>0.02</v>
      </c>
      <c r="S19" s="14">
        <v>0.02</v>
      </c>
      <c r="T19" s="14">
        <v>0.04</v>
      </c>
      <c r="U19" s="14">
        <v>0.01</v>
      </c>
      <c r="V19" s="14">
        <v>0.03</v>
      </c>
      <c r="W19" s="14">
        <v>0.01</v>
      </c>
      <c r="X19" s="14">
        <v>0.01</v>
      </c>
      <c r="Y19" s="14">
        <v>0.13</v>
      </c>
      <c r="Z19" s="14">
        <v>0.02</v>
      </c>
      <c r="AA19" s="14">
        <v>0.02</v>
      </c>
      <c r="AB19" s="14">
        <v>0.08</v>
      </c>
      <c r="AC19" s="14">
        <v>0.02</v>
      </c>
      <c r="AD19" s="14">
        <v>0.02</v>
      </c>
      <c r="AE19" s="14">
        <v>0.04</v>
      </c>
      <c r="AF19" s="14">
        <v>0.02</v>
      </c>
    </row>
    <row r="20" spans="1:32">
      <c r="A20" s="20"/>
      <c r="B20" s="11" t="s">
        <v>468</v>
      </c>
      <c r="C20" s="12">
        <v>63</v>
      </c>
      <c r="D20" s="12">
        <v>1</v>
      </c>
      <c r="E20" s="12">
        <v>15</v>
      </c>
      <c r="F20" s="12">
        <v>1</v>
      </c>
      <c r="G20" s="12">
        <v>2</v>
      </c>
      <c r="H20" s="12">
        <v>2</v>
      </c>
      <c r="I20" s="12">
        <v>2</v>
      </c>
      <c r="J20" s="12">
        <v>0</v>
      </c>
      <c r="K20" s="12">
        <v>5</v>
      </c>
      <c r="L20" s="12">
        <v>7</v>
      </c>
      <c r="M20" s="12">
        <v>1</v>
      </c>
      <c r="N20" s="12">
        <v>0</v>
      </c>
      <c r="O20" s="12">
        <v>3</v>
      </c>
      <c r="P20" s="12">
        <v>3</v>
      </c>
      <c r="Q20" s="12">
        <v>3</v>
      </c>
      <c r="R20" s="12">
        <v>4</v>
      </c>
      <c r="S20" s="12">
        <v>0</v>
      </c>
      <c r="T20" s="12">
        <v>2</v>
      </c>
      <c r="U20" s="12">
        <v>2</v>
      </c>
      <c r="V20" s="12">
        <v>0</v>
      </c>
      <c r="W20" s="12">
        <v>0</v>
      </c>
      <c r="X20" s="12">
        <v>0</v>
      </c>
      <c r="Y20" s="12">
        <v>8</v>
      </c>
      <c r="Z20" s="12">
        <v>8</v>
      </c>
      <c r="AA20" s="12">
        <v>0</v>
      </c>
      <c r="AB20" s="12">
        <v>2</v>
      </c>
      <c r="AC20" s="12">
        <v>2</v>
      </c>
      <c r="AD20" s="12">
        <v>0</v>
      </c>
      <c r="AE20" s="12">
        <v>3</v>
      </c>
      <c r="AF20" s="12">
        <v>1</v>
      </c>
    </row>
    <row r="21" spans="1:32">
      <c r="A21" s="20"/>
      <c r="B21" s="13" t="s">
        <v>469</v>
      </c>
      <c r="C21" s="15" t="s">
        <v>459</v>
      </c>
      <c r="D21" s="15" t="s">
        <v>459</v>
      </c>
      <c r="E21" s="14">
        <v>0.02</v>
      </c>
      <c r="F21" s="15" t="s">
        <v>459</v>
      </c>
      <c r="G21" s="15" t="s">
        <v>459</v>
      </c>
      <c r="H21" s="15" t="s">
        <v>459</v>
      </c>
      <c r="I21" s="15" t="s">
        <v>459</v>
      </c>
      <c r="J21" s="15" t="s">
        <v>459</v>
      </c>
      <c r="K21" s="15" t="s">
        <v>459</v>
      </c>
      <c r="L21" s="14">
        <v>0.01</v>
      </c>
      <c r="M21" s="15" t="s">
        <v>459</v>
      </c>
      <c r="N21" s="15" t="s">
        <v>459</v>
      </c>
      <c r="O21" s="15" t="s">
        <v>459</v>
      </c>
      <c r="P21" s="15" t="s">
        <v>459</v>
      </c>
      <c r="Q21" s="15" t="s">
        <v>459</v>
      </c>
      <c r="R21" s="14">
        <v>0.01</v>
      </c>
      <c r="S21" s="15" t="s">
        <v>459</v>
      </c>
      <c r="T21" s="15" t="s">
        <v>459</v>
      </c>
      <c r="U21" s="14">
        <v>0.01</v>
      </c>
      <c r="V21" s="15" t="s">
        <v>459</v>
      </c>
      <c r="W21" s="15" t="s">
        <v>459</v>
      </c>
      <c r="X21" s="15" t="s">
        <v>459</v>
      </c>
      <c r="Y21" s="14">
        <v>0.01</v>
      </c>
      <c r="Z21" s="14">
        <v>0.01</v>
      </c>
      <c r="AA21" s="15" t="s">
        <v>459</v>
      </c>
      <c r="AB21" s="15" t="s">
        <v>459</v>
      </c>
      <c r="AC21" s="15" t="s">
        <v>459</v>
      </c>
      <c r="AD21" s="15" t="s">
        <v>459</v>
      </c>
      <c r="AE21" s="15" t="s">
        <v>459</v>
      </c>
      <c r="AF21" s="15" t="s">
        <v>459</v>
      </c>
    </row>
    <row r="22" spans="1:32">
      <c r="A22" s="20"/>
      <c r="B22" s="11" t="s">
        <v>500</v>
      </c>
      <c r="C22" s="12">
        <v>20732</v>
      </c>
      <c r="D22" s="12">
        <v>808</v>
      </c>
      <c r="E22" s="12">
        <v>801</v>
      </c>
      <c r="F22" s="12">
        <v>685</v>
      </c>
      <c r="G22" s="12">
        <v>793</v>
      </c>
      <c r="H22" s="12">
        <v>794</v>
      </c>
      <c r="I22" s="12">
        <v>987</v>
      </c>
      <c r="J22" s="12">
        <v>192</v>
      </c>
      <c r="K22" s="12">
        <v>797</v>
      </c>
      <c r="L22" s="12">
        <v>886</v>
      </c>
      <c r="M22" s="12">
        <v>844</v>
      </c>
      <c r="N22" s="12">
        <v>861</v>
      </c>
      <c r="O22" s="12">
        <v>837</v>
      </c>
      <c r="P22" s="12">
        <v>699</v>
      </c>
      <c r="Q22" s="12">
        <v>907</v>
      </c>
      <c r="R22" s="12">
        <v>449</v>
      </c>
      <c r="S22" s="12">
        <v>786</v>
      </c>
      <c r="T22" s="12">
        <v>785</v>
      </c>
      <c r="U22" s="12">
        <v>468</v>
      </c>
      <c r="V22" s="12">
        <v>788</v>
      </c>
      <c r="W22" s="12">
        <v>449</v>
      </c>
      <c r="X22" s="12">
        <v>848</v>
      </c>
      <c r="Y22" s="12">
        <v>624</v>
      </c>
      <c r="Z22" s="12">
        <v>823</v>
      </c>
      <c r="AA22" s="12">
        <v>894</v>
      </c>
      <c r="AB22" s="12">
        <v>640</v>
      </c>
      <c r="AC22" s="12">
        <v>882</v>
      </c>
      <c r="AD22" s="12">
        <v>803</v>
      </c>
      <c r="AE22" s="12">
        <v>780</v>
      </c>
      <c r="AF22" s="12">
        <v>886</v>
      </c>
    </row>
    <row r="23" spans="1:32">
      <c r="A23" s="20"/>
      <c r="B23" s="13" t="s">
        <v>500</v>
      </c>
      <c r="C23" s="14">
        <v>0.79</v>
      </c>
      <c r="D23" s="14">
        <v>0.81</v>
      </c>
      <c r="E23" s="14">
        <v>0.79</v>
      </c>
      <c r="F23" s="14">
        <v>0.69000000000000006</v>
      </c>
      <c r="G23" s="14">
        <v>0.79</v>
      </c>
      <c r="H23" s="14">
        <v>0.65</v>
      </c>
      <c r="I23" s="14">
        <v>0.66</v>
      </c>
      <c r="J23" s="14">
        <v>0.65</v>
      </c>
      <c r="K23" s="14">
        <v>0.8</v>
      </c>
      <c r="L23" s="14">
        <v>0.88</v>
      </c>
      <c r="M23" s="14">
        <v>0.84</v>
      </c>
      <c r="N23" s="14">
        <v>0.86</v>
      </c>
      <c r="O23" s="14">
        <v>0.84</v>
      </c>
      <c r="P23" s="14">
        <v>0.68</v>
      </c>
      <c r="Q23" s="14">
        <v>0.89</v>
      </c>
      <c r="R23" s="14">
        <v>0.89</v>
      </c>
      <c r="S23" s="14">
        <v>0.78</v>
      </c>
      <c r="T23" s="14">
        <v>0.77</v>
      </c>
      <c r="U23" s="14">
        <v>0.92</v>
      </c>
      <c r="V23" s="14">
        <v>0.78</v>
      </c>
      <c r="W23" s="14">
        <v>0.89</v>
      </c>
      <c r="X23" s="14">
        <v>0.84</v>
      </c>
      <c r="Y23" s="14">
        <v>0.62</v>
      </c>
      <c r="Z23" s="14">
        <v>0.82000000000000006</v>
      </c>
      <c r="AA23" s="14">
        <v>0.85</v>
      </c>
      <c r="AB23" s="14">
        <v>0.61</v>
      </c>
      <c r="AC23" s="14">
        <v>0.87</v>
      </c>
      <c r="AD23" s="14">
        <v>0.8</v>
      </c>
      <c r="AE23" s="14">
        <v>0.78</v>
      </c>
      <c r="AF23" s="14">
        <v>0.87</v>
      </c>
    </row>
    <row r="24" spans="1:32">
      <c r="A24" s="20"/>
      <c r="B24" s="11" t="s">
        <v>501</v>
      </c>
      <c r="C24" s="12">
        <v>5524</v>
      </c>
      <c r="D24" s="12">
        <v>194</v>
      </c>
      <c r="E24" s="12">
        <v>201</v>
      </c>
      <c r="F24" s="12">
        <v>319</v>
      </c>
      <c r="G24" s="12">
        <v>209</v>
      </c>
      <c r="H24" s="12">
        <v>420</v>
      </c>
      <c r="I24" s="12">
        <v>522</v>
      </c>
      <c r="J24" s="12">
        <v>102</v>
      </c>
      <c r="K24" s="12">
        <v>205</v>
      </c>
      <c r="L24" s="12">
        <v>113</v>
      </c>
      <c r="M24" s="12">
        <v>159</v>
      </c>
      <c r="N24" s="12">
        <v>144</v>
      </c>
      <c r="O24" s="12">
        <v>162</v>
      </c>
      <c r="P24" s="12">
        <v>321</v>
      </c>
      <c r="Q24" s="12">
        <v>109</v>
      </c>
      <c r="R24" s="12">
        <v>48</v>
      </c>
      <c r="S24" s="12">
        <v>222</v>
      </c>
      <c r="T24" s="12">
        <v>227</v>
      </c>
      <c r="U24" s="12">
        <v>36</v>
      </c>
      <c r="V24" s="12">
        <v>230</v>
      </c>
      <c r="W24" s="12">
        <v>53</v>
      </c>
      <c r="X24" s="12">
        <v>173</v>
      </c>
      <c r="Y24" s="12">
        <v>377</v>
      </c>
      <c r="Z24" s="12">
        <v>178</v>
      </c>
      <c r="AA24" s="12">
        <v>158</v>
      </c>
      <c r="AB24" s="12">
        <v>397</v>
      </c>
      <c r="AC24" s="12">
        <v>127</v>
      </c>
      <c r="AD24" s="12">
        <v>203</v>
      </c>
      <c r="AE24" s="12">
        <v>219</v>
      </c>
      <c r="AF24" s="12">
        <v>134</v>
      </c>
    </row>
    <row r="25" spans="1:32">
      <c r="A25" s="20"/>
      <c r="B25" s="13" t="s">
        <v>502</v>
      </c>
      <c r="C25" s="14">
        <v>0.21</v>
      </c>
      <c r="D25" s="14">
        <v>0.19</v>
      </c>
      <c r="E25" s="14">
        <v>0.19</v>
      </c>
      <c r="F25" s="14">
        <v>0.31</v>
      </c>
      <c r="G25" s="14">
        <v>0.21</v>
      </c>
      <c r="H25" s="14">
        <v>0.35</v>
      </c>
      <c r="I25" s="14">
        <v>0.34</v>
      </c>
      <c r="J25" s="14">
        <v>0.35</v>
      </c>
      <c r="K25" s="14">
        <v>0.2</v>
      </c>
      <c r="L25" s="14">
        <v>0.11</v>
      </c>
      <c r="M25" s="14">
        <v>0.16</v>
      </c>
      <c r="N25" s="14">
        <v>0.14000000000000001</v>
      </c>
      <c r="O25" s="14">
        <v>0.16</v>
      </c>
      <c r="P25" s="14">
        <v>0.32</v>
      </c>
      <c r="Q25" s="14">
        <v>0.11</v>
      </c>
      <c r="R25" s="14">
        <v>0.1</v>
      </c>
      <c r="S25" s="14">
        <v>0.22</v>
      </c>
      <c r="T25" s="14">
        <v>0.23</v>
      </c>
      <c r="U25" s="14">
        <v>7.0000000000000007E-2</v>
      </c>
      <c r="V25" s="14">
        <v>0.22</v>
      </c>
      <c r="W25" s="14">
        <v>0.11</v>
      </c>
      <c r="X25" s="14">
        <v>0.16</v>
      </c>
      <c r="Y25" s="14">
        <v>0.37</v>
      </c>
      <c r="Z25" s="14">
        <v>0.17</v>
      </c>
      <c r="AA25" s="14">
        <v>0.15</v>
      </c>
      <c r="AB25" s="14">
        <v>0.39</v>
      </c>
      <c r="AC25" s="14">
        <v>0.13</v>
      </c>
      <c r="AD25" s="14">
        <v>0.2</v>
      </c>
      <c r="AE25" s="14">
        <v>0.22</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3"/>
  <sheetViews>
    <sheetView tabSelected="1" workbookViewId="0">
      <pane xSplit="3" ySplit="9" topLeftCell="D10" activePane="bottomRight" state="frozen"/>
      <selection pane="bottomRight" activeCell="D32" sqref="D32"/>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19</v>
      </c>
      <c r="C3" s="18"/>
      <c r="D3" s="18"/>
      <c r="E3" s="18"/>
      <c r="F3" s="18"/>
      <c r="H3" s="18" t="s">
        <v>20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503</v>
      </c>
      <c r="C12" s="12">
        <v>2841</v>
      </c>
      <c r="D12" s="12">
        <v>123</v>
      </c>
      <c r="E12" s="12">
        <v>50</v>
      </c>
      <c r="F12" s="12">
        <v>110</v>
      </c>
      <c r="G12" s="12">
        <v>164</v>
      </c>
      <c r="H12" s="12">
        <v>160</v>
      </c>
      <c r="I12" s="12">
        <v>201</v>
      </c>
      <c r="J12" s="12">
        <v>42</v>
      </c>
      <c r="K12" s="12">
        <v>125</v>
      </c>
      <c r="L12" s="12">
        <v>134</v>
      </c>
      <c r="M12" s="12">
        <v>56</v>
      </c>
      <c r="N12" s="12">
        <v>97</v>
      </c>
      <c r="O12" s="12">
        <v>122</v>
      </c>
      <c r="P12" s="12">
        <v>82</v>
      </c>
      <c r="Q12" s="12">
        <v>104</v>
      </c>
      <c r="R12" s="12">
        <v>24</v>
      </c>
      <c r="S12" s="12">
        <v>66</v>
      </c>
      <c r="T12" s="12">
        <v>73</v>
      </c>
      <c r="U12" s="12">
        <v>97</v>
      </c>
      <c r="V12" s="12">
        <v>64</v>
      </c>
      <c r="W12" s="12">
        <v>44</v>
      </c>
      <c r="X12" s="12">
        <v>202</v>
      </c>
      <c r="Y12" s="12">
        <v>159</v>
      </c>
      <c r="Z12" s="12">
        <v>43</v>
      </c>
      <c r="AA12" s="12">
        <v>46</v>
      </c>
      <c r="AB12" s="12">
        <v>12</v>
      </c>
      <c r="AC12" s="12">
        <v>91</v>
      </c>
      <c r="AD12" s="12">
        <v>124</v>
      </c>
      <c r="AE12" s="12">
        <v>189</v>
      </c>
      <c r="AF12" s="12">
        <v>230</v>
      </c>
    </row>
    <row r="13" spans="1:32">
      <c r="A13" s="20"/>
      <c r="B13" s="13" t="s">
        <v>504</v>
      </c>
      <c r="C13" s="14">
        <v>0.11</v>
      </c>
      <c r="D13" s="14">
        <v>0.12</v>
      </c>
      <c r="E13" s="14">
        <v>0.05</v>
      </c>
      <c r="F13" s="14">
        <v>0.11</v>
      </c>
      <c r="G13" s="14">
        <v>0.16</v>
      </c>
      <c r="H13" s="14">
        <v>0.13</v>
      </c>
      <c r="I13" s="14">
        <v>0.13</v>
      </c>
      <c r="J13" s="14">
        <v>0.14000000000000001</v>
      </c>
      <c r="K13" s="14">
        <v>0.12</v>
      </c>
      <c r="L13" s="14">
        <v>0.13</v>
      </c>
      <c r="M13" s="14">
        <v>0.06</v>
      </c>
      <c r="N13" s="14">
        <v>0.1</v>
      </c>
      <c r="O13" s="14">
        <v>0.12</v>
      </c>
      <c r="P13" s="14">
        <v>0.08</v>
      </c>
      <c r="Q13" s="14">
        <v>0.1</v>
      </c>
      <c r="R13" s="14">
        <v>0.05</v>
      </c>
      <c r="S13" s="14">
        <v>7.0000000000000007E-2</v>
      </c>
      <c r="T13" s="14">
        <v>7.0000000000000007E-2</v>
      </c>
      <c r="U13" s="14">
        <v>0.19</v>
      </c>
      <c r="V13" s="14">
        <v>0.06</v>
      </c>
      <c r="W13" s="14">
        <v>0.09</v>
      </c>
      <c r="X13" s="14">
        <v>0.2</v>
      </c>
      <c r="Y13" s="14">
        <v>0.16</v>
      </c>
      <c r="Z13" s="14">
        <v>0.04</v>
      </c>
      <c r="AA13" s="14">
        <v>0.04</v>
      </c>
      <c r="AB13" s="14">
        <v>0.01</v>
      </c>
      <c r="AC13" s="14">
        <v>0.09</v>
      </c>
      <c r="AD13" s="14">
        <v>0.12</v>
      </c>
      <c r="AE13" s="14">
        <v>0.19</v>
      </c>
      <c r="AF13" s="14">
        <v>0.23</v>
      </c>
    </row>
    <row r="14" spans="1:32" ht="24.95">
      <c r="A14" s="20"/>
      <c r="B14" s="11" t="s">
        <v>505</v>
      </c>
      <c r="C14" s="12">
        <v>713</v>
      </c>
      <c r="D14" s="12">
        <v>52</v>
      </c>
      <c r="E14" s="12">
        <v>8</v>
      </c>
      <c r="F14" s="12">
        <v>14</v>
      </c>
      <c r="G14" s="12">
        <v>29</v>
      </c>
      <c r="H14" s="12">
        <v>31</v>
      </c>
      <c r="I14" s="12">
        <v>37</v>
      </c>
      <c r="J14" s="12">
        <v>7</v>
      </c>
      <c r="K14" s="12">
        <v>41</v>
      </c>
      <c r="L14" s="12">
        <v>18</v>
      </c>
      <c r="M14" s="12">
        <v>6</v>
      </c>
      <c r="N14" s="12">
        <v>24</v>
      </c>
      <c r="O14" s="12">
        <v>27</v>
      </c>
      <c r="P14" s="12">
        <v>32</v>
      </c>
      <c r="Q14" s="12">
        <v>30</v>
      </c>
      <c r="R14" s="12">
        <v>7</v>
      </c>
      <c r="S14" s="12">
        <v>42</v>
      </c>
      <c r="T14" s="12">
        <v>27</v>
      </c>
      <c r="U14" s="12">
        <v>22</v>
      </c>
      <c r="V14" s="12">
        <v>30</v>
      </c>
      <c r="W14" s="12">
        <v>34</v>
      </c>
      <c r="X14" s="12">
        <v>64</v>
      </c>
      <c r="Y14" s="12">
        <v>52</v>
      </c>
      <c r="Z14" s="12">
        <v>15</v>
      </c>
      <c r="AA14" s="12">
        <v>9</v>
      </c>
      <c r="AB14" s="12">
        <v>5</v>
      </c>
      <c r="AC14" s="12">
        <v>47</v>
      </c>
      <c r="AD14" s="12">
        <v>7</v>
      </c>
      <c r="AE14" s="12">
        <v>40</v>
      </c>
      <c r="AF14" s="12">
        <v>88</v>
      </c>
    </row>
    <row r="15" spans="1:32">
      <c r="A15" s="20"/>
      <c r="B15" s="13" t="s">
        <v>506</v>
      </c>
      <c r="C15" s="14">
        <v>0.03</v>
      </c>
      <c r="D15" s="14">
        <v>0.05</v>
      </c>
      <c r="E15" s="14">
        <v>0.01</v>
      </c>
      <c r="F15" s="14">
        <v>0.01</v>
      </c>
      <c r="G15" s="14">
        <v>0.03</v>
      </c>
      <c r="H15" s="14">
        <v>0.03</v>
      </c>
      <c r="I15" s="14">
        <v>0.02</v>
      </c>
      <c r="J15" s="14">
        <v>0.02</v>
      </c>
      <c r="K15" s="14">
        <v>0.04</v>
      </c>
      <c r="L15" s="14">
        <v>0.02</v>
      </c>
      <c r="M15" s="14">
        <v>0.01</v>
      </c>
      <c r="N15" s="14">
        <v>0.02</v>
      </c>
      <c r="O15" s="14">
        <v>0.03</v>
      </c>
      <c r="P15" s="14">
        <v>0.03</v>
      </c>
      <c r="Q15" s="14">
        <v>0.03</v>
      </c>
      <c r="R15" s="14">
        <v>0.01</v>
      </c>
      <c r="S15" s="14">
        <v>0.04</v>
      </c>
      <c r="T15" s="14">
        <v>0.03</v>
      </c>
      <c r="U15" s="14">
        <v>0.04</v>
      </c>
      <c r="V15" s="14">
        <v>0.03</v>
      </c>
      <c r="W15" s="14">
        <v>7.0000000000000007E-2</v>
      </c>
      <c r="X15" s="14">
        <v>0.06</v>
      </c>
      <c r="Y15" s="14">
        <v>0.05</v>
      </c>
      <c r="Z15" s="14">
        <v>0.01</v>
      </c>
      <c r="AA15" s="14">
        <v>0.01</v>
      </c>
      <c r="AB15" s="15" t="s">
        <v>459</v>
      </c>
      <c r="AC15" s="14">
        <v>0.05</v>
      </c>
      <c r="AD15" s="14">
        <v>0.01</v>
      </c>
      <c r="AE15" s="14">
        <v>0.04</v>
      </c>
      <c r="AF15" s="14">
        <v>0.09</v>
      </c>
    </row>
    <row r="16" spans="1:32">
      <c r="A16" s="20"/>
      <c r="B16" s="11" t="s">
        <v>507</v>
      </c>
      <c r="C16" s="12">
        <v>3857</v>
      </c>
      <c r="D16" s="12">
        <v>178</v>
      </c>
      <c r="E16" s="12">
        <v>126</v>
      </c>
      <c r="F16" s="12">
        <v>155</v>
      </c>
      <c r="G16" s="12">
        <v>304</v>
      </c>
      <c r="H16" s="12">
        <v>190</v>
      </c>
      <c r="I16" s="12">
        <v>252</v>
      </c>
      <c r="J16" s="12">
        <v>62</v>
      </c>
      <c r="K16" s="12">
        <v>222</v>
      </c>
      <c r="L16" s="12">
        <v>146</v>
      </c>
      <c r="M16" s="12">
        <v>344</v>
      </c>
      <c r="N16" s="12">
        <v>90</v>
      </c>
      <c r="O16" s="12">
        <v>150</v>
      </c>
      <c r="P16" s="12">
        <v>196</v>
      </c>
      <c r="Q16" s="12">
        <v>132</v>
      </c>
      <c r="R16" s="12">
        <v>51</v>
      </c>
      <c r="S16" s="12">
        <v>121</v>
      </c>
      <c r="T16" s="12">
        <v>74</v>
      </c>
      <c r="U16" s="12">
        <v>130</v>
      </c>
      <c r="V16" s="12">
        <v>84</v>
      </c>
      <c r="W16" s="12">
        <v>42</v>
      </c>
      <c r="X16" s="12">
        <v>258</v>
      </c>
      <c r="Y16" s="12">
        <v>170</v>
      </c>
      <c r="Z16" s="12">
        <v>82</v>
      </c>
      <c r="AA16" s="12">
        <v>34</v>
      </c>
      <c r="AB16" s="12">
        <v>38</v>
      </c>
      <c r="AC16" s="12">
        <v>148</v>
      </c>
      <c r="AD16" s="12">
        <v>307</v>
      </c>
      <c r="AE16" s="12">
        <v>305</v>
      </c>
      <c r="AF16" s="12">
        <v>258</v>
      </c>
    </row>
    <row r="17" spans="1:32">
      <c r="A17" s="20"/>
      <c r="B17" s="13" t="s">
        <v>508</v>
      </c>
      <c r="C17" s="14">
        <v>0.15</v>
      </c>
      <c r="D17" s="14">
        <v>0.18</v>
      </c>
      <c r="E17" s="14">
        <v>0.12</v>
      </c>
      <c r="F17" s="14">
        <v>0.15</v>
      </c>
      <c r="G17" s="14">
        <v>0.3</v>
      </c>
      <c r="H17" s="14">
        <v>0.16</v>
      </c>
      <c r="I17" s="14">
        <v>0.17</v>
      </c>
      <c r="J17" s="14">
        <v>0.21</v>
      </c>
      <c r="K17" s="14">
        <v>0.22</v>
      </c>
      <c r="L17" s="14">
        <v>0.14000000000000001</v>
      </c>
      <c r="M17" s="14">
        <v>0.34</v>
      </c>
      <c r="N17" s="14">
        <v>0.09</v>
      </c>
      <c r="O17" s="14">
        <v>0.15</v>
      </c>
      <c r="P17" s="14">
        <v>0.19</v>
      </c>
      <c r="Q17" s="14">
        <v>0.13</v>
      </c>
      <c r="R17" s="14">
        <v>0.1</v>
      </c>
      <c r="S17" s="14">
        <v>0.12</v>
      </c>
      <c r="T17" s="14">
        <v>7.0000000000000007E-2</v>
      </c>
      <c r="U17" s="14">
        <v>0.26</v>
      </c>
      <c r="V17" s="14">
        <v>0.08</v>
      </c>
      <c r="W17" s="14">
        <v>0.08</v>
      </c>
      <c r="X17" s="14">
        <v>0.25</v>
      </c>
      <c r="Y17" s="14">
        <v>0.17</v>
      </c>
      <c r="Z17" s="14">
        <v>0.08</v>
      </c>
      <c r="AA17" s="14">
        <v>0.03</v>
      </c>
      <c r="AB17" s="14">
        <v>0.04</v>
      </c>
      <c r="AC17" s="14">
        <v>0.15</v>
      </c>
      <c r="AD17" s="14">
        <v>0.31</v>
      </c>
      <c r="AE17" s="14">
        <v>0.31</v>
      </c>
      <c r="AF17" s="14">
        <v>0.25</v>
      </c>
    </row>
    <row r="18" spans="1:32" ht="24.95">
      <c r="A18" s="20"/>
      <c r="B18" s="11" t="s">
        <v>509</v>
      </c>
      <c r="C18" s="12">
        <v>1187</v>
      </c>
      <c r="D18" s="12">
        <v>68</v>
      </c>
      <c r="E18" s="12">
        <v>15</v>
      </c>
      <c r="F18" s="12">
        <v>28</v>
      </c>
      <c r="G18" s="12">
        <v>112</v>
      </c>
      <c r="H18" s="12">
        <v>31</v>
      </c>
      <c r="I18" s="12">
        <v>41</v>
      </c>
      <c r="J18" s="12">
        <v>10</v>
      </c>
      <c r="K18" s="12">
        <v>114</v>
      </c>
      <c r="L18" s="12">
        <v>56</v>
      </c>
      <c r="M18" s="12">
        <v>16</v>
      </c>
      <c r="N18" s="12">
        <v>36</v>
      </c>
      <c r="O18" s="12">
        <v>64</v>
      </c>
      <c r="P18" s="12">
        <v>23</v>
      </c>
      <c r="Q18" s="12">
        <v>50</v>
      </c>
      <c r="R18" s="12">
        <v>8</v>
      </c>
      <c r="S18" s="12">
        <v>44</v>
      </c>
      <c r="T18" s="12">
        <v>26</v>
      </c>
      <c r="U18" s="12">
        <v>33</v>
      </c>
      <c r="V18" s="12">
        <v>16</v>
      </c>
      <c r="W18" s="12">
        <v>44</v>
      </c>
      <c r="X18" s="12">
        <v>152</v>
      </c>
      <c r="Y18" s="12">
        <v>68</v>
      </c>
      <c r="Z18" s="12">
        <v>14</v>
      </c>
      <c r="AA18" s="12">
        <v>12</v>
      </c>
      <c r="AB18" s="12">
        <v>13</v>
      </c>
      <c r="AC18" s="12">
        <v>41</v>
      </c>
      <c r="AD18" s="12">
        <v>32</v>
      </c>
      <c r="AE18" s="12">
        <v>128</v>
      </c>
      <c r="AF18" s="12">
        <v>95</v>
      </c>
    </row>
    <row r="19" spans="1:32" ht="24.95">
      <c r="A19" s="20"/>
      <c r="B19" s="13" t="s">
        <v>510</v>
      </c>
      <c r="C19" s="14">
        <v>0.05</v>
      </c>
      <c r="D19" s="14">
        <v>7.0000000000000007E-2</v>
      </c>
      <c r="E19" s="14">
        <v>0.01</v>
      </c>
      <c r="F19" s="14">
        <v>0.03</v>
      </c>
      <c r="G19" s="14">
        <v>0.11</v>
      </c>
      <c r="H19" s="14">
        <v>0.03</v>
      </c>
      <c r="I19" s="14">
        <v>0.03</v>
      </c>
      <c r="J19" s="14">
        <v>0.03</v>
      </c>
      <c r="K19" s="14">
        <v>0.11</v>
      </c>
      <c r="L19" s="14">
        <v>0.06</v>
      </c>
      <c r="M19" s="14">
        <v>0.02</v>
      </c>
      <c r="N19" s="14">
        <v>0.04</v>
      </c>
      <c r="O19" s="14">
        <v>0.06</v>
      </c>
      <c r="P19" s="14">
        <v>0.02</v>
      </c>
      <c r="Q19" s="14">
        <v>0.05</v>
      </c>
      <c r="R19" s="14">
        <v>0.02</v>
      </c>
      <c r="S19" s="14">
        <v>0.04</v>
      </c>
      <c r="T19" s="14">
        <v>0.03</v>
      </c>
      <c r="U19" s="14">
        <v>0.06</v>
      </c>
      <c r="V19" s="14">
        <v>0.02</v>
      </c>
      <c r="W19" s="14">
        <v>0.09</v>
      </c>
      <c r="X19" s="14">
        <v>0.15</v>
      </c>
      <c r="Y19" s="14">
        <v>7.0000000000000007E-2</v>
      </c>
      <c r="Z19" s="14">
        <v>0.01</v>
      </c>
      <c r="AA19" s="14">
        <v>0.01</v>
      </c>
      <c r="AB19" s="14">
        <v>0.01</v>
      </c>
      <c r="AC19" s="14">
        <v>0.04</v>
      </c>
      <c r="AD19" s="14">
        <v>0.03</v>
      </c>
      <c r="AE19" s="14">
        <v>0.13</v>
      </c>
      <c r="AF19" s="14">
        <v>0.09</v>
      </c>
    </row>
    <row r="20" spans="1:32">
      <c r="A20" s="20"/>
      <c r="B20" s="11" t="s">
        <v>511</v>
      </c>
      <c r="C20" s="12">
        <v>4348</v>
      </c>
      <c r="D20" s="12">
        <v>248</v>
      </c>
      <c r="E20" s="12">
        <v>168</v>
      </c>
      <c r="F20" s="12">
        <v>174</v>
      </c>
      <c r="G20" s="12">
        <v>236</v>
      </c>
      <c r="H20" s="12">
        <v>191</v>
      </c>
      <c r="I20" s="12">
        <v>261</v>
      </c>
      <c r="J20" s="12">
        <v>70</v>
      </c>
      <c r="K20" s="12">
        <v>200</v>
      </c>
      <c r="L20" s="12">
        <v>150</v>
      </c>
      <c r="M20" s="12">
        <v>371</v>
      </c>
      <c r="N20" s="12">
        <v>163</v>
      </c>
      <c r="O20" s="12">
        <v>182</v>
      </c>
      <c r="P20" s="12">
        <v>154</v>
      </c>
      <c r="Q20" s="12">
        <v>123</v>
      </c>
      <c r="R20" s="12">
        <v>86</v>
      </c>
      <c r="S20" s="12">
        <v>89</v>
      </c>
      <c r="T20" s="12">
        <v>52</v>
      </c>
      <c r="U20" s="12">
        <v>142</v>
      </c>
      <c r="V20" s="12">
        <v>107</v>
      </c>
      <c r="W20" s="12">
        <v>50</v>
      </c>
      <c r="X20" s="12">
        <v>262</v>
      </c>
      <c r="Y20" s="12">
        <v>199</v>
      </c>
      <c r="Z20" s="12">
        <v>94</v>
      </c>
      <c r="AA20" s="12">
        <v>109</v>
      </c>
      <c r="AB20" s="12">
        <v>80</v>
      </c>
      <c r="AC20" s="12">
        <v>181</v>
      </c>
      <c r="AD20" s="12">
        <v>265</v>
      </c>
      <c r="AE20" s="12">
        <v>269</v>
      </c>
      <c r="AF20" s="12">
        <v>215</v>
      </c>
    </row>
    <row r="21" spans="1:32">
      <c r="A21" s="20"/>
      <c r="B21" s="13" t="s">
        <v>512</v>
      </c>
      <c r="C21" s="14">
        <v>0.17</v>
      </c>
      <c r="D21" s="14">
        <v>0.25</v>
      </c>
      <c r="E21" s="14">
        <v>0.17</v>
      </c>
      <c r="F21" s="14">
        <v>0.17</v>
      </c>
      <c r="G21" s="14">
        <v>0.24</v>
      </c>
      <c r="H21" s="14">
        <v>0.16</v>
      </c>
      <c r="I21" s="14">
        <v>0.17</v>
      </c>
      <c r="J21" s="14">
        <v>0.24</v>
      </c>
      <c r="K21" s="14">
        <v>0.2</v>
      </c>
      <c r="L21" s="14">
        <v>0.15</v>
      </c>
      <c r="M21" s="14">
        <v>0.37</v>
      </c>
      <c r="N21" s="14">
        <v>0.16</v>
      </c>
      <c r="O21" s="14">
        <v>0.18</v>
      </c>
      <c r="P21" s="14">
        <v>0.15</v>
      </c>
      <c r="Q21" s="14">
        <v>0.12</v>
      </c>
      <c r="R21" s="14">
        <v>0.17</v>
      </c>
      <c r="S21" s="14">
        <v>0.09</v>
      </c>
      <c r="T21" s="14">
        <v>0.05</v>
      </c>
      <c r="U21" s="14">
        <v>0.28000000000000003</v>
      </c>
      <c r="V21" s="14">
        <v>0.11</v>
      </c>
      <c r="W21" s="14">
        <v>0.1</v>
      </c>
      <c r="X21" s="14">
        <v>0.26</v>
      </c>
      <c r="Y21" s="14">
        <v>0.2</v>
      </c>
      <c r="Z21" s="14">
        <v>0.09</v>
      </c>
      <c r="AA21" s="14">
        <v>0.1</v>
      </c>
      <c r="AB21" s="14">
        <v>0.08</v>
      </c>
      <c r="AC21" s="14">
        <v>0.18</v>
      </c>
      <c r="AD21" s="14">
        <v>0.26</v>
      </c>
      <c r="AE21" s="14">
        <v>0.27</v>
      </c>
      <c r="AF21" s="14">
        <v>0.21</v>
      </c>
    </row>
    <row r="22" spans="1:32">
      <c r="A22" s="20"/>
      <c r="B22" s="11" t="s">
        <v>513</v>
      </c>
      <c r="C22" s="12">
        <v>2743</v>
      </c>
      <c r="D22" s="12">
        <v>112</v>
      </c>
      <c r="E22" s="12">
        <v>23</v>
      </c>
      <c r="F22" s="12">
        <v>154</v>
      </c>
      <c r="G22" s="12">
        <v>233</v>
      </c>
      <c r="H22" s="12">
        <v>149</v>
      </c>
      <c r="I22" s="12">
        <v>220</v>
      </c>
      <c r="J22" s="12">
        <v>71</v>
      </c>
      <c r="K22" s="12">
        <v>177</v>
      </c>
      <c r="L22" s="12">
        <v>45</v>
      </c>
      <c r="M22" s="12">
        <v>101</v>
      </c>
      <c r="N22" s="12">
        <v>15</v>
      </c>
      <c r="O22" s="12">
        <v>127</v>
      </c>
      <c r="P22" s="12">
        <v>90</v>
      </c>
      <c r="Q22" s="12">
        <v>63</v>
      </c>
      <c r="R22" s="12">
        <v>39</v>
      </c>
      <c r="S22" s="12">
        <v>148</v>
      </c>
      <c r="T22" s="12">
        <v>45</v>
      </c>
      <c r="U22" s="12">
        <v>102</v>
      </c>
      <c r="V22" s="12">
        <v>93</v>
      </c>
      <c r="W22" s="12">
        <v>48</v>
      </c>
      <c r="X22" s="12">
        <v>248</v>
      </c>
      <c r="Y22" s="12">
        <v>219</v>
      </c>
      <c r="Z22" s="12">
        <v>46</v>
      </c>
      <c r="AA22" s="12">
        <v>57</v>
      </c>
      <c r="AB22" s="12">
        <v>35</v>
      </c>
      <c r="AC22" s="12">
        <v>142</v>
      </c>
      <c r="AD22" s="12">
        <v>205</v>
      </c>
      <c r="AE22" s="12">
        <v>153</v>
      </c>
      <c r="AF22" s="12">
        <v>238</v>
      </c>
    </row>
    <row r="23" spans="1:32" ht="24.95">
      <c r="A23" s="20"/>
      <c r="B23" s="13" t="s">
        <v>514</v>
      </c>
      <c r="C23" s="14">
        <v>0.1</v>
      </c>
      <c r="D23" s="14">
        <v>0.11</v>
      </c>
      <c r="E23" s="14">
        <v>0.02</v>
      </c>
      <c r="F23" s="14">
        <v>0.15</v>
      </c>
      <c r="G23" s="14">
        <v>0.23</v>
      </c>
      <c r="H23" s="14">
        <v>0.12</v>
      </c>
      <c r="I23" s="14">
        <v>0.15</v>
      </c>
      <c r="J23" s="14">
        <v>0.24</v>
      </c>
      <c r="K23" s="14">
        <v>0.18</v>
      </c>
      <c r="L23" s="14">
        <v>0.04</v>
      </c>
      <c r="M23" s="14">
        <v>0.1</v>
      </c>
      <c r="N23" s="14">
        <v>0.01</v>
      </c>
      <c r="O23" s="14">
        <v>0.13</v>
      </c>
      <c r="P23" s="14">
        <v>0.09</v>
      </c>
      <c r="Q23" s="14">
        <v>0.06</v>
      </c>
      <c r="R23" s="14">
        <v>0.08</v>
      </c>
      <c r="S23" s="14">
        <v>0.15</v>
      </c>
      <c r="T23" s="14">
        <v>0.04</v>
      </c>
      <c r="U23" s="14">
        <v>0.2</v>
      </c>
      <c r="V23" s="14">
        <v>0.09</v>
      </c>
      <c r="W23" s="14">
        <v>0.1</v>
      </c>
      <c r="X23" s="14">
        <v>0.24</v>
      </c>
      <c r="Y23" s="14">
        <v>0.22</v>
      </c>
      <c r="Z23" s="14">
        <v>0.05</v>
      </c>
      <c r="AA23" s="14">
        <v>0.05</v>
      </c>
      <c r="AB23" s="14">
        <v>0.03</v>
      </c>
      <c r="AC23" s="14">
        <v>0.14000000000000001</v>
      </c>
      <c r="AD23" s="14">
        <v>0.2</v>
      </c>
      <c r="AE23" s="14">
        <v>0.15</v>
      </c>
      <c r="AF23" s="14">
        <v>0.23</v>
      </c>
    </row>
    <row r="24" spans="1:32" ht="48.95">
      <c r="A24" s="20"/>
      <c r="B24" s="11" t="s">
        <v>515</v>
      </c>
      <c r="C24" s="12">
        <v>3491</v>
      </c>
      <c r="D24" s="12">
        <v>228</v>
      </c>
      <c r="E24" s="12">
        <v>49</v>
      </c>
      <c r="F24" s="12">
        <v>62</v>
      </c>
      <c r="G24" s="12">
        <v>200</v>
      </c>
      <c r="H24" s="12">
        <v>123</v>
      </c>
      <c r="I24" s="12">
        <v>177</v>
      </c>
      <c r="J24" s="12">
        <v>54</v>
      </c>
      <c r="K24" s="12">
        <v>242</v>
      </c>
      <c r="L24" s="12">
        <v>102</v>
      </c>
      <c r="M24" s="12">
        <v>44</v>
      </c>
      <c r="N24" s="12">
        <v>117</v>
      </c>
      <c r="O24" s="12">
        <v>207</v>
      </c>
      <c r="P24" s="12">
        <v>60</v>
      </c>
      <c r="Q24" s="12">
        <v>117</v>
      </c>
      <c r="R24" s="12">
        <v>58</v>
      </c>
      <c r="S24" s="12">
        <v>154</v>
      </c>
      <c r="T24" s="12">
        <v>116</v>
      </c>
      <c r="U24" s="12">
        <v>99</v>
      </c>
      <c r="V24" s="12">
        <v>74</v>
      </c>
      <c r="W24" s="12">
        <v>45</v>
      </c>
      <c r="X24" s="12">
        <v>365</v>
      </c>
      <c r="Y24" s="12">
        <v>151</v>
      </c>
      <c r="Z24" s="12">
        <v>43</v>
      </c>
      <c r="AA24" s="12">
        <v>44</v>
      </c>
      <c r="AB24" s="12">
        <v>18</v>
      </c>
      <c r="AC24" s="12">
        <v>137</v>
      </c>
      <c r="AD24" s="12">
        <v>105</v>
      </c>
      <c r="AE24" s="12">
        <v>316</v>
      </c>
      <c r="AF24" s="12">
        <v>267</v>
      </c>
    </row>
    <row r="25" spans="1:32" ht="36.950000000000003">
      <c r="A25" s="20"/>
      <c r="B25" s="13" t="s">
        <v>516</v>
      </c>
      <c r="C25" s="14">
        <v>0.13</v>
      </c>
      <c r="D25" s="14">
        <v>0.23</v>
      </c>
      <c r="E25" s="14">
        <v>0.05</v>
      </c>
      <c r="F25" s="14">
        <v>0.06</v>
      </c>
      <c r="G25" s="14">
        <v>0.2</v>
      </c>
      <c r="H25" s="14">
        <v>0.1</v>
      </c>
      <c r="I25" s="14">
        <v>0.12</v>
      </c>
      <c r="J25" s="14">
        <v>0.18</v>
      </c>
      <c r="K25" s="14">
        <v>0.24</v>
      </c>
      <c r="L25" s="14">
        <v>0.1</v>
      </c>
      <c r="M25" s="14">
        <v>0.04</v>
      </c>
      <c r="N25" s="14">
        <v>0.12</v>
      </c>
      <c r="O25" s="14">
        <v>0.21</v>
      </c>
      <c r="P25" s="14">
        <v>0.06</v>
      </c>
      <c r="Q25" s="14">
        <v>0.11</v>
      </c>
      <c r="R25" s="14">
        <v>0.12</v>
      </c>
      <c r="S25" s="14">
        <v>0.15</v>
      </c>
      <c r="T25" s="14">
        <v>0.11</v>
      </c>
      <c r="U25" s="14">
        <v>0.19</v>
      </c>
      <c r="V25" s="14">
        <v>7.0000000000000007E-2</v>
      </c>
      <c r="W25" s="14">
        <v>0.09</v>
      </c>
      <c r="X25" s="14">
        <v>0.36</v>
      </c>
      <c r="Y25" s="14">
        <v>0.15</v>
      </c>
      <c r="Z25" s="14">
        <v>0.04</v>
      </c>
      <c r="AA25" s="14">
        <v>0.04</v>
      </c>
      <c r="AB25" s="14">
        <v>0.02</v>
      </c>
      <c r="AC25" s="14">
        <v>0.14000000000000001</v>
      </c>
      <c r="AD25" s="14">
        <v>0.1</v>
      </c>
      <c r="AE25" s="14">
        <v>0.32</v>
      </c>
      <c r="AF25" s="14">
        <v>0.26</v>
      </c>
    </row>
    <row r="26" spans="1:32" ht="36.950000000000003">
      <c r="A26" s="20"/>
      <c r="B26" s="11" t="s">
        <v>517</v>
      </c>
      <c r="C26" s="12">
        <v>2183</v>
      </c>
      <c r="D26" s="12">
        <v>112</v>
      </c>
      <c r="E26" s="12">
        <v>45</v>
      </c>
      <c r="F26" s="12">
        <v>104</v>
      </c>
      <c r="G26" s="12">
        <v>179</v>
      </c>
      <c r="H26" s="12">
        <v>114</v>
      </c>
      <c r="I26" s="12">
        <v>149</v>
      </c>
      <c r="J26" s="12">
        <v>35</v>
      </c>
      <c r="K26" s="12">
        <v>138</v>
      </c>
      <c r="L26" s="12">
        <v>42</v>
      </c>
      <c r="M26" s="12">
        <v>13</v>
      </c>
      <c r="N26" s="12">
        <v>47</v>
      </c>
      <c r="O26" s="12">
        <v>83</v>
      </c>
      <c r="P26" s="12">
        <v>53</v>
      </c>
      <c r="Q26" s="12">
        <v>55</v>
      </c>
      <c r="R26" s="12">
        <v>6</v>
      </c>
      <c r="S26" s="12">
        <v>69</v>
      </c>
      <c r="T26" s="12">
        <v>40</v>
      </c>
      <c r="U26" s="12">
        <v>68</v>
      </c>
      <c r="V26" s="12">
        <v>52</v>
      </c>
      <c r="W26" s="12">
        <v>33</v>
      </c>
      <c r="X26" s="12">
        <v>286</v>
      </c>
      <c r="Y26" s="12">
        <v>128</v>
      </c>
      <c r="Z26" s="12">
        <v>47</v>
      </c>
      <c r="AA26" s="12">
        <v>22</v>
      </c>
      <c r="AB26" s="12">
        <v>23</v>
      </c>
      <c r="AC26" s="12">
        <v>65</v>
      </c>
      <c r="AD26" s="12">
        <v>68</v>
      </c>
      <c r="AE26" s="12">
        <v>215</v>
      </c>
      <c r="AF26" s="12">
        <v>226</v>
      </c>
    </row>
    <row r="27" spans="1:32" ht="36.950000000000003">
      <c r="A27" s="20"/>
      <c r="B27" s="13" t="s">
        <v>518</v>
      </c>
      <c r="C27" s="14">
        <v>0.08</v>
      </c>
      <c r="D27" s="14">
        <v>0.11</v>
      </c>
      <c r="E27" s="14">
        <v>0.04</v>
      </c>
      <c r="F27" s="14">
        <v>0.1</v>
      </c>
      <c r="G27" s="14">
        <v>0.18</v>
      </c>
      <c r="H27" s="14">
        <v>0.09</v>
      </c>
      <c r="I27" s="14">
        <v>0.1</v>
      </c>
      <c r="J27" s="14">
        <v>0.12</v>
      </c>
      <c r="K27" s="14">
        <v>0.14000000000000001</v>
      </c>
      <c r="L27" s="14">
        <v>0.04</v>
      </c>
      <c r="M27" s="14">
        <v>0.01</v>
      </c>
      <c r="N27" s="14">
        <v>0.05</v>
      </c>
      <c r="O27" s="14">
        <v>0.08</v>
      </c>
      <c r="P27" s="14">
        <v>0.05</v>
      </c>
      <c r="Q27" s="14">
        <v>0.05</v>
      </c>
      <c r="R27" s="14">
        <v>0.01</v>
      </c>
      <c r="S27" s="14">
        <v>7.0000000000000007E-2</v>
      </c>
      <c r="T27" s="14">
        <v>0.04</v>
      </c>
      <c r="U27" s="14">
        <v>0.13</v>
      </c>
      <c r="V27" s="14">
        <v>0.05</v>
      </c>
      <c r="W27" s="14">
        <v>7.0000000000000007E-2</v>
      </c>
      <c r="X27" s="14">
        <v>0.28000000000000003</v>
      </c>
      <c r="Y27" s="14">
        <v>0.13</v>
      </c>
      <c r="Z27" s="14">
        <v>0.05</v>
      </c>
      <c r="AA27" s="14">
        <v>0.02</v>
      </c>
      <c r="AB27" s="14">
        <v>0.02</v>
      </c>
      <c r="AC27" s="14">
        <v>0.06</v>
      </c>
      <c r="AD27" s="14">
        <v>7.0000000000000007E-2</v>
      </c>
      <c r="AE27" s="14">
        <v>0.21</v>
      </c>
      <c r="AF27" s="14">
        <v>0.22</v>
      </c>
    </row>
    <row r="28" spans="1:32">
      <c r="A28" s="20"/>
      <c r="B28" s="11" t="s">
        <v>519</v>
      </c>
      <c r="C28" s="12">
        <v>296</v>
      </c>
      <c r="D28" s="12">
        <v>12</v>
      </c>
      <c r="E28" s="12">
        <v>5</v>
      </c>
      <c r="F28" s="12">
        <v>7</v>
      </c>
      <c r="G28" s="12">
        <v>20</v>
      </c>
      <c r="H28" s="12">
        <v>28</v>
      </c>
      <c r="I28" s="12">
        <v>31</v>
      </c>
      <c r="J28" s="12">
        <v>3</v>
      </c>
      <c r="K28" s="12">
        <v>13</v>
      </c>
      <c r="L28" s="12">
        <v>7</v>
      </c>
      <c r="M28" s="12">
        <v>1</v>
      </c>
      <c r="N28" s="12">
        <v>13</v>
      </c>
      <c r="O28" s="12">
        <v>9</v>
      </c>
      <c r="P28" s="12">
        <v>18</v>
      </c>
      <c r="Q28" s="12">
        <v>12</v>
      </c>
      <c r="R28" s="12">
        <v>5</v>
      </c>
      <c r="S28" s="12">
        <v>12</v>
      </c>
      <c r="T28" s="12">
        <v>10</v>
      </c>
      <c r="U28" s="12">
        <v>17</v>
      </c>
      <c r="V28" s="12">
        <v>1</v>
      </c>
      <c r="W28" s="12">
        <v>0</v>
      </c>
      <c r="X28" s="12">
        <v>10</v>
      </c>
      <c r="Y28" s="12">
        <v>7</v>
      </c>
      <c r="Z28" s="12">
        <v>1</v>
      </c>
      <c r="AA28" s="12">
        <v>9</v>
      </c>
      <c r="AB28" s="12">
        <v>16</v>
      </c>
      <c r="AC28" s="12">
        <v>13</v>
      </c>
      <c r="AD28" s="12">
        <v>9</v>
      </c>
      <c r="AE28" s="12">
        <v>5</v>
      </c>
      <c r="AF28" s="12">
        <v>4</v>
      </c>
    </row>
    <row r="29" spans="1:32">
      <c r="A29" s="20"/>
      <c r="B29" s="13" t="s">
        <v>520</v>
      </c>
      <c r="C29" s="14">
        <v>0.01</v>
      </c>
      <c r="D29" s="14">
        <v>0.01</v>
      </c>
      <c r="E29" s="15" t="s">
        <v>459</v>
      </c>
      <c r="F29" s="14">
        <v>0.01</v>
      </c>
      <c r="G29" s="14">
        <v>0.02</v>
      </c>
      <c r="H29" s="14">
        <v>0.02</v>
      </c>
      <c r="I29" s="14">
        <v>0.02</v>
      </c>
      <c r="J29" s="14">
        <v>0.01</v>
      </c>
      <c r="K29" s="14">
        <v>0.01</v>
      </c>
      <c r="L29" s="14">
        <v>0.01</v>
      </c>
      <c r="M29" s="15" t="s">
        <v>459</v>
      </c>
      <c r="N29" s="14">
        <v>0.01</v>
      </c>
      <c r="O29" s="14">
        <v>0.01</v>
      </c>
      <c r="P29" s="14">
        <v>0.02</v>
      </c>
      <c r="Q29" s="14">
        <v>0.01</v>
      </c>
      <c r="R29" s="14">
        <v>0.01</v>
      </c>
      <c r="S29" s="14">
        <v>0.01</v>
      </c>
      <c r="T29" s="14">
        <v>0.01</v>
      </c>
      <c r="U29" s="14">
        <v>0.03</v>
      </c>
      <c r="V29" s="15" t="s">
        <v>459</v>
      </c>
      <c r="W29" s="15" t="s">
        <v>459</v>
      </c>
      <c r="X29" s="14">
        <v>0.01</v>
      </c>
      <c r="Y29" s="14">
        <v>0.01</v>
      </c>
      <c r="Z29" s="15" t="s">
        <v>459</v>
      </c>
      <c r="AA29" s="14">
        <v>0.01</v>
      </c>
      <c r="AB29" s="14">
        <v>0.02</v>
      </c>
      <c r="AC29" s="14">
        <v>0.01</v>
      </c>
      <c r="AD29" s="14">
        <v>0.01</v>
      </c>
      <c r="AE29" s="14">
        <v>0.01</v>
      </c>
      <c r="AF29" s="15" t="s">
        <v>459</v>
      </c>
    </row>
    <row r="30" spans="1:32">
      <c r="A30" s="20"/>
      <c r="B30" s="11" t="s">
        <v>521</v>
      </c>
      <c r="C30" s="12">
        <v>13214</v>
      </c>
      <c r="D30" s="12">
        <v>363</v>
      </c>
      <c r="E30" s="12">
        <v>655</v>
      </c>
      <c r="F30" s="12">
        <v>447</v>
      </c>
      <c r="G30" s="12">
        <v>340</v>
      </c>
      <c r="H30" s="12">
        <v>579</v>
      </c>
      <c r="I30" s="12">
        <v>688</v>
      </c>
      <c r="J30" s="12">
        <v>109</v>
      </c>
      <c r="K30" s="12">
        <v>334</v>
      </c>
      <c r="L30" s="12">
        <v>518</v>
      </c>
      <c r="M30" s="12">
        <v>474</v>
      </c>
      <c r="N30" s="12">
        <v>593</v>
      </c>
      <c r="O30" s="12">
        <v>429</v>
      </c>
      <c r="P30" s="12">
        <v>535</v>
      </c>
      <c r="Q30" s="12">
        <v>541</v>
      </c>
      <c r="R30" s="12">
        <v>312</v>
      </c>
      <c r="S30" s="12">
        <v>531</v>
      </c>
      <c r="T30" s="12">
        <v>684</v>
      </c>
      <c r="U30" s="12">
        <v>161</v>
      </c>
      <c r="V30" s="12">
        <v>628</v>
      </c>
      <c r="W30" s="12">
        <v>251</v>
      </c>
      <c r="X30" s="12">
        <v>240</v>
      </c>
      <c r="Y30" s="12">
        <v>425</v>
      </c>
      <c r="Z30" s="12">
        <v>646</v>
      </c>
      <c r="AA30" s="12">
        <v>769</v>
      </c>
      <c r="AB30" s="12">
        <v>838</v>
      </c>
      <c r="AC30" s="12">
        <v>526</v>
      </c>
      <c r="AD30" s="12">
        <v>310</v>
      </c>
      <c r="AE30" s="12">
        <v>307</v>
      </c>
      <c r="AF30" s="12">
        <v>327</v>
      </c>
    </row>
    <row r="31" spans="1:32">
      <c r="A31" s="20"/>
      <c r="B31" s="13" t="s">
        <v>522</v>
      </c>
      <c r="C31" s="14">
        <v>0.5</v>
      </c>
      <c r="D31" s="14">
        <v>0.36</v>
      </c>
      <c r="E31" s="14">
        <v>0.64</v>
      </c>
      <c r="F31" s="14">
        <v>0.44</v>
      </c>
      <c r="G31" s="14">
        <v>0.34</v>
      </c>
      <c r="H31" s="14">
        <v>0.48</v>
      </c>
      <c r="I31" s="14">
        <v>0.46</v>
      </c>
      <c r="J31" s="14">
        <v>0.37</v>
      </c>
      <c r="K31" s="14">
        <v>0.33</v>
      </c>
      <c r="L31" s="14">
        <v>0.51</v>
      </c>
      <c r="M31" s="14">
        <v>0.47</v>
      </c>
      <c r="N31" s="14">
        <v>0.59</v>
      </c>
      <c r="O31" s="14">
        <v>0.43</v>
      </c>
      <c r="P31" s="14">
        <v>0.52</v>
      </c>
      <c r="Q31" s="14">
        <v>0.53</v>
      </c>
      <c r="R31" s="14">
        <v>0.62</v>
      </c>
      <c r="S31" s="14">
        <v>0.53</v>
      </c>
      <c r="T31" s="14">
        <v>0.67</v>
      </c>
      <c r="U31" s="14">
        <v>0.32</v>
      </c>
      <c r="V31" s="14">
        <v>0.62</v>
      </c>
      <c r="W31" s="14">
        <v>0.5</v>
      </c>
      <c r="X31" s="14">
        <v>0.24</v>
      </c>
      <c r="Y31" s="14">
        <v>0.42</v>
      </c>
      <c r="Z31" s="14">
        <v>0.64</v>
      </c>
      <c r="AA31" s="14">
        <v>0.73</v>
      </c>
      <c r="AB31" s="14">
        <v>0.81</v>
      </c>
      <c r="AC31" s="14">
        <v>0.52</v>
      </c>
      <c r="AD31" s="14">
        <v>0.31</v>
      </c>
      <c r="AE31" s="14">
        <v>0.31</v>
      </c>
      <c r="AF31" s="14">
        <v>0.32</v>
      </c>
    </row>
    <row r="32" spans="1:32">
      <c r="A32" s="20"/>
      <c r="B32" s="11" t="s">
        <v>468</v>
      </c>
      <c r="C32" s="12">
        <v>360</v>
      </c>
      <c r="D32" s="12">
        <v>13</v>
      </c>
      <c r="E32" s="12">
        <v>8</v>
      </c>
      <c r="F32" s="12">
        <v>35</v>
      </c>
      <c r="G32" s="12">
        <v>4</v>
      </c>
      <c r="H32" s="12">
        <v>20</v>
      </c>
      <c r="I32" s="12">
        <v>22</v>
      </c>
      <c r="J32" s="12">
        <v>2</v>
      </c>
      <c r="K32" s="12">
        <v>12</v>
      </c>
      <c r="L32" s="12">
        <v>24</v>
      </c>
      <c r="M32" s="12">
        <v>0</v>
      </c>
      <c r="N32" s="12">
        <v>8</v>
      </c>
      <c r="O32" s="12">
        <v>16</v>
      </c>
      <c r="P32" s="12">
        <v>35</v>
      </c>
      <c r="Q32" s="12">
        <v>7</v>
      </c>
      <c r="R32" s="12">
        <v>9</v>
      </c>
      <c r="S32" s="12">
        <v>17</v>
      </c>
      <c r="T32" s="12">
        <v>5</v>
      </c>
      <c r="U32" s="12">
        <v>5</v>
      </c>
      <c r="V32" s="12">
        <v>9</v>
      </c>
      <c r="W32" s="12">
        <v>6</v>
      </c>
      <c r="X32" s="12">
        <v>3</v>
      </c>
      <c r="Y32" s="12">
        <v>2</v>
      </c>
      <c r="Z32" s="12">
        <v>39</v>
      </c>
      <c r="AA32" s="12">
        <v>15</v>
      </c>
      <c r="AB32" s="12">
        <v>12</v>
      </c>
      <c r="AC32" s="12">
        <v>6</v>
      </c>
      <c r="AD32" s="12">
        <v>14</v>
      </c>
      <c r="AE32" s="12">
        <v>7</v>
      </c>
      <c r="AF32" s="12">
        <v>4</v>
      </c>
    </row>
    <row r="33" spans="1:32">
      <c r="A33" s="20"/>
      <c r="B33" s="13" t="s">
        <v>469</v>
      </c>
      <c r="C33" s="14">
        <v>0.01</v>
      </c>
      <c r="D33" s="14">
        <v>0.01</v>
      </c>
      <c r="E33" s="14">
        <v>0.01</v>
      </c>
      <c r="F33" s="14">
        <v>0.03</v>
      </c>
      <c r="G33" s="15" t="s">
        <v>459</v>
      </c>
      <c r="H33" s="14">
        <v>0.02</v>
      </c>
      <c r="I33" s="14">
        <v>0.01</v>
      </c>
      <c r="J33" s="14">
        <v>0.01</v>
      </c>
      <c r="K33" s="14">
        <v>0.01</v>
      </c>
      <c r="L33" s="14">
        <v>0.02</v>
      </c>
      <c r="M33" s="15" t="s">
        <v>459</v>
      </c>
      <c r="N33" s="14">
        <v>0.01</v>
      </c>
      <c r="O33" s="14">
        <v>0.02</v>
      </c>
      <c r="P33" s="14">
        <v>0.03</v>
      </c>
      <c r="Q33" s="14">
        <v>0.01</v>
      </c>
      <c r="R33" s="14">
        <v>0.02</v>
      </c>
      <c r="S33" s="14">
        <v>0.02</v>
      </c>
      <c r="T33" s="15" t="s">
        <v>459</v>
      </c>
      <c r="U33" s="14">
        <v>0.01</v>
      </c>
      <c r="V33" s="14">
        <v>0.01</v>
      </c>
      <c r="W33" s="14">
        <v>0.01</v>
      </c>
      <c r="X33" s="15" t="s">
        <v>459</v>
      </c>
      <c r="Y33" s="15" t="s">
        <v>459</v>
      </c>
      <c r="Z33" s="14">
        <v>0.04</v>
      </c>
      <c r="AA33" s="14">
        <v>0.01</v>
      </c>
      <c r="AB33" s="14">
        <v>0.01</v>
      </c>
      <c r="AC33" s="14">
        <v>0.01</v>
      </c>
      <c r="AD33" s="14">
        <v>0.01</v>
      </c>
      <c r="AE33" s="14">
        <v>0.01</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21</v>
      </c>
      <c r="C3" s="18"/>
      <c r="D3" s="18"/>
      <c r="E3" s="18"/>
      <c r="F3" s="18"/>
      <c r="H3" s="18" t="s">
        <v>22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523</v>
      </c>
      <c r="C12" s="12">
        <v>4798</v>
      </c>
      <c r="D12" s="12">
        <v>195</v>
      </c>
      <c r="E12" s="12">
        <v>149</v>
      </c>
      <c r="F12" s="12">
        <v>275</v>
      </c>
      <c r="G12" s="12">
        <v>213</v>
      </c>
      <c r="H12" s="12">
        <v>232</v>
      </c>
      <c r="I12" s="12">
        <v>314</v>
      </c>
      <c r="J12" s="12">
        <v>82</v>
      </c>
      <c r="K12" s="12">
        <v>240</v>
      </c>
      <c r="L12" s="12">
        <v>139</v>
      </c>
      <c r="M12" s="12">
        <v>201</v>
      </c>
      <c r="N12" s="12">
        <v>210</v>
      </c>
      <c r="O12" s="12">
        <v>246</v>
      </c>
      <c r="P12" s="12">
        <v>127</v>
      </c>
      <c r="Q12" s="12">
        <v>126</v>
      </c>
      <c r="R12" s="12">
        <v>61</v>
      </c>
      <c r="S12" s="12">
        <v>198</v>
      </c>
      <c r="T12" s="12">
        <v>87</v>
      </c>
      <c r="U12" s="12">
        <v>48</v>
      </c>
      <c r="V12" s="12">
        <v>209</v>
      </c>
      <c r="W12" s="12">
        <v>94</v>
      </c>
      <c r="X12" s="12">
        <v>204</v>
      </c>
      <c r="Y12" s="12">
        <v>109</v>
      </c>
      <c r="Z12" s="12">
        <v>130</v>
      </c>
      <c r="AA12" s="12">
        <v>121</v>
      </c>
      <c r="AB12" s="12">
        <v>97</v>
      </c>
      <c r="AC12" s="12">
        <v>60</v>
      </c>
      <c r="AD12" s="12">
        <v>120</v>
      </c>
      <c r="AE12" s="12">
        <v>231</v>
      </c>
      <c r="AF12" s="12">
        <v>202</v>
      </c>
    </row>
    <row r="13" spans="1:32">
      <c r="A13" s="20"/>
      <c r="B13" s="13" t="s">
        <v>524</v>
      </c>
      <c r="C13" s="14">
        <v>0.18</v>
      </c>
      <c r="D13" s="14">
        <v>0.19</v>
      </c>
      <c r="E13" s="14">
        <v>0.15</v>
      </c>
      <c r="F13" s="14">
        <v>0.27</v>
      </c>
      <c r="G13" s="14">
        <v>0.21</v>
      </c>
      <c r="H13" s="14">
        <v>0.19</v>
      </c>
      <c r="I13" s="14">
        <v>0.21</v>
      </c>
      <c r="J13" s="14">
        <v>0.28000000000000003</v>
      </c>
      <c r="K13" s="14">
        <v>0.24</v>
      </c>
      <c r="L13" s="14">
        <v>0.14000000000000001</v>
      </c>
      <c r="M13" s="14">
        <v>0.2</v>
      </c>
      <c r="N13" s="14">
        <v>0.21</v>
      </c>
      <c r="O13" s="14">
        <v>0.24</v>
      </c>
      <c r="P13" s="14">
        <v>0.12</v>
      </c>
      <c r="Q13" s="14">
        <v>0.12</v>
      </c>
      <c r="R13" s="14">
        <v>0.12</v>
      </c>
      <c r="S13" s="14">
        <v>0.2</v>
      </c>
      <c r="T13" s="14">
        <v>0.09</v>
      </c>
      <c r="U13" s="14">
        <v>0.09</v>
      </c>
      <c r="V13" s="14">
        <v>0.21</v>
      </c>
      <c r="W13" s="14">
        <v>0.19</v>
      </c>
      <c r="X13" s="14">
        <v>0.2</v>
      </c>
      <c r="Y13" s="14">
        <v>0.11</v>
      </c>
      <c r="Z13" s="14">
        <v>0.13</v>
      </c>
      <c r="AA13" s="14">
        <v>0.12</v>
      </c>
      <c r="AB13" s="14">
        <v>0.09</v>
      </c>
      <c r="AC13" s="14">
        <v>0.06</v>
      </c>
      <c r="AD13" s="14">
        <v>0.12</v>
      </c>
      <c r="AE13" s="14">
        <v>0.23</v>
      </c>
      <c r="AF13" s="14">
        <v>0.2</v>
      </c>
    </row>
    <row r="14" spans="1:32" ht="24.95">
      <c r="A14" s="20"/>
      <c r="B14" s="11" t="s">
        <v>525</v>
      </c>
      <c r="C14" s="12">
        <v>3023</v>
      </c>
      <c r="D14" s="12">
        <v>108</v>
      </c>
      <c r="E14" s="12">
        <v>109</v>
      </c>
      <c r="F14" s="12">
        <v>123</v>
      </c>
      <c r="G14" s="12">
        <v>190</v>
      </c>
      <c r="H14" s="12">
        <v>185</v>
      </c>
      <c r="I14" s="12">
        <v>228</v>
      </c>
      <c r="J14" s="12">
        <v>43</v>
      </c>
      <c r="K14" s="12">
        <v>99</v>
      </c>
      <c r="L14" s="12">
        <v>119</v>
      </c>
      <c r="M14" s="12">
        <v>114</v>
      </c>
      <c r="N14" s="12">
        <v>65</v>
      </c>
      <c r="O14" s="12">
        <v>156</v>
      </c>
      <c r="P14" s="12">
        <v>131</v>
      </c>
      <c r="Q14" s="12">
        <v>127</v>
      </c>
      <c r="R14" s="12">
        <v>33</v>
      </c>
      <c r="S14" s="12">
        <v>104</v>
      </c>
      <c r="T14" s="12">
        <v>61</v>
      </c>
      <c r="U14" s="12">
        <v>50</v>
      </c>
      <c r="V14" s="12">
        <v>120</v>
      </c>
      <c r="W14" s="12">
        <v>26</v>
      </c>
      <c r="X14" s="12">
        <v>82</v>
      </c>
      <c r="Y14" s="12">
        <v>63</v>
      </c>
      <c r="Z14" s="12">
        <v>79</v>
      </c>
      <c r="AA14" s="12">
        <v>53</v>
      </c>
      <c r="AB14" s="12">
        <v>65</v>
      </c>
      <c r="AC14" s="12">
        <v>85</v>
      </c>
      <c r="AD14" s="12">
        <v>101</v>
      </c>
      <c r="AE14" s="12">
        <v>160</v>
      </c>
      <c r="AF14" s="12">
        <v>116</v>
      </c>
    </row>
    <row r="15" spans="1:32">
      <c r="A15" s="20"/>
      <c r="B15" s="13" t="s">
        <v>526</v>
      </c>
      <c r="C15" s="14">
        <v>0.11</v>
      </c>
      <c r="D15" s="14">
        <v>0.11</v>
      </c>
      <c r="E15" s="14">
        <v>0.11</v>
      </c>
      <c r="F15" s="14">
        <v>0.12</v>
      </c>
      <c r="G15" s="14">
        <v>0.19</v>
      </c>
      <c r="H15" s="14">
        <v>0.15</v>
      </c>
      <c r="I15" s="14">
        <v>0.15</v>
      </c>
      <c r="J15" s="14">
        <v>0.15</v>
      </c>
      <c r="K15" s="14">
        <v>0.1</v>
      </c>
      <c r="L15" s="14">
        <v>0.12</v>
      </c>
      <c r="M15" s="14">
        <v>0.11</v>
      </c>
      <c r="N15" s="14">
        <v>7.0000000000000007E-2</v>
      </c>
      <c r="O15" s="14">
        <v>0.16</v>
      </c>
      <c r="P15" s="14">
        <v>0.13</v>
      </c>
      <c r="Q15" s="14">
        <v>0.12</v>
      </c>
      <c r="R15" s="14">
        <v>7.0000000000000007E-2</v>
      </c>
      <c r="S15" s="14">
        <v>0.1</v>
      </c>
      <c r="T15" s="14">
        <v>0.06</v>
      </c>
      <c r="U15" s="14">
        <v>0.1</v>
      </c>
      <c r="V15" s="14">
        <v>0.12</v>
      </c>
      <c r="W15" s="14">
        <v>0.05</v>
      </c>
      <c r="X15" s="14">
        <v>0.08</v>
      </c>
      <c r="Y15" s="14">
        <v>0.06</v>
      </c>
      <c r="Z15" s="14">
        <v>0.08</v>
      </c>
      <c r="AA15" s="14">
        <v>0.05</v>
      </c>
      <c r="AB15" s="14">
        <v>0.06</v>
      </c>
      <c r="AC15" s="14">
        <v>0.08</v>
      </c>
      <c r="AD15" s="14">
        <v>0.1</v>
      </c>
      <c r="AE15" s="14">
        <v>0.16</v>
      </c>
      <c r="AF15" s="14">
        <v>0.11</v>
      </c>
    </row>
    <row r="16" spans="1:32">
      <c r="A16" s="20"/>
      <c r="B16" s="11" t="s">
        <v>527</v>
      </c>
      <c r="C16" s="12">
        <v>6718</v>
      </c>
      <c r="D16" s="12">
        <v>265</v>
      </c>
      <c r="E16" s="12">
        <v>228</v>
      </c>
      <c r="F16" s="12">
        <v>264</v>
      </c>
      <c r="G16" s="12">
        <v>222</v>
      </c>
      <c r="H16" s="12">
        <v>271</v>
      </c>
      <c r="I16" s="12">
        <v>324</v>
      </c>
      <c r="J16" s="12">
        <v>54</v>
      </c>
      <c r="K16" s="12">
        <v>250</v>
      </c>
      <c r="L16" s="12">
        <v>309</v>
      </c>
      <c r="M16" s="12">
        <v>310</v>
      </c>
      <c r="N16" s="12">
        <v>342</v>
      </c>
      <c r="O16" s="12">
        <v>246</v>
      </c>
      <c r="P16" s="12">
        <v>273</v>
      </c>
      <c r="Q16" s="12">
        <v>217</v>
      </c>
      <c r="R16" s="12">
        <v>213</v>
      </c>
      <c r="S16" s="12">
        <v>279</v>
      </c>
      <c r="T16" s="12">
        <v>294</v>
      </c>
      <c r="U16" s="12">
        <v>221</v>
      </c>
      <c r="V16" s="12">
        <v>255</v>
      </c>
      <c r="W16" s="12">
        <v>141</v>
      </c>
      <c r="X16" s="12">
        <v>366</v>
      </c>
      <c r="Y16" s="12">
        <v>243</v>
      </c>
      <c r="Z16" s="12">
        <v>251</v>
      </c>
      <c r="AA16" s="12">
        <v>246</v>
      </c>
      <c r="AB16" s="12">
        <v>208</v>
      </c>
      <c r="AC16" s="12">
        <v>387</v>
      </c>
      <c r="AD16" s="12">
        <v>316</v>
      </c>
      <c r="AE16" s="12">
        <v>260</v>
      </c>
      <c r="AF16" s="12">
        <v>315</v>
      </c>
    </row>
    <row r="17" spans="1:32">
      <c r="A17" s="20"/>
      <c r="B17" s="13" t="s">
        <v>528</v>
      </c>
      <c r="C17" s="14">
        <v>0.26</v>
      </c>
      <c r="D17" s="14">
        <v>0.26</v>
      </c>
      <c r="E17" s="14">
        <v>0.22</v>
      </c>
      <c r="F17" s="14">
        <v>0.26</v>
      </c>
      <c r="G17" s="14">
        <v>0.22</v>
      </c>
      <c r="H17" s="14">
        <v>0.22</v>
      </c>
      <c r="I17" s="14">
        <v>0.21</v>
      </c>
      <c r="J17" s="14">
        <v>0.18</v>
      </c>
      <c r="K17" s="14">
        <v>0.25</v>
      </c>
      <c r="L17" s="14">
        <v>0.31</v>
      </c>
      <c r="M17" s="14">
        <v>0.31</v>
      </c>
      <c r="N17" s="14">
        <v>0.34</v>
      </c>
      <c r="O17" s="14">
        <v>0.25</v>
      </c>
      <c r="P17" s="14">
        <v>0.27</v>
      </c>
      <c r="Q17" s="14">
        <v>0.21</v>
      </c>
      <c r="R17" s="14">
        <v>0.43</v>
      </c>
      <c r="S17" s="14">
        <v>0.28000000000000003</v>
      </c>
      <c r="T17" s="14">
        <v>0.28999999999999998</v>
      </c>
      <c r="U17" s="14">
        <v>0.44</v>
      </c>
      <c r="V17" s="14">
        <v>0.25</v>
      </c>
      <c r="W17" s="14">
        <v>0.28000000000000003</v>
      </c>
      <c r="X17" s="14">
        <v>0.36</v>
      </c>
      <c r="Y17" s="14">
        <v>0.24</v>
      </c>
      <c r="Z17" s="14">
        <v>0.25</v>
      </c>
      <c r="AA17" s="14">
        <v>0.23</v>
      </c>
      <c r="AB17" s="14">
        <v>0.2</v>
      </c>
      <c r="AC17" s="14">
        <v>0.38</v>
      </c>
      <c r="AD17" s="14">
        <v>0.31</v>
      </c>
      <c r="AE17" s="14">
        <v>0.26</v>
      </c>
      <c r="AF17" s="14">
        <v>0.31</v>
      </c>
    </row>
    <row r="18" spans="1:32" ht="24.95">
      <c r="A18" s="20"/>
      <c r="B18" s="11" t="s">
        <v>529</v>
      </c>
      <c r="C18" s="12">
        <v>3267</v>
      </c>
      <c r="D18" s="12">
        <v>111</v>
      </c>
      <c r="E18" s="12">
        <v>102</v>
      </c>
      <c r="F18" s="12">
        <v>94</v>
      </c>
      <c r="G18" s="12">
        <v>151</v>
      </c>
      <c r="H18" s="12">
        <v>192</v>
      </c>
      <c r="I18" s="12">
        <v>225</v>
      </c>
      <c r="J18" s="12">
        <v>33</v>
      </c>
      <c r="K18" s="12">
        <v>94</v>
      </c>
      <c r="L18" s="12">
        <v>131</v>
      </c>
      <c r="M18" s="12">
        <v>181</v>
      </c>
      <c r="N18" s="12">
        <v>99</v>
      </c>
      <c r="O18" s="12">
        <v>93</v>
      </c>
      <c r="P18" s="12">
        <v>137</v>
      </c>
      <c r="Q18" s="12">
        <v>141</v>
      </c>
      <c r="R18" s="12">
        <v>54</v>
      </c>
      <c r="S18" s="12">
        <v>124</v>
      </c>
      <c r="T18" s="12">
        <v>145</v>
      </c>
      <c r="U18" s="12">
        <v>49</v>
      </c>
      <c r="V18" s="12">
        <v>92</v>
      </c>
      <c r="W18" s="12">
        <v>84</v>
      </c>
      <c r="X18" s="12">
        <v>147</v>
      </c>
      <c r="Y18" s="12">
        <v>187</v>
      </c>
      <c r="Z18" s="12">
        <v>114</v>
      </c>
      <c r="AA18" s="12">
        <v>204</v>
      </c>
      <c r="AB18" s="12">
        <v>91</v>
      </c>
      <c r="AC18" s="12">
        <v>151</v>
      </c>
      <c r="AD18" s="12">
        <v>117</v>
      </c>
      <c r="AE18" s="12">
        <v>100</v>
      </c>
      <c r="AF18" s="12">
        <v>133</v>
      </c>
    </row>
    <row r="19" spans="1:32" ht="24.95">
      <c r="A19" s="20"/>
      <c r="B19" s="13" t="s">
        <v>530</v>
      </c>
      <c r="C19" s="14">
        <v>0.12</v>
      </c>
      <c r="D19" s="14">
        <v>0.11</v>
      </c>
      <c r="E19" s="14">
        <v>0.1</v>
      </c>
      <c r="F19" s="14">
        <v>0.1</v>
      </c>
      <c r="G19" s="14">
        <v>0.15</v>
      </c>
      <c r="H19" s="14">
        <v>0.16</v>
      </c>
      <c r="I19" s="14">
        <v>0.15</v>
      </c>
      <c r="J19" s="14">
        <v>0.11</v>
      </c>
      <c r="K19" s="14">
        <v>0.09</v>
      </c>
      <c r="L19" s="14">
        <v>0.13</v>
      </c>
      <c r="M19" s="14">
        <v>0.18</v>
      </c>
      <c r="N19" s="14">
        <v>0.1</v>
      </c>
      <c r="O19" s="14">
        <v>0.09</v>
      </c>
      <c r="P19" s="14">
        <v>0.13</v>
      </c>
      <c r="Q19" s="14">
        <v>0.14000000000000001</v>
      </c>
      <c r="R19" s="14">
        <v>0.11</v>
      </c>
      <c r="S19" s="14">
        <v>0.12</v>
      </c>
      <c r="T19" s="14">
        <v>0.14000000000000001</v>
      </c>
      <c r="U19" s="14">
        <v>0.1</v>
      </c>
      <c r="V19" s="14">
        <v>0.09</v>
      </c>
      <c r="W19" s="14">
        <v>0.17</v>
      </c>
      <c r="X19" s="14">
        <v>0.14000000000000001</v>
      </c>
      <c r="Y19" s="14">
        <v>0.19</v>
      </c>
      <c r="Z19" s="14">
        <v>0.11</v>
      </c>
      <c r="AA19" s="14">
        <v>0.19</v>
      </c>
      <c r="AB19" s="14">
        <v>0.09</v>
      </c>
      <c r="AC19" s="14">
        <v>0.15</v>
      </c>
      <c r="AD19" s="14">
        <v>0.12</v>
      </c>
      <c r="AE19" s="14">
        <v>0.1</v>
      </c>
      <c r="AF19" s="14">
        <v>0.13</v>
      </c>
    </row>
    <row r="20" spans="1:32" ht="24.95">
      <c r="A20" s="20"/>
      <c r="B20" s="11" t="s">
        <v>531</v>
      </c>
      <c r="C20" s="12">
        <v>338</v>
      </c>
      <c r="D20" s="12">
        <v>16</v>
      </c>
      <c r="E20" s="12">
        <v>10</v>
      </c>
      <c r="F20" s="12">
        <v>8</v>
      </c>
      <c r="G20" s="12">
        <v>12</v>
      </c>
      <c r="H20" s="12">
        <v>8</v>
      </c>
      <c r="I20" s="12">
        <v>11</v>
      </c>
      <c r="J20" s="12">
        <v>3</v>
      </c>
      <c r="K20" s="12">
        <v>6</v>
      </c>
      <c r="L20" s="12">
        <v>13</v>
      </c>
      <c r="M20" s="12">
        <v>5</v>
      </c>
      <c r="N20" s="12">
        <v>10</v>
      </c>
      <c r="O20" s="12">
        <v>12</v>
      </c>
      <c r="P20" s="12">
        <v>28</v>
      </c>
      <c r="Q20" s="12">
        <v>20</v>
      </c>
      <c r="R20" s="12">
        <v>1</v>
      </c>
      <c r="S20" s="12">
        <v>8</v>
      </c>
      <c r="T20" s="12">
        <v>4</v>
      </c>
      <c r="U20" s="12">
        <v>7</v>
      </c>
      <c r="V20" s="12">
        <v>13</v>
      </c>
      <c r="W20" s="12">
        <v>18</v>
      </c>
      <c r="X20" s="12">
        <v>9</v>
      </c>
      <c r="Y20" s="12">
        <v>9</v>
      </c>
      <c r="Z20" s="12">
        <v>26</v>
      </c>
      <c r="AA20" s="12">
        <v>11</v>
      </c>
      <c r="AB20" s="12">
        <v>22</v>
      </c>
      <c r="AC20" s="12">
        <v>7</v>
      </c>
      <c r="AD20" s="12">
        <v>9</v>
      </c>
      <c r="AE20" s="12">
        <v>2</v>
      </c>
      <c r="AF20" s="12">
        <v>9</v>
      </c>
    </row>
    <row r="21" spans="1:32" ht="24.95">
      <c r="A21" s="20"/>
      <c r="B21" s="13" t="s">
        <v>532</v>
      </c>
      <c r="C21" s="14">
        <v>0.01</v>
      </c>
      <c r="D21" s="14">
        <v>0.02</v>
      </c>
      <c r="E21" s="14">
        <v>0.01</v>
      </c>
      <c r="F21" s="14">
        <v>0.01</v>
      </c>
      <c r="G21" s="14">
        <v>0.01</v>
      </c>
      <c r="H21" s="14">
        <v>0.01</v>
      </c>
      <c r="I21" s="14">
        <v>0.01</v>
      </c>
      <c r="J21" s="14">
        <v>0.01</v>
      </c>
      <c r="K21" s="14">
        <v>0.01</v>
      </c>
      <c r="L21" s="14">
        <v>0.01</v>
      </c>
      <c r="M21" s="14">
        <v>0.01</v>
      </c>
      <c r="N21" s="14">
        <v>0.01</v>
      </c>
      <c r="O21" s="14">
        <v>0.01</v>
      </c>
      <c r="P21" s="14">
        <v>0.03</v>
      </c>
      <c r="Q21" s="14">
        <v>0.02</v>
      </c>
      <c r="R21" s="15" t="s">
        <v>459</v>
      </c>
      <c r="S21" s="14">
        <v>0.01</v>
      </c>
      <c r="T21" s="15" t="s">
        <v>459</v>
      </c>
      <c r="U21" s="14">
        <v>0.01</v>
      </c>
      <c r="V21" s="14">
        <v>0.01</v>
      </c>
      <c r="W21" s="14">
        <v>0.04</v>
      </c>
      <c r="X21" s="14">
        <v>0.01</v>
      </c>
      <c r="Y21" s="14">
        <v>0.01</v>
      </c>
      <c r="Z21" s="14">
        <v>0.02</v>
      </c>
      <c r="AA21" s="14">
        <v>0.01</v>
      </c>
      <c r="AB21" s="14">
        <v>0.02</v>
      </c>
      <c r="AC21" s="14">
        <v>0.01</v>
      </c>
      <c r="AD21" s="14">
        <v>0.01</v>
      </c>
      <c r="AE21" s="15" t="s">
        <v>459</v>
      </c>
      <c r="AF21" s="14">
        <v>0.01</v>
      </c>
    </row>
    <row r="22" spans="1:32" ht="24.95">
      <c r="A22" s="20"/>
      <c r="B22" s="11" t="s">
        <v>533</v>
      </c>
      <c r="C22" s="12">
        <v>1315</v>
      </c>
      <c r="D22" s="12">
        <v>59</v>
      </c>
      <c r="E22" s="12">
        <v>69</v>
      </c>
      <c r="F22" s="12">
        <v>46</v>
      </c>
      <c r="G22" s="12">
        <v>46</v>
      </c>
      <c r="H22" s="12">
        <v>45</v>
      </c>
      <c r="I22" s="12">
        <v>62</v>
      </c>
      <c r="J22" s="12">
        <v>17</v>
      </c>
      <c r="K22" s="12">
        <v>30</v>
      </c>
      <c r="L22" s="12">
        <v>51</v>
      </c>
      <c r="M22" s="12">
        <v>38</v>
      </c>
      <c r="N22" s="12">
        <v>54</v>
      </c>
      <c r="O22" s="12">
        <v>26</v>
      </c>
      <c r="P22" s="12">
        <v>69</v>
      </c>
      <c r="Q22" s="12">
        <v>80</v>
      </c>
      <c r="R22" s="12">
        <v>28</v>
      </c>
      <c r="S22" s="12">
        <v>28</v>
      </c>
      <c r="T22" s="12">
        <v>13</v>
      </c>
      <c r="U22" s="12">
        <v>30</v>
      </c>
      <c r="V22" s="12">
        <v>33</v>
      </c>
      <c r="W22" s="12">
        <v>21</v>
      </c>
      <c r="X22" s="12">
        <v>32</v>
      </c>
      <c r="Y22" s="12">
        <v>65</v>
      </c>
      <c r="Z22" s="12">
        <v>59</v>
      </c>
      <c r="AA22" s="12">
        <v>69</v>
      </c>
      <c r="AB22" s="12">
        <v>71</v>
      </c>
      <c r="AC22" s="12">
        <v>25</v>
      </c>
      <c r="AD22" s="12">
        <v>46</v>
      </c>
      <c r="AE22" s="12">
        <v>40</v>
      </c>
      <c r="AF22" s="12">
        <v>63</v>
      </c>
    </row>
    <row r="23" spans="1:32">
      <c r="A23" s="20"/>
      <c r="B23" s="13" t="s">
        <v>534</v>
      </c>
      <c r="C23" s="14">
        <v>0.05</v>
      </c>
      <c r="D23" s="14">
        <v>0.06</v>
      </c>
      <c r="E23" s="14">
        <v>7.0000000000000007E-2</v>
      </c>
      <c r="F23" s="14">
        <v>0.05</v>
      </c>
      <c r="G23" s="14">
        <v>0.05</v>
      </c>
      <c r="H23" s="14">
        <v>0.04</v>
      </c>
      <c r="I23" s="14">
        <v>0.04</v>
      </c>
      <c r="J23" s="14">
        <v>0.06</v>
      </c>
      <c r="K23" s="14">
        <v>0.03</v>
      </c>
      <c r="L23" s="14">
        <v>0.05</v>
      </c>
      <c r="M23" s="14">
        <v>0.04</v>
      </c>
      <c r="N23" s="14">
        <v>0.05</v>
      </c>
      <c r="O23" s="14">
        <v>0.03</v>
      </c>
      <c r="P23" s="14">
        <v>7.0000000000000007E-2</v>
      </c>
      <c r="Q23" s="14">
        <v>0.08</v>
      </c>
      <c r="R23" s="14">
        <v>0.06</v>
      </c>
      <c r="S23" s="14">
        <v>0.03</v>
      </c>
      <c r="T23" s="14">
        <v>0.01</v>
      </c>
      <c r="U23" s="14">
        <v>0.06</v>
      </c>
      <c r="V23" s="14">
        <v>0.03</v>
      </c>
      <c r="W23" s="14">
        <v>0.04</v>
      </c>
      <c r="X23" s="14">
        <v>0.03</v>
      </c>
      <c r="Y23" s="14">
        <v>7.0000000000000007E-2</v>
      </c>
      <c r="Z23" s="14">
        <v>0.06</v>
      </c>
      <c r="AA23" s="14">
        <v>7.0000000000000007E-2</v>
      </c>
      <c r="AB23" s="14">
        <v>7.0000000000000007E-2</v>
      </c>
      <c r="AC23" s="14">
        <v>0.03</v>
      </c>
      <c r="AD23" s="14">
        <v>0.05</v>
      </c>
      <c r="AE23" s="14">
        <v>0.04</v>
      </c>
      <c r="AF23" s="14">
        <v>0.06</v>
      </c>
    </row>
    <row r="24" spans="1:32">
      <c r="A24" s="20"/>
      <c r="B24" s="11" t="s">
        <v>535</v>
      </c>
      <c r="C24" s="12">
        <v>221</v>
      </c>
      <c r="D24" s="12">
        <v>14</v>
      </c>
      <c r="E24" s="12">
        <v>9</v>
      </c>
      <c r="F24" s="12">
        <v>9</v>
      </c>
      <c r="G24" s="12">
        <v>5</v>
      </c>
      <c r="H24" s="12">
        <v>9</v>
      </c>
      <c r="I24" s="12">
        <v>10</v>
      </c>
      <c r="J24" s="12">
        <v>1</v>
      </c>
      <c r="K24" s="12">
        <v>6</v>
      </c>
      <c r="L24" s="12">
        <v>10</v>
      </c>
      <c r="M24" s="12">
        <v>1</v>
      </c>
      <c r="N24" s="12">
        <v>2</v>
      </c>
      <c r="O24" s="12">
        <v>5</v>
      </c>
      <c r="P24" s="12">
        <v>10</v>
      </c>
      <c r="Q24" s="12">
        <v>6</v>
      </c>
      <c r="R24" s="12">
        <v>0</v>
      </c>
      <c r="S24" s="12">
        <v>13</v>
      </c>
      <c r="T24" s="12">
        <v>0</v>
      </c>
      <c r="U24" s="12">
        <v>17</v>
      </c>
      <c r="V24" s="12">
        <v>4</v>
      </c>
      <c r="W24" s="12">
        <v>11</v>
      </c>
      <c r="X24" s="12">
        <v>7</v>
      </c>
      <c r="Y24" s="12">
        <v>42</v>
      </c>
      <c r="Z24" s="12">
        <v>19</v>
      </c>
      <c r="AA24" s="12">
        <v>4</v>
      </c>
      <c r="AB24" s="12">
        <v>28</v>
      </c>
      <c r="AC24" s="12">
        <v>3</v>
      </c>
      <c r="AD24" s="12">
        <v>11</v>
      </c>
      <c r="AE24" s="12">
        <v>5</v>
      </c>
      <c r="AF24" s="12">
        <v>3</v>
      </c>
    </row>
    <row r="25" spans="1:32">
      <c r="A25" s="20"/>
      <c r="B25" s="13" t="s">
        <v>536</v>
      </c>
      <c r="C25" s="14">
        <v>0.01</v>
      </c>
      <c r="D25" s="14">
        <v>0.01</v>
      </c>
      <c r="E25" s="14">
        <v>0.01</v>
      </c>
      <c r="F25" s="14">
        <v>0.01</v>
      </c>
      <c r="G25" s="14">
        <v>0.01</v>
      </c>
      <c r="H25" s="14">
        <v>0.01</v>
      </c>
      <c r="I25" s="14">
        <v>0.01</v>
      </c>
      <c r="J25" s="14">
        <v>0.01</v>
      </c>
      <c r="K25" s="15" t="s">
        <v>459</v>
      </c>
      <c r="L25" s="14">
        <v>0.01</v>
      </c>
      <c r="M25" s="15" t="s">
        <v>459</v>
      </c>
      <c r="N25" s="15" t="s">
        <v>459</v>
      </c>
      <c r="O25" s="14">
        <v>0.01</v>
      </c>
      <c r="P25" s="14">
        <v>0.01</v>
      </c>
      <c r="Q25" s="14">
        <v>0.01</v>
      </c>
      <c r="R25" s="15" t="s">
        <v>459</v>
      </c>
      <c r="S25" s="14">
        <v>0.01</v>
      </c>
      <c r="T25" s="15" t="s">
        <v>459</v>
      </c>
      <c r="U25" s="14">
        <v>0.03</v>
      </c>
      <c r="V25" s="14">
        <v>0.01</v>
      </c>
      <c r="W25" s="14">
        <v>0.02</v>
      </c>
      <c r="X25" s="14">
        <v>0.01</v>
      </c>
      <c r="Y25" s="14">
        <v>0.04</v>
      </c>
      <c r="Z25" s="14">
        <v>0.02</v>
      </c>
      <c r="AA25" s="15" t="s">
        <v>459</v>
      </c>
      <c r="AB25" s="14">
        <v>0.03</v>
      </c>
      <c r="AC25" s="15" t="s">
        <v>459</v>
      </c>
      <c r="AD25" s="14">
        <v>0.01</v>
      </c>
      <c r="AE25" s="14">
        <v>0.01</v>
      </c>
      <c r="AF25" s="15" t="s">
        <v>459</v>
      </c>
    </row>
    <row r="26" spans="1:32" ht="24.95">
      <c r="A26" s="20"/>
      <c r="B26" s="11" t="s">
        <v>537</v>
      </c>
      <c r="C26" s="12">
        <v>393</v>
      </c>
      <c r="D26" s="12">
        <v>21</v>
      </c>
      <c r="E26" s="12">
        <v>9</v>
      </c>
      <c r="F26" s="12">
        <v>24</v>
      </c>
      <c r="G26" s="12">
        <v>26</v>
      </c>
      <c r="H26" s="12">
        <v>16</v>
      </c>
      <c r="I26" s="12">
        <v>24</v>
      </c>
      <c r="J26" s="12">
        <v>8</v>
      </c>
      <c r="K26" s="12">
        <v>18</v>
      </c>
      <c r="L26" s="12">
        <v>37</v>
      </c>
      <c r="M26" s="12">
        <v>15</v>
      </c>
      <c r="N26" s="12">
        <v>6</v>
      </c>
      <c r="O26" s="12">
        <v>3</v>
      </c>
      <c r="P26" s="12">
        <v>10</v>
      </c>
      <c r="Q26" s="12">
        <v>16</v>
      </c>
      <c r="R26" s="12">
        <v>14</v>
      </c>
      <c r="S26" s="12">
        <v>18</v>
      </c>
      <c r="T26" s="12">
        <v>28</v>
      </c>
      <c r="U26" s="12">
        <v>8</v>
      </c>
      <c r="V26" s="12">
        <v>19</v>
      </c>
      <c r="W26" s="12">
        <v>11</v>
      </c>
      <c r="X26" s="12">
        <v>19</v>
      </c>
      <c r="Y26" s="12">
        <v>20</v>
      </c>
      <c r="Z26" s="12">
        <v>16</v>
      </c>
      <c r="AA26" s="12">
        <v>14</v>
      </c>
      <c r="AB26" s="12">
        <v>41</v>
      </c>
      <c r="AC26" s="12">
        <v>13</v>
      </c>
      <c r="AD26" s="12">
        <v>39</v>
      </c>
      <c r="AE26" s="12">
        <v>30</v>
      </c>
      <c r="AF26" s="12">
        <v>9</v>
      </c>
    </row>
    <row r="27" spans="1:32">
      <c r="A27" s="20"/>
      <c r="B27" s="13" t="s">
        <v>538</v>
      </c>
      <c r="C27" s="14">
        <v>0.02</v>
      </c>
      <c r="D27" s="14">
        <v>0.02</v>
      </c>
      <c r="E27" s="14">
        <v>0.01</v>
      </c>
      <c r="F27" s="14">
        <v>0.02</v>
      </c>
      <c r="G27" s="14">
        <v>0.03</v>
      </c>
      <c r="H27" s="14">
        <v>0.01</v>
      </c>
      <c r="I27" s="14">
        <v>0.02</v>
      </c>
      <c r="J27" s="14">
        <v>0.03</v>
      </c>
      <c r="K27" s="14">
        <v>0.02</v>
      </c>
      <c r="L27" s="14">
        <v>0.04</v>
      </c>
      <c r="M27" s="14">
        <v>0.01</v>
      </c>
      <c r="N27" s="14">
        <v>0.01</v>
      </c>
      <c r="O27" s="15" t="s">
        <v>459</v>
      </c>
      <c r="P27" s="14">
        <v>0.01</v>
      </c>
      <c r="Q27" s="14">
        <v>0.02</v>
      </c>
      <c r="R27" s="14">
        <v>0.03</v>
      </c>
      <c r="S27" s="14">
        <v>0.02</v>
      </c>
      <c r="T27" s="14">
        <v>0.03</v>
      </c>
      <c r="U27" s="14">
        <v>0.02</v>
      </c>
      <c r="V27" s="14">
        <v>0.02</v>
      </c>
      <c r="W27" s="14">
        <v>0.02</v>
      </c>
      <c r="X27" s="14">
        <v>0.02</v>
      </c>
      <c r="Y27" s="14">
        <v>0.02</v>
      </c>
      <c r="Z27" s="14">
        <v>0.01</v>
      </c>
      <c r="AA27" s="14">
        <v>0.01</v>
      </c>
      <c r="AB27" s="14">
        <v>0.04</v>
      </c>
      <c r="AC27" s="14">
        <v>0.01</v>
      </c>
      <c r="AD27" s="14">
        <v>0.04</v>
      </c>
      <c r="AE27" s="14">
        <v>0.03</v>
      </c>
      <c r="AF27" s="14">
        <v>0.01</v>
      </c>
    </row>
    <row r="28" spans="1:32" ht="36.950000000000003">
      <c r="A28" s="20"/>
      <c r="B28" s="11" t="s">
        <v>539</v>
      </c>
      <c r="C28" s="12">
        <v>585</v>
      </c>
      <c r="D28" s="12">
        <v>39</v>
      </c>
      <c r="E28" s="12">
        <v>25</v>
      </c>
      <c r="F28" s="12">
        <v>23</v>
      </c>
      <c r="G28" s="12">
        <v>19</v>
      </c>
      <c r="H28" s="12">
        <v>15</v>
      </c>
      <c r="I28" s="12">
        <v>18</v>
      </c>
      <c r="J28" s="12">
        <v>4</v>
      </c>
      <c r="K28" s="12">
        <v>57</v>
      </c>
      <c r="L28" s="12">
        <v>15</v>
      </c>
      <c r="M28" s="12">
        <v>18</v>
      </c>
      <c r="N28" s="12">
        <v>24</v>
      </c>
      <c r="O28" s="12">
        <v>18</v>
      </c>
      <c r="P28" s="12">
        <v>30</v>
      </c>
      <c r="Q28" s="12">
        <v>25</v>
      </c>
      <c r="R28" s="12">
        <v>10</v>
      </c>
      <c r="S28" s="12">
        <v>21</v>
      </c>
      <c r="T28" s="12">
        <v>33</v>
      </c>
      <c r="U28" s="12">
        <v>11</v>
      </c>
      <c r="V28" s="12">
        <v>28</v>
      </c>
      <c r="W28" s="12">
        <v>13</v>
      </c>
      <c r="X28" s="12">
        <v>22</v>
      </c>
      <c r="Y28" s="12">
        <v>16</v>
      </c>
      <c r="Z28" s="12">
        <v>20</v>
      </c>
      <c r="AA28" s="12">
        <v>20</v>
      </c>
      <c r="AB28" s="12">
        <v>63</v>
      </c>
      <c r="AC28" s="12">
        <v>21</v>
      </c>
      <c r="AD28" s="12">
        <v>36</v>
      </c>
      <c r="AE28" s="12">
        <v>23</v>
      </c>
      <c r="AF28" s="12">
        <v>25</v>
      </c>
    </row>
    <row r="29" spans="1:32" ht="24.95">
      <c r="A29" s="20"/>
      <c r="B29" s="13" t="s">
        <v>540</v>
      </c>
      <c r="C29" s="14">
        <v>0.02</v>
      </c>
      <c r="D29" s="14">
        <v>0.04</v>
      </c>
      <c r="E29" s="14">
        <v>0.03</v>
      </c>
      <c r="F29" s="14">
        <v>0.02</v>
      </c>
      <c r="G29" s="14">
        <v>0.02</v>
      </c>
      <c r="H29" s="14">
        <v>0.01</v>
      </c>
      <c r="I29" s="14">
        <v>0.01</v>
      </c>
      <c r="J29" s="14">
        <v>0.01</v>
      </c>
      <c r="K29" s="14">
        <v>0.06</v>
      </c>
      <c r="L29" s="14">
        <v>0.02</v>
      </c>
      <c r="M29" s="14">
        <v>0.02</v>
      </c>
      <c r="N29" s="14">
        <v>0.02</v>
      </c>
      <c r="O29" s="14">
        <v>0.02</v>
      </c>
      <c r="P29" s="14">
        <v>0.03</v>
      </c>
      <c r="Q29" s="14">
        <v>0.03</v>
      </c>
      <c r="R29" s="14">
        <v>0.02</v>
      </c>
      <c r="S29" s="14">
        <v>0.02</v>
      </c>
      <c r="T29" s="14">
        <v>0.03</v>
      </c>
      <c r="U29" s="14">
        <v>0.02</v>
      </c>
      <c r="V29" s="14">
        <v>0.03</v>
      </c>
      <c r="W29" s="14">
        <v>0.03</v>
      </c>
      <c r="X29" s="14">
        <v>0.02</v>
      </c>
      <c r="Y29" s="14">
        <v>0.02</v>
      </c>
      <c r="Z29" s="14">
        <v>0.02</v>
      </c>
      <c r="AA29" s="14">
        <v>0.02</v>
      </c>
      <c r="AB29" s="14">
        <v>0.06</v>
      </c>
      <c r="AC29" s="14">
        <v>0.02</v>
      </c>
      <c r="AD29" s="14">
        <v>0.04</v>
      </c>
      <c r="AE29" s="14">
        <v>0.02</v>
      </c>
      <c r="AF29" s="14">
        <v>0.03</v>
      </c>
    </row>
    <row r="30" spans="1:32" ht="36.950000000000003">
      <c r="A30" s="20"/>
      <c r="B30" s="11" t="s">
        <v>541</v>
      </c>
      <c r="C30" s="12">
        <v>871</v>
      </c>
      <c r="D30" s="12">
        <v>41</v>
      </c>
      <c r="E30" s="12">
        <v>44</v>
      </c>
      <c r="F30" s="12">
        <v>47</v>
      </c>
      <c r="G30" s="12">
        <v>36</v>
      </c>
      <c r="H30" s="12">
        <v>44</v>
      </c>
      <c r="I30" s="12">
        <v>53</v>
      </c>
      <c r="J30" s="12">
        <v>9</v>
      </c>
      <c r="K30" s="12">
        <v>52</v>
      </c>
      <c r="L30" s="12">
        <v>15</v>
      </c>
      <c r="M30" s="12">
        <v>23</v>
      </c>
      <c r="N30" s="12">
        <v>29</v>
      </c>
      <c r="O30" s="12">
        <v>33</v>
      </c>
      <c r="P30" s="12">
        <v>51</v>
      </c>
      <c r="Q30" s="12">
        <v>19</v>
      </c>
      <c r="R30" s="12">
        <v>11</v>
      </c>
      <c r="S30" s="12">
        <v>79</v>
      </c>
      <c r="T30" s="12">
        <v>77</v>
      </c>
      <c r="U30" s="12">
        <v>19</v>
      </c>
      <c r="V30" s="12">
        <v>50</v>
      </c>
      <c r="W30" s="12">
        <v>12</v>
      </c>
      <c r="X30" s="12">
        <v>29</v>
      </c>
      <c r="Y30" s="12">
        <v>44</v>
      </c>
      <c r="Z30" s="12">
        <v>20</v>
      </c>
      <c r="AA30" s="12">
        <v>30</v>
      </c>
      <c r="AB30" s="12">
        <v>88</v>
      </c>
      <c r="AC30" s="12">
        <v>68</v>
      </c>
      <c r="AD30" s="12">
        <v>29</v>
      </c>
      <c r="AE30" s="12">
        <v>19</v>
      </c>
      <c r="AF30" s="12">
        <v>26</v>
      </c>
    </row>
    <row r="31" spans="1:32" ht="24.95">
      <c r="A31" s="20"/>
      <c r="B31" s="13" t="s">
        <v>542</v>
      </c>
      <c r="C31" s="14">
        <v>0.03</v>
      </c>
      <c r="D31" s="14">
        <v>0.04</v>
      </c>
      <c r="E31" s="14">
        <v>0.04</v>
      </c>
      <c r="F31" s="14">
        <v>0.05</v>
      </c>
      <c r="G31" s="14">
        <v>0.04</v>
      </c>
      <c r="H31" s="14">
        <v>0.04</v>
      </c>
      <c r="I31" s="14">
        <v>0.03</v>
      </c>
      <c r="J31" s="14">
        <v>0.03</v>
      </c>
      <c r="K31" s="14">
        <v>0.05</v>
      </c>
      <c r="L31" s="14">
        <v>0.01</v>
      </c>
      <c r="M31" s="14">
        <v>0.02</v>
      </c>
      <c r="N31" s="14">
        <v>0.03</v>
      </c>
      <c r="O31" s="14">
        <v>0.03</v>
      </c>
      <c r="P31" s="14">
        <v>0.05</v>
      </c>
      <c r="Q31" s="14">
        <v>0.02</v>
      </c>
      <c r="R31" s="14">
        <v>0.02</v>
      </c>
      <c r="S31" s="14">
        <v>0.08</v>
      </c>
      <c r="T31" s="14">
        <v>0.08</v>
      </c>
      <c r="U31" s="14">
        <v>0.04</v>
      </c>
      <c r="V31" s="14">
        <v>0.05</v>
      </c>
      <c r="W31" s="14">
        <v>0.02</v>
      </c>
      <c r="X31" s="14">
        <v>0.03</v>
      </c>
      <c r="Y31" s="14">
        <v>0.04</v>
      </c>
      <c r="Z31" s="14">
        <v>0.02</v>
      </c>
      <c r="AA31" s="14">
        <v>0.03</v>
      </c>
      <c r="AB31" s="14">
        <v>0.08</v>
      </c>
      <c r="AC31" s="14">
        <v>7.0000000000000007E-2</v>
      </c>
      <c r="AD31" s="14">
        <v>0.03</v>
      </c>
      <c r="AE31" s="14">
        <v>0.02</v>
      </c>
      <c r="AF31" s="14">
        <v>0.03</v>
      </c>
    </row>
    <row r="32" spans="1:32" ht="24.95">
      <c r="A32" s="20"/>
      <c r="B32" s="11" t="s">
        <v>543</v>
      </c>
      <c r="C32" s="12">
        <v>249</v>
      </c>
      <c r="D32" s="12">
        <v>11</v>
      </c>
      <c r="E32" s="12">
        <v>11</v>
      </c>
      <c r="F32" s="12">
        <v>9</v>
      </c>
      <c r="G32" s="12">
        <v>4</v>
      </c>
      <c r="H32" s="12">
        <v>11</v>
      </c>
      <c r="I32" s="12">
        <v>15</v>
      </c>
      <c r="J32" s="12">
        <v>4</v>
      </c>
      <c r="K32" s="12">
        <v>13</v>
      </c>
      <c r="L32" s="12">
        <v>7</v>
      </c>
      <c r="M32" s="12">
        <v>5</v>
      </c>
      <c r="N32" s="12">
        <v>4</v>
      </c>
      <c r="O32" s="12">
        <v>9</v>
      </c>
      <c r="P32" s="12">
        <v>8</v>
      </c>
      <c r="Q32" s="12">
        <v>5</v>
      </c>
      <c r="R32" s="12">
        <v>2</v>
      </c>
      <c r="S32" s="12">
        <v>6</v>
      </c>
      <c r="T32" s="12">
        <v>5</v>
      </c>
      <c r="U32" s="12">
        <v>0</v>
      </c>
      <c r="V32" s="12">
        <v>11</v>
      </c>
      <c r="W32" s="12">
        <v>3</v>
      </c>
      <c r="X32" s="12">
        <v>5</v>
      </c>
      <c r="Y32" s="12">
        <v>24</v>
      </c>
      <c r="Z32" s="12">
        <v>10</v>
      </c>
      <c r="AA32" s="12">
        <v>6</v>
      </c>
      <c r="AB32" s="12">
        <v>47</v>
      </c>
      <c r="AC32" s="12">
        <v>6</v>
      </c>
      <c r="AD32" s="12">
        <v>7</v>
      </c>
      <c r="AE32" s="12">
        <v>6</v>
      </c>
      <c r="AF32" s="12">
        <v>4</v>
      </c>
    </row>
    <row r="33" spans="1:32">
      <c r="A33" s="20"/>
      <c r="B33" s="13" t="s">
        <v>544</v>
      </c>
      <c r="C33" s="14">
        <v>0.01</v>
      </c>
      <c r="D33" s="14">
        <v>0.01</v>
      </c>
      <c r="E33" s="14">
        <v>0.01</v>
      </c>
      <c r="F33" s="14">
        <v>0.01</v>
      </c>
      <c r="G33" s="15" t="s">
        <v>459</v>
      </c>
      <c r="H33" s="14">
        <v>0.01</v>
      </c>
      <c r="I33" s="14">
        <v>0.01</v>
      </c>
      <c r="J33" s="14">
        <v>0.01</v>
      </c>
      <c r="K33" s="14">
        <v>0.01</v>
      </c>
      <c r="L33" s="14">
        <v>0.01</v>
      </c>
      <c r="M33" s="14">
        <v>0.01</v>
      </c>
      <c r="N33" s="15" t="s">
        <v>459</v>
      </c>
      <c r="O33" s="14">
        <v>0.01</v>
      </c>
      <c r="P33" s="14">
        <v>0.01</v>
      </c>
      <c r="Q33" s="14">
        <v>0.01</v>
      </c>
      <c r="R33" s="15" t="s">
        <v>459</v>
      </c>
      <c r="S33" s="14">
        <v>0.01</v>
      </c>
      <c r="T33" s="14">
        <v>0.01</v>
      </c>
      <c r="U33" s="15" t="s">
        <v>459</v>
      </c>
      <c r="V33" s="14">
        <v>0.01</v>
      </c>
      <c r="W33" s="15" t="s">
        <v>459</v>
      </c>
      <c r="X33" s="14">
        <v>0.01</v>
      </c>
      <c r="Y33" s="14">
        <v>0.02</v>
      </c>
      <c r="Z33" s="14">
        <v>0.01</v>
      </c>
      <c r="AA33" s="14">
        <v>0.01</v>
      </c>
      <c r="AB33" s="14">
        <v>0.05</v>
      </c>
      <c r="AC33" s="14">
        <v>0.01</v>
      </c>
      <c r="AD33" s="14">
        <v>0.01</v>
      </c>
      <c r="AE33" s="14">
        <v>0.01</v>
      </c>
      <c r="AF33" s="15" t="s">
        <v>459</v>
      </c>
    </row>
    <row r="34" spans="1:32" ht="48.95">
      <c r="A34" s="20"/>
      <c r="B34" s="11" t="s">
        <v>545</v>
      </c>
      <c r="C34" s="12">
        <v>169</v>
      </c>
      <c r="D34" s="12">
        <v>9</v>
      </c>
      <c r="E34" s="12">
        <v>4</v>
      </c>
      <c r="F34" s="12">
        <v>4</v>
      </c>
      <c r="G34" s="12">
        <v>4</v>
      </c>
      <c r="H34" s="12">
        <v>6</v>
      </c>
      <c r="I34" s="12">
        <v>8</v>
      </c>
      <c r="J34" s="12">
        <v>2</v>
      </c>
      <c r="K34" s="12">
        <v>7</v>
      </c>
      <c r="L34" s="12">
        <v>5</v>
      </c>
      <c r="M34" s="12">
        <v>5</v>
      </c>
      <c r="N34" s="12">
        <v>4</v>
      </c>
      <c r="O34" s="12">
        <v>5</v>
      </c>
      <c r="P34" s="12">
        <v>7</v>
      </c>
      <c r="Q34" s="12">
        <v>5</v>
      </c>
      <c r="R34" s="12">
        <v>2</v>
      </c>
      <c r="S34" s="12">
        <v>5</v>
      </c>
      <c r="T34" s="12">
        <v>1</v>
      </c>
      <c r="U34" s="12">
        <v>2</v>
      </c>
      <c r="V34" s="12">
        <v>8</v>
      </c>
      <c r="W34" s="12">
        <v>2</v>
      </c>
      <c r="X34" s="12">
        <v>1</v>
      </c>
      <c r="Y34" s="12">
        <v>13</v>
      </c>
      <c r="Z34" s="12">
        <v>7</v>
      </c>
      <c r="AA34" s="12">
        <v>5</v>
      </c>
      <c r="AB34" s="12">
        <v>39</v>
      </c>
      <c r="AC34" s="12">
        <v>0</v>
      </c>
      <c r="AD34" s="12">
        <v>6</v>
      </c>
      <c r="AE34" s="12">
        <v>4</v>
      </c>
      <c r="AF34" s="12">
        <v>4</v>
      </c>
    </row>
    <row r="35" spans="1:32" ht="24.95">
      <c r="A35" s="20"/>
      <c r="B35" s="13" t="s">
        <v>546</v>
      </c>
      <c r="C35" s="14">
        <v>0.01</v>
      </c>
      <c r="D35" s="14">
        <v>0.01</v>
      </c>
      <c r="E35" s="15" t="s">
        <v>459</v>
      </c>
      <c r="F35" s="15" t="s">
        <v>459</v>
      </c>
      <c r="G35" s="15" t="s">
        <v>459</v>
      </c>
      <c r="H35" s="15" t="s">
        <v>459</v>
      </c>
      <c r="I35" s="14">
        <v>0.01</v>
      </c>
      <c r="J35" s="14">
        <v>0.01</v>
      </c>
      <c r="K35" s="14">
        <v>0.01</v>
      </c>
      <c r="L35" s="15" t="s">
        <v>459</v>
      </c>
      <c r="M35" s="15" t="s">
        <v>459</v>
      </c>
      <c r="N35" s="15" t="s">
        <v>459</v>
      </c>
      <c r="O35" s="15" t="s">
        <v>459</v>
      </c>
      <c r="P35" s="14">
        <v>0.01</v>
      </c>
      <c r="Q35" s="14">
        <v>0.01</v>
      </c>
      <c r="R35" s="15" t="s">
        <v>459</v>
      </c>
      <c r="S35" s="15" t="s">
        <v>459</v>
      </c>
      <c r="T35" s="15" t="s">
        <v>459</v>
      </c>
      <c r="U35" s="15" t="s">
        <v>459</v>
      </c>
      <c r="V35" s="14">
        <v>0.01</v>
      </c>
      <c r="W35" s="15" t="s">
        <v>459</v>
      </c>
      <c r="X35" s="15" t="s">
        <v>459</v>
      </c>
      <c r="Y35" s="14">
        <v>0.01</v>
      </c>
      <c r="Z35" s="14">
        <v>0.01</v>
      </c>
      <c r="AA35" s="15" t="s">
        <v>459</v>
      </c>
      <c r="AB35" s="14">
        <v>0.04</v>
      </c>
      <c r="AC35" s="15" t="s">
        <v>459</v>
      </c>
      <c r="AD35" s="14">
        <v>0.01</v>
      </c>
      <c r="AE35" s="15" t="s">
        <v>459</v>
      </c>
      <c r="AF35" s="15" t="s">
        <v>459</v>
      </c>
    </row>
    <row r="36" spans="1:32" ht="36.950000000000003">
      <c r="A36" s="20"/>
      <c r="B36" s="11" t="s">
        <v>547</v>
      </c>
      <c r="C36" s="12">
        <v>754</v>
      </c>
      <c r="D36" s="12">
        <v>36</v>
      </c>
      <c r="E36" s="12">
        <v>51</v>
      </c>
      <c r="F36" s="12">
        <v>9</v>
      </c>
      <c r="G36" s="12">
        <v>8</v>
      </c>
      <c r="H36" s="12">
        <v>19</v>
      </c>
      <c r="I36" s="12">
        <v>20</v>
      </c>
      <c r="J36" s="12">
        <v>1</v>
      </c>
      <c r="K36" s="12">
        <v>20</v>
      </c>
      <c r="L36" s="12">
        <v>18</v>
      </c>
      <c r="M36" s="12">
        <v>11</v>
      </c>
      <c r="N36" s="12">
        <v>27</v>
      </c>
      <c r="O36" s="12">
        <v>24</v>
      </c>
      <c r="P36" s="12">
        <v>38</v>
      </c>
      <c r="Q36" s="12">
        <v>54</v>
      </c>
      <c r="R36" s="12">
        <v>5</v>
      </c>
      <c r="S36" s="12">
        <v>5</v>
      </c>
      <c r="T36" s="12">
        <v>26</v>
      </c>
      <c r="U36" s="12">
        <v>7</v>
      </c>
      <c r="V36" s="12">
        <v>53</v>
      </c>
      <c r="W36" s="12">
        <v>9</v>
      </c>
      <c r="X36" s="12">
        <v>3</v>
      </c>
      <c r="Y36" s="12">
        <v>11</v>
      </c>
      <c r="Z36" s="12">
        <v>60</v>
      </c>
      <c r="AA36" s="12">
        <v>21</v>
      </c>
      <c r="AB36" s="12">
        <v>59</v>
      </c>
      <c r="AC36" s="12">
        <v>18</v>
      </c>
      <c r="AD36" s="12">
        <v>12</v>
      </c>
      <c r="AE36" s="12">
        <v>1</v>
      </c>
      <c r="AF36" s="12">
        <v>7</v>
      </c>
    </row>
    <row r="37" spans="1:32" ht="24.95">
      <c r="A37" s="20"/>
      <c r="B37" s="13" t="s">
        <v>548</v>
      </c>
      <c r="C37" s="14">
        <v>0.03</v>
      </c>
      <c r="D37" s="14">
        <v>0.03</v>
      </c>
      <c r="E37" s="14">
        <v>0.05</v>
      </c>
      <c r="F37" s="14">
        <v>0.01</v>
      </c>
      <c r="G37" s="14">
        <v>0.01</v>
      </c>
      <c r="H37" s="14">
        <v>0.02</v>
      </c>
      <c r="I37" s="14">
        <v>0.01</v>
      </c>
      <c r="J37" s="15" t="s">
        <v>459</v>
      </c>
      <c r="K37" s="14">
        <v>0.02</v>
      </c>
      <c r="L37" s="14">
        <v>0.02</v>
      </c>
      <c r="M37" s="14">
        <v>0.01</v>
      </c>
      <c r="N37" s="14">
        <v>0.03</v>
      </c>
      <c r="O37" s="14">
        <v>0.02</v>
      </c>
      <c r="P37" s="14">
        <v>0.04</v>
      </c>
      <c r="Q37" s="14">
        <v>0.05</v>
      </c>
      <c r="R37" s="14">
        <v>0.01</v>
      </c>
      <c r="S37" s="15" t="s">
        <v>459</v>
      </c>
      <c r="T37" s="14">
        <v>0.03</v>
      </c>
      <c r="U37" s="14">
        <v>0.01</v>
      </c>
      <c r="V37" s="14">
        <v>0.05</v>
      </c>
      <c r="W37" s="14">
        <v>0.02</v>
      </c>
      <c r="X37" s="15" t="s">
        <v>459</v>
      </c>
      <c r="Y37" s="14">
        <v>0.01</v>
      </c>
      <c r="Z37" s="14">
        <v>0.06</v>
      </c>
      <c r="AA37" s="14">
        <v>0.02</v>
      </c>
      <c r="AB37" s="14">
        <v>0.06</v>
      </c>
      <c r="AC37" s="14">
        <v>0.02</v>
      </c>
      <c r="AD37" s="14">
        <v>0.01</v>
      </c>
      <c r="AE37" s="15" t="s">
        <v>459</v>
      </c>
      <c r="AF37" s="14">
        <v>0.01</v>
      </c>
    </row>
    <row r="38" spans="1:32" ht="48.95">
      <c r="A38" s="20"/>
      <c r="B38" s="11" t="s">
        <v>549</v>
      </c>
      <c r="C38" s="12">
        <v>1561</v>
      </c>
      <c r="D38" s="12">
        <v>36</v>
      </c>
      <c r="E38" s="12">
        <v>71</v>
      </c>
      <c r="F38" s="12">
        <v>26</v>
      </c>
      <c r="G38" s="12">
        <v>14</v>
      </c>
      <c r="H38" s="12">
        <v>45</v>
      </c>
      <c r="I38" s="12">
        <v>60</v>
      </c>
      <c r="J38" s="12">
        <v>15</v>
      </c>
      <c r="K38" s="12">
        <v>29</v>
      </c>
      <c r="L38" s="12">
        <v>43</v>
      </c>
      <c r="M38" s="12">
        <v>25</v>
      </c>
      <c r="N38" s="12">
        <v>62</v>
      </c>
      <c r="O38" s="12">
        <v>46</v>
      </c>
      <c r="P38" s="12">
        <v>77</v>
      </c>
      <c r="Q38" s="12">
        <v>105</v>
      </c>
      <c r="R38" s="12">
        <v>15</v>
      </c>
      <c r="S38" s="12">
        <v>27</v>
      </c>
      <c r="T38" s="12">
        <v>54</v>
      </c>
      <c r="U38" s="12">
        <v>14</v>
      </c>
      <c r="V38" s="12">
        <v>54</v>
      </c>
      <c r="W38" s="12">
        <v>21</v>
      </c>
      <c r="X38" s="12">
        <v>16</v>
      </c>
      <c r="Y38" s="12">
        <v>42</v>
      </c>
      <c r="Z38" s="12">
        <v>108</v>
      </c>
      <c r="AA38" s="12">
        <v>129</v>
      </c>
      <c r="AB38" s="12">
        <v>76</v>
      </c>
      <c r="AC38" s="12">
        <v>41</v>
      </c>
      <c r="AD38" s="12">
        <v>86</v>
      </c>
      <c r="AE38" s="12">
        <v>8</v>
      </c>
      <c r="AF38" s="12">
        <v>23</v>
      </c>
    </row>
    <row r="39" spans="1:32" ht="36.950000000000003">
      <c r="A39" s="20"/>
      <c r="B39" s="13" t="s">
        <v>550</v>
      </c>
      <c r="C39" s="14">
        <v>0.06</v>
      </c>
      <c r="D39" s="14">
        <v>0.04</v>
      </c>
      <c r="E39" s="14">
        <v>7.0000000000000007E-2</v>
      </c>
      <c r="F39" s="14">
        <v>0.03</v>
      </c>
      <c r="G39" s="14">
        <v>0.01</v>
      </c>
      <c r="H39" s="14">
        <v>0.04</v>
      </c>
      <c r="I39" s="14">
        <v>0.04</v>
      </c>
      <c r="J39" s="14">
        <v>0.05</v>
      </c>
      <c r="K39" s="14">
        <v>0.03</v>
      </c>
      <c r="L39" s="14">
        <v>0.04</v>
      </c>
      <c r="M39" s="14">
        <v>0.03</v>
      </c>
      <c r="N39" s="14">
        <v>0.06</v>
      </c>
      <c r="O39" s="14">
        <v>0.05</v>
      </c>
      <c r="P39" s="14">
        <v>7.0000000000000007E-2</v>
      </c>
      <c r="Q39" s="14">
        <v>0.1</v>
      </c>
      <c r="R39" s="14">
        <v>0.03</v>
      </c>
      <c r="S39" s="14">
        <v>0.03</v>
      </c>
      <c r="T39" s="14">
        <v>0.05</v>
      </c>
      <c r="U39" s="14">
        <v>0.03</v>
      </c>
      <c r="V39" s="14">
        <v>0.05</v>
      </c>
      <c r="W39" s="14">
        <v>0.04</v>
      </c>
      <c r="X39" s="14">
        <v>0.02</v>
      </c>
      <c r="Y39" s="14">
        <v>0.04</v>
      </c>
      <c r="Z39" s="14">
        <v>0.11</v>
      </c>
      <c r="AA39" s="14">
        <v>0.12</v>
      </c>
      <c r="AB39" s="14">
        <v>7.0000000000000007E-2</v>
      </c>
      <c r="AC39" s="14">
        <v>0.04</v>
      </c>
      <c r="AD39" s="14">
        <v>0.08</v>
      </c>
      <c r="AE39" s="14">
        <v>0.01</v>
      </c>
      <c r="AF39" s="14">
        <v>0.02</v>
      </c>
    </row>
    <row r="40" spans="1:32">
      <c r="A40" s="20"/>
      <c r="B40" s="11" t="s">
        <v>519</v>
      </c>
      <c r="C40" s="12">
        <v>300</v>
      </c>
      <c r="D40" s="12">
        <v>9</v>
      </c>
      <c r="E40" s="12">
        <v>15</v>
      </c>
      <c r="F40" s="12">
        <v>2</v>
      </c>
      <c r="G40" s="12">
        <v>8</v>
      </c>
      <c r="H40" s="12">
        <v>31</v>
      </c>
      <c r="I40" s="12">
        <v>33</v>
      </c>
      <c r="J40" s="12">
        <v>2</v>
      </c>
      <c r="K40" s="12">
        <v>11</v>
      </c>
      <c r="L40" s="12">
        <v>14</v>
      </c>
      <c r="M40" s="12">
        <v>10</v>
      </c>
      <c r="N40" s="12">
        <v>17</v>
      </c>
      <c r="O40" s="12">
        <v>8</v>
      </c>
      <c r="P40" s="12">
        <v>3</v>
      </c>
      <c r="Q40" s="12">
        <v>2</v>
      </c>
      <c r="R40" s="12">
        <v>3</v>
      </c>
      <c r="S40" s="12">
        <v>20</v>
      </c>
      <c r="T40" s="12">
        <v>14</v>
      </c>
      <c r="U40" s="12">
        <v>6</v>
      </c>
      <c r="V40" s="12">
        <v>3</v>
      </c>
      <c r="W40" s="12">
        <v>4</v>
      </c>
      <c r="X40" s="12">
        <v>22</v>
      </c>
      <c r="Y40" s="12">
        <v>14</v>
      </c>
      <c r="Z40" s="12">
        <v>3</v>
      </c>
      <c r="AA40" s="12">
        <v>19</v>
      </c>
      <c r="AB40" s="12">
        <v>10</v>
      </c>
      <c r="AC40" s="12">
        <v>42</v>
      </c>
      <c r="AD40" s="12">
        <v>2</v>
      </c>
      <c r="AE40" s="12">
        <v>16</v>
      </c>
      <c r="AF40" s="12">
        <v>12</v>
      </c>
    </row>
    <row r="41" spans="1:32">
      <c r="A41" s="20"/>
      <c r="B41" s="13" t="s">
        <v>520</v>
      </c>
      <c r="C41" s="14">
        <v>0.01</v>
      </c>
      <c r="D41" s="14">
        <v>0.01</v>
      </c>
      <c r="E41" s="14">
        <v>0.01</v>
      </c>
      <c r="F41" s="15" t="s">
        <v>459</v>
      </c>
      <c r="G41" s="14">
        <v>0.01</v>
      </c>
      <c r="H41" s="14">
        <v>0.02</v>
      </c>
      <c r="I41" s="14">
        <v>0.02</v>
      </c>
      <c r="J41" s="14">
        <v>0.01</v>
      </c>
      <c r="K41" s="14">
        <v>0.01</v>
      </c>
      <c r="L41" s="14">
        <v>0.01</v>
      </c>
      <c r="M41" s="14">
        <v>0.01</v>
      </c>
      <c r="N41" s="14">
        <v>0.02</v>
      </c>
      <c r="O41" s="14">
        <v>0.01</v>
      </c>
      <c r="P41" s="15" t="s">
        <v>459</v>
      </c>
      <c r="Q41" s="15" t="s">
        <v>459</v>
      </c>
      <c r="R41" s="14">
        <v>0.01</v>
      </c>
      <c r="S41" s="14">
        <v>0.02</v>
      </c>
      <c r="T41" s="14">
        <v>0.01</v>
      </c>
      <c r="U41" s="14">
        <v>0.01</v>
      </c>
      <c r="V41" s="15" t="s">
        <v>459</v>
      </c>
      <c r="W41" s="14">
        <v>0.01</v>
      </c>
      <c r="X41" s="14">
        <v>0.02</v>
      </c>
      <c r="Y41" s="14">
        <v>0.02</v>
      </c>
      <c r="Z41" s="15" t="s">
        <v>459</v>
      </c>
      <c r="AA41" s="14">
        <v>0.02</v>
      </c>
      <c r="AB41" s="14">
        <v>0.01</v>
      </c>
      <c r="AC41" s="14">
        <v>0.04</v>
      </c>
      <c r="AD41" s="15" t="s">
        <v>459</v>
      </c>
      <c r="AE41" s="14">
        <v>0.02</v>
      </c>
      <c r="AF41" s="14">
        <v>0.01</v>
      </c>
    </row>
    <row r="42" spans="1:32" ht="24.95">
      <c r="A42" s="20"/>
      <c r="B42" s="11" t="s">
        <v>551</v>
      </c>
      <c r="C42" s="12">
        <v>1565</v>
      </c>
      <c r="D42" s="12">
        <v>27</v>
      </c>
      <c r="E42" s="12">
        <v>90</v>
      </c>
      <c r="F42" s="12">
        <v>32</v>
      </c>
      <c r="G42" s="12">
        <v>43</v>
      </c>
      <c r="H42" s="12">
        <v>83</v>
      </c>
      <c r="I42" s="12">
        <v>99</v>
      </c>
      <c r="J42" s="12">
        <v>16</v>
      </c>
      <c r="K42" s="12">
        <v>73</v>
      </c>
      <c r="L42" s="12">
        <v>66</v>
      </c>
      <c r="M42" s="12">
        <v>41</v>
      </c>
      <c r="N42" s="12">
        <v>40</v>
      </c>
      <c r="O42" s="12">
        <v>62</v>
      </c>
      <c r="P42" s="12">
        <v>20</v>
      </c>
      <c r="Q42" s="12">
        <v>66</v>
      </c>
      <c r="R42" s="12">
        <v>42</v>
      </c>
      <c r="S42" s="12">
        <v>69</v>
      </c>
      <c r="T42" s="12">
        <v>165</v>
      </c>
      <c r="U42" s="12">
        <v>18</v>
      </c>
      <c r="V42" s="12">
        <v>58</v>
      </c>
      <c r="W42" s="12">
        <v>28</v>
      </c>
      <c r="X42" s="12">
        <v>53</v>
      </c>
      <c r="Y42" s="12">
        <v>104</v>
      </c>
      <c r="Z42" s="12">
        <v>69</v>
      </c>
      <c r="AA42" s="12">
        <v>84</v>
      </c>
      <c r="AB42" s="12">
        <v>31</v>
      </c>
      <c r="AC42" s="12">
        <v>80</v>
      </c>
      <c r="AD42" s="12">
        <v>66</v>
      </c>
      <c r="AE42" s="12">
        <v>92</v>
      </c>
      <c r="AF42" s="12">
        <v>70</v>
      </c>
    </row>
    <row r="43" spans="1:32">
      <c r="A43" s="20"/>
      <c r="B43" s="13" t="s">
        <v>522</v>
      </c>
      <c r="C43" s="14">
        <v>0.06</v>
      </c>
      <c r="D43" s="14">
        <v>0.03</v>
      </c>
      <c r="E43" s="14">
        <v>0.09</v>
      </c>
      <c r="F43" s="14">
        <v>0.03</v>
      </c>
      <c r="G43" s="14">
        <v>0.04</v>
      </c>
      <c r="H43" s="14">
        <v>7.0000000000000007E-2</v>
      </c>
      <c r="I43" s="14">
        <v>7.0000000000000007E-2</v>
      </c>
      <c r="J43" s="14">
        <v>0.05</v>
      </c>
      <c r="K43" s="14">
        <v>7.0000000000000007E-2</v>
      </c>
      <c r="L43" s="14">
        <v>7.0000000000000007E-2</v>
      </c>
      <c r="M43" s="14">
        <v>0.04</v>
      </c>
      <c r="N43" s="14">
        <v>0.04</v>
      </c>
      <c r="O43" s="14">
        <v>0.06</v>
      </c>
      <c r="P43" s="14">
        <v>0.02</v>
      </c>
      <c r="Q43" s="14">
        <v>0.06</v>
      </c>
      <c r="R43" s="14">
        <v>0.08</v>
      </c>
      <c r="S43" s="14">
        <v>7.0000000000000007E-2</v>
      </c>
      <c r="T43" s="14">
        <v>0.16</v>
      </c>
      <c r="U43" s="14">
        <v>0.04</v>
      </c>
      <c r="V43" s="14">
        <v>0.06</v>
      </c>
      <c r="W43" s="14">
        <v>0.06</v>
      </c>
      <c r="X43" s="14">
        <v>0.05</v>
      </c>
      <c r="Y43" s="14">
        <v>0.1</v>
      </c>
      <c r="Z43" s="14">
        <v>7.0000000000000007E-2</v>
      </c>
      <c r="AA43" s="14">
        <v>0.08</v>
      </c>
      <c r="AB43" s="14">
        <v>0.03</v>
      </c>
      <c r="AC43" s="14">
        <v>0.08</v>
      </c>
      <c r="AD43" s="14">
        <v>0.06</v>
      </c>
      <c r="AE43" s="14">
        <v>0.09</v>
      </c>
      <c r="AF43" s="14">
        <v>7.0000000000000007E-2</v>
      </c>
    </row>
    <row r="44" spans="1:32">
      <c r="A44" s="20"/>
      <c r="B44" s="11" t="s">
        <v>468</v>
      </c>
      <c r="C44" s="12">
        <v>191</v>
      </c>
      <c r="D44" s="12">
        <v>7</v>
      </c>
      <c r="E44" s="12">
        <v>23</v>
      </c>
      <c r="F44" s="12">
        <v>12</v>
      </c>
      <c r="G44" s="12">
        <v>4</v>
      </c>
      <c r="H44" s="12">
        <v>5</v>
      </c>
      <c r="I44" s="12">
        <v>5</v>
      </c>
      <c r="J44" s="12">
        <v>0</v>
      </c>
      <c r="K44" s="12">
        <v>3</v>
      </c>
      <c r="L44" s="12">
        <v>15</v>
      </c>
      <c r="M44" s="12">
        <v>0</v>
      </c>
      <c r="N44" s="12">
        <v>8</v>
      </c>
      <c r="O44" s="12">
        <v>12</v>
      </c>
      <c r="P44" s="12">
        <v>2</v>
      </c>
      <c r="Q44" s="12">
        <v>4</v>
      </c>
      <c r="R44" s="12">
        <v>7</v>
      </c>
      <c r="S44" s="12">
        <v>5</v>
      </c>
      <c r="T44" s="12">
        <v>8</v>
      </c>
      <c r="U44" s="12">
        <v>1</v>
      </c>
      <c r="V44" s="12">
        <v>4</v>
      </c>
      <c r="W44" s="12">
        <v>3</v>
      </c>
      <c r="X44" s="12">
        <v>4</v>
      </c>
      <c r="Y44" s="12">
        <v>2</v>
      </c>
      <c r="Z44" s="12">
        <v>17</v>
      </c>
      <c r="AA44" s="12">
        <v>17</v>
      </c>
      <c r="AB44" s="12">
        <v>5</v>
      </c>
      <c r="AC44" s="12">
        <v>3</v>
      </c>
      <c r="AD44" s="12">
        <v>2</v>
      </c>
      <c r="AE44" s="12">
        <v>3</v>
      </c>
      <c r="AF44" s="12">
        <v>1</v>
      </c>
    </row>
    <row r="45" spans="1:32">
      <c r="A45" s="20"/>
      <c r="B45" s="13" t="s">
        <v>469</v>
      </c>
      <c r="C45" s="14">
        <v>0.01</v>
      </c>
      <c r="D45" s="14">
        <v>0.01</v>
      </c>
      <c r="E45" s="14">
        <v>0.02</v>
      </c>
      <c r="F45" s="14">
        <v>0.01</v>
      </c>
      <c r="G45" s="15" t="s">
        <v>459</v>
      </c>
      <c r="H45" s="15" t="s">
        <v>459</v>
      </c>
      <c r="I45" s="15" t="s">
        <v>459</v>
      </c>
      <c r="J45" s="15" t="s">
        <v>459</v>
      </c>
      <c r="K45" s="15" t="s">
        <v>459</v>
      </c>
      <c r="L45" s="14">
        <v>0.01</v>
      </c>
      <c r="M45" s="15" t="s">
        <v>459</v>
      </c>
      <c r="N45" s="14">
        <v>0.01</v>
      </c>
      <c r="O45" s="14">
        <v>0.01</v>
      </c>
      <c r="P45" s="15" t="s">
        <v>459</v>
      </c>
      <c r="Q45" s="15" t="s">
        <v>459</v>
      </c>
      <c r="R45" s="14">
        <v>0.01</v>
      </c>
      <c r="S45" s="15" t="s">
        <v>459</v>
      </c>
      <c r="T45" s="14">
        <v>0.01</v>
      </c>
      <c r="U45" s="15" t="s">
        <v>459</v>
      </c>
      <c r="V45" s="15" t="s">
        <v>459</v>
      </c>
      <c r="W45" s="14">
        <v>0.01</v>
      </c>
      <c r="X45" s="15" t="s">
        <v>459</v>
      </c>
      <c r="Y45" s="15" t="s">
        <v>459</v>
      </c>
      <c r="Z45" s="14">
        <v>0.02</v>
      </c>
      <c r="AA45" s="14">
        <v>0.02</v>
      </c>
      <c r="AB45" s="15" t="s">
        <v>459</v>
      </c>
      <c r="AC45" s="15" t="s">
        <v>459</v>
      </c>
      <c r="AD45" s="15" t="s">
        <v>459</v>
      </c>
      <c r="AE45" s="15" t="s">
        <v>459</v>
      </c>
      <c r="AF45" s="15" t="s">
        <v>459</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23</v>
      </c>
      <c r="C3" s="18"/>
      <c r="D3" s="18"/>
      <c r="E3" s="18"/>
      <c r="F3" s="18"/>
      <c r="H3" s="18" t="s">
        <v>24</v>
      </c>
      <c r="I3" s="18"/>
      <c r="J3" s="18"/>
      <c r="K3" s="18"/>
      <c r="L3" s="18"/>
    </row>
    <row r="4" spans="1:32" ht="27" customHeight="1">
      <c r="B4" s="18"/>
      <c r="C4" s="18"/>
      <c r="D4" s="18"/>
      <c r="E4" s="18"/>
      <c r="F4" s="18"/>
      <c r="H4" s="18"/>
      <c r="I4" s="18"/>
      <c r="J4" s="18"/>
      <c r="K4" s="18"/>
      <c r="L4" s="18"/>
    </row>
    <row r="5" spans="1:32" ht="24" customHeight="1">
      <c r="B5" s="18" t="s">
        <v>552</v>
      </c>
      <c r="C5" s="18"/>
      <c r="D5" s="18"/>
      <c r="E5" s="18"/>
      <c r="F5" s="18"/>
      <c r="H5" s="18" t="s">
        <v>553</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24563</v>
      </c>
      <c r="D10" s="10">
        <v>969</v>
      </c>
      <c r="E10" s="10">
        <v>905</v>
      </c>
      <c r="F10" s="10">
        <v>961</v>
      </c>
      <c r="G10" s="10">
        <v>957</v>
      </c>
      <c r="H10" s="10">
        <v>1128</v>
      </c>
      <c r="I10" s="10">
        <v>1407</v>
      </c>
      <c r="J10" s="10">
        <v>278</v>
      </c>
      <c r="K10" s="10">
        <v>930</v>
      </c>
      <c r="L10" s="10">
        <v>926</v>
      </c>
      <c r="M10" s="10">
        <v>962</v>
      </c>
      <c r="N10" s="10">
        <v>956</v>
      </c>
      <c r="O10" s="10">
        <v>929</v>
      </c>
      <c r="P10" s="10">
        <v>1000</v>
      </c>
      <c r="Q10" s="10">
        <v>949</v>
      </c>
      <c r="R10" s="10">
        <v>451</v>
      </c>
      <c r="S10" s="10">
        <v>934</v>
      </c>
      <c r="T10" s="10">
        <v>841</v>
      </c>
      <c r="U10" s="10">
        <v>488</v>
      </c>
      <c r="V10" s="10">
        <v>955</v>
      </c>
      <c r="W10" s="10">
        <v>472</v>
      </c>
      <c r="X10" s="10">
        <v>964</v>
      </c>
      <c r="Y10" s="10">
        <v>902</v>
      </c>
      <c r="Z10" s="10">
        <v>922</v>
      </c>
      <c r="AA10" s="10">
        <v>952</v>
      </c>
      <c r="AB10" s="10">
        <v>1003</v>
      </c>
      <c r="AC10" s="10">
        <v>927</v>
      </c>
      <c r="AD10" s="10">
        <v>939</v>
      </c>
      <c r="AE10" s="10">
        <v>906</v>
      </c>
      <c r="AF10" s="10">
        <v>950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523</v>
      </c>
      <c r="C12" s="12">
        <v>5194</v>
      </c>
      <c r="D12" s="12">
        <v>176</v>
      </c>
      <c r="E12" s="12">
        <v>206</v>
      </c>
      <c r="F12" s="12">
        <v>244</v>
      </c>
      <c r="G12" s="12">
        <v>258</v>
      </c>
      <c r="H12" s="12">
        <v>299</v>
      </c>
      <c r="I12" s="12">
        <v>379</v>
      </c>
      <c r="J12" s="12">
        <v>81</v>
      </c>
      <c r="K12" s="12">
        <v>251</v>
      </c>
      <c r="L12" s="12">
        <v>193</v>
      </c>
      <c r="M12" s="12">
        <v>311</v>
      </c>
      <c r="N12" s="12">
        <v>189</v>
      </c>
      <c r="O12" s="12">
        <v>178</v>
      </c>
      <c r="P12" s="12">
        <v>268</v>
      </c>
      <c r="Q12" s="12">
        <v>184</v>
      </c>
      <c r="R12" s="12">
        <v>72</v>
      </c>
      <c r="S12" s="12">
        <v>139</v>
      </c>
      <c r="T12" s="12">
        <v>116</v>
      </c>
      <c r="U12" s="12">
        <v>49</v>
      </c>
      <c r="V12" s="12">
        <v>216</v>
      </c>
      <c r="W12" s="12">
        <v>55</v>
      </c>
      <c r="X12" s="12">
        <v>199</v>
      </c>
      <c r="Y12" s="12">
        <v>219</v>
      </c>
      <c r="Z12" s="12">
        <v>125</v>
      </c>
      <c r="AA12" s="12">
        <v>200</v>
      </c>
      <c r="AB12" s="12">
        <v>190</v>
      </c>
      <c r="AC12" s="12">
        <v>101</v>
      </c>
      <c r="AD12" s="12">
        <v>154</v>
      </c>
      <c r="AE12" s="12">
        <v>205</v>
      </c>
      <c r="AF12" s="12">
        <v>178</v>
      </c>
    </row>
    <row r="13" spans="1:32">
      <c r="A13" s="20"/>
      <c r="B13" s="13" t="s">
        <v>524</v>
      </c>
      <c r="C13" s="14">
        <v>0.26</v>
      </c>
      <c r="D13" s="14">
        <v>0.23</v>
      </c>
      <c r="E13" s="14">
        <v>0.27</v>
      </c>
      <c r="F13" s="14">
        <v>0.36</v>
      </c>
      <c r="G13" s="14">
        <v>0.35</v>
      </c>
      <c r="H13" s="14">
        <v>0.33</v>
      </c>
      <c r="I13" s="14">
        <v>0.35</v>
      </c>
      <c r="J13" s="14">
        <v>0.41</v>
      </c>
      <c r="K13" s="14">
        <v>0.36</v>
      </c>
      <c r="L13" s="14">
        <v>0.25</v>
      </c>
      <c r="M13" s="14">
        <v>0.41</v>
      </c>
      <c r="N13" s="14">
        <v>0.25</v>
      </c>
      <c r="O13" s="14">
        <v>0.26</v>
      </c>
      <c r="P13" s="14">
        <v>0.31</v>
      </c>
      <c r="Q13" s="14">
        <v>0.22</v>
      </c>
      <c r="R13" s="14">
        <v>0.18</v>
      </c>
      <c r="S13" s="14">
        <v>0.19</v>
      </c>
      <c r="T13" s="14">
        <v>0.15</v>
      </c>
      <c r="U13" s="14">
        <v>0.11</v>
      </c>
      <c r="V13" s="14">
        <v>0.28999999999999998</v>
      </c>
      <c r="W13" s="14">
        <v>0.15</v>
      </c>
      <c r="X13" s="14">
        <v>0.26</v>
      </c>
      <c r="Y13" s="14">
        <v>0.28000000000000003</v>
      </c>
      <c r="Z13" s="14">
        <v>0.16</v>
      </c>
      <c r="AA13" s="14">
        <v>0.24</v>
      </c>
      <c r="AB13" s="14">
        <v>0.21</v>
      </c>
      <c r="AC13" s="14">
        <v>0.12</v>
      </c>
      <c r="AD13" s="14">
        <v>0.19</v>
      </c>
      <c r="AE13" s="14">
        <v>0.3</v>
      </c>
      <c r="AF13" s="14">
        <v>0.24</v>
      </c>
    </row>
    <row r="14" spans="1:32" ht="24.95">
      <c r="A14" s="20"/>
      <c r="B14" s="11" t="s">
        <v>525</v>
      </c>
      <c r="C14" s="12">
        <v>5901</v>
      </c>
      <c r="D14" s="12">
        <v>209</v>
      </c>
      <c r="E14" s="12">
        <v>195</v>
      </c>
      <c r="F14" s="12">
        <v>318</v>
      </c>
      <c r="G14" s="12">
        <v>253</v>
      </c>
      <c r="H14" s="12">
        <v>310</v>
      </c>
      <c r="I14" s="12">
        <v>405</v>
      </c>
      <c r="J14" s="12">
        <v>95</v>
      </c>
      <c r="K14" s="12">
        <v>249</v>
      </c>
      <c r="L14" s="12">
        <v>206</v>
      </c>
      <c r="M14" s="12">
        <v>324</v>
      </c>
      <c r="N14" s="12">
        <v>129</v>
      </c>
      <c r="O14" s="12">
        <v>263</v>
      </c>
      <c r="P14" s="12">
        <v>365</v>
      </c>
      <c r="Q14" s="12">
        <v>244</v>
      </c>
      <c r="R14" s="12">
        <v>78</v>
      </c>
      <c r="S14" s="12">
        <v>107</v>
      </c>
      <c r="T14" s="12">
        <v>102</v>
      </c>
      <c r="U14" s="12">
        <v>81</v>
      </c>
      <c r="V14" s="12">
        <v>288</v>
      </c>
      <c r="W14" s="12">
        <v>51</v>
      </c>
      <c r="X14" s="12">
        <v>231</v>
      </c>
      <c r="Y14" s="12">
        <v>334</v>
      </c>
      <c r="Z14" s="12">
        <v>117</v>
      </c>
      <c r="AA14" s="12">
        <v>193</v>
      </c>
      <c r="AB14" s="12">
        <v>206</v>
      </c>
      <c r="AC14" s="12">
        <v>138</v>
      </c>
      <c r="AD14" s="12">
        <v>196</v>
      </c>
      <c r="AE14" s="12">
        <v>233</v>
      </c>
      <c r="AF14" s="12">
        <v>191</v>
      </c>
    </row>
    <row r="15" spans="1:32">
      <c r="A15" s="20"/>
      <c r="B15" s="13" t="s">
        <v>526</v>
      </c>
      <c r="C15" s="14">
        <v>0.27</v>
      </c>
      <c r="D15" s="14">
        <v>0.24</v>
      </c>
      <c r="E15" s="14">
        <v>0.24</v>
      </c>
      <c r="F15" s="14">
        <v>0.38</v>
      </c>
      <c r="G15" s="14">
        <v>0.33</v>
      </c>
      <c r="H15" s="14">
        <v>0.33</v>
      </c>
      <c r="I15" s="14">
        <v>0.34</v>
      </c>
      <c r="J15" s="14">
        <v>0.41</v>
      </c>
      <c r="K15" s="14">
        <v>0.3</v>
      </c>
      <c r="L15" s="14">
        <v>0.26</v>
      </c>
      <c r="M15" s="14">
        <v>0.38</v>
      </c>
      <c r="N15" s="14">
        <v>0.14000000000000001</v>
      </c>
      <c r="O15" s="14">
        <v>0.34</v>
      </c>
      <c r="P15" s="14">
        <v>0.42</v>
      </c>
      <c r="Q15" s="14">
        <v>0.3</v>
      </c>
      <c r="R15" s="14">
        <v>0.19</v>
      </c>
      <c r="S15" s="14">
        <v>0.13</v>
      </c>
      <c r="T15" s="14">
        <v>0.13</v>
      </c>
      <c r="U15" s="14">
        <v>0.18</v>
      </c>
      <c r="V15" s="14">
        <v>0.34</v>
      </c>
      <c r="W15" s="14">
        <v>0.11</v>
      </c>
      <c r="X15" s="14">
        <v>0.26</v>
      </c>
      <c r="Y15" s="14">
        <v>0.4</v>
      </c>
      <c r="Z15" s="14">
        <v>0.14000000000000001</v>
      </c>
      <c r="AA15" s="14">
        <v>0.21</v>
      </c>
      <c r="AB15" s="14">
        <v>0.22</v>
      </c>
      <c r="AC15" s="14">
        <v>0.16</v>
      </c>
      <c r="AD15" s="14">
        <v>0.23</v>
      </c>
      <c r="AE15" s="14">
        <v>0.31</v>
      </c>
      <c r="AF15" s="14">
        <v>0.23</v>
      </c>
    </row>
    <row r="16" spans="1:32">
      <c r="A16" s="20"/>
      <c r="B16" s="11" t="s">
        <v>527</v>
      </c>
      <c r="C16" s="12">
        <v>5128</v>
      </c>
      <c r="D16" s="12">
        <v>196</v>
      </c>
      <c r="E16" s="12">
        <v>205</v>
      </c>
      <c r="F16" s="12">
        <v>260</v>
      </c>
      <c r="G16" s="12">
        <v>210</v>
      </c>
      <c r="H16" s="12">
        <v>272</v>
      </c>
      <c r="I16" s="12">
        <v>328</v>
      </c>
      <c r="J16" s="12">
        <v>56</v>
      </c>
      <c r="K16" s="12">
        <v>215</v>
      </c>
      <c r="L16" s="12">
        <v>207</v>
      </c>
      <c r="M16" s="12">
        <v>274</v>
      </c>
      <c r="N16" s="12">
        <v>175</v>
      </c>
      <c r="O16" s="12">
        <v>165</v>
      </c>
      <c r="P16" s="12">
        <v>296</v>
      </c>
      <c r="Q16" s="12">
        <v>200</v>
      </c>
      <c r="R16" s="12">
        <v>93</v>
      </c>
      <c r="S16" s="12">
        <v>95</v>
      </c>
      <c r="T16" s="12">
        <v>118</v>
      </c>
      <c r="U16" s="12">
        <v>94</v>
      </c>
      <c r="V16" s="12">
        <v>221</v>
      </c>
      <c r="W16" s="12">
        <v>62</v>
      </c>
      <c r="X16" s="12">
        <v>214</v>
      </c>
      <c r="Y16" s="12">
        <v>255</v>
      </c>
      <c r="Z16" s="12">
        <v>173</v>
      </c>
      <c r="AA16" s="12">
        <v>202</v>
      </c>
      <c r="AB16" s="12">
        <v>200</v>
      </c>
      <c r="AC16" s="12">
        <v>149</v>
      </c>
      <c r="AD16" s="12">
        <v>169</v>
      </c>
      <c r="AE16" s="12">
        <v>187</v>
      </c>
      <c r="AF16" s="12">
        <v>162</v>
      </c>
    </row>
    <row r="17" spans="1:32">
      <c r="A17" s="20"/>
      <c r="B17" s="13" t="s">
        <v>528</v>
      </c>
      <c r="C17" s="14">
        <v>0.28999999999999998</v>
      </c>
      <c r="D17" s="14">
        <v>0.28000000000000003</v>
      </c>
      <c r="E17" s="14">
        <v>0.3</v>
      </c>
      <c r="F17" s="14">
        <v>0.37</v>
      </c>
      <c r="G17" s="14">
        <v>0.28999999999999998</v>
      </c>
      <c r="H17" s="14">
        <v>0.32</v>
      </c>
      <c r="I17" s="14">
        <v>0.3</v>
      </c>
      <c r="J17" s="14">
        <v>0.25</v>
      </c>
      <c r="K17" s="14">
        <v>0.32</v>
      </c>
      <c r="L17" s="14">
        <v>0.34</v>
      </c>
      <c r="M17" s="14">
        <v>0.42</v>
      </c>
      <c r="N17" s="14">
        <v>0.28999999999999998</v>
      </c>
      <c r="O17" s="14">
        <v>0.24</v>
      </c>
      <c r="P17" s="14">
        <v>0.41</v>
      </c>
      <c r="Q17" s="14">
        <v>0.27</v>
      </c>
      <c r="R17" s="14">
        <v>0.39</v>
      </c>
      <c r="S17" s="14">
        <v>0.15</v>
      </c>
      <c r="T17" s="14">
        <v>0.22</v>
      </c>
      <c r="U17" s="14">
        <v>0.35</v>
      </c>
      <c r="V17" s="14">
        <v>0.32</v>
      </c>
      <c r="W17" s="14">
        <v>0.19</v>
      </c>
      <c r="X17" s="14">
        <v>0.36</v>
      </c>
      <c r="Y17" s="14">
        <v>0.39</v>
      </c>
      <c r="Z17" s="14">
        <v>0.26</v>
      </c>
      <c r="AA17" s="14">
        <v>0.28999999999999998</v>
      </c>
      <c r="AB17" s="14">
        <v>0.25</v>
      </c>
      <c r="AC17" s="14">
        <v>0.28000000000000003</v>
      </c>
      <c r="AD17" s="14">
        <v>0.27</v>
      </c>
      <c r="AE17" s="14">
        <v>0.28999999999999998</v>
      </c>
      <c r="AF17" s="14">
        <v>0.26</v>
      </c>
    </row>
    <row r="18" spans="1:32" ht="24.95">
      <c r="A18" s="20"/>
      <c r="B18" s="11" t="s">
        <v>529</v>
      </c>
      <c r="C18" s="12">
        <v>4063</v>
      </c>
      <c r="D18" s="12">
        <v>168</v>
      </c>
      <c r="E18" s="12">
        <v>155</v>
      </c>
      <c r="F18" s="12">
        <v>165</v>
      </c>
      <c r="G18" s="12">
        <v>192</v>
      </c>
      <c r="H18" s="12">
        <v>212</v>
      </c>
      <c r="I18" s="12">
        <v>256</v>
      </c>
      <c r="J18" s="12">
        <v>44</v>
      </c>
      <c r="K18" s="12">
        <v>181</v>
      </c>
      <c r="L18" s="12">
        <v>99</v>
      </c>
      <c r="M18" s="12">
        <v>213</v>
      </c>
      <c r="N18" s="12">
        <v>90</v>
      </c>
      <c r="O18" s="12">
        <v>131</v>
      </c>
      <c r="P18" s="12">
        <v>220</v>
      </c>
      <c r="Q18" s="12">
        <v>220</v>
      </c>
      <c r="R18" s="12">
        <v>62</v>
      </c>
      <c r="S18" s="12">
        <v>54</v>
      </c>
      <c r="T18" s="12">
        <v>152</v>
      </c>
      <c r="U18" s="12">
        <v>65</v>
      </c>
      <c r="V18" s="12">
        <v>159</v>
      </c>
      <c r="W18" s="12">
        <v>74</v>
      </c>
      <c r="X18" s="12">
        <v>111</v>
      </c>
      <c r="Y18" s="12">
        <v>201</v>
      </c>
      <c r="Z18" s="12">
        <v>165</v>
      </c>
      <c r="AA18" s="12">
        <v>195</v>
      </c>
      <c r="AB18" s="12">
        <v>142</v>
      </c>
      <c r="AC18" s="12">
        <v>126</v>
      </c>
      <c r="AD18" s="12">
        <v>106</v>
      </c>
      <c r="AE18" s="12">
        <v>132</v>
      </c>
      <c r="AF18" s="12">
        <v>111</v>
      </c>
    </row>
    <row r="19" spans="1:32" ht="24.95">
      <c r="A19" s="20"/>
      <c r="B19" s="13" t="s">
        <v>530</v>
      </c>
      <c r="C19" s="14">
        <v>0.19</v>
      </c>
      <c r="D19" s="14">
        <v>0.2</v>
      </c>
      <c r="E19" s="14">
        <v>0.19</v>
      </c>
      <c r="F19" s="14">
        <v>0.19</v>
      </c>
      <c r="G19" s="14">
        <v>0.24</v>
      </c>
      <c r="H19" s="14">
        <v>0.23</v>
      </c>
      <c r="I19" s="14">
        <v>0.22</v>
      </c>
      <c r="J19" s="14">
        <v>0.18</v>
      </c>
      <c r="K19" s="14">
        <v>0.22</v>
      </c>
      <c r="L19" s="14">
        <v>0.12</v>
      </c>
      <c r="M19" s="14">
        <v>0.27</v>
      </c>
      <c r="N19" s="14">
        <v>0.1</v>
      </c>
      <c r="O19" s="14">
        <v>0.16</v>
      </c>
      <c r="P19" s="14">
        <v>0.26</v>
      </c>
      <c r="Q19" s="14">
        <v>0.27</v>
      </c>
      <c r="R19" s="14">
        <v>0.16</v>
      </c>
      <c r="S19" s="14">
        <v>7.0000000000000007E-2</v>
      </c>
      <c r="T19" s="14">
        <v>0.22</v>
      </c>
      <c r="U19" s="14">
        <v>0.15</v>
      </c>
      <c r="V19" s="14">
        <v>0.18</v>
      </c>
      <c r="W19" s="14">
        <v>0.19</v>
      </c>
      <c r="X19" s="14">
        <v>0.14000000000000001</v>
      </c>
      <c r="Y19" s="14">
        <v>0.28000000000000003</v>
      </c>
      <c r="Z19" s="14">
        <v>0.2</v>
      </c>
      <c r="AA19" s="14">
        <v>0.26</v>
      </c>
      <c r="AB19" s="14">
        <v>0.16</v>
      </c>
      <c r="AC19" s="14">
        <v>0.16</v>
      </c>
      <c r="AD19" s="14">
        <v>0.13</v>
      </c>
      <c r="AE19" s="14">
        <v>0.16</v>
      </c>
      <c r="AF19" s="14">
        <v>0.14000000000000001</v>
      </c>
    </row>
    <row r="20" spans="1:32" ht="24.95">
      <c r="A20" s="20"/>
      <c r="B20" s="11" t="s">
        <v>531</v>
      </c>
      <c r="C20" s="12">
        <v>1082</v>
      </c>
      <c r="D20" s="12">
        <v>58</v>
      </c>
      <c r="E20" s="12">
        <v>40</v>
      </c>
      <c r="F20" s="12">
        <v>27</v>
      </c>
      <c r="G20" s="12">
        <v>28</v>
      </c>
      <c r="H20" s="12">
        <v>25</v>
      </c>
      <c r="I20" s="12">
        <v>26</v>
      </c>
      <c r="J20" s="12">
        <v>1</v>
      </c>
      <c r="K20" s="12">
        <v>32</v>
      </c>
      <c r="L20" s="12">
        <v>49</v>
      </c>
      <c r="M20" s="12">
        <v>81</v>
      </c>
      <c r="N20" s="12">
        <v>37</v>
      </c>
      <c r="O20" s="12">
        <v>30</v>
      </c>
      <c r="P20" s="12">
        <v>108</v>
      </c>
      <c r="Q20" s="12">
        <v>83</v>
      </c>
      <c r="R20" s="12">
        <v>4</v>
      </c>
      <c r="S20" s="12">
        <v>33</v>
      </c>
      <c r="T20" s="12">
        <v>21</v>
      </c>
      <c r="U20" s="12">
        <v>9</v>
      </c>
      <c r="V20" s="12">
        <v>56</v>
      </c>
      <c r="W20" s="12">
        <v>31</v>
      </c>
      <c r="X20" s="12">
        <v>18</v>
      </c>
      <c r="Y20" s="12">
        <v>64</v>
      </c>
      <c r="Z20" s="12">
        <v>53</v>
      </c>
      <c r="AA20" s="12">
        <v>34</v>
      </c>
      <c r="AB20" s="12">
        <v>52</v>
      </c>
      <c r="AC20" s="12">
        <v>23</v>
      </c>
      <c r="AD20" s="12">
        <v>31</v>
      </c>
      <c r="AE20" s="12">
        <v>11</v>
      </c>
      <c r="AF20" s="12">
        <v>21</v>
      </c>
    </row>
    <row r="21" spans="1:32" ht="24.95">
      <c r="A21" s="20"/>
      <c r="B21" s="13" t="s">
        <v>532</v>
      </c>
      <c r="C21" s="14">
        <v>0.04</v>
      </c>
      <c r="D21" s="14">
        <v>0.06</v>
      </c>
      <c r="E21" s="14">
        <v>0.05</v>
      </c>
      <c r="F21" s="14">
        <v>0.03</v>
      </c>
      <c r="G21" s="14">
        <v>0.03</v>
      </c>
      <c r="H21" s="14">
        <v>0.02</v>
      </c>
      <c r="I21" s="14">
        <v>0.02</v>
      </c>
      <c r="J21" s="15" t="s">
        <v>459</v>
      </c>
      <c r="K21" s="14">
        <v>0.03</v>
      </c>
      <c r="L21" s="14">
        <v>0.05</v>
      </c>
      <c r="M21" s="14">
        <v>0.08</v>
      </c>
      <c r="N21" s="14">
        <v>0.04</v>
      </c>
      <c r="O21" s="14">
        <v>0.03</v>
      </c>
      <c r="P21" s="14">
        <v>0.11</v>
      </c>
      <c r="Q21" s="14">
        <v>0.09</v>
      </c>
      <c r="R21" s="14">
        <v>0.01</v>
      </c>
      <c r="S21" s="14">
        <v>0.04</v>
      </c>
      <c r="T21" s="14">
        <v>0.03</v>
      </c>
      <c r="U21" s="14">
        <v>0.02</v>
      </c>
      <c r="V21" s="14">
        <v>0.06</v>
      </c>
      <c r="W21" s="14">
        <v>7.0000000000000007E-2</v>
      </c>
      <c r="X21" s="14">
        <v>0.02</v>
      </c>
      <c r="Y21" s="14">
        <v>7.0000000000000007E-2</v>
      </c>
      <c r="Z21" s="14">
        <v>0.06</v>
      </c>
      <c r="AA21" s="14">
        <v>0.04</v>
      </c>
      <c r="AB21" s="14">
        <v>0.05</v>
      </c>
      <c r="AC21" s="14">
        <v>0.02</v>
      </c>
      <c r="AD21" s="14">
        <v>0.03</v>
      </c>
      <c r="AE21" s="14">
        <v>0.01</v>
      </c>
      <c r="AF21" s="14">
        <v>0.02</v>
      </c>
    </row>
    <row r="22" spans="1:32" ht="24.95">
      <c r="A22" s="20"/>
      <c r="B22" s="11" t="s">
        <v>533</v>
      </c>
      <c r="C22" s="12">
        <v>4406</v>
      </c>
      <c r="D22" s="12">
        <v>163</v>
      </c>
      <c r="E22" s="12">
        <v>202</v>
      </c>
      <c r="F22" s="12">
        <v>156</v>
      </c>
      <c r="G22" s="12">
        <v>127</v>
      </c>
      <c r="H22" s="12">
        <v>207</v>
      </c>
      <c r="I22" s="12">
        <v>255</v>
      </c>
      <c r="J22" s="12">
        <v>48</v>
      </c>
      <c r="K22" s="12">
        <v>100</v>
      </c>
      <c r="L22" s="12">
        <v>133</v>
      </c>
      <c r="M22" s="12">
        <v>220</v>
      </c>
      <c r="N22" s="12">
        <v>194</v>
      </c>
      <c r="O22" s="12">
        <v>143</v>
      </c>
      <c r="P22" s="12">
        <v>285</v>
      </c>
      <c r="Q22" s="12">
        <v>210</v>
      </c>
      <c r="R22" s="12">
        <v>113</v>
      </c>
      <c r="S22" s="12">
        <v>78</v>
      </c>
      <c r="T22" s="12">
        <v>64</v>
      </c>
      <c r="U22" s="12">
        <v>76</v>
      </c>
      <c r="V22" s="12">
        <v>202</v>
      </c>
      <c r="W22" s="12">
        <v>107</v>
      </c>
      <c r="X22" s="12">
        <v>94</v>
      </c>
      <c r="Y22" s="12">
        <v>158</v>
      </c>
      <c r="Z22" s="12">
        <v>141</v>
      </c>
      <c r="AA22" s="12">
        <v>187</v>
      </c>
      <c r="AB22" s="12">
        <v>196</v>
      </c>
      <c r="AC22" s="12">
        <v>81</v>
      </c>
      <c r="AD22" s="12">
        <v>153</v>
      </c>
      <c r="AE22" s="12">
        <v>121</v>
      </c>
      <c r="AF22" s="12">
        <v>165</v>
      </c>
    </row>
    <row r="23" spans="1:32">
      <c r="A23" s="20"/>
      <c r="B23" s="13" t="s">
        <v>534</v>
      </c>
      <c r="C23" s="14">
        <v>0.19</v>
      </c>
      <c r="D23" s="14">
        <v>0.18</v>
      </c>
      <c r="E23" s="14">
        <v>0.24</v>
      </c>
      <c r="F23" s="14">
        <v>0.17</v>
      </c>
      <c r="G23" s="14">
        <v>0.14000000000000001</v>
      </c>
      <c r="H23" s="14">
        <v>0.19</v>
      </c>
      <c r="I23" s="14">
        <v>0.19</v>
      </c>
      <c r="J23" s="14">
        <v>0.18</v>
      </c>
      <c r="K23" s="14">
        <v>0.11</v>
      </c>
      <c r="L23" s="14">
        <v>0.15</v>
      </c>
      <c r="M23" s="14">
        <v>0.24</v>
      </c>
      <c r="N23" s="14">
        <v>0.22</v>
      </c>
      <c r="O23" s="14">
        <v>0.16</v>
      </c>
      <c r="P23" s="14">
        <v>0.31</v>
      </c>
      <c r="Q23" s="14">
        <v>0.24</v>
      </c>
      <c r="R23" s="14">
        <v>0.27</v>
      </c>
      <c r="S23" s="14">
        <v>0.09</v>
      </c>
      <c r="T23" s="14">
        <v>0.08</v>
      </c>
      <c r="U23" s="14">
        <v>0.17</v>
      </c>
      <c r="V23" s="14">
        <v>0.22</v>
      </c>
      <c r="W23" s="14">
        <v>0.24</v>
      </c>
      <c r="X23" s="14">
        <v>0.1</v>
      </c>
      <c r="Y23" s="14">
        <v>0.19</v>
      </c>
      <c r="Z23" s="14">
        <v>0.16</v>
      </c>
      <c r="AA23" s="14">
        <v>0.21</v>
      </c>
      <c r="AB23" s="14">
        <v>0.21</v>
      </c>
      <c r="AC23" s="14">
        <v>0.09</v>
      </c>
      <c r="AD23" s="14">
        <v>0.17</v>
      </c>
      <c r="AE23" s="14">
        <v>0.14000000000000001</v>
      </c>
      <c r="AF23" s="14">
        <v>0.19</v>
      </c>
    </row>
    <row r="24" spans="1:32">
      <c r="A24" s="20"/>
      <c r="B24" s="11" t="s">
        <v>535</v>
      </c>
      <c r="C24" s="12">
        <v>752</v>
      </c>
      <c r="D24" s="12">
        <v>58</v>
      </c>
      <c r="E24" s="12">
        <v>19</v>
      </c>
      <c r="F24" s="12">
        <v>25</v>
      </c>
      <c r="G24" s="12">
        <v>23</v>
      </c>
      <c r="H24" s="12">
        <v>28</v>
      </c>
      <c r="I24" s="12">
        <v>35</v>
      </c>
      <c r="J24" s="12">
        <v>7</v>
      </c>
      <c r="K24" s="12">
        <v>47</v>
      </c>
      <c r="L24" s="12">
        <v>16</v>
      </c>
      <c r="M24" s="12">
        <v>2</v>
      </c>
      <c r="N24" s="12">
        <v>23</v>
      </c>
      <c r="O24" s="12">
        <v>37</v>
      </c>
      <c r="P24" s="12">
        <v>34</v>
      </c>
      <c r="Q24" s="12">
        <v>34</v>
      </c>
      <c r="R24" s="12">
        <v>7</v>
      </c>
      <c r="S24" s="12">
        <v>38</v>
      </c>
      <c r="T24" s="12">
        <v>13</v>
      </c>
      <c r="U24" s="12">
        <v>41</v>
      </c>
      <c r="V24" s="12">
        <v>25</v>
      </c>
      <c r="W24" s="12">
        <v>14</v>
      </c>
      <c r="X24" s="12">
        <v>7</v>
      </c>
      <c r="Y24" s="12">
        <v>36</v>
      </c>
      <c r="Z24" s="12">
        <v>36</v>
      </c>
      <c r="AA24" s="12">
        <v>18</v>
      </c>
      <c r="AB24" s="12">
        <v>67</v>
      </c>
      <c r="AC24" s="12">
        <v>8</v>
      </c>
      <c r="AD24" s="12">
        <v>11</v>
      </c>
      <c r="AE24" s="12">
        <v>7</v>
      </c>
      <c r="AF24" s="12">
        <v>12</v>
      </c>
    </row>
    <row r="25" spans="1:32">
      <c r="A25" s="20"/>
      <c r="B25" s="13" t="s">
        <v>536</v>
      </c>
      <c r="C25" s="14">
        <v>0.03</v>
      </c>
      <c r="D25" s="14">
        <v>0.06</v>
      </c>
      <c r="E25" s="14">
        <v>0.02</v>
      </c>
      <c r="F25" s="14">
        <v>0.03</v>
      </c>
      <c r="G25" s="14">
        <v>0.02</v>
      </c>
      <c r="H25" s="14">
        <v>0.02</v>
      </c>
      <c r="I25" s="14">
        <v>0.03</v>
      </c>
      <c r="J25" s="14">
        <v>0.03</v>
      </c>
      <c r="K25" s="14">
        <v>0.05</v>
      </c>
      <c r="L25" s="14">
        <v>0.02</v>
      </c>
      <c r="M25" s="15" t="s">
        <v>459</v>
      </c>
      <c r="N25" s="14">
        <v>0.02</v>
      </c>
      <c r="O25" s="14">
        <v>0.04</v>
      </c>
      <c r="P25" s="14">
        <v>0.03</v>
      </c>
      <c r="Q25" s="14">
        <v>0.04</v>
      </c>
      <c r="R25" s="14">
        <v>0.02</v>
      </c>
      <c r="S25" s="14">
        <v>0.04</v>
      </c>
      <c r="T25" s="14">
        <v>0.02</v>
      </c>
      <c r="U25" s="14">
        <v>0.09</v>
      </c>
      <c r="V25" s="14">
        <v>0.03</v>
      </c>
      <c r="W25" s="14">
        <v>0.03</v>
      </c>
      <c r="X25" s="14">
        <v>0.01</v>
      </c>
      <c r="Y25" s="14">
        <v>0.04</v>
      </c>
      <c r="Z25" s="14">
        <v>0.04</v>
      </c>
      <c r="AA25" s="14">
        <v>0.02</v>
      </c>
      <c r="AB25" s="14">
        <v>7.0000000000000007E-2</v>
      </c>
      <c r="AC25" s="14">
        <v>0.01</v>
      </c>
      <c r="AD25" s="14">
        <v>0.01</v>
      </c>
      <c r="AE25" s="14">
        <v>0.01</v>
      </c>
      <c r="AF25" s="14">
        <v>0.01</v>
      </c>
    </row>
    <row r="26" spans="1:32" ht="24.95">
      <c r="A26" s="20"/>
      <c r="B26" s="11" t="s">
        <v>537</v>
      </c>
      <c r="C26" s="12">
        <v>1124</v>
      </c>
      <c r="D26" s="12">
        <v>70</v>
      </c>
      <c r="E26" s="12">
        <v>23</v>
      </c>
      <c r="F26" s="12">
        <v>63</v>
      </c>
      <c r="G26" s="12">
        <v>81</v>
      </c>
      <c r="H26" s="12">
        <v>32</v>
      </c>
      <c r="I26" s="12">
        <v>41</v>
      </c>
      <c r="J26" s="12">
        <v>8</v>
      </c>
      <c r="K26" s="12">
        <v>41</v>
      </c>
      <c r="L26" s="12">
        <v>62</v>
      </c>
      <c r="M26" s="12">
        <v>36</v>
      </c>
      <c r="N26" s="12">
        <v>33</v>
      </c>
      <c r="O26" s="12">
        <v>28</v>
      </c>
      <c r="P26" s="12">
        <v>52</v>
      </c>
      <c r="Q26" s="12">
        <v>36</v>
      </c>
      <c r="R26" s="12">
        <v>48</v>
      </c>
      <c r="S26" s="12">
        <v>35</v>
      </c>
      <c r="T26" s="12">
        <v>31</v>
      </c>
      <c r="U26" s="12">
        <v>36</v>
      </c>
      <c r="V26" s="12">
        <v>77</v>
      </c>
      <c r="W26" s="12">
        <v>21</v>
      </c>
      <c r="X26" s="12">
        <v>61</v>
      </c>
      <c r="Y26" s="12">
        <v>96</v>
      </c>
      <c r="Z26" s="12">
        <v>43</v>
      </c>
      <c r="AA26" s="12">
        <v>64</v>
      </c>
      <c r="AB26" s="12">
        <v>94</v>
      </c>
      <c r="AC26" s="12">
        <v>62</v>
      </c>
      <c r="AD26" s="12">
        <v>65</v>
      </c>
      <c r="AE26" s="12">
        <v>53</v>
      </c>
      <c r="AF26" s="12">
        <v>57</v>
      </c>
    </row>
    <row r="27" spans="1:32">
      <c r="A27" s="20"/>
      <c r="B27" s="13" t="s">
        <v>538</v>
      </c>
      <c r="C27" s="14">
        <v>0.05</v>
      </c>
      <c r="D27" s="14">
        <v>7.0000000000000007E-2</v>
      </c>
      <c r="E27" s="14">
        <v>0.03</v>
      </c>
      <c r="F27" s="14">
        <v>7.0000000000000007E-2</v>
      </c>
      <c r="G27" s="14">
        <v>0.09</v>
      </c>
      <c r="H27" s="14">
        <v>0.03</v>
      </c>
      <c r="I27" s="14">
        <v>0.03</v>
      </c>
      <c r="J27" s="14">
        <v>0.03</v>
      </c>
      <c r="K27" s="14">
        <v>0.05</v>
      </c>
      <c r="L27" s="14">
        <v>7.0000000000000007E-2</v>
      </c>
      <c r="M27" s="14">
        <v>0.04</v>
      </c>
      <c r="N27" s="14">
        <v>0.03</v>
      </c>
      <c r="O27" s="14">
        <v>0.03</v>
      </c>
      <c r="P27" s="14">
        <v>0.05</v>
      </c>
      <c r="Q27" s="14">
        <v>0.04</v>
      </c>
      <c r="R27" s="14">
        <v>0.11</v>
      </c>
      <c r="S27" s="14">
        <v>0.04</v>
      </c>
      <c r="T27" s="14">
        <v>0.04</v>
      </c>
      <c r="U27" s="14">
        <v>0.08</v>
      </c>
      <c r="V27" s="14">
        <v>0.08</v>
      </c>
      <c r="W27" s="14">
        <v>0.05</v>
      </c>
      <c r="X27" s="14">
        <v>7.0000000000000007E-2</v>
      </c>
      <c r="Y27" s="14">
        <v>0.11</v>
      </c>
      <c r="Z27" s="14">
        <v>0.05</v>
      </c>
      <c r="AA27" s="14">
        <v>7.0000000000000007E-2</v>
      </c>
      <c r="AB27" s="14">
        <v>0.1</v>
      </c>
      <c r="AC27" s="14">
        <v>7.0000000000000007E-2</v>
      </c>
      <c r="AD27" s="14">
        <v>7.0000000000000007E-2</v>
      </c>
      <c r="AE27" s="14">
        <v>0.06</v>
      </c>
      <c r="AF27" s="14">
        <v>0.06</v>
      </c>
    </row>
    <row r="28" spans="1:32" ht="36.950000000000003">
      <c r="A28" s="20"/>
      <c r="B28" s="11" t="s">
        <v>539</v>
      </c>
      <c r="C28" s="12">
        <v>1317</v>
      </c>
      <c r="D28" s="12">
        <v>68</v>
      </c>
      <c r="E28" s="12">
        <v>72</v>
      </c>
      <c r="F28" s="12">
        <v>69</v>
      </c>
      <c r="G28" s="12">
        <v>29</v>
      </c>
      <c r="H28" s="12">
        <v>40</v>
      </c>
      <c r="I28" s="12">
        <v>53</v>
      </c>
      <c r="J28" s="12">
        <v>12</v>
      </c>
      <c r="K28" s="12">
        <v>65</v>
      </c>
      <c r="L28" s="12">
        <v>37</v>
      </c>
      <c r="M28" s="12">
        <v>20</v>
      </c>
      <c r="N28" s="12">
        <v>36</v>
      </c>
      <c r="O28" s="12">
        <v>55</v>
      </c>
      <c r="P28" s="12">
        <v>146</v>
      </c>
      <c r="Q28" s="12">
        <v>48</v>
      </c>
      <c r="R28" s="12">
        <v>14</v>
      </c>
      <c r="S28" s="12">
        <v>34</v>
      </c>
      <c r="T28" s="12">
        <v>70</v>
      </c>
      <c r="U28" s="12">
        <v>26</v>
      </c>
      <c r="V28" s="12">
        <v>116</v>
      </c>
      <c r="W28" s="12">
        <v>18</v>
      </c>
      <c r="X28" s="12">
        <v>24</v>
      </c>
      <c r="Y28" s="12">
        <v>73</v>
      </c>
      <c r="Z28" s="12">
        <v>66</v>
      </c>
      <c r="AA28" s="12">
        <v>41</v>
      </c>
      <c r="AB28" s="12">
        <v>112</v>
      </c>
      <c r="AC28" s="12">
        <v>46</v>
      </c>
      <c r="AD28" s="12">
        <v>43</v>
      </c>
      <c r="AE28" s="12">
        <v>12</v>
      </c>
      <c r="AF28" s="12">
        <v>31</v>
      </c>
    </row>
    <row r="29" spans="1:32" ht="24.95">
      <c r="A29" s="20"/>
      <c r="B29" s="13" t="s">
        <v>540</v>
      </c>
      <c r="C29" s="14">
        <v>0.05</v>
      </c>
      <c r="D29" s="14">
        <v>7.0000000000000007E-2</v>
      </c>
      <c r="E29" s="14">
        <v>0.08</v>
      </c>
      <c r="F29" s="14">
        <v>7.0000000000000007E-2</v>
      </c>
      <c r="G29" s="14">
        <v>0.03</v>
      </c>
      <c r="H29" s="14">
        <v>0.04</v>
      </c>
      <c r="I29" s="14">
        <v>0.04</v>
      </c>
      <c r="J29" s="14">
        <v>0.05</v>
      </c>
      <c r="K29" s="14">
        <v>7.0000000000000007E-2</v>
      </c>
      <c r="L29" s="14">
        <v>0.04</v>
      </c>
      <c r="M29" s="14">
        <v>0.02</v>
      </c>
      <c r="N29" s="14">
        <v>0.04</v>
      </c>
      <c r="O29" s="14">
        <v>0.06</v>
      </c>
      <c r="P29" s="14">
        <v>0.15</v>
      </c>
      <c r="Q29" s="14">
        <v>0.05</v>
      </c>
      <c r="R29" s="14">
        <v>0.03</v>
      </c>
      <c r="S29" s="14">
        <v>0.04</v>
      </c>
      <c r="T29" s="14">
        <v>0.09</v>
      </c>
      <c r="U29" s="14">
        <v>0.05</v>
      </c>
      <c r="V29" s="14">
        <v>0.13</v>
      </c>
      <c r="W29" s="14">
        <v>0.04</v>
      </c>
      <c r="X29" s="14">
        <v>0.03</v>
      </c>
      <c r="Y29" s="14">
        <v>0.08</v>
      </c>
      <c r="Z29" s="14">
        <v>7.0000000000000007E-2</v>
      </c>
      <c r="AA29" s="14">
        <v>0.04</v>
      </c>
      <c r="AB29" s="14">
        <v>0.12</v>
      </c>
      <c r="AC29" s="14">
        <v>0.05</v>
      </c>
      <c r="AD29" s="14">
        <v>0.05</v>
      </c>
      <c r="AE29" s="14">
        <v>0.01</v>
      </c>
      <c r="AF29" s="14">
        <v>0.03</v>
      </c>
    </row>
    <row r="30" spans="1:32" ht="36.950000000000003">
      <c r="A30" s="20"/>
      <c r="B30" s="11" t="s">
        <v>541</v>
      </c>
      <c r="C30" s="12">
        <v>1321</v>
      </c>
      <c r="D30" s="12">
        <v>57</v>
      </c>
      <c r="E30" s="12">
        <v>89</v>
      </c>
      <c r="F30" s="12">
        <v>78</v>
      </c>
      <c r="G30" s="12">
        <v>42</v>
      </c>
      <c r="H30" s="12">
        <v>93</v>
      </c>
      <c r="I30" s="12">
        <v>118</v>
      </c>
      <c r="J30" s="12">
        <v>25</v>
      </c>
      <c r="K30" s="12">
        <v>66</v>
      </c>
      <c r="L30" s="12">
        <v>34</v>
      </c>
      <c r="M30" s="12">
        <v>62</v>
      </c>
      <c r="N30" s="12">
        <v>32</v>
      </c>
      <c r="O30" s="12">
        <v>26</v>
      </c>
      <c r="P30" s="12">
        <v>115</v>
      </c>
      <c r="Q30" s="12">
        <v>33</v>
      </c>
      <c r="R30" s="12">
        <v>15</v>
      </c>
      <c r="S30" s="12">
        <v>54</v>
      </c>
      <c r="T30" s="12">
        <v>67</v>
      </c>
      <c r="U30" s="12">
        <v>12</v>
      </c>
      <c r="V30" s="12">
        <v>70</v>
      </c>
      <c r="W30" s="12">
        <v>17</v>
      </c>
      <c r="X30" s="12">
        <v>30</v>
      </c>
      <c r="Y30" s="12">
        <v>56</v>
      </c>
      <c r="Z30" s="12">
        <v>46</v>
      </c>
      <c r="AA30" s="12">
        <v>44</v>
      </c>
      <c r="AB30" s="12">
        <v>107</v>
      </c>
      <c r="AC30" s="12">
        <v>42</v>
      </c>
      <c r="AD30" s="12">
        <v>38</v>
      </c>
      <c r="AE30" s="12">
        <v>33</v>
      </c>
      <c r="AF30" s="12">
        <v>44</v>
      </c>
    </row>
    <row r="31" spans="1:32" ht="24.95">
      <c r="A31" s="20"/>
      <c r="B31" s="13" t="s">
        <v>542</v>
      </c>
      <c r="C31" s="14">
        <v>0.06</v>
      </c>
      <c r="D31" s="14">
        <v>0.06</v>
      </c>
      <c r="E31" s="14">
        <v>0.1</v>
      </c>
      <c r="F31" s="14">
        <v>0.09</v>
      </c>
      <c r="G31" s="14">
        <v>0.05</v>
      </c>
      <c r="H31" s="14">
        <v>0.09</v>
      </c>
      <c r="I31" s="14">
        <v>0.09</v>
      </c>
      <c r="J31" s="14">
        <v>0.09</v>
      </c>
      <c r="K31" s="14">
        <v>0.08</v>
      </c>
      <c r="L31" s="14">
        <v>0.04</v>
      </c>
      <c r="M31" s="14">
        <v>7.0000000000000007E-2</v>
      </c>
      <c r="N31" s="14">
        <v>0.03</v>
      </c>
      <c r="O31" s="14">
        <v>0.03</v>
      </c>
      <c r="P31" s="14">
        <v>0.12</v>
      </c>
      <c r="Q31" s="14">
        <v>0.04</v>
      </c>
      <c r="R31" s="14">
        <v>0.03</v>
      </c>
      <c r="S31" s="14">
        <v>0.06</v>
      </c>
      <c r="T31" s="14">
        <v>0.09</v>
      </c>
      <c r="U31" s="14">
        <v>0.03</v>
      </c>
      <c r="V31" s="14">
        <v>0.08</v>
      </c>
      <c r="W31" s="14">
        <v>0.04</v>
      </c>
      <c r="X31" s="14">
        <v>0.03</v>
      </c>
      <c r="Y31" s="14">
        <v>0.06</v>
      </c>
      <c r="Z31" s="14">
        <v>0.05</v>
      </c>
      <c r="AA31" s="14">
        <v>0.05</v>
      </c>
      <c r="AB31" s="14">
        <v>0.12</v>
      </c>
      <c r="AC31" s="14">
        <v>0.05</v>
      </c>
      <c r="AD31" s="14">
        <v>0.04</v>
      </c>
      <c r="AE31" s="14">
        <v>0.04</v>
      </c>
      <c r="AF31" s="14">
        <v>0.05</v>
      </c>
    </row>
    <row r="32" spans="1:32" ht="24.95">
      <c r="A32" s="20"/>
      <c r="B32" s="11" t="s">
        <v>543</v>
      </c>
      <c r="C32" s="12">
        <v>824</v>
      </c>
      <c r="D32" s="12">
        <v>45</v>
      </c>
      <c r="E32" s="12">
        <v>33</v>
      </c>
      <c r="F32" s="12">
        <v>25</v>
      </c>
      <c r="G32" s="12">
        <v>60</v>
      </c>
      <c r="H32" s="12">
        <v>40</v>
      </c>
      <c r="I32" s="12">
        <v>59</v>
      </c>
      <c r="J32" s="12">
        <v>18</v>
      </c>
      <c r="K32" s="12">
        <v>65</v>
      </c>
      <c r="L32" s="12">
        <v>34</v>
      </c>
      <c r="M32" s="12">
        <v>16</v>
      </c>
      <c r="N32" s="12">
        <v>21</v>
      </c>
      <c r="O32" s="12">
        <v>21</v>
      </c>
      <c r="P32" s="12">
        <v>67</v>
      </c>
      <c r="Q32" s="12">
        <v>44</v>
      </c>
      <c r="R32" s="12">
        <v>9</v>
      </c>
      <c r="S32" s="12">
        <v>21</v>
      </c>
      <c r="T32" s="12">
        <v>12</v>
      </c>
      <c r="U32" s="12">
        <v>6</v>
      </c>
      <c r="V32" s="12">
        <v>63</v>
      </c>
      <c r="W32" s="12">
        <v>12</v>
      </c>
      <c r="X32" s="12">
        <v>10</v>
      </c>
      <c r="Y32" s="12">
        <v>62</v>
      </c>
      <c r="Z32" s="12">
        <v>17</v>
      </c>
      <c r="AA32" s="12">
        <v>9</v>
      </c>
      <c r="AB32" s="12">
        <v>63</v>
      </c>
      <c r="AC32" s="12">
        <v>14</v>
      </c>
      <c r="AD32" s="12">
        <v>17</v>
      </c>
      <c r="AE32" s="12">
        <v>22</v>
      </c>
      <c r="AF32" s="12">
        <v>21</v>
      </c>
    </row>
    <row r="33" spans="1:32">
      <c r="A33" s="20"/>
      <c r="B33" s="13" t="s">
        <v>544</v>
      </c>
      <c r="C33" s="14">
        <v>0.03</v>
      </c>
      <c r="D33" s="14">
        <v>0.05</v>
      </c>
      <c r="E33" s="14">
        <v>0.04</v>
      </c>
      <c r="F33" s="14">
        <v>0.03</v>
      </c>
      <c r="G33" s="14">
        <v>0.06</v>
      </c>
      <c r="H33" s="14">
        <v>0.04</v>
      </c>
      <c r="I33" s="14">
        <v>0.04</v>
      </c>
      <c r="J33" s="14">
        <v>7.0000000000000007E-2</v>
      </c>
      <c r="K33" s="14">
        <v>7.0000000000000007E-2</v>
      </c>
      <c r="L33" s="14">
        <v>0.04</v>
      </c>
      <c r="M33" s="14">
        <v>0.02</v>
      </c>
      <c r="N33" s="14">
        <v>0.02</v>
      </c>
      <c r="O33" s="14">
        <v>0.02</v>
      </c>
      <c r="P33" s="14">
        <v>7.0000000000000007E-2</v>
      </c>
      <c r="Q33" s="14">
        <v>0.05</v>
      </c>
      <c r="R33" s="14">
        <v>0.02</v>
      </c>
      <c r="S33" s="14">
        <v>0.02</v>
      </c>
      <c r="T33" s="14">
        <v>0.01</v>
      </c>
      <c r="U33" s="14">
        <v>0.01</v>
      </c>
      <c r="V33" s="14">
        <v>7.0000000000000007E-2</v>
      </c>
      <c r="W33" s="14">
        <v>0.02</v>
      </c>
      <c r="X33" s="14">
        <v>0.01</v>
      </c>
      <c r="Y33" s="14">
        <v>7.0000000000000007E-2</v>
      </c>
      <c r="Z33" s="14">
        <v>0.02</v>
      </c>
      <c r="AA33" s="14">
        <v>0.01</v>
      </c>
      <c r="AB33" s="14">
        <v>7.0000000000000007E-2</v>
      </c>
      <c r="AC33" s="14">
        <v>0.01</v>
      </c>
      <c r="AD33" s="14">
        <v>0.02</v>
      </c>
      <c r="AE33" s="14">
        <v>0.02</v>
      </c>
      <c r="AF33" s="14">
        <v>0.02</v>
      </c>
    </row>
    <row r="34" spans="1:32" ht="48.95">
      <c r="A34" s="20"/>
      <c r="B34" s="11" t="s">
        <v>545</v>
      </c>
      <c r="C34" s="12">
        <v>640</v>
      </c>
      <c r="D34" s="12">
        <v>35</v>
      </c>
      <c r="E34" s="12">
        <v>26</v>
      </c>
      <c r="F34" s="12">
        <v>27</v>
      </c>
      <c r="G34" s="12">
        <v>16</v>
      </c>
      <c r="H34" s="12">
        <v>24</v>
      </c>
      <c r="I34" s="12">
        <v>34</v>
      </c>
      <c r="J34" s="12">
        <v>10</v>
      </c>
      <c r="K34" s="12">
        <v>22</v>
      </c>
      <c r="L34" s="12">
        <v>16</v>
      </c>
      <c r="M34" s="12">
        <v>28</v>
      </c>
      <c r="N34" s="12">
        <v>16</v>
      </c>
      <c r="O34" s="12">
        <v>22</v>
      </c>
      <c r="P34" s="12">
        <v>60</v>
      </c>
      <c r="Q34" s="12">
        <v>34</v>
      </c>
      <c r="R34" s="12">
        <v>9</v>
      </c>
      <c r="S34" s="12">
        <v>8</v>
      </c>
      <c r="T34" s="12">
        <v>9</v>
      </c>
      <c r="U34" s="12">
        <v>10</v>
      </c>
      <c r="V34" s="12">
        <v>60</v>
      </c>
      <c r="W34" s="12">
        <v>7</v>
      </c>
      <c r="X34" s="12">
        <v>9</v>
      </c>
      <c r="Y34" s="12">
        <v>65</v>
      </c>
      <c r="Z34" s="12">
        <v>8</v>
      </c>
      <c r="AA34" s="12">
        <v>13</v>
      </c>
      <c r="AB34" s="12">
        <v>57</v>
      </c>
      <c r="AC34" s="12">
        <v>16</v>
      </c>
      <c r="AD34" s="12">
        <v>23</v>
      </c>
      <c r="AE34" s="12">
        <v>7</v>
      </c>
      <c r="AF34" s="12">
        <v>8</v>
      </c>
    </row>
    <row r="35" spans="1:32" ht="24.95">
      <c r="A35" s="20"/>
      <c r="B35" s="13" t="s">
        <v>546</v>
      </c>
      <c r="C35" s="14">
        <v>0.03</v>
      </c>
      <c r="D35" s="14">
        <v>0.04</v>
      </c>
      <c r="E35" s="14">
        <v>0.03</v>
      </c>
      <c r="F35" s="14">
        <v>0.03</v>
      </c>
      <c r="G35" s="14">
        <v>0.02</v>
      </c>
      <c r="H35" s="14">
        <v>0.02</v>
      </c>
      <c r="I35" s="14">
        <v>0.02</v>
      </c>
      <c r="J35" s="14">
        <v>0.04</v>
      </c>
      <c r="K35" s="14">
        <v>0.02</v>
      </c>
      <c r="L35" s="14">
        <v>0.02</v>
      </c>
      <c r="M35" s="14">
        <v>0.03</v>
      </c>
      <c r="N35" s="14">
        <v>0.02</v>
      </c>
      <c r="O35" s="14">
        <v>0.02</v>
      </c>
      <c r="P35" s="14">
        <v>0.06</v>
      </c>
      <c r="Q35" s="14">
        <v>0.04</v>
      </c>
      <c r="R35" s="14">
        <v>0.02</v>
      </c>
      <c r="S35" s="14">
        <v>0.01</v>
      </c>
      <c r="T35" s="14">
        <v>0.01</v>
      </c>
      <c r="U35" s="14">
        <v>0.02</v>
      </c>
      <c r="V35" s="14">
        <v>0.06</v>
      </c>
      <c r="W35" s="14">
        <v>0.02</v>
      </c>
      <c r="X35" s="14">
        <v>0.01</v>
      </c>
      <c r="Y35" s="14">
        <v>7.0000000000000007E-2</v>
      </c>
      <c r="Z35" s="14">
        <v>0.01</v>
      </c>
      <c r="AA35" s="14">
        <v>0.01</v>
      </c>
      <c r="AB35" s="14">
        <v>0.06</v>
      </c>
      <c r="AC35" s="14">
        <v>0.02</v>
      </c>
      <c r="AD35" s="14">
        <v>0.02</v>
      </c>
      <c r="AE35" s="14">
        <v>0.01</v>
      </c>
      <c r="AF35" s="14">
        <v>0.01</v>
      </c>
    </row>
    <row r="36" spans="1:32" ht="36.950000000000003">
      <c r="A36" s="20"/>
      <c r="B36" s="11" t="s">
        <v>547</v>
      </c>
      <c r="C36" s="12">
        <v>1514</v>
      </c>
      <c r="D36" s="12">
        <v>52</v>
      </c>
      <c r="E36" s="12">
        <v>67</v>
      </c>
      <c r="F36" s="12">
        <v>16</v>
      </c>
      <c r="G36" s="12">
        <v>29</v>
      </c>
      <c r="H36" s="12">
        <v>55</v>
      </c>
      <c r="I36" s="12">
        <v>66</v>
      </c>
      <c r="J36" s="12">
        <v>11</v>
      </c>
      <c r="K36" s="12">
        <v>59</v>
      </c>
      <c r="L36" s="12">
        <v>37</v>
      </c>
      <c r="M36" s="12">
        <v>56</v>
      </c>
      <c r="N36" s="12">
        <v>62</v>
      </c>
      <c r="O36" s="12">
        <v>37</v>
      </c>
      <c r="P36" s="12">
        <v>107</v>
      </c>
      <c r="Q36" s="12">
        <v>108</v>
      </c>
      <c r="R36" s="12">
        <v>34</v>
      </c>
      <c r="S36" s="12">
        <v>9</v>
      </c>
      <c r="T36" s="12">
        <v>56</v>
      </c>
      <c r="U36" s="12">
        <v>15</v>
      </c>
      <c r="V36" s="12">
        <v>118</v>
      </c>
      <c r="W36" s="12">
        <v>16</v>
      </c>
      <c r="X36" s="12">
        <v>20</v>
      </c>
      <c r="Y36" s="12">
        <v>59</v>
      </c>
      <c r="Z36" s="12">
        <v>77</v>
      </c>
      <c r="AA36" s="12">
        <v>58</v>
      </c>
      <c r="AB36" s="12">
        <v>75</v>
      </c>
      <c r="AC36" s="12">
        <v>50</v>
      </c>
      <c r="AD36" s="12">
        <v>38</v>
      </c>
      <c r="AE36" s="12">
        <v>3</v>
      </c>
      <c r="AF36" s="12">
        <v>21</v>
      </c>
    </row>
    <row r="37" spans="1:32" ht="24.95">
      <c r="A37" s="20"/>
      <c r="B37" s="13" t="s">
        <v>548</v>
      </c>
      <c r="C37" s="14">
        <v>0.06</v>
      </c>
      <c r="D37" s="14">
        <v>0.06</v>
      </c>
      <c r="E37" s="14">
        <v>0.08</v>
      </c>
      <c r="F37" s="14">
        <v>0.02</v>
      </c>
      <c r="G37" s="14">
        <v>0.03</v>
      </c>
      <c r="H37" s="14">
        <v>0.05</v>
      </c>
      <c r="I37" s="14">
        <v>0.05</v>
      </c>
      <c r="J37" s="14">
        <v>0.04</v>
      </c>
      <c r="K37" s="14">
        <v>0.06</v>
      </c>
      <c r="L37" s="14">
        <v>0.04</v>
      </c>
      <c r="M37" s="14">
        <v>0.06</v>
      </c>
      <c r="N37" s="14">
        <v>7.0000000000000007E-2</v>
      </c>
      <c r="O37" s="14">
        <v>0.04</v>
      </c>
      <c r="P37" s="14">
        <v>0.11</v>
      </c>
      <c r="Q37" s="14">
        <v>0.12</v>
      </c>
      <c r="R37" s="14">
        <v>0.08</v>
      </c>
      <c r="S37" s="14">
        <v>0.01</v>
      </c>
      <c r="T37" s="14">
        <v>7.0000000000000007E-2</v>
      </c>
      <c r="U37" s="14">
        <v>0.03</v>
      </c>
      <c r="V37" s="14">
        <v>0.13</v>
      </c>
      <c r="W37" s="14">
        <v>0.03</v>
      </c>
      <c r="X37" s="14">
        <v>0.02</v>
      </c>
      <c r="Y37" s="14">
        <v>7.0000000000000007E-2</v>
      </c>
      <c r="Z37" s="14">
        <v>0.09</v>
      </c>
      <c r="AA37" s="14">
        <v>0.06</v>
      </c>
      <c r="AB37" s="14">
        <v>0.08</v>
      </c>
      <c r="AC37" s="14">
        <v>0.05</v>
      </c>
      <c r="AD37" s="14">
        <v>0.04</v>
      </c>
      <c r="AE37" s="15" t="s">
        <v>459</v>
      </c>
      <c r="AF37" s="14">
        <v>0.02</v>
      </c>
    </row>
    <row r="38" spans="1:32" ht="48.95">
      <c r="A38" s="20"/>
      <c r="B38" s="11" t="s">
        <v>549</v>
      </c>
      <c r="C38" s="12">
        <v>3728</v>
      </c>
      <c r="D38" s="12">
        <v>88</v>
      </c>
      <c r="E38" s="12">
        <v>113</v>
      </c>
      <c r="F38" s="12">
        <v>134</v>
      </c>
      <c r="G38" s="12">
        <v>91</v>
      </c>
      <c r="H38" s="12">
        <v>135</v>
      </c>
      <c r="I38" s="12">
        <v>189</v>
      </c>
      <c r="J38" s="12">
        <v>54</v>
      </c>
      <c r="K38" s="12">
        <v>123</v>
      </c>
      <c r="L38" s="12">
        <v>105</v>
      </c>
      <c r="M38" s="12">
        <v>113</v>
      </c>
      <c r="N38" s="12">
        <v>150</v>
      </c>
      <c r="O38" s="12">
        <v>159</v>
      </c>
      <c r="P38" s="12">
        <v>200</v>
      </c>
      <c r="Q38" s="12">
        <v>207</v>
      </c>
      <c r="R38" s="12">
        <v>46</v>
      </c>
      <c r="S38" s="12">
        <v>97</v>
      </c>
      <c r="T38" s="12">
        <v>130</v>
      </c>
      <c r="U38" s="12">
        <v>22</v>
      </c>
      <c r="V38" s="12">
        <v>127</v>
      </c>
      <c r="W38" s="12">
        <v>108</v>
      </c>
      <c r="X38" s="12">
        <v>78</v>
      </c>
      <c r="Y38" s="12">
        <v>143</v>
      </c>
      <c r="Z38" s="12">
        <v>137</v>
      </c>
      <c r="AA38" s="12">
        <v>172</v>
      </c>
      <c r="AB38" s="12">
        <v>152</v>
      </c>
      <c r="AC38" s="12">
        <v>73</v>
      </c>
      <c r="AD38" s="12">
        <v>176</v>
      </c>
      <c r="AE38" s="12">
        <v>71</v>
      </c>
      <c r="AF38" s="12">
        <v>87</v>
      </c>
    </row>
    <row r="39" spans="1:32" ht="36.950000000000003">
      <c r="A39" s="20"/>
      <c r="B39" s="13" t="s">
        <v>550</v>
      </c>
      <c r="C39" s="14">
        <v>0.16</v>
      </c>
      <c r="D39" s="14">
        <v>0.09</v>
      </c>
      <c r="E39" s="14">
        <v>0.14000000000000001</v>
      </c>
      <c r="F39" s="14">
        <v>0.14000000000000001</v>
      </c>
      <c r="G39" s="14">
        <v>0.1</v>
      </c>
      <c r="H39" s="14">
        <v>0.12</v>
      </c>
      <c r="I39" s="14">
        <v>0.14000000000000001</v>
      </c>
      <c r="J39" s="14">
        <v>0.2</v>
      </c>
      <c r="K39" s="14">
        <v>0.14000000000000001</v>
      </c>
      <c r="L39" s="14">
        <v>0.12</v>
      </c>
      <c r="M39" s="14">
        <v>0.12</v>
      </c>
      <c r="N39" s="14">
        <v>0.17</v>
      </c>
      <c r="O39" s="14">
        <v>0.18</v>
      </c>
      <c r="P39" s="14">
        <v>0.22</v>
      </c>
      <c r="Q39" s="14">
        <v>0.25</v>
      </c>
      <c r="R39" s="14">
        <v>0.11</v>
      </c>
      <c r="S39" s="14">
        <v>0.11</v>
      </c>
      <c r="T39" s="14">
        <v>0.17</v>
      </c>
      <c r="U39" s="14">
        <v>0.05</v>
      </c>
      <c r="V39" s="14">
        <v>0.14000000000000001</v>
      </c>
      <c r="W39" s="14">
        <v>0.24</v>
      </c>
      <c r="X39" s="14">
        <v>0.08</v>
      </c>
      <c r="Y39" s="14">
        <v>0.17</v>
      </c>
      <c r="Z39" s="14">
        <v>0.17</v>
      </c>
      <c r="AA39" s="14">
        <v>0.21</v>
      </c>
      <c r="AB39" s="14">
        <v>0.16</v>
      </c>
      <c r="AC39" s="14">
        <v>0.08</v>
      </c>
      <c r="AD39" s="14">
        <v>0.21</v>
      </c>
      <c r="AE39" s="14">
        <v>0.08</v>
      </c>
      <c r="AF39" s="14">
        <v>0.09</v>
      </c>
    </row>
    <row r="40" spans="1:32">
      <c r="A40" s="20"/>
      <c r="B40" s="11" t="s">
        <v>519</v>
      </c>
      <c r="C40" s="12">
        <v>333</v>
      </c>
      <c r="D40" s="12">
        <v>20</v>
      </c>
      <c r="E40" s="12">
        <v>15</v>
      </c>
      <c r="F40" s="12">
        <v>5</v>
      </c>
      <c r="G40" s="12">
        <v>11</v>
      </c>
      <c r="H40" s="12">
        <v>19</v>
      </c>
      <c r="I40" s="12">
        <v>20</v>
      </c>
      <c r="J40" s="12">
        <v>1</v>
      </c>
      <c r="K40" s="12">
        <v>26</v>
      </c>
      <c r="L40" s="12">
        <v>14</v>
      </c>
      <c r="M40" s="12">
        <v>15</v>
      </c>
      <c r="N40" s="12">
        <v>9</v>
      </c>
      <c r="O40" s="12">
        <v>10</v>
      </c>
      <c r="P40" s="12">
        <v>3</v>
      </c>
      <c r="Q40" s="12">
        <v>11</v>
      </c>
      <c r="R40" s="12">
        <v>3</v>
      </c>
      <c r="S40" s="12">
        <v>41</v>
      </c>
      <c r="T40" s="12">
        <v>26</v>
      </c>
      <c r="U40" s="12">
        <v>19</v>
      </c>
      <c r="V40" s="12">
        <v>2</v>
      </c>
      <c r="W40" s="12">
        <v>4</v>
      </c>
      <c r="X40" s="12">
        <v>33</v>
      </c>
      <c r="Y40" s="12">
        <v>23</v>
      </c>
      <c r="Z40" s="12">
        <v>3</v>
      </c>
      <c r="AA40" s="12">
        <v>33</v>
      </c>
      <c r="AB40" s="12">
        <v>17</v>
      </c>
      <c r="AC40" s="12">
        <v>56</v>
      </c>
      <c r="AD40" s="12">
        <v>7</v>
      </c>
      <c r="AE40" s="12">
        <v>21</v>
      </c>
      <c r="AF40" s="12">
        <v>10</v>
      </c>
    </row>
    <row r="41" spans="1:32">
      <c r="A41" s="20"/>
      <c r="B41" s="13" t="s">
        <v>520</v>
      </c>
      <c r="C41" s="14">
        <v>0.01</v>
      </c>
      <c r="D41" s="14">
        <v>0.02</v>
      </c>
      <c r="E41" s="14">
        <v>0.02</v>
      </c>
      <c r="F41" s="15" t="s">
        <v>459</v>
      </c>
      <c r="G41" s="14">
        <v>0.01</v>
      </c>
      <c r="H41" s="14">
        <v>0.02</v>
      </c>
      <c r="I41" s="14">
        <v>0.01</v>
      </c>
      <c r="J41" s="15" t="s">
        <v>459</v>
      </c>
      <c r="K41" s="14">
        <v>0.03</v>
      </c>
      <c r="L41" s="14">
        <v>0.02</v>
      </c>
      <c r="M41" s="14">
        <v>0.02</v>
      </c>
      <c r="N41" s="14">
        <v>0.01</v>
      </c>
      <c r="O41" s="14">
        <v>0.01</v>
      </c>
      <c r="P41" s="15" t="s">
        <v>459</v>
      </c>
      <c r="Q41" s="14">
        <v>0.01</v>
      </c>
      <c r="R41" s="14">
        <v>0.01</v>
      </c>
      <c r="S41" s="14">
        <v>0.04</v>
      </c>
      <c r="T41" s="14">
        <v>0.03</v>
      </c>
      <c r="U41" s="14">
        <v>0.04</v>
      </c>
      <c r="V41" s="15" t="s">
        <v>459</v>
      </c>
      <c r="W41" s="14">
        <v>0.01</v>
      </c>
      <c r="X41" s="14">
        <v>0.03</v>
      </c>
      <c r="Y41" s="14">
        <v>0.03</v>
      </c>
      <c r="Z41" s="15" t="s">
        <v>459</v>
      </c>
      <c r="AA41" s="14">
        <v>0.03</v>
      </c>
      <c r="AB41" s="14">
        <v>0.02</v>
      </c>
      <c r="AC41" s="14">
        <v>0.06</v>
      </c>
      <c r="AD41" s="14">
        <v>0.01</v>
      </c>
      <c r="AE41" s="14">
        <v>0.02</v>
      </c>
      <c r="AF41" s="14">
        <v>0.01</v>
      </c>
    </row>
    <row r="42" spans="1:32" ht="24.95">
      <c r="A42" s="20"/>
      <c r="B42" s="11" t="s">
        <v>551</v>
      </c>
      <c r="C42" s="12">
        <v>2450</v>
      </c>
      <c r="D42" s="12">
        <v>77</v>
      </c>
      <c r="E42" s="12">
        <v>83</v>
      </c>
      <c r="F42" s="12">
        <v>50</v>
      </c>
      <c r="G42" s="12">
        <v>153</v>
      </c>
      <c r="H42" s="12">
        <v>109</v>
      </c>
      <c r="I42" s="12">
        <v>132</v>
      </c>
      <c r="J42" s="12">
        <v>23</v>
      </c>
      <c r="K42" s="12">
        <v>76</v>
      </c>
      <c r="L42" s="12">
        <v>133</v>
      </c>
      <c r="M42" s="12">
        <v>89</v>
      </c>
      <c r="N42" s="12">
        <v>154</v>
      </c>
      <c r="O42" s="12">
        <v>112</v>
      </c>
      <c r="P42" s="12">
        <v>11</v>
      </c>
      <c r="Q42" s="12">
        <v>51</v>
      </c>
      <c r="R42" s="12">
        <v>75</v>
      </c>
      <c r="S42" s="12">
        <v>220</v>
      </c>
      <c r="T42" s="12">
        <v>145</v>
      </c>
      <c r="U42" s="12">
        <v>98</v>
      </c>
      <c r="V42" s="12">
        <v>44</v>
      </c>
      <c r="W42" s="12">
        <v>62</v>
      </c>
      <c r="X42" s="12">
        <v>160</v>
      </c>
      <c r="Y42" s="12">
        <v>103</v>
      </c>
      <c r="Z42" s="12">
        <v>27</v>
      </c>
      <c r="AA42" s="12">
        <v>63</v>
      </c>
      <c r="AB42" s="12">
        <v>46</v>
      </c>
      <c r="AC42" s="12">
        <v>181</v>
      </c>
      <c r="AD42" s="12">
        <v>96</v>
      </c>
      <c r="AE42" s="12">
        <v>156</v>
      </c>
      <c r="AF42" s="12">
        <v>229</v>
      </c>
    </row>
    <row r="43" spans="1:32">
      <c r="A43" s="20"/>
      <c r="B43" s="13" t="s">
        <v>522</v>
      </c>
      <c r="C43" s="14">
        <v>0.1</v>
      </c>
      <c r="D43" s="14">
        <v>0.08</v>
      </c>
      <c r="E43" s="14">
        <v>0.09</v>
      </c>
      <c r="F43" s="14">
        <v>0.05</v>
      </c>
      <c r="G43" s="14">
        <v>0.16</v>
      </c>
      <c r="H43" s="14">
        <v>0.1</v>
      </c>
      <c r="I43" s="14">
        <v>0.09</v>
      </c>
      <c r="J43" s="14">
        <v>0.08</v>
      </c>
      <c r="K43" s="14">
        <v>0.08</v>
      </c>
      <c r="L43" s="14">
        <v>0.14000000000000001</v>
      </c>
      <c r="M43" s="14">
        <v>0.09</v>
      </c>
      <c r="N43" s="14">
        <v>0.16</v>
      </c>
      <c r="O43" s="14">
        <v>0.12</v>
      </c>
      <c r="P43" s="14">
        <v>0.01</v>
      </c>
      <c r="Q43" s="14">
        <v>0.05</v>
      </c>
      <c r="R43" s="14">
        <v>0.17</v>
      </c>
      <c r="S43" s="14">
        <v>0.24</v>
      </c>
      <c r="T43" s="14">
        <v>0.17</v>
      </c>
      <c r="U43" s="14">
        <v>0.2</v>
      </c>
      <c r="V43" s="14">
        <v>0.05</v>
      </c>
      <c r="W43" s="14">
        <v>0.13</v>
      </c>
      <c r="X43" s="14">
        <v>0.17</v>
      </c>
      <c r="Y43" s="14">
        <v>0.11</v>
      </c>
      <c r="Z43" s="14">
        <v>0.03</v>
      </c>
      <c r="AA43" s="14">
        <v>7.0000000000000007E-2</v>
      </c>
      <c r="AB43" s="14">
        <v>0.05</v>
      </c>
      <c r="AC43" s="14">
        <v>0.2</v>
      </c>
      <c r="AD43" s="14">
        <v>0.1</v>
      </c>
      <c r="AE43" s="14">
        <v>0.17</v>
      </c>
      <c r="AF43" s="14">
        <v>0.24</v>
      </c>
    </row>
    <row r="44" spans="1:32">
      <c r="A44" s="20"/>
      <c r="B44" s="11" t="s">
        <v>468</v>
      </c>
      <c r="C44" s="12">
        <v>376</v>
      </c>
      <c r="D44" s="12">
        <v>4</v>
      </c>
      <c r="E44" s="12">
        <v>19</v>
      </c>
      <c r="F44" s="12">
        <v>9</v>
      </c>
      <c r="G44" s="12">
        <v>12</v>
      </c>
      <c r="H44" s="12">
        <v>6</v>
      </c>
      <c r="I44" s="12">
        <v>7</v>
      </c>
      <c r="J44" s="12">
        <v>1</v>
      </c>
      <c r="K44" s="12">
        <v>32</v>
      </c>
      <c r="L44" s="12">
        <v>18</v>
      </c>
      <c r="M44" s="12">
        <v>7</v>
      </c>
      <c r="N44" s="12">
        <v>24</v>
      </c>
      <c r="O44" s="12">
        <v>43</v>
      </c>
      <c r="P44" s="12">
        <v>2</v>
      </c>
      <c r="Q44" s="12">
        <v>1</v>
      </c>
      <c r="R44" s="12">
        <v>8</v>
      </c>
      <c r="S44" s="12">
        <v>68</v>
      </c>
      <c r="T44" s="12">
        <v>20</v>
      </c>
      <c r="U44" s="12">
        <v>0</v>
      </c>
      <c r="V44" s="12">
        <v>9</v>
      </c>
      <c r="W44" s="12">
        <v>9</v>
      </c>
      <c r="X44" s="12">
        <v>7</v>
      </c>
      <c r="Y44" s="12">
        <v>6</v>
      </c>
      <c r="Z44" s="12">
        <v>16</v>
      </c>
      <c r="AA44" s="12">
        <v>11</v>
      </c>
      <c r="AB44" s="12">
        <v>0</v>
      </c>
      <c r="AC44" s="12">
        <v>3</v>
      </c>
      <c r="AD44" s="12">
        <v>16</v>
      </c>
      <c r="AE44" s="12">
        <v>21</v>
      </c>
      <c r="AF44" s="12">
        <v>4</v>
      </c>
    </row>
    <row r="45" spans="1:32">
      <c r="A45" s="20"/>
      <c r="B45" s="13" t="s">
        <v>469</v>
      </c>
      <c r="C45" s="14">
        <v>0.02</v>
      </c>
      <c r="D45" s="15" t="s">
        <v>459</v>
      </c>
      <c r="E45" s="14">
        <v>0.02</v>
      </c>
      <c r="F45" s="14">
        <v>0.01</v>
      </c>
      <c r="G45" s="14">
        <v>0.01</v>
      </c>
      <c r="H45" s="14">
        <v>0.01</v>
      </c>
      <c r="I45" s="15" t="s">
        <v>459</v>
      </c>
      <c r="J45" s="15" t="s">
        <v>459</v>
      </c>
      <c r="K45" s="14">
        <v>0.03</v>
      </c>
      <c r="L45" s="14">
        <v>0.02</v>
      </c>
      <c r="M45" s="14">
        <v>0.01</v>
      </c>
      <c r="N45" s="14">
        <v>0.02</v>
      </c>
      <c r="O45" s="14">
        <v>0.05</v>
      </c>
      <c r="P45" s="15" t="s">
        <v>459</v>
      </c>
      <c r="Q45" s="15" t="s">
        <v>459</v>
      </c>
      <c r="R45" s="14">
        <v>0.02</v>
      </c>
      <c r="S45" s="14">
        <v>7.0000000000000007E-2</v>
      </c>
      <c r="T45" s="14">
        <v>0.02</v>
      </c>
      <c r="U45" s="15" t="s">
        <v>459</v>
      </c>
      <c r="V45" s="14">
        <v>0.01</v>
      </c>
      <c r="W45" s="14">
        <v>0.02</v>
      </c>
      <c r="X45" s="14">
        <v>0.01</v>
      </c>
      <c r="Y45" s="14">
        <v>0.01</v>
      </c>
      <c r="Z45" s="14">
        <v>0.02</v>
      </c>
      <c r="AA45" s="14">
        <v>0.01</v>
      </c>
      <c r="AB45" s="15" t="s">
        <v>459</v>
      </c>
      <c r="AC45" s="15" t="s">
        <v>459</v>
      </c>
      <c r="AD45" s="14">
        <v>0.02</v>
      </c>
      <c r="AE45" s="14">
        <v>0.02</v>
      </c>
      <c r="AF45" s="15" t="s">
        <v>459</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25</v>
      </c>
      <c r="C3" s="18"/>
      <c r="D3" s="18"/>
      <c r="E3" s="18"/>
      <c r="F3" s="18"/>
      <c r="H3" s="18" t="s">
        <v>26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523</v>
      </c>
      <c r="C12" s="12">
        <v>9992</v>
      </c>
      <c r="D12" s="12">
        <v>372</v>
      </c>
      <c r="E12" s="12">
        <v>356</v>
      </c>
      <c r="F12" s="12">
        <v>519</v>
      </c>
      <c r="G12" s="12">
        <v>471</v>
      </c>
      <c r="H12" s="12">
        <v>531</v>
      </c>
      <c r="I12" s="12">
        <v>693</v>
      </c>
      <c r="J12" s="12">
        <v>163</v>
      </c>
      <c r="K12" s="12">
        <v>491</v>
      </c>
      <c r="L12" s="12">
        <v>332</v>
      </c>
      <c r="M12" s="12">
        <v>513</v>
      </c>
      <c r="N12" s="12">
        <v>399</v>
      </c>
      <c r="O12" s="12">
        <v>424</v>
      </c>
      <c r="P12" s="12">
        <v>395</v>
      </c>
      <c r="Q12" s="12">
        <v>310</v>
      </c>
      <c r="R12" s="12">
        <v>133</v>
      </c>
      <c r="S12" s="12">
        <v>336</v>
      </c>
      <c r="T12" s="12">
        <v>203</v>
      </c>
      <c r="U12" s="12">
        <v>97</v>
      </c>
      <c r="V12" s="12">
        <v>426</v>
      </c>
      <c r="W12" s="12">
        <v>150</v>
      </c>
      <c r="X12" s="12">
        <v>403</v>
      </c>
      <c r="Y12" s="12">
        <v>328</v>
      </c>
      <c r="Z12" s="12">
        <v>256</v>
      </c>
      <c r="AA12" s="12">
        <v>321</v>
      </c>
      <c r="AB12" s="12">
        <v>287</v>
      </c>
      <c r="AC12" s="12">
        <v>161</v>
      </c>
      <c r="AD12" s="12">
        <v>274</v>
      </c>
      <c r="AE12" s="12">
        <v>436</v>
      </c>
      <c r="AF12" s="12">
        <v>379</v>
      </c>
    </row>
    <row r="13" spans="1:32">
      <c r="A13" s="20"/>
      <c r="B13" s="13" t="s">
        <v>524</v>
      </c>
      <c r="C13" s="14">
        <v>0.38</v>
      </c>
      <c r="D13" s="14">
        <v>0.37</v>
      </c>
      <c r="E13" s="14">
        <v>0.35</v>
      </c>
      <c r="F13" s="14">
        <v>0.52</v>
      </c>
      <c r="G13" s="14">
        <v>0.47</v>
      </c>
      <c r="H13" s="14">
        <v>0.44</v>
      </c>
      <c r="I13" s="14">
        <v>0.46</v>
      </c>
      <c r="J13" s="14">
        <v>0.55000000000000004</v>
      </c>
      <c r="K13" s="14">
        <v>0.49</v>
      </c>
      <c r="L13" s="14">
        <v>0.33</v>
      </c>
      <c r="M13" s="14">
        <v>0.51</v>
      </c>
      <c r="N13" s="14">
        <v>0.4</v>
      </c>
      <c r="O13" s="14">
        <v>0.42</v>
      </c>
      <c r="P13" s="14">
        <v>0.39</v>
      </c>
      <c r="Q13" s="14">
        <v>0.3</v>
      </c>
      <c r="R13" s="14">
        <v>0.27</v>
      </c>
      <c r="S13" s="14">
        <v>0.33</v>
      </c>
      <c r="T13" s="14">
        <v>0.2</v>
      </c>
      <c r="U13" s="14">
        <v>0.19</v>
      </c>
      <c r="V13" s="14">
        <v>0.42</v>
      </c>
      <c r="W13" s="14">
        <v>0.3</v>
      </c>
      <c r="X13" s="14">
        <v>0.39</v>
      </c>
      <c r="Y13" s="14">
        <v>0.33</v>
      </c>
      <c r="Z13" s="14">
        <v>0.25</v>
      </c>
      <c r="AA13" s="14">
        <v>0.3</v>
      </c>
      <c r="AB13" s="14">
        <v>0.28000000000000003</v>
      </c>
      <c r="AC13" s="14">
        <v>0.16</v>
      </c>
      <c r="AD13" s="14">
        <v>0.27</v>
      </c>
      <c r="AE13" s="14">
        <v>0.44</v>
      </c>
      <c r="AF13" s="14">
        <v>0.37</v>
      </c>
    </row>
    <row r="14" spans="1:32" ht="24.95">
      <c r="A14" s="20"/>
      <c r="B14" s="11" t="s">
        <v>525</v>
      </c>
      <c r="C14" s="12">
        <v>8923</v>
      </c>
      <c r="D14" s="12">
        <v>317</v>
      </c>
      <c r="E14" s="12">
        <v>304</v>
      </c>
      <c r="F14" s="12">
        <v>441</v>
      </c>
      <c r="G14" s="12">
        <v>444</v>
      </c>
      <c r="H14" s="12">
        <v>495</v>
      </c>
      <c r="I14" s="12">
        <v>633</v>
      </c>
      <c r="J14" s="12">
        <v>138</v>
      </c>
      <c r="K14" s="12">
        <v>347</v>
      </c>
      <c r="L14" s="12">
        <v>325</v>
      </c>
      <c r="M14" s="12">
        <v>438</v>
      </c>
      <c r="N14" s="12">
        <v>193</v>
      </c>
      <c r="O14" s="12">
        <v>419</v>
      </c>
      <c r="P14" s="12">
        <v>496</v>
      </c>
      <c r="Q14" s="12">
        <v>371</v>
      </c>
      <c r="R14" s="12">
        <v>111</v>
      </c>
      <c r="S14" s="12">
        <v>211</v>
      </c>
      <c r="T14" s="12">
        <v>163</v>
      </c>
      <c r="U14" s="12">
        <v>131</v>
      </c>
      <c r="V14" s="12">
        <v>407</v>
      </c>
      <c r="W14" s="12">
        <v>77</v>
      </c>
      <c r="X14" s="12">
        <v>313</v>
      </c>
      <c r="Y14" s="12">
        <v>396</v>
      </c>
      <c r="Z14" s="12">
        <v>196</v>
      </c>
      <c r="AA14" s="12">
        <v>246</v>
      </c>
      <c r="AB14" s="12">
        <v>270</v>
      </c>
      <c r="AC14" s="12">
        <v>223</v>
      </c>
      <c r="AD14" s="12">
        <v>297</v>
      </c>
      <c r="AE14" s="12">
        <v>392</v>
      </c>
      <c r="AF14" s="12">
        <v>307</v>
      </c>
    </row>
    <row r="15" spans="1:32">
      <c r="A15" s="20"/>
      <c r="B15" s="13" t="s">
        <v>526</v>
      </c>
      <c r="C15" s="14">
        <v>0.34</v>
      </c>
      <c r="D15" s="14">
        <v>0.32</v>
      </c>
      <c r="E15" s="14">
        <v>0.3</v>
      </c>
      <c r="F15" s="14">
        <v>0.44</v>
      </c>
      <c r="G15" s="14">
        <v>0.44</v>
      </c>
      <c r="H15" s="14">
        <v>0.41</v>
      </c>
      <c r="I15" s="14">
        <v>0.42</v>
      </c>
      <c r="J15" s="14">
        <v>0.47</v>
      </c>
      <c r="K15" s="14">
        <v>0.35</v>
      </c>
      <c r="L15" s="14">
        <v>0.32</v>
      </c>
      <c r="M15" s="14">
        <v>0.44</v>
      </c>
      <c r="N15" s="14">
        <v>0.19</v>
      </c>
      <c r="O15" s="14">
        <v>0.42</v>
      </c>
      <c r="P15" s="14">
        <v>0.49</v>
      </c>
      <c r="Q15" s="14">
        <v>0.36</v>
      </c>
      <c r="R15" s="14">
        <v>0.22</v>
      </c>
      <c r="S15" s="14">
        <v>0.21</v>
      </c>
      <c r="T15" s="14">
        <v>0.16</v>
      </c>
      <c r="U15" s="14">
        <v>0.26</v>
      </c>
      <c r="V15" s="14">
        <v>0.4</v>
      </c>
      <c r="W15" s="14">
        <v>0.15</v>
      </c>
      <c r="X15" s="14">
        <v>0.31</v>
      </c>
      <c r="Y15" s="14">
        <v>0.39</v>
      </c>
      <c r="Z15" s="14">
        <v>0.19</v>
      </c>
      <c r="AA15" s="14">
        <v>0.23</v>
      </c>
      <c r="AB15" s="14">
        <v>0.26</v>
      </c>
      <c r="AC15" s="14">
        <v>0.22</v>
      </c>
      <c r="AD15" s="14">
        <v>0.28999999999999998</v>
      </c>
      <c r="AE15" s="14">
        <v>0.39</v>
      </c>
      <c r="AF15" s="14">
        <v>0.3</v>
      </c>
    </row>
    <row r="16" spans="1:32">
      <c r="A16" s="20"/>
      <c r="B16" s="11" t="s">
        <v>527</v>
      </c>
      <c r="C16" s="12">
        <v>11846</v>
      </c>
      <c r="D16" s="12">
        <v>461</v>
      </c>
      <c r="E16" s="12">
        <v>433</v>
      </c>
      <c r="F16" s="12">
        <v>524</v>
      </c>
      <c r="G16" s="12">
        <v>432</v>
      </c>
      <c r="H16" s="12">
        <v>543</v>
      </c>
      <c r="I16" s="12">
        <v>652</v>
      </c>
      <c r="J16" s="12">
        <v>109</v>
      </c>
      <c r="K16" s="12">
        <v>464</v>
      </c>
      <c r="L16" s="12">
        <v>516</v>
      </c>
      <c r="M16" s="12">
        <v>583</v>
      </c>
      <c r="N16" s="12">
        <v>517</v>
      </c>
      <c r="O16" s="12">
        <v>411</v>
      </c>
      <c r="P16" s="12">
        <v>569</v>
      </c>
      <c r="Q16" s="12">
        <v>417</v>
      </c>
      <c r="R16" s="12">
        <v>305</v>
      </c>
      <c r="S16" s="12">
        <v>374</v>
      </c>
      <c r="T16" s="12">
        <v>412</v>
      </c>
      <c r="U16" s="12">
        <v>315</v>
      </c>
      <c r="V16" s="12">
        <v>476</v>
      </c>
      <c r="W16" s="12">
        <v>203</v>
      </c>
      <c r="X16" s="12">
        <v>580</v>
      </c>
      <c r="Y16" s="12">
        <v>498</v>
      </c>
      <c r="Z16" s="12">
        <v>424</v>
      </c>
      <c r="AA16" s="12">
        <v>448</v>
      </c>
      <c r="AB16" s="12">
        <v>407</v>
      </c>
      <c r="AC16" s="12">
        <v>536</v>
      </c>
      <c r="AD16" s="12">
        <v>485</v>
      </c>
      <c r="AE16" s="12">
        <v>447</v>
      </c>
      <c r="AF16" s="12">
        <v>477</v>
      </c>
    </row>
    <row r="17" spans="1:32">
      <c r="A17" s="20"/>
      <c r="B17" s="13" t="s">
        <v>528</v>
      </c>
      <c r="C17" s="14">
        <v>0.45</v>
      </c>
      <c r="D17" s="14">
        <v>0.46</v>
      </c>
      <c r="E17" s="14">
        <v>0.43</v>
      </c>
      <c r="F17" s="14">
        <v>0.52</v>
      </c>
      <c r="G17" s="14">
        <v>0.43</v>
      </c>
      <c r="H17" s="14">
        <v>0.45</v>
      </c>
      <c r="I17" s="14">
        <v>0.43</v>
      </c>
      <c r="J17" s="14">
        <v>0.37</v>
      </c>
      <c r="K17" s="14">
        <v>0.46</v>
      </c>
      <c r="L17" s="14">
        <v>0.51</v>
      </c>
      <c r="M17" s="14">
        <v>0.57999999999999996</v>
      </c>
      <c r="N17" s="14">
        <v>0.51</v>
      </c>
      <c r="O17" s="14">
        <v>0.41</v>
      </c>
      <c r="P17" s="14">
        <v>0.56000000000000005</v>
      </c>
      <c r="Q17" s="14">
        <v>0.41</v>
      </c>
      <c r="R17" s="14">
        <v>0.61</v>
      </c>
      <c r="S17" s="14">
        <v>0.37</v>
      </c>
      <c r="T17" s="14">
        <v>0.41</v>
      </c>
      <c r="U17" s="14">
        <v>0.62</v>
      </c>
      <c r="V17" s="14">
        <v>0.47</v>
      </c>
      <c r="W17" s="14">
        <v>0.4</v>
      </c>
      <c r="X17" s="14">
        <v>0.57000000000000006</v>
      </c>
      <c r="Y17" s="14">
        <v>0.49</v>
      </c>
      <c r="Z17" s="14">
        <v>0.42</v>
      </c>
      <c r="AA17" s="14">
        <v>0.43</v>
      </c>
      <c r="AB17" s="14">
        <v>0.39</v>
      </c>
      <c r="AC17" s="14">
        <v>0.53</v>
      </c>
      <c r="AD17" s="14">
        <v>0.48</v>
      </c>
      <c r="AE17" s="14">
        <v>0.45</v>
      </c>
      <c r="AF17" s="14">
        <v>0.47</v>
      </c>
    </row>
    <row r="18" spans="1:32" ht="24.95">
      <c r="A18" s="20"/>
      <c r="B18" s="11" t="s">
        <v>529</v>
      </c>
      <c r="C18" s="12">
        <v>7331</v>
      </c>
      <c r="D18" s="12">
        <v>279</v>
      </c>
      <c r="E18" s="12">
        <v>257</v>
      </c>
      <c r="F18" s="12">
        <v>260</v>
      </c>
      <c r="G18" s="12">
        <v>343</v>
      </c>
      <c r="H18" s="12">
        <v>404</v>
      </c>
      <c r="I18" s="12">
        <v>481</v>
      </c>
      <c r="J18" s="12">
        <v>77</v>
      </c>
      <c r="K18" s="12">
        <v>274</v>
      </c>
      <c r="L18" s="12">
        <v>230</v>
      </c>
      <c r="M18" s="12">
        <v>394</v>
      </c>
      <c r="N18" s="12">
        <v>189</v>
      </c>
      <c r="O18" s="12">
        <v>223</v>
      </c>
      <c r="P18" s="12">
        <v>357</v>
      </c>
      <c r="Q18" s="12">
        <v>361</v>
      </c>
      <c r="R18" s="12">
        <v>115</v>
      </c>
      <c r="S18" s="12">
        <v>178</v>
      </c>
      <c r="T18" s="12">
        <v>297</v>
      </c>
      <c r="U18" s="12">
        <v>114</v>
      </c>
      <c r="V18" s="12">
        <v>251</v>
      </c>
      <c r="W18" s="12">
        <v>158</v>
      </c>
      <c r="X18" s="12">
        <v>258</v>
      </c>
      <c r="Y18" s="12">
        <v>387</v>
      </c>
      <c r="Z18" s="12">
        <v>279</v>
      </c>
      <c r="AA18" s="12">
        <v>399</v>
      </c>
      <c r="AB18" s="12">
        <v>234</v>
      </c>
      <c r="AC18" s="12">
        <v>276</v>
      </c>
      <c r="AD18" s="12">
        <v>223</v>
      </c>
      <c r="AE18" s="12">
        <v>232</v>
      </c>
      <c r="AF18" s="12">
        <v>244</v>
      </c>
    </row>
    <row r="19" spans="1:32" ht="24.95">
      <c r="A19" s="20"/>
      <c r="B19" s="13" t="s">
        <v>530</v>
      </c>
      <c r="C19" s="14">
        <v>0.28000000000000003</v>
      </c>
      <c r="D19" s="14">
        <v>0.28000000000000003</v>
      </c>
      <c r="E19" s="14">
        <v>0.25</v>
      </c>
      <c r="F19" s="14">
        <v>0.26</v>
      </c>
      <c r="G19" s="14">
        <v>0.34</v>
      </c>
      <c r="H19" s="14">
        <v>0.33</v>
      </c>
      <c r="I19" s="14">
        <v>0.32</v>
      </c>
      <c r="J19" s="14">
        <v>0.26</v>
      </c>
      <c r="K19" s="14">
        <v>0.27</v>
      </c>
      <c r="L19" s="14">
        <v>0.23</v>
      </c>
      <c r="M19" s="14">
        <v>0.39</v>
      </c>
      <c r="N19" s="14">
        <v>0.19</v>
      </c>
      <c r="O19" s="14">
        <v>0.22</v>
      </c>
      <c r="P19" s="14">
        <v>0.35</v>
      </c>
      <c r="Q19" s="14">
        <v>0.35</v>
      </c>
      <c r="R19" s="14">
        <v>0.23</v>
      </c>
      <c r="S19" s="14">
        <v>0.18</v>
      </c>
      <c r="T19" s="14">
        <v>0.28999999999999998</v>
      </c>
      <c r="U19" s="14">
        <v>0.22</v>
      </c>
      <c r="V19" s="14">
        <v>0.25</v>
      </c>
      <c r="W19" s="14">
        <v>0.31</v>
      </c>
      <c r="X19" s="14">
        <v>0.25</v>
      </c>
      <c r="Y19" s="14">
        <v>0.38</v>
      </c>
      <c r="Z19" s="14">
        <v>0.28000000000000003</v>
      </c>
      <c r="AA19" s="14">
        <v>0.38</v>
      </c>
      <c r="AB19" s="14">
        <v>0.22</v>
      </c>
      <c r="AC19" s="14">
        <v>0.27</v>
      </c>
      <c r="AD19" s="14">
        <v>0.22</v>
      </c>
      <c r="AE19" s="14">
        <v>0.23</v>
      </c>
      <c r="AF19" s="14">
        <v>0.24</v>
      </c>
    </row>
    <row r="20" spans="1:32" ht="24.95">
      <c r="A20" s="20"/>
      <c r="B20" s="11" t="s">
        <v>531</v>
      </c>
      <c r="C20" s="12">
        <v>1420</v>
      </c>
      <c r="D20" s="12">
        <v>74</v>
      </c>
      <c r="E20" s="12">
        <v>51</v>
      </c>
      <c r="F20" s="12">
        <v>35</v>
      </c>
      <c r="G20" s="12">
        <v>40</v>
      </c>
      <c r="H20" s="12">
        <v>34</v>
      </c>
      <c r="I20" s="12">
        <v>38</v>
      </c>
      <c r="J20" s="12">
        <v>4</v>
      </c>
      <c r="K20" s="12">
        <v>38</v>
      </c>
      <c r="L20" s="12">
        <v>63</v>
      </c>
      <c r="M20" s="12">
        <v>86</v>
      </c>
      <c r="N20" s="12">
        <v>47</v>
      </c>
      <c r="O20" s="12">
        <v>42</v>
      </c>
      <c r="P20" s="12">
        <v>136</v>
      </c>
      <c r="Q20" s="12">
        <v>103</v>
      </c>
      <c r="R20" s="12">
        <v>5</v>
      </c>
      <c r="S20" s="12">
        <v>41</v>
      </c>
      <c r="T20" s="12">
        <v>25</v>
      </c>
      <c r="U20" s="12">
        <v>16</v>
      </c>
      <c r="V20" s="12">
        <v>69</v>
      </c>
      <c r="W20" s="12">
        <v>49</v>
      </c>
      <c r="X20" s="12">
        <v>27</v>
      </c>
      <c r="Y20" s="12">
        <v>74</v>
      </c>
      <c r="Z20" s="12">
        <v>79</v>
      </c>
      <c r="AA20" s="12">
        <v>44</v>
      </c>
      <c r="AB20" s="12">
        <v>74</v>
      </c>
      <c r="AC20" s="12">
        <v>30</v>
      </c>
      <c r="AD20" s="12">
        <v>39</v>
      </c>
      <c r="AE20" s="12">
        <v>13</v>
      </c>
      <c r="AF20" s="12">
        <v>30</v>
      </c>
    </row>
    <row r="21" spans="1:32" ht="24.95">
      <c r="A21" s="20"/>
      <c r="B21" s="13" t="s">
        <v>532</v>
      </c>
      <c r="C21" s="14">
        <v>0.05</v>
      </c>
      <c r="D21" s="14">
        <v>7.0000000000000007E-2</v>
      </c>
      <c r="E21" s="14">
        <v>0.05</v>
      </c>
      <c r="F21" s="14">
        <v>0.03</v>
      </c>
      <c r="G21" s="14">
        <v>0.04</v>
      </c>
      <c r="H21" s="14">
        <v>0.03</v>
      </c>
      <c r="I21" s="14">
        <v>0.02</v>
      </c>
      <c r="J21" s="14">
        <v>0.01</v>
      </c>
      <c r="K21" s="14">
        <v>0.04</v>
      </c>
      <c r="L21" s="14">
        <v>0.06</v>
      </c>
      <c r="M21" s="14">
        <v>0.09</v>
      </c>
      <c r="N21" s="14">
        <v>0.05</v>
      </c>
      <c r="O21" s="14">
        <v>0.04</v>
      </c>
      <c r="P21" s="14">
        <v>0.13</v>
      </c>
      <c r="Q21" s="14">
        <v>0.1</v>
      </c>
      <c r="R21" s="14">
        <v>0.01</v>
      </c>
      <c r="S21" s="14">
        <v>0.04</v>
      </c>
      <c r="T21" s="14">
        <v>0.03</v>
      </c>
      <c r="U21" s="14">
        <v>0.03</v>
      </c>
      <c r="V21" s="14">
        <v>7.0000000000000007E-2</v>
      </c>
      <c r="W21" s="14">
        <v>0.1</v>
      </c>
      <c r="X21" s="14">
        <v>0.03</v>
      </c>
      <c r="Y21" s="14">
        <v>7.0000000000000007E-2</v>
      </c>
      <c r="Z21" s="14">
        <v>0.08</v>
      </c>
      <c r="AA21" s="14">
        <v>0.04</v>
      </c>
      <c r="AB21" s="14">
        <v>7.0000000000000007E-2</v>
      </c>
      <c r="AC21" s="14">
        <v>0.03</v>
      </c>
      <c r="AD21" s="14">
        <v>0.04</v>
      </c>
      <c r="AE21" s="14">
        <v>0.01</v>
      </c>
      <c r="AF21" s="14">
        <v>0.03</v>
      </c>
    </row>
    <row r="22" spans="1:32" ht="24.95">
      <c r="A22" s="20"/>
      <c r="B22" s="11" t="s">
        <v>533</v>
      </c>
      <c r="C22" s="12">
        <v>5720</v>
      </c>
      <c r="D22" s="12">
        <v>222</v>
      </c>
      <c r="E22" s="12">
        <v>272</v>
      </c>
      <c r="F22" s="12">
        <v>201</v>
      </c>
      <c r="G22" s="12">
        <v>174</v>
      </c>
      <c r="H22" s="12">
        <v>252</v>
      </c>
      <c r="I22" s="12">
        <v>317</v>
      </c>
      <c r="J22" s="12">
        <v>65</v>
      </c>
      <c r="K22" s="12">
        <v>130</v>
      </c>
      <c r="L22" s="12">
        <v>184</v>
      </c>
      <c r="M22" s="12">
        <v>257</v>
      </c>
      <c r="N22" s="12">
        <v>249</v>
      </c>
      <c r="O22" s="12">
        <v>170</v>
      </c>
      <c r="P22" s="12">
        <v>355</v>
      </c>
      <c r="Q22" s="12">
        <v>290</v>
      </c>
      <c r="R22" s="12">
        <v>141</v>
      </c>
      <c r="S22" s="12">
        <v>106</v>
      </c>
      <c r="T22" s="12">
        <v>77</v>
      </c>
      <c r="U22" s="12">
        <v>106</v>
      </c>
      <c r="V22" s="12">
        <v>236</v>
      </c>
      <c r="W22" s="12">
        <v>128</v>
      </c>
      <c r="X22" s="12">
        <v>126</v>
      </c>
      <c r="Y22" s="12">
        <v>223</v>
      </c>
      <c r="Z22" s="12">
        <v>200</v>
      </c>
      <c r="AA22" s="12">
        <v>256</v>
      </c>
      <c r="AB22" s="12">
        <v>267</v>
      </c>
      <c r="AC22" s="12">
        <v>105</v>
      </c>
      <c r="AD22" s="12">
        <v>199</v>
      </c>
      <c r="AE22" s="12">
        <v>160</v>
      </c>
      <c r="AF22" s="12">
        <v>228</v>
      </c>
    </row>
    <row r="23" spans="1:32">
      <c r="A23" s="20"/>
      <c r="B23" s="13" t="s">
        <v>534</v>
      </c>
      <c r="C23" s="14">
        <v>0.22</v>
      </c>
      <c r="D23" s="14">
        <v>0.22</v>
      </c>
      <c r="E23" s="14">
        <v>0.27</v>
      </c>
      <c r="F23" s="14">
        <v>0.2</v>
      </c>
      <c r="G23" s="14">
        <v>0.17</v>
      </c>
      <c r="H23" s="14">
        <v>0.21</v>
      </c>
      <c r="I23" s="14">
        <v>0.21</v>
      </c>
      <c r="J23" s="14">
        <v>0.22</v>
      </c>
      <c r="K23" s="14">
        <v>0.13</v>
      </c>
      <c r="L23" s="14">
        <v>0.18</v>
      </c>
      <c r="M23" s="14">
        <v>0.26</v>
      </c>
      <c r="N23" s="14">
        <v>0.25</v>
      </c>
      <c r="O23" s="14">
        <v>0.17</v>
      </c>
      <c r="P23" s="14">
        <v>0.35</v>
      </c>
      <c r="Q23" s="14">
        <v>0.28000000000000003</v>
      </c>
      <c r="R23" s="14">
        <v>0.28000000000000003</v>
      </c>
      <c r="S23" s="14">
        <v>0.11</v>
      </c>
      <c r="T23" s="14">
        <v>0.08</v>
      </c>
      <c r="U23" s="14">
        <v>0.21</v>
      </c>
      <c r="V23" s="14">
        <v>0.23</v>
      </c>
      <c r="W23" s="14">
        <v>0.26</v>
      </c>
      <c r="X23" s="14">
        <v>0.12</v>
      </c>
      <c r="Y23" s="14">
        <v>0.22</v>
      </c>
      <c r="Z23" s="14">
        <v>0.2</v>
      </c>
      <c r="AA23" s="14">
        <v>0.24</v>
      </c>
      <c r="AB23" s="14">
        <v>0.26</v>
      </c>
      <c r="AC23" s="14">
        <v>0.1</v>
      </c>
      <c r="AD23" s="14">
        <v>0.2</v>
      </c>
      <c r="AE23" s="14">
        <v>0.16</v>
      </c>
      <c r="AF23" s="14">
        <v>0.22</v>
      </c>
    </row>
    <row r="24" spans="1:32">
      <c r="A24" s="20"/>
      <c r="B24" s="11" t="s">
        <v>535</v>
      </c>
      <c r="C24" s="12">
        <v>973</v>
      </c>
      <c r="D24" s="12">
        <v>72</v>
      </c>
      <c r="E24" s="12">
        <v>28</v>
      </c>
      <c r="F24" s="12">
        <v>34</v>
      </c>
      <c r="G24" s="12">
        <v>28</v>
      </c>
      <c r="H24" s="12">
        <v>37</v>
      </c>
      <c r="I24" s="12">
        <v>45</v>
      </c>
      <c r="J24" s="12">
        <v>9</v>
      </c>
      <c r="K24" s="12">
        <v>53</v>
      </c>
      <c r="L24" s="12">
        <v>26</v>
      </c>
      <c r="M24" s="12">
        <v>2</v>
      </c>
      <c r="N24" s="12">
        <v>25</v>
      </c>
      <c r="O24" s="12">
        <v>42</v>
      </c>
      <c r="P24" s="12">
        <v>44</v>
      </c>
      <c r="Q24" s="12">
        <v>40</v>
      </c>
      <c r="R24" s="12">
        <v>7</v>
      </c>
      <c r="S24" s="12">
        <v>51</v>
      </c>
      <c r="T24" s="12">
        <v>13</v>
      </c>
      <c r="U24" s="12">
        <v>59</v>
      </c>
      <c r="V24" s="12">
        <v>29</v>
      </c>
      <c r="W24" s="12">
        <v>26</v>
      </c>
      <c r="X24" s="12">
        <v>13</v>
      </c>
      <c r="Y24" s="12">
        <v>78</v>
      </c>
      <c r="Z24" s="12">
        <v>55</v>
      </c>
      <c r="AA24" s="12">
        <v>23</v>
      </c>
      <c r="AB24" s="12">
        <v>95</v>
      </c>
      <c r="AC24" s="12">
        <v>11</v>
      </c>
      <c r="AD24" s="12">
        <v>22</v>
      </c>
      <c r="AE24" s="12">
        <v>12</v>
      </c>
      <c r="AF24" s="12">
        <v>15</v>
      </c>
    </row>
    <row r="25" spans="1:32">
      <c r="A25" s="20"/>
      <c r="B25" s="13" t="s">
        <v>536</v>
      </c>
      <c r="C25" s="14">
        <v>0.04</v>
      </c>
      <c r="D25" s="14">
        <v>7.0000000000000007E-2</v>
      </c>
      <c r="E25" s="14">
        <v>0.03</v>
      </c>
      <c r="F25" s="14">
        <v>0.03</v>
      </c>
      <c r="G25" s="14">
        <v>0.03</v>
      </c>
      <c r="H25" s="14">
        <v>0.03</v>
      </c>
      <c r="I25" s="14">
        <v>0.03</v>
      </c>
      <c r="J25" s="14">
        <v>0.03</v>
      </c>
      <c r="K25" s="14">
        <v>0.05</v>
      </c>
      <c r="L25" s="14">
        <v>0.03</v>
      </c>
      <c r="M25" s="15" t="s">
        <v>459</v>
      </c>
      <c r="N25" s="14">
        <v>0.02</v>
      </c>
      <c r="O25" s="14">
        <v>0.04</v>
      </c>
      <c r="P25" s="14">
        <v>0.04</v>
      </c>
      <c r="Q25" s="14">
        <v>0.04</v>
      </c>
      <c r="R25" s="14">
        <v>0.01</v>
      </c>
      <c r="S25" s="14">
        <v>0.05</v>
      </c>
      <c r="T25" s="14">
        <v>0.01</v>
      </c>
      <c r="U25" s="14">
        <v>0.12</v>
      </c>
      <c r="V25" s="14">
        <v>0.03</v>
      </c>
      <c r="W25" s="14">
        <v>0.05</v>
      </c>
      <c r="X25" s="14">
        <v>0.01</v>
      </c>
      <c r="Y25" s="14">
        <v>0.08</v>
      </c>
      <c r="Z25" s="14">
        <v>0.06</v>
      </c>
      <c r="AA25" s="14">
        <v>0.02</v>
      </c>
      <c r="AB25" s="14">
        <v>0.09</v>
      </c>
      <c r="AC25" s="14">
        <v>0.01</v>
      </c>
      <c r="AD25" s="14">
        <v>0.02</v>
      </c>
      <c r="AE25" s="14">
        <v>0.01</v>
      </c>
      <c r="AF25" s="14">
        <v>0.01</v>
      </c>
    </row>
    <row r="26" spans="1:32" ht="24.95">
      <c r="A26" s="20"/>
      <c r="B26" s="11" t="s">
        <v>537</v>
      </c>
      <c r="C26" s="12">
        <v>1517</v>
      </c>
      <c r="D26" s="12">
        <v>91</v>
      </c>
      <c r="E26" s="12">
        <v>32</v>
      </c>
      <c r="F26" s="12">
        <v>87</v>
      </c>
      <c r="G26" s="12">
        <v>107</v>
      </c>
      <c r="H26" s="12">
        <v>49</v>
      </c>
      <c r="I26" s="12">
        <v>65</v>
      </c>
      <c r="J26" s="12">
        <v>16</v>
      </c>
      <c r="K26" s="12">
        <v>59</v>
      </c>
      <c r="L26" s="12">
        <v>99</v>
      </c>
      <c r="M26" s="12">
        <v>51</v>
      </c>
      <c r="N26" s="12">
        <v>39</v>
      </c>
      <c r="O26" s="12">
        <v>31</v>
      </c>
      <c r="P26" s="12">
        <v>62</v>
      </c>
      <c r="Q26" s="12">
        <v>52</v>
      </c>
      <c r="R26" s="12">
        <v>62</v>
      </c>
      <c r="S26" s="12">
        <v>54</v>
      </c>
      <c r="T26" s="12">
        <v>58</v>
      </c>
      <c r="U26" s="12">
        <v>45</v>
      </c>
      <c r="V26" s="12">
        <v>97</v>
      </c>
      <c r="W26" s="12">
        <v>32</v>
      </c>
      <c r="X26" s="12">
        <v>80</v>
      </c>
      <c r="Y26" s="12">
        <v>117</v>
      </c>
      <c r="Z26" s="12">
        <v>59</v>
      </c>
      <c r="AA26" s="12">
        <v>78</v>
      </c>
      <c r="AB26" s="12">
        <v>135</v>
      </c>
      <c r="AC26" s="12">
        <v>74</v>
      </c>
      <c r="AD26" s="12">
        <v>104</v>
      </c>
      <c r="AE26" s="12">
        <v>83</v>
      </c>
      <c r="AF26" s="12">
        <v>66</v>
      </c>
    </row>
    <row r="27" spans="1:32">
      <c r="A27" s="20"/>
      <c r="B27" s="13" t="s">
        <v>538</v>
      </c>
      <c r="C27" s="14">
        <v>0.06</v>
      </c>
      <c r="D27" s="14">
        <v>0.09</v>
      </c>
      <c r="E27" s="14">
        <v>0.03</v>
      </c>
      <c r="F27" s="14">
        <v>0.09</v>
      </c>
      <c r="G27" s="14">
        <v>0.11</v>
      </c>
      <c r="H27" s="14">
        <v>0.04</v>
      </c>
      <c r="I27" s="14">
        <v>0.04</v>
      </c>
      <c r="J27" s="14">
        <v>0.06</v>
      </c>
      <c r="K27" s="14">
        <v>0.06</v>
      </c>
      <c r="L27" s="14">
        <v>0.1</v>
      </c>
      <c r="M27" s="14">
        <v>0.05</v>
      </c>
      <c r="N27" s="14">
        <v>0.04</v>
      </c>
      <c r="O27" s="14">
        <v>0.03</v>
      </c>
      <c r="P27" s="14">
        <v>0.06</v>
      </c>
      <c r="Q27" s="14">
        <v>0.05</v>
      </c>
      <c r="R27" s="14">
        <v>0.12</v>
      </c>
      <c r="S27" s="14">
        <v>0.05</v>
      </c>
      <c r="T27" s="14">
        <v>0.06</v>
      </c>
      <c r="U27" s="14">
        <v>0.09</v>
      </c>
      <c r="V27" s="14">
        <v>0.1</v>
      </c>
      <c r="W27" s="14">
        <v>0.06</v>
      </c>
      <c r="X27" s="14">
        <v>0.08</v>
      </c>
      <c r="Y27" s="14">
        <v>0.12</v>
      </c>
      <c r="Z27" s="14">
        <v>0.06</v>
      </c>
      <c r="AA27" s="14">
        <v>7.0000000000000007E-2</v>
      </c>
      <c r="AB27" s="14">
        <v>0.13</v>
      </c>
      <c r="AC27" s="14">
        <v>7.0000000000000007E-2</v>
      </c>
      <c r="AD27" s="14">
        <v>0.1</v>
      </c>
      <c r="AE27" s="14">
        <v>0.08</v>
      </c>
      <c r="AF27" s="14">
        <v>0.06</v>
      </c>
    </row>
    <row r="28" spans="1:32" ht="36.950000000000003">
      <c r="A28" s="20"/>
      <c r="B28" s="11" t="s">
        <v>539</v>
      </c>
      <c r="C28" s="12">
        <v>1902</v>
      </c>
      <c r="D28" s="12">
        <v>107</v>
      </c>
      <c r="E28" s="12">
        <v>97</v>
      </c>
      <c r="F28" s="12">
        <v>92</v>
      </c>
      <c r="G28" s="12">
        <v>48</v>
      </c>
      <c r="H28" s="12">
        <v>55</v>
      </c>
      <c r="I28" s="12">
        <v>71</v>
      </c>
      <c r="J28" s="12">
        <v>16</v>
      </c>
      <c r="K28" s="12">
        <v>121</v>
      </c>
      <c r="L28" s="12">
        <v>53</v>
      </c>
      <c r="M28" s="12">
        <v>38</v>
      </c>
      <c r="N28" s="12">
        <v>61</v>
      </c>
      <c r="O28" s="12">
        <v>72</v>
      </c>
      <c r="P28" s="12">
        <v>176</v>
      </c>
      <c r="Q28" s="12">
        <v>74</v>
      </c>
      <c r="R28" s="12">
        <v>24</v>
      </c>
      <c r="S28" s="12">
        <v>55</v>
      </c>
      <c r="T28" s="12">
        <v>103</v>
      </c>
      <c r="U28" s="12">
        <v>36</v>
      </c>
      <c r="V28" s="12">
        <v>144</v>
      </c>
      <c r="W28" s="12">
        <v>31</v>
      </c>
      <c r="X28" s="12">
        <v>47</v>
      </c>
      <c r="Y28" s="12">
        <v>89</v>
      </c>
      <c r="Z28" s="12">
        <v>86</v>
      </c>
      <c r="AA28" s="12">
        <v>61</v>
      </c>
      <c r="AB28" s="12">
        <v>175</v>
      </c>
      <c r="AC28" s="12">
        <v>68</v>
      </c>
      <c r="AD28" s="12">
        <v>80</v>
      </c>
      <c r="AE28" s="12">
        <v>35</v>
      </c>
      <c r="AF28" s="12">
        <v>56</v>
      </c>
    </row>
    <row r="29" spans="1:32" ht="24.95">
      <c r="A29" s="20"/>
      <c r="B29" s="13" t="s">
        <v>540</v>
      </c>
      <c r="C29" s="14">
        <v>7.0000000000000007E-2</v>
      </c>
      <c r="D29" s="14">
        <v>0.11</v>
      </c>
      <c r="E29" s="14">
        <v>0.09</v>
      </c>
      <c r="F29" s="14">
        <v>0.09</v>
      </c>
      <c r="G29" s="14">
        <v>0.05</v>
      </c>
      <c r="H29" s="14">
        <v>0.05</v>
      </c>
      <c r="I29" s="14">
        <v>0.05</v>
      </c>
      <c r="J29" s="14">
        <v>0.05</v>
      </c>
      <c r="K29" s="14">
        <v>0.12</v>
      </c>
      <c r="L29" s="14">
        <v>0.05</v>
      </c>
      <c r="M29" s="14">
        <v>0.04</v>
      </c>
      <c r="N29" s="14">
        <v>0.06</v>
      </c>
      <c r="O29" s="14">
        <v>7.0000000000000007E-2</v>
      </c>
      <c r="P29" s="14">
        <v>0.17</v>
      </c>
      <c r="Q29" s="14">
        <v>7.0000000000000007E-2</v>
      </c>
      <c r="R29" s="14">
        <v>0.05</v>
      </c>
      <c r="S29" s="14">
        <v>0.05</v>
      </c>
      <c r="T29" s="14">
        <v>0.1</v>
      </c>
      <c r="U29" s="14">
        <v>7.0000000000000007E-2</v>
      </c>
      <c r="V29" s="14">
        <v>0.14000000000000001</v>
      </c>
      <c r="W29" s="14">
        <v>0.06</v>
      </c>
      <c r="X29" s="14">
        <v>0.05</v>
      </c>
      <c r="Y29" s="14">
        <v>0.09</v>
      </c>
      <c r="Z29" s="14">
        <v>0.09</v>
      </c>
      <c r="AA29" s="14">
        <v>0.06</v>
      </c>
      <c r="AB29" s="14">
        <v>0.17</v>
      </c>
      <c r="AC29" s="14">
        <v>7.0000000000000007E-2</v>
      </c>
      <c r="AD29" s="14">
        <v>0.08</v>
      </c>
      <c r="AE29" s="14">
        <v>0.04</v>
      </c>
      <c r="AF29" s="14">
        <v>0.06</v>
      </c>
    </row>
    <row r="30" spans="1:32" ht="36.950000000000003">
      <c r="A30" s="20"/>
      <c r="B30" s="11" t="s">
        <v>541</v>
      </c>
      <c r="C30" s="12">
        <v>2193</v>
      </c>
      <c r="D30" s="12">
        <v>98</v>
      </c>
      <c r="E30" s="12">
        <v>132</v>
      </c>
      <c r="F30" s="12">
        <v>125</v>
      </c>
      <c r="G30" s="12">
        <v>78</v>
      </c>
      <c r="H30" s="12">
        <v>137</v>
      </c>
      <c r="I30" s="12">
        <v>171</v>
      </c>
      <c r="J30" s="12">
        <v>34</v>
      </c>
      <c r="K30" s="12">
        <v>118</v>
      </c>
      <c r="L30" s="12">
        <v>50</v>
      </c>
      <c r="M30" s="12">
        <v>85</v>
      </c>
      <c r="N30" s="12">
        <v>61</v>
      </c>
      <c r="O30" s="12">
        <v>60</v>
      </c>
      <c r="P30" s="12">
        <v>166</v>
      </c>
      <c r="Q30" s="12">
        <v>53</v>
      </c>
      <c r="R30" s="12">
        <v>27</v>
      </c>
      <c r="S30" s="12">
        <v>133</v>
      </c>
      <c r="T30" s="12">
        <v>144</v>
      </c>
      <c r="U30" s="12">
        <v>31</v>
      </c>
      <c r="V30" s="12">
        <v>121</v>
      </c>
      <c r="W30" s="12">
        <v>29</v>
      </c>
      <c r="X30" s="12">
        <v>59</v>
      </c>
      <c r="Y30" s="12">
        <v>100</v>
      </c>
      <c r="Z30" s="12">
        <v>65</v>
      </c>
      <c r="AA30" s="12">
        <v>75</v>
      </c>
      <c r="AB30" s="12">
        <v>194</v>
      </c>
      <c r="AC30" s="12">
        <v>110</v>
      </c>
      <c r="AD30" s="12">
        <v>67</v>
      </c>
      <c r="AE30" s="12">
        <v>53</v>
      </c>
      <c r="AF30" s="12">
        <v>70</v>
      </c>
    </row>
    <row r="31" spans="1:32" ht="24.95">
      <c r="A31" s="20"/>
      <c r="B31" s="13" t="s">
        <v>542</v>
      </c>
      <c r="C31" s="14">
        <v>0.08</v>
      </c>
      <c r="D31" s="14">
        <v>0.1</v>
      </c>
      <c r="E31" s="14">
        <v>0.13</v>
      </c>
      <c r="F31" s="14">
        <v>0.12</v>
      </c>
      <c r="G31" s="14">
        <v>0.08</v>
      </c>
      <c r="H31" s="14">
        <v>0.11</v>
      </c>
      <c r="I31" s="14">
        <v>0.11</v>
      </c>
      <c r="J31" s="14">
        <v>0.12</v>
      </c>
      <c r="K31" s="14">
        <v>0.12</v>
      </c>
      <c r="L31" s="14">
        <v>0.05</v>
      </c>
      <c r="M31" s="14">
        <v>0.08</v>
      </c>
      <c r="N31" s="14">
        <v>0.06</v>
      </c>
      <c r="O31" s="14">
        <v>0.06</v>
      </c>
      <c r="P31" s="14">
        <v>0.16</v>
      </c>
      <c r="Q31" s="14">
        <v>0.05</v>
      </c>
      <c r="R31" s="14">
        <v>0.05</v>
      </c>
      <c r="S31" s="14">
        <v>0.13</v>
      </c>
      <c r="T31" s="14">
        <v>0.14000000000000001</v>
      </c>
      <c r="U31" s="14">
        <v>0.06</v>
      </c>
      <c r="V31" s="14">
        <v>0.12</v>
      </c>
      <c r="W31" s="14">
        <v>0.06</v>
      </c>
      <c r="X31" s="14">
        <v>0.06</v>
      </c>
      <c r="Y31" s="14">
        <v>0.1</v>
      </c>
      <c r="Z31" s="14">
        <v>0.06</v>
      </c>
      <c r="AA31" s="14">
        <v>7.0000000000000007E-2</v>
      </c>
      <c r="AB31" s="14">
        <v>0.19</v>
      </c>
      <c r="AC31" s="14">
        <v>0.11</v>
      </c>
      <c r="AD31" s="14">
        <v>7.0000000000000007E-2</v>
      </c>
      <c r="AE31" s="14">
        <v>0.05</v>
      </c>
      <c r="AF31" s="14">
        <v>7.0000000000000007E-2</v>
      </c>
    </row>
    <row r="32" spans="1:32" ht="24.95">
      <c r="A32" s="20"/>
      <c r="B32" s="11" t="s">
        <v>543</v>
      </c>
      <c r="C32" s="12">
        <v>1073</v>
      </c>
      <c r="D32" s="12">
        <v>56</v>
      </c>
      <c r="E32" s="12">
        <v>44</v>
      </c>
      <c r="F32" s="12">
        <v>34</v>
      </c>
      <c r="G32" s="12">
        <v>64</v>
      </c>
      <c r="H32" s="12">
        <v>51</v>
      </c>
      <c r="I32" s="12">
        <v>74</v>
      </c>
      <c r="J32" s="12">
        <v>22</v>
      </c>
      <c r="K32" s="12">
        <v>77</v>
      </c>
      <c r="L32" s="12">
        <v>41</v>
      </c>
      <c r="M32" s="12">
        <v>21</v>
      </c>
      <c r="N32" s="12">
        <v>25</v>
      </c>
      <c r="O32" s="12">
        <v>29</v>
      </c>
      <c r="P32" s="12">
        <v>76</v>
      </c>
      <c r="Q32" s="12">
        <v>50</v>
      </c>
      <c r="R32" s="12">
        <v>11</v>
      </c>
      <c r="S32" s="12">
        <v>27</v>
      </c>
      <c r="T32" s="12">
        <v>17</v>
      </c>
      <c r="U32" s="12">
        <v>6</v>
      </c>
      <c r="V32" s="12">
        <v>74</v>
      </c>
      <c r="W32" s="12">
        <v>14</v>
      </c>
      <c r="X32" s="12">
        <v>15</v>
      </c>
      <c r="Y32" s="12">
        <v>87</v>
      </c>
      <c r="Z32" s="12">
        <v>27</v>
      </c>
      <c r="AA32" s="12">
        <v>15</v>
      </c>
      <c r="AB32" s="12">
        <v>110</v>
      </c>
      <c r="AC32" s="12">
        <v>20</v>
      </c>
      <c r="AD32" s="12">
        <v>24</v>
      </c>
      <c r="AE32" s="12">
        <v>28</v>
      </c>
      <c r="AF32" s="12">
        <v>25</v>
      </c>
    </row>
    <row r="33" spans="1:32">
      <c r="A33" s="20"/>
      <c r="B33" s="13" t="s">
        <v>544</v>
      </c>
      <c r="C33" s="14">
        <v>0.04</v>
      </c>
      <c r="D33" s="14">
        <v>0.06</v>
      </c>
      <c r="E33" s="14">
        <v>0.04</v>
      </c>
      <c r="F33" s="14">
        <v>0.03</v>
      </c>
      <c r="G33" s="14">
        <v>0.06</v>
      </c>
      <c r="H33" s="14">
        <v>0.04</v>
      </c>
      <c r="I33" s="14">
        <v>0.05</v>
      </c>
      <c r="J33" s="14">
        <v>0.08</v>
      </c>
      <c r="K33" s="14">
        <v>0.08</v>
      </c>
      <c r="L33" s="14">
        <v>0.04</v>
      </c>
      <c r="M33" s="14">
        <v>0.02</v>
      </c>
      <c r="N33" s="14">
        <v>0.02</v>
      </c>
      <c r="O33" s="14">
        <v>0.03</v>
      </c>
      <c r="P33" s="14">
        <v>7.0000000000000007E-2</v>
      </c>
      <c r="Q33" s="14">
        <v>0.05</v>
      </c>
      <c r="R33" s="14">
        <v>0.02</v>
      </c>
      <c r="S33" s="14">
        <v>0.03</v>
      </c>
      <c r="T33" s="14">
        <v>0.02</v>
      </c>
      <c r="U33" s="14">
        <v>0.01</v>
      </c>
      <c r="V33" s="14">
        <v>7.0000000000000007E-2</v>
      </c>
      <c r="W33" s="14">
        <v>0.03</v>
      </c>
      <c r="X33" s="14">
        <v>0.01</v>
      </c>
      <c r="Y33" s="14">
        <v>0.09</v>
      </c>
      <c r="Z33" s="14">
        <v>0.03</v>
      </c>
      <c r="AA33" s="14">
        <v>0.01</v>
      </c>
      <c r="AB33" s="14">
        <v>0.11</v>
      </c>
      <c r="AC33" s="14">
        <v>0.02</v>
      </c>
      <c r="AD33" s="14">
        <v>0.02</v>
      </c>
      <c r="AE33" s="14">
        <v>0.03</v>
      </c>
      <c r="AF33" s="14">
        <v>0.02</v>
      </c>
    </row>
    <row r="34" spans="1:32" ht="48.95">
      <c r="A34" s="20"/>
      <c r="B34" s="11" t="s">
        <v>545</v>
      </c>
      <c r="C34" s="12">
        <v>809</v>
      </c>
      <c r="D34" s="12">
        <v>44</v>
      </c>
      <c r="E34" s="12">
        <v>30</v>
      </c>
      <c r="F34" s="12">
        <v>31</v>
      </c>
      <c r="G34" s="12">
        <v>19</v>
      </c>
      <c r="H34" s="12">
        <v>30</v>
      </c>
      <c r="I34" s="12">
        <v>42</v>
      </c>
      <c r="J34" s="12">
        <v>12</v>
      </c>
      <c r="K34" s="12">
        <v>29</v>
      </c>
      <c r="L34" s="12">
        <v>21</v>
      </c>
      <c r="M34" s="12">
        <v>33</v>
      </c>
      <c r="N34" s="12">
        <v>20</v>
      </c>
      <c r="O34" s="12">
        <v>27</v>
      </c>
      <c r="P34" s="12">
        <v>67</v>
      </c>
      <c r="Q34" s="12">
        <v>40</v>
      </c>
      <c r="R34" s="12">
        <v>11</v>
      </c>
      <c r="S34" s="12">
        <v>13</v>
      </c>
      <c r="T34" s="12">
        <v>9</v>
      </c>
      <c r="U34" s="12">
        <v>12</v>
      </c>
      <c r="V34" s="12">
        <v>69</v>
      </c>
      <c r="W34" s="12">
        <v>9</v>
      </c>
      <c r="X34" s="12">
        <v>10</v>
      </c>
      <c r="Y34" s="12">
        <v>77</v>
      </c>
      <c r="Z34" s="12">
        <v>16</v>
      </c>
      <c r="AA34" s="12">
        <v>17</v>
      </c>
      <c r="AB34" s="12">
        <v>96</v>
      </c>
      <c r="AC34" s="12">
        <v>16</v>
      </c>
      <c r="AD34" s="12">
        <v>29</v>
      </c>
      <c r="AE34" s="12">
        <v>11</v>
      </c>
      <c r="AF34" s="12">
        <v>13</v>
      </c>
    </row>
    <row r="35" spans="1:32" ht="24.95">
      <c r="A35" s="20"/>
      <c r="B35" s="13" t="s">
        <v>546</v>
      </c>
      <c r="C35" s="14">
        <v>0.03</v>
      </c>
      <c r="D35" s="14">
        <v>0.04</v>
      </c>
      <c r="E35" s="14">
        <v>0.03</v>
      </c>
      <c r="F35" s="14">
        <v>0.03</v>
      </c>
      <c r="G35" s="14">
        <v>0.02</v>
      </c>
      <c r="H35" s="14">
        <v>0.02</v>
      </c>
      <c r="I35" s="14">
        <v>0.03</v>
      </c>
      <c r="J35" s="14">
        <v>0.04</v>
      </c>
      <c r="K35" s="14">
        <v>0.03</v>
      </c>
      <c r="L35" s="14">
        <v>0.02</v>
      </c>
      <c r="M35" s="14">
        <v>0.03</v>
      </c>
      <c r="N35" s="14">
        <v>0.02</v>
      </c>
      <c r="O35" s="14">
        <v>0.03</v>
      </c>
      <c r="P35" s="14">
        <v>7.0000000000000007E-2</v>
      </c>
      <c r="Q35" s="14">
        <v>0.04</v>
      </c>
      <c r="R35" s="14">
        <v>0.02</v>
      </c>
      <c r="S35" s="14">
        <v>0.01</v>
      </c>
      <c r="T35" s="14">
        <v>0.01</v>
      </c>
      <c r="U35" s="14">
        <v>0.02</v>
      </c>
      <c r="V35" s="14">
        <v>7.0000000000000007E-2</v>
      </c>
      <c r="W35" s="14">
        <v>0.02</v>
      </c>
      <c r="X35" s="14">
        <v>0.01</v>
      </c>
      <c r="Y35" s="14">
        <v>0.08</v>
      </c>
      <c r="Z35" s="14">
        <v>0.02</v>
      </c>
      <c r="AA35" s="14">
        <v>0.02</v>
      </c>
      <c r="AB35" s="14">
        <v>0.09</v>
      </c>
      <c r="AC35" s="14">
        <v>0.02</v>
      </c>
      <c r="AD35" s="14">
        <v>0.03</v>
      </c>
      <c r="AE35" s="14">
        <v>0.01</v>
      </c>
      <c r="AF35" s="14">
        <v>0.01</v>
      </c>
    </row>
    <row r="36" spans="1:32" ht="36.950000000000003">
      <c r="A36" s="20"/>
      <c r="B36" s="11" t="s">
        <v>547</v>
      </c>
      <c r="C36" s="12">
        <v>2268</v>
      </c>
      <c r="D36" s="12">
        <v>88</v>
      </c>
      <c r="E36" s="12">
        <v>118</v>
      </c>
      <c r="F36" s="12">
        <v>25</v>
      </c>
      <c r="G36" s="12">
        <v>37</v>
      </c>
      <c r="H36" s="12">
        <v>74</v>
      </c>
      <c r="I36" s="12">
        <v>87</v>
      </c>
      <c r="J36" s="12">
        <v>12</v>
      </c>
      <c r="K36" s="12">
        <v>79</v>
      </c>
      <c r="L36" s="12">
        <v>55</v>
      </c>
      <c r="M36" s="12">
        <v>66</v>
      </c>
      <c r="N36" s="12">
        <v>89</v>
      </c>
      <c r="O36" s="12">
        <v>61</v>
      </c>
      <c r="P36" s="12">
        <v>145</v>
      </c>
      <c r="Q36" s="12">
        <v>162</v>
      </c>
      <c r="R36" s="12">
        <v>39</v>
      </c>
      <c r="S36" s="12">
        <v>13</v>
      </c>
      <c r="T36" s="12">
        <v>82</v>
      </c>
      <c r="U36" s="12">
        <v>22</v>
      </c>
      <c r="V36" s="12">
        <v>171</v>
      </c>
      <c r="W36" s="12">
        <v>25</v>
      </c>
      <c r="X36" s="12">
        <v>23</v>
      </c>
      <c r="Y36" s="12">
        <v>70</v>
      </c>
      <c r="Z36" s="12">
        <v>137</v>
      </c>
      <c r="AA36" s="12">
        <v>78</v>
      </c>
      <c r="AB36" s="12">
        <v>134</v>
      </c>
      <c r="AC36" s="12">
        <v>68</v>
      </c>
      <c r="AD36" s="12">
        <v>50</v>
      </c>
      <c r="AE36" s="12">
        <v>4</v>
      </c>
      <c r="AF36" s="12">
        <v>28</v>
      </c>
    </row>
    <row r="37" spans="1:32" ht="24.95">
      <c r="A37" s="20"/>
      <c r="B37" s="13" t="s">
        <v>548</v>
      </c>
      <c r="C37" s="14">
        <v>0.09</v>
      </c>
      <c r="D37" s="14">
        <v>0.09</v>
      </c>
      <c r="E37" s="14">
        <v>0.12</v>
      </c>
      <c r="F37" s="14">
        <v>0.02</v>
      </c>
      <c r="G37" s="14">
        <v>0.04</v>
      </c>
      <c r="H37" s="14">
        <v>0.06</v>
      </c>
      <c r="I37" s="14">
        <v>0.06</v>
      </c>
      <c r="J37" s="14">
        <v>0.04</v>
      </c>
      <c r="K37" s="14">
        <v>0.08</v>
      </c>
      <c r="L37" s="14">
        <v>0.05</v>
      </c>
      <c r="M37" s="14">
        <v>7.0000000000000007E-2</v>
      </c>
      <c r="N37" s="14">
        <v>0.09</v>
      </c>
      <c r="O37" s="14">
        <v>0.06</v>
      </c>
      <c r="P37" s="14">
        <v>0.14000000000000001</v>
      </c>
      <c r="Q37" s="14">
        <v>0.16</v>
      </c>
      <c r="R37" s="14">
        <v>0.08</v>
      </c>
      <c r="S37" s="14">
        <v>0.01</v>
      </c>
      <c r="T37" s="14">
        <v>0.08</v>
      </c>
      <c r="U37" s="14">
        <v>0.04</v>
      </c>
      <c r="V37" s="14">
        <v>0.17</v>
      </c>
      <c r="W37" s="14">
        <v>0.05</v>
      </c>
      <c r="X37" s="14">
        <v>0.02</v>
      </c>
      <c r="Y37" s="14">
        <v>7.0000000000000007E-2</v>
      </c>
      <c r="Z37" s="14">
        <v>0.14000000000000001</v>
      </c>
      <c r="AA37" s="14">
        <v>7.0000000000000007E-2</v>
      </c>
      <c r="AB37" s="14">
        <v>0.13</v>
      </c>
      <c r="AC37" s="14">
        <v>7.0000000000000007E-2</v>
      </c>
      <c r="AD37" s="14">
        <v>0.05</v>
      </c>
      <c r="AE37" s="15" t="s">
        <v>459</v>
      </c>
      <c r="AF37" s="14">
        <v>0.03</v>
      </c>
    </row>
    <row r="38" spans="1:32" ht="48.95">
      <c r="A38" s="20"/>
      <c r="B38" s="11" t="s">
        <v>549</v>
      </c>
      <c r="C38" s="12">
        <v>5289</v>
      </c>
      <c r="D38" s="12">
        <v>124</v>
      </c>
      <c r="E38" s="12">
        <v>184</v>
      </c>
      <c r="F38" s="12">
        <v>160</v>
      </c>
      <c r="G38" s="12">
        <v>105</v>
      </c>
      <c r="H38" s="12">
        <v>180</v>
      </c>
      <c r="I38" s="12">
        <v>249</v>
      </c>
      <c r="J38" s="12">
        <v>69</v>
      </c>
      <c r="K38" s="12">
        <v>153</v>
      </c>
      <c r="L38" s="12">
        <v>148</v>
      </c>
      <c r="M38" s="12">
        <v>139</v>
      </c>
      <c r="N38" s="12">
        <v>212</v>
      </c>
      <c r="O38" s="12">
        <v>206</v>
      </c>
      <c r="P38" s="12">
        <v>277</v>
      </c>
      <c r="Q38" s="12">
        <v>312</v>
      </c>
      <c r="R38" s="12">
        <v>61</v>
      </c>
      <c r="S38" s="12">
        <v>125</v>
      </c>
      <c r="T38" s="12">
        <v>184</v>
      </c>
      <c r="U38" s="12">
        <v>35</v>
      </c>
      <c r="V38" s="12">
        <v>182</v>
      </c>
      <c r="W38" s="12">
        <v>129</v>
      </c>
      <c r="X38" s="12">
        <v>94</v>
      </c>
      <c r="Y38" s="12">
        <v>185</v>
      </c>
      <c r="Z38" s="12">
        <v>245</v>
      </c>
      <c r="AA38" s="12">
        <v>300</v>
      </c>
      <c r="AB38" s="12">
        <v>228</v>
      </c>
      <c r="AC38" s="12">
        <v>115</v>
      </c>
      <c r="AD38" s="12">
        <v>262</v>
      </c>
      <c r="AE38" s="12">
        <v>80</v>
      </c>
      <c r="AF38" s="12">
        <v>111</v>
      </c>
    </row>
    <row r="39" spans="1:32" ht="36.950000000000003">
      <c r="A39" s="20"/>
      <c r="B39" s="13" t="s">
        <v>550</v>
      </c>
      <c r="C39" s="14">
        <v>0.2</v>
      </c>
      <c r="D39" s="14">
        <v>0.12</v>
      </c>
      <c r="E39" s="14">
        <v>0.18</v>
      </c>
      <c r="F39" s="14">
        <v>0.16</v>
      </c>
      <c r="G39" s="14">
        <v>0.1</v>
      </c>
      <c r="H39" s="14">
        <v>0.15</v>
      </c>
      <c r="I39" s="14">
        <v>0.16</v>
      </c>
      <c r="J39" s="14">
        <v>0.23</v>
      </c>
      <c r="K39" s="14">
        <v>0.15</v>
      </c>
      <c r="L39" s="14">
        <v>0.15</v>
      </c>
      <c r="M39" s="14">
        <v>0.14000000000000001</v>
      </c>
      <c r="N39" s="14">
        <v>0.21</v>
      </c>
      <c r="O39" s="14">
        <v>0.2</v>
      </c>
      <c r="P39" s="14">
        <v>0.27</v>
      </c>
      <c r="Q39" s="14">
        <v>0.31</v>
      </c>
      <c r="R39" s="14">
        <v>0.12</v>
      </c>
      <c r="S39" s="14">
        <v>0.12</v>
      </c>
      <c r="T39" s="14">
        <v>0.18</v>
      </c>
      <c r="U39" s="14">
        <v>7.0000000000000007E-2</v>
      </c>
      <c r="V39" s="14">
        <v>0.18</v>
      </c>
      <c r="W39" s="14">
        <v>0.26</v>
      </c>
      <c r="X39" s="14">
        <v>0.09</v>
      </c>
      <c r="Y39" s="14">
        <v>0.18</v>
      </c>
      <c r="Z39" s="14">
        <v>0.24</v>
      </c>
      <c r="AA39" s="14">
        <v>0.28999999999999998</v>
      </c>
      <c r="AB39" s="14">
        <v>0.22</v>
      </c>
      <c r="AC39" s="14">
        <v>0.11</v>
      </c>
      <c r="AD39" s="14">
        <v>0.26</v>
      </c>
      <c r="AE39" s="14">
        <v>0.08</v>
      </c>
      <c r="AF39" s="14">
        <v>0.11</v>
      </c>
    </row>
    <row r="40" spans="1:32">
      <c r="A40" s="20"/>
      <c r="B40" s="11" t="s">
        <v>519</v>
      </c>
      <c r="C40" s="12">
        <v>552</v>
      </c>
      <c r="D40" s="12">
        <v>27</v>
      </c>
      <c r="E40" s="12">
        <v>29</v>
      </c>
      <c r="F40" s="12">
        <v>6</v>
      </c>
      <c r="G40" s="12">
        <v>16</v>
      </c>
      <c r="H40" s="12">
        <v>38</v>
      </c>
      <c r="I40" s="12">
        <v>41</v>
      </c>
      <c r="J40" s="12">
        <v>3</v>
      </c>
      <c r="K40" s="12">
        <v>35</v>
      </c>
      <c r="L40" s="12">
        <v>22</v>
      </c>
      <c r="M40" s="12">
        <v>25</v>
      </c>
      <c r="N40" s="12">
        <v>24</v>
      </c>
      <c r="O40" s="12">
        <v>16</v>
      </c>
      <c r="P40" s="12">
        <v>6</v>
      </c>
      <c r="Q40" s="12">
        <v>12</v>
      </c>
      <c r="R40" s="12">
        <v>4</v>
      </c>
      <c r="S40" s="12">
        <v>54</v>
      </c>
      <c r="T40" s="12">
        <v>33</v>
      </c>
      <c r="U40" s="12">
        <v>21</v>
      </c>
      <c r="V40" s="12">
        <v>5</v>
      </c>
      <c r="W40" s="12">
        <v>7</v>
      </c>
      <c r="X40" s="12">
        <v>47</v>
      </c>
      <c r="Y40" s="12">
        <v>35</v>
      </c>
      <c r="Z40" s="12">
        <v>5</v>
      </c>
      <c r="AA40" s="12">
        <v>45</v>
      </c>
      <c r="AB40" s="12">
        <v>24</v>
      </c>
      <c r="AC40" s="12">
        <v>72</v>
      </c>
      <c r="AD40" s="12">
        <v>9</v>
      </c>
      <c r="AE40" s="12">
        <v>35</v>
      </c>
      <c r="AF40" s="12">
        <v>20</v>
      </c>
    </row>
    <row r="41" spans="1:32">
      <c r="A41" s="20"/>
      <c r="B41" s="13" t="s">
        <v>520</v>
      </c>
      <c r="C41" s="14">
        <v>0.02</v>
      </c>
      <c r="D41" s="14">
        <v>0.03</v>
      </c>
      <c r="E41" s="14">
        <v>0.03</v>
      </c>
      <c r="F41" s="14">
        <v>0.01</v>
      </c>
      <c r="G41" s="14">
        <v>0.02</v>
      </c>
      <c r="H41" s="14">
        <v>0.03</v>
      </c>
      <c r="I41" s="14">
        <v>0.03</v>
      </c>
      <c r="J41" s="14">
        <v>0.01</v>
      </c>
      <c r="K41" s="14">
        <v>0.04</v>
      </c>
      <c r="L41" s="14">
        <v>0.02</v>
      </c>
      <c r="M41" s="14">
        <v>0.02</v>
      </c>
      <c r="N41" s="14">
        <v>0.02</v>
      </c>
      <c r="O41" s="14">
        <v>0.02</v>
      </c>
      <c r="P41" s="14">
        <v>0.01</v>
      </c>
      <c r="Q41" s="14">
        <v>0.01</v>
      </c>
      <c r="R41" s="14">
        <v>0.01</v>
      </c>
      <c r="S41" s="14">
        <v>0.05</v>
      </c>
      <c r="T41" s="14">
        <v>0.03</v>
      </c>
      <c r="U41" s="14">
        <v>0.04</v>
      </c>
      <c r="V41" s="15" t="s">
        <v>459</v>
      </c>
      <c r="W41" s="14">
        <v>0.01</v>
      </c>
      <c r="X41" s="14">
        <v>0.05</v>
      </c>
      <c r="Y41" s="14">
        <v>0.03</v>
      </c>
      <c r="Z41" s="15" t="s">
        <v>459</v>
      </c>
      <c r="AA41" s="14">
        <v>0.04</v>
      </c>
      <c r="AB41" s="14">
        <v>0.02</v>
      </c>
      <c r="AC41" s="14">
        <v>7.0000000000000007E-2</v>
      </c>
      <c r="AD41" s="14">
        <v>0.01</v>
      </c>
      <c r="AE41" s="14">
        <v>0.03</v>
      </c>
      <c r="AF41" s="14">
        <v>0.02</v>
      </c>
    </row>
    <row r="42" spans="1:32" ht="24.95">
      <c r="A42" s="20"/>
      <c r="B42" s="11" t="s">
        <v>551</v>
      </c>
      <c r="C42" s="12">
        <v>1565</v>
      </c>
      <c r="D42" s="12">
        <v>27</v>
      </c>
      <c r="E42" s="12">
        <v>90</v>
      </c>
      <c r="F42" s="12">
        <v>32</v>
      </c>
      <c r="G42" s="12">
        <v>43</v>
      </c>
      <c r="H42" s="12">
        <v>83</v>
      </c>
      <c r="I42" s="12">
        <v>99</v>
      </c>
      <c r="J42" s="12">
        <v>16</v>
      </c>
      <c r="K42" s="12">
        <v>73</v>
      </c>
      <c r="L42" s="12">
        <v>66</v>
      </c>
      <c r="M42" s="12">
        <v>41</v>
      </c>
      <c r="N42" s="12">
        <v>40</v>
      </c>
      <c r="O42" s="12">
        <v>62</v>
      </c>
      <c r="P42" s="12">
        <v>20</v>
      </c>
      <c r="Q42" s="12">
        <v>66</v>
      </c>
      <c r="R42" s="12">
        <v>42</v>
      </c>
      <c r="S42" s="12">
        <v>69</v>
      </c>
      <c r="T42" s="12">
        <v>165</v>
      </c>
      <c r="U42" s="12">
        <v>18</v>
      </c>
      <c r="V42" s="12">
        <v>58</v>
      </c>
      <c r="W42" s="12">
        <v>28</v>
      </c>
      <c r="X42" s="12">
        <v>53</v>
      </c>
      <c r="Y42" s="12">
        <v>104</v>
      </c>
      <c r="Z42" s="12">
        <v>69</v>
      </c>
      <c r="AA42" s="12">
        <v>84</v>
      </c>
      <c r="AB42" s="12">
        <v>31</v>
      </c>
      <c r="AC42" s="12">
        <v>80</v>
      </c>
      <c r="AD42" s="12">
        <v>66</v>
      </c>
      <c r="AE42" s="12">
        <v>92</v>
      </c>
      <c r="AF42" s="12">
        <v>70</v>
      </c>
    </row>
    <row r="43" spans="1:32">
      <c r="A43" s="20"/>
      <c r="B43" s="13" t="s">
        <v>522</v>
      </c>
      <c r="C43" s="14">
        <v>0.06</v>
      </c>
      <c r="D43" s="14">
        <v>0.03</v>
      </c>
      <c r="E43" s="14">
        <v>0.09</v>
      </c>
      <c r="F43" s="14">
        <v>0.03</v>
      </c>
      <c r="G43" s="14">
        <v>0.04</v>
      </c>
      <c r="H43" s="14">
        <v>7.0000000000000007E-2</v>
      </c>
      <c r="I43" s="14">
        <v>7.0000000000000007E-2</v>
      </c>
      <c r="J43" s="14">
        <v>0.05</v>
      </c>
      <c r="K43" s="14">
        <v>7.0000000000000007E-2</v>
      </c>
      <c r="L43" s="14">
        <v>7.0000000000000007E-2</v>
      </c>
      <c r="M43" s="14">
        <v>0.04</v>
      </c>
      <c r="N43" s="14">
        <v>0.04</v>
      </c>
      <c r="O43" s="14">
        <v>0.06</v>
      </c>
      <c r="P43" s="14">
        <v>0.02</v>
      </c>
      <c r="Q43" s="14">
        <v>0.06</v>
      </c>
      <c r="R43" s="14">
        <v>0.08</v>
      </c>
      <c r="S43" s="14">
        <v>7.0000000000000007E-2</v>
      </c>
      <c r="T43" s="14">
        <v>0.16</v>
      </c>
      <c r="U43" s="14">
        <v>0.04</v>
      </c>
      <c r="V43" s="14">
        <v>0.06</v>
      </c>
      <c r="W43" s="14">
        <v>0.06</v>
      </c>
      <c r="X43" s="14">
        <v>0.05</v>
      </c>
      <c r="Y43" s="14">
        <v>0.1</v>
      </c>
      <c r="Z43" s="14">
        <v>7.0000000000000007E-2</v>
      </c>
      <c r="AA43" s="14">
        <v>0.08</v>
      </c>
      <c r="AB43" s="14">
        <v>0.03</v>
      </c>
      <c r="AC43" s="14">
        <v>0.08</v>
      </c>
      <c r="AD43" s="14">
        <v>7.0000000000000007E-2</v>
      </c>
      <c r="AE43" s="14">
        <v>0.09</v>
      </c>
      <c r="AF43" s="14">
        <v>7.0000000000000007E-2</v>
      </c>
    </row>
    <row r="44" spans="1:32">
      <c r="A44" s="20"/>
      <c r="B44" s="11" t="s">
        <v>468</v>
      </c>
      <c r="C44" s="12">
        <v>191</v>
      </c>
      <c r="D44" s="12">
        <v>7</v>
      </c>
      <c r="E44" s="12">
        <v>23</v>
      </c>
      <c r="F44" s="12">
        <v>12</v>
      </c>
      <c r="G44" s="12">
        <v>4</v>
      </c>
      <c r="H44" s="12">
        <v>5</v>
      </c>
      <c r="I44" s="12">
        <v>5</v>
      </c>
      <c r="J44" s="12">
        <v>0</v>
      </c>
      <c r="K44" s="12">
        <v>3</v>
      </c>
      <c r="L44" s="12">
        <v>15</v>
      </c>
      <c r="M44" s="12">
        <v>0</v>
      </c>
      <c r="N44" s="12">
        <v>8</v>
      </c>
      <c r="O44" s="12">
        <v>12</v>
      </c>
      <c r="P44" s="12">
        <v>2</v>
      </c>
      <c r="Q44" s="12">
        <v>4</v>
      </c>
      <c r="R44" s="12">
        <v>7</v>
      </c>
      <c r="S44" s="12">
        <v>5</v>
      </c>
      <c r="T44" s="12">
        <v>8</v>
      </c>
      <c r="U44" s="12">
        <v>1</v>
      </c>
      <c r="V44" s="12">
        <v>4</v>
      </c>
      <c r="W44" s="12">
        <v>3</v>
      </c>
      <c r="X44" s="12">
        <v>4</v>
      </c>
      <c r="Y44" s="12">
        <v>2</v>
      </c>
      <c r="Z44" s="12">
        <v>17</v>
      </c>
      <c r="AA44" s="12">
        <v>17</v>
      </c>
      <c r="AB44" s="12">
        <v>5</v>
      </c>
      <c r="AC44" s="12">
        <v>3</v>
      </c>
      <c r="AD44" s="12">
        <v>2</v>
      </c>
      <c r="AE44" s="12">
        <v>3</v>
      </c>
      <c r="AF44" s="12">
        <v>1</v>
      </c>
    </row>
    <row r="45" spans="1:32">
      <c r="A45" s="20"/>
      <c r="B45" s="13" t="s">
        <v>469</v>
      </c>
      <c r="C45" s="14">
        <v>0.01</v>
      </c>
      <c r="D45" s="14">
        <v>0.01</v>
      </c>
      <c r="E45" s="14">
        <v>0.02</v>
      </c>
      <c r="F45" s="14">
        <v>0.01</v>
      </c>
      <c r="G45" s="15" t="s">
        <v>459</v>
      </c>
      <c r="H45" s="15" t="s">
        <v>459</v>
      </c>
      <c r="I45" s="15" t="s">
        <v>459</v>
      </c>
      <c r="J45" s="15" t="s">
        <v>459</v>
      </c>
      <c r="K45" s="15" t="s">
        <v>459</v>
      </c>
      <c r="L45" s="14">
        <v>0.01</v>
      </c>
      <c r="M45" s="15" t="s">
        <v>459</v>
      </c>
      <c r="N45" s="14">
        <v>0.01</v>
      </c>
      <c r="O45" s="14">
        <v>0.01</v>
      </c>
      <c r="P45" s="15" t="s">
        <v>459</v>
      </c>
      <c r="Q45" s="15" t="s">
        <v>459</v>
      </c>
      <c r="R45" s="14">
        <v>0.01</v>
      </c>
      <c r="S45" s="14">
        <v>0.01</v>
      </c>
      <c r="T45" s="14">
        <v>0.01</v>
      </c>
      <c r="U45" s="15" t="s">
        <v>459</v>
      </c>
      <c r="V45" s="15" t="s">
        <v>459</v>
      </c>
      <c r="W45" s="14">
        <v>0.01</v>
      </c>
      <c r="X45" s="15" t="s">
        <v>459</v>
      </c>
      <c r="Y45" s="15" t="s">
        <v>459</v>
      </c>
      <c r="Z45" s="14">
        <v>0.02</v>
      </c>
      <c r="AA45" s="14">
        <v>0.02</v>
      </c>
      <c r="AB45" s="15" t="s">
        <v>459</v>
      </c>
      <c r="AC45" s="15" t="s">
        <v>459</v>
      </c>
      <c r="AD45" s="15" t="s">
        <v>459</v>
      </c>
      <c r="AE45" s="15" t="s">
        <v>459</v>
      </c>
      <c r="AF45" s="15" t="s">
        <v>459</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554</v>
      </c>
      <c r="C3" s="18"/>
      <c r="D3" s="18"/>
      <c r="E3" s="18"/>
      <c r="F3" s="18"/>
      <c r="H3" s="18" t="s">
        <v>555</v>
      </c>
      <c r="I3" s="18"/>
      <c r="J3" s="18"/>
      <c r="K3" s="18"/>
      <c r="L3" s="18"/>
    </row>
    <row r="4" spans="1:32" ht="27" customHeight="1">
      <c r="B4" s="18" t="s">
        <v>556</v>
      </c>
      <c r="C4" s="18"/>
      <c r="D4" s="18"/>
      <c r="E4" s="18"/>
      <c r="F4" s="18"/>
      <c r="H4" s="18" t="s">
        <v>557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7403</v>
      </c>
      <c r="D12" s="12">
        <v>287</v>
      </c>
      <c r="E12" s="12">
        <v>225</v>
      </c>
      <c r="F12" s="12">
        <v>269</v>
      </c>
      <c r="G12" s="12">
        <v>569</v>
      </c>
      <c r="H12" s="12">
        <v>446</v>
      </c>
      <c r="I12" s="12">
        <v>532</v>
      </c>
      <c r="J12" s="12">
        <v>86</v>
      </c>
      <c r="K12" s="12">
        <v>274</v>
      </c>
      <c r="L12" s="12">
        <v>426</v>
      </c>
      <c r="M12" s="12">
        <v>234</v>
      </c>
      <c r="N12" s="12">
        <v>291</v>
      </c>
      <c r="O12" s="12">
        <v>205</v>
      </c>
      <c r="P12" s="12">
        <v>211</v>
      </c>
      <c r="Q12" s="12">
        <v>201</v>
      </c>
      <c r="R12" s="12">
        <v>103</v>
      </c>
      <c r="S12" s="12">
        <v>299</v>
      </c>
      <c r="T12" s="12">
        <v>319</v>
      </c>
      <c r="U12" s="12">
        <v>209</v>
      </c>
      <c r="V12" s="12">
        <v>278</v>
      </c>
      <c r="W12" s="12">
        <v>167</v>
      </c>
      <c r="X12" s="12">
        <v>509</v>
      </c>
      <c r="Y12" s="12">
        <v>369</v>
      </c>
      <c r="Z12" s="12">
        <v>128</v>
      </c>
      <c r="AA12" s="12">
        <v>283</v>
      </c>
      <c r="AB12" s="12">
        <v>219</v>
      </c>
      <c r="AC12" s="12">
        <v>308</v>
      </c>
      <c r="AD12" s="12">
        <v>276</v>
      </c>
      <c r="AE12" s="12">
        <v>621</v>
      </c>
      <c r="AF12" s="12">
        <v>598</v>
      </c>
    </row>
    <row r="13" spans="1:32">
      <c r="A13" s="20"/>
      <c r="B13" s="13" t="s">
        <v>559</v>
      </c>
      <c r="C13" s="14">
        <v>0.28000000000000003</v>
      </c>
      <c r="D13" s="14">
        <v>0.28999999999999998</v>
      </c>
      <c r="E13" s="14">
        <v>0.22</v>
      </c>
      <c r="F13" s="14">
        <v>0.27</v>
      </c>
      <c r="G13" s="14">
        <v>0.57000000000000006</v>
      </c>
      <c r="H13" s="14">
        <v>0.37</v>
      </c>
      <c r="I13" s="14">
        <v>0.35</v>
      </c>
      <c r="J13" s="14">
        <v>0.28999999999999998</v>
      </c>
      <c r="K13" s="14">
        <v>0.27</v>
      </c>
      <c r="L13" s="14">
        <v>0.42</v>
      </c>
      <c r="M13" s="14">
        <v>0.23</v>
      </c>
      <c r="N13" s="14">
        <v>0.28999999999999998</v>
      </c>
      <c r="O13" s="14">
        <v>0.2</v>
      </c>
      <c r="P13" s="14">
        <v>0.21</v>
      </c>
      <c r="Q13" s="14">
        <v>0.2</v>
      </c>
      <c r="R13" s="14">
        <v>0.21</v>
      </c>
      <c r="S13" s="14">
        <v>0.28999999999999998</v>
      </c>
      <c r="T13" s="14">
        <v>0.31</v>
      </c>
      <c r="U13" s="14">
        <v>0.41</v>
      </c>
      <c r="V13" s="14">
        <v>0.27</v>
      </c>
      <c r="W13" s="14">
        <v>0.33</v>
      </c>
      <c r="X13" s="14">
        <v>0.5</v>
      </c>
      <c r="Y13" s="14">
        <v>0.37</v>
      </c>
      <c r="Z13" s="14">
        <v>0.13</v>
      </c>
      <c r="AA13" s="14">
        <v>0.27</v>
      </c>
      <c r="AB13" s="14">
        <v>0.21</v>
      </c>
      <c r="AC13" s="14">
        <v>0.3</v>
      </c>
      <c r="AD13" s="14">
        <v>0.27</v>
      </c>
      <c r="AE13" s="14">
        <v>0.62</v>
      </c>
      <c r="AF13" s="14">
        <v>0.59</v>
      </c>
    </row>
    <row r="14" spans="1:32">
      <c r="A14" s="20"/>
      <c r="B14" s="11" t="s">
        <v>560</v>
      </c>
      <c r="C14" s="12">
        <v>12938</v>
      </c>
      <c r="D14" s="12">
        <v>537</v>
      </c>
      <c r="E14" s="12">
        <v>453</v>
      </c>
      <c r="F14" s="12">
        <v>534</v>
      </c>
      <c r="G14" s="12">
        <v>324</v>
      </c>
      <c r="H14" s="12">
        <v>571</v>
      </c>
      <c r="I14" s="12">
        <v>706</v>
      </c>
      <c r="J14" s="12">
        <v>136</v>
      </c>
      <c r="K14" s="12">
        <v>493</v>
      </c>
      <c r="L14" s="12">
        <v>399</v>
      </c>
      <c r="M14" s="12">
        <v>426</v>
      </c>
      <c r="N14" s="12">
        <v>391</v>
      </c>
      <c r="O14" s="12">
        <v>485</v>
      </c>
      <c r="P14" s="12">
        <v>578</v>
      </c>
      <c r="Q14" s="12">
        <v>600</v>
      </c>
      <c r="R14" s="12">
        <v>212</v>
      </c>
      <c r="S14" s="12">
        <v>401</v>
      </c>
      <c r="T14" s="12">
        <v>459</v>
      </c>
      <c r="U14" s="12">
        <v>213</v>
      </c>
      <c r="V14" s="12">
        <v>480</v>
      </c>
      <c r="W14" s="12">
        <v>206</v>
      </c>
      <c r="X14" s="12">
        <v>375</v>
      </c>
      <c r="Y14" s="12">
        <v>499</v>
      </c>
      <c r="Z14" s="12">
        <v>689</v>
      </c>
      <c r="AA14" s="12">
        <v>684</v>
      </c>
      <c r="AB14" s="12">
        <v>520</v>
      </c>
      <c r="AC14" s="12">
        <v>448</v>
      </c>
      <c r="AD14" s="12">
        <v>471</v>
      </c>
      <c r="AE14" s="12">
        <v>297</v>
      </c>
      <c r="AF14" s="12">
        <v>330</v>
      </c>
    </row>
    <row r="15" spans="1:32">
      <c r="A15" s="20"/>
      <c r="B15" s="13" t="s">
        <v>561</v>
      </c>
      <c r="C15" s="14">
        <v>0.49</v>
      </c>
      <c r="D15" s="14">
        <v>0.53</v>
      </c>
      <c r="E15" s="14">
        <v>0.44</v>
      </c>
      <c r="F15" s="14">
        <v>0.53</v>
      </c>
      <c r="G15" s="14">
        <v>0.32</v>
      </c>
      <c r="H15" s="14">
        <v>0.47</v>
      </c>
      <c r="I15" s="14">
        <v>0.47</v>
      </c>
      <c r="J15" s="14">
        <v>0.46</v>
      </c>
      <c r="K15" s="14">
        <v>0.49</v>
      </c>
      <c r="L15" s="14">
        <v>0.39</v>
      </c>
      <c r="M15" s="14">
        <v>0.43</v>
      </c>
      <c r="N15" s="14">
        <v>0.39</v>
      </c>
      <c r="O15" s="14">
        <v>0.48</v>
      </c>
      <c r="P15" s="14">
        <v>0.57000000000000006</v>
      </c>
      <c r="Q15" s="14">
        <v>0.59</v>
      </c>
      <c r="R15" s="14">
        <v>0.42</v>
      </c>
      <c r="S15" s="14">
        <v>0.4</v>
      </c>
      <c r="T15" s="14">
        <v>0.45</v>
      </c>
      <c r="U15" s="14">
        <v>0.42</v>
      </c>
      <c r="V15" s="14">
        <v>0.47</v>
      </c>
      <c r="W15" s="14">
        <v>0.41</v>
      </c>
      <c r="X15" s="14">
        <v>0.37</v>
      </c>
      <c r="Y15" s="14">
        <v>0.49</v>
      </c>
      <c r="Z15" s="14">
        <v>0.68</v>
      </c>
      <c r="AA15" s="14">
        <v>0.65</v>
      </c>
      <c r="AB15" s="14">
        <v>0.5</v>
      </c>
      <c r="AC15" s="14">
        <v>0.44</v>
      </c>
      <c r="AD15" s="14">
        <v>0.47</v>
      </c>
      <c r="AE15" s="14">
        <v>0.3</v>
      </c>
      <c r="AF15" s="14">
        <v>0.32</v>
      </c>
    </row>
    <row r="16" spans="1:32">
      <c r="A16" s="20"/>
      <c r="B16" s="11" t="s">
        <v>562</v>
      </c>
      <c r="C16" s="12">
        <v>4095</v>
      </c>
      <c r="D16" s="12">
        <v>141</v>
      </c>
      <c r="E16" s="12">
        <v>225</v>
      </c>
      <c r="F16" s="12">
        <v>136</v>
      </c>
      <c r="G16" s="12">
        <v>73</v>
      </c>
      <c r="H16" s="12">
        <v>112</v>
      </c>
      <c r="I16" s="12">
        <v>164</v>
      </c>
      <c r="J16" s="12">
        <v>52</v>
      </c>
      <c r="K16" s="12">
        <v>139</v>
      </c>
      <c r="L16" s="12">
        <v>109</v>
      </c>
      <c r="M16" s="12">
        <v>249</v>
      </c>
      <c r="N16" s="12">
        <v>186</v>
      </c>
      <c r="O16" s="12">
        <v>216</v>
      </c>
      <c r="P16" s="12">
        <v>169</v>
      </c>
      <c r="Q16" s="12">
        <v>177</v>
      </c>
      <c r="R16" s="12">
        <v>126</v>
      </c>
      <c r="S16" s="12">
        <v>191</v>
      </c>
      <c r="T16" s="12">
        <v>183</v>
      </c>
      <c r="U16" s="12">
        <v>37</v>
      </c>
      <c r="V16" s="12">
        <v>197</v>
      </c>
      <c r="W16" s="12">
        <v>104</v>
      </c>
      <c r="X16" s="12">
        <v>112</v>
      </c>
      <c r="Y16" s="12">
        <v>98</v>
      </c>
      <c r="Z16" s="12">
        <v>134</v>
      </c>
      <c r="AA16" s="12">
        <v>42</v>
      </c>
      <c r="AB16" s="12">
        <v>230</v>
      </c>
      <c r="AC16" s="12">
        <v>190</v>
      </c>
      <c r="AD16" s="12">
        <v>195</v>
      </c>
      <c r="AE16" s="12">
        <v>52</v>
      </c>
      <c r="AF16" s="12">
        <v>69</v>
      </c>
    </row>
    <row r="17" spans="1:32">
      <c r="A17" s="20"/>
      <c r="B17" s="13" t="s">
        <v>563</v>
      </c>
      <c r="C17" s="14">
        <v>0.15</v>
      </c>
      <c r="D17" s="14">
        <v>0.14000000000000001</v>
      </c>
      <c r="E17" s="14">
        <v>0.22</v>
      </c>
      <c r="F17" s="14">
        <v>0.13</v>
      </c>
      <c r="G17" s="14">
        <v>7.0000000000000007E-2</v>
      </c>
      <c r="H17" s="14">
        <v>0.09</v>
      </c>
      <c r="I17" s="14">
        <v>0.11</v>
      </c>
      <c r="J17" s="14">
        <v>0.18</v>
      </c>
      <c r="K17" s="14">
        <v>0.14000000000000001</v>
      </c>
      <c r="L17" s="14">
        <v>0.11</v>
      </c>
      <c r="M17" s="14">
        <v>0.25</v>
      </c>
      <c r="N17" s="14">
        <v>0.18</v>
      </c>
      <c r="O17" s="14">
        <v>0.22</v>
      </c>
      <c r="P17" s="14">
        <v>0.16</v>
      </c>
      <c r="Q17" s="14">
        <v>0.17</v>
      </c>
      <c r="R17" s="14">
        <v>0.25</v>
      </c>
      <c r="S17" s="14">
        <v>0.19</v>
      </c>
      <c r="T17" s="14">
        <v>0.18</v>
      </c>
      <c r="U17" s="14">
        <v>0.08</v>
      </c>
      <c r="V17" s="14">
        <v>0.19</v>
      </c>
      <c r="W17" s="14">
        <v>0.21</v>
      </c>
      <c r="X17" s="14">
        <v>0.11</v>
      </c>
      <c r="Y17" s="14">
        <v>0.1</v>
      </c>
      <c r="Z17" s="14">
        <v>0.13</v>
      </c>
      <c r="AA17" s="14">
        <v>0.04</v>
      </c>
      <c r="AB17" s="14">
        <v>0.22</v>
      </c>
      <c r="AC17" s="14">
        <v>0.19</v>
      </c>
      <c r="AD17" s="14">
        <v>0.19</v>
      </c>
      <c r="AE17" s="14">
        <v>0.05</v>
      </c>
      <c r="AF17" s="14">
        <v>7.0000000000000007E-2</v>
      </c>
    </row>
    <row r="18" spans="1:32">
      <c r="A18" s="20"/>
      <c r="B18" s="11" t="s">
        <v>564</v>
      </c>
      <c r="C18" s="12">
        <v>1205</v>
      </c>
      <c r="D18" s="12">
        <v>29</v>
      </c>
      <c r="E18" s="12">
        <v>47</v>
      </c>
      <c r="F18" s="12">
        <v>36</v>
      </c>
      <c r="G18" s="12">
        <v>24</v>
      </c>
      <c r="H18" s="12">
        <v>37</v>
      </c>
      <c r="I18" s="12">
        <v>54</v>
      </c>
      <c r="J18" s="12">
        <v>17</v>
      </c>
      <c r="K18" s="12">
        <v>62</v>
      </c>
      <c r="L18" s="12">
        <v>26</v>
      </c>
      <c r="M18" s="12">
        <v>82</v>
      </c>
      <c r="N18" s="12">
        <v>108</v>
      </c>
      <c r="O18" s="12">
        <v>77</v>
      </c>
      <c r="P18" s="12">
        <v>44</v>
      </c>
      <c r="Q18" s="12">
        <v>27</v>
      </c>
      <c r="R18" s="12">
        <v>39</v>
      </c>
      <c r="S18" s="12">
        <v>58</v>
      </c>
      <c r="T18" s="12">
        <v>26</v>
      </c>
      <c r="U18" s="12">
        <v>11</v>
      </c>
      <c r="V18" s="12">
        <v>48</v>
      </c>
      <c r="W18" s="12">
        <v>19</v>
      </c>
      <c r="X18" s="12">
        <v>18</v>
      </c>
      <c r="Y18" s="12">
        <v>26</v>
      </c>
      <c r="Z18" s="12">
        <v>13</v>
      </c>
      <c r="AA18" s="12">
        <v>0</v>
      </c>
      <c r="AB18" s="12">
        <v>37</v>
      </c>
      <c r="AC18" s="12">
        <v>38</v>
      </c>
      <c r="AD18" s="12">
        <v>56</v>
      </c>
      <c r="AE18" s="12">
        <v>18</v>
      </c>
      <c r="AF18" s="12">
        <v>21</v>
      </c>
    </row>
    <row r="19" spans="1:32">
      <c r="A19" s="20"/>
      <c r="B19" s="13" t="s">
        <v>565</v>
      </c>
      <c r="C19" s="14">
        <v>0.05</v>
      </c>
      <c r="D19" s="14">
        <v>0.03</v>
      </c>
      <c r="E19" s="14">
        <v>0.05</v>
      </c>
      <c r="F19" s="14">
        <v>0.04</v>
      </c>
      <c r="G19" s="14">
        <v>0.02</v>
      </c>
      <c r="H19" s="14">
        <v>0.03</v>
      </c>
      <c r="I19" s="14">
        <v>0.03</v>
      </c>
      <c r="J19" s="14">
        <v>0.06</v>
      </c>
      <c r="K19" s="14">
        <v>0.06</v>
      </c>
      <c r="L19" s="14">
        <v>0.03</v>
      </c>
      <c r="M19" s="14">
        <v>0.08</v>
      </c>
      <c r="N19" s="14">
        <v>0.11</v>
      </c>
      <c r="O19" s="14">
        <v>0.08</v>
      </c>
      <c r="P19" s="14">
        <v>0.04</v>
      </c>
      <c r="Q19" s="14">
        <v>0.03</v>
      </c>
      <c r="R19" s="14">
        <v>0.08</v>
      </c>
      <c r="S19" s="14">
        <v>0.06</v>
      </c>
      <c r="T19" s="14">
        <v>0.03</v>
      </c>
      <c r="U19" s="14">
        <v>0.02</v>
      </c>
      <c r="V19" s="14">
        <v>0.05</v>
      </c>
      <c r="W19" s="14">
        <v>0.04</v>
      </c>
      <c r="X19" s="14">
        <v>0.02</v>
      </c>
      <c r="Y19" s="14">
        <v>0.03</v>
      </c>
      <c r="Z19" s="14">
        <v>0.01</v>
      </c>
      <c r="AA19" s="15" t="s">
        <v>459</v>
      </c>
      <c r="AB19" s="14">
        <v>0.04</v>
      </c>
      <c r="AC19" s="14">
        <v>0.04</v>
      </c>
      <c r="AD19" s="14">
        <v>0.06</v>
      </c>
      <c r="AE19" s="14">
        <v>0.02</v>
      </c>
      <c r="AF19" s="14">
        <v>0.02</v>
      </c>
    </row>
    <row r="20" spans="1:32">
      <c r="A20" s="20"/>
      <c r="B20" s="11" t="s">
        <v>468</v>
      </c>
      <c r="C20" s="12">
        <v>679</v>
      </c>
      <c r="D20" s="12">
        <v>9</v>
      </c>
      <c r="E20" s="12">
        <v>69</v>
      </c>
      <c r="F20" s="12">
        <v>30</v>
      </c>
      <c r="G20" s="12">
        <v>15</v>
      </c>
      <c r="H20" s="12">
        <v>50</v>
      </c>
      <c r="I20" s="12">
        <v>55</v>
      </c>
      <c r="J20" s="12">
        <v>4</v>
      </c>
      <c r="K20" s="12">
        <v>38</v>
      </c>
      <c r="L20" s="12">
        <v>47</v>
      </c>
      <c r="M20" s="12">
        <v>13</v>
      </c>
      <c r="N20" s="12">
        <v>27</v>
      </c>
      <c r="O20" s="12">
        <v>20</v>
      </c>
      <c r="P20" s="12">
        <v>20</v>
      </c>
      <c r="Q20" s="12">
        <v>15</v>
      </c>
      <c r="R20" s="12">
        <v>20</v>
      </c>
      <c r="S20" s="12">
        <v>59</v>
      </c>
      <c r="T20" s="12">
        <v>27</v>
      </c>
      <c r="U20" s="12">
        <v>36</v>
      </c>
      <c r="V20" s="12">
        <v>14</v>
      </c>
      <c r="W20" s="12">
        <v>7</v>
      </c>
      <c r="X20" s="12">
        <v>7</v>
      </c>
      <c r="Y20" s="12">
        <v>16</v>
      </c>
      <c r="Z20" s="12">
        <v>44</v>
      </c>
      <c r="AA20" s="12">
        <v>44</v>
      </c>
      <c r="AB20" s="12">
        <v>33</v>
      </c>
      <c r="AC20" s="12">
        <v>26</v>
      </c>
      <c r="AD20" s="12">
        <v>9</v>
      </c>
      <c r="AE20" s="12">
        <v>13</v>
      </c>
      <c r="AF20" s="12">
        <v>3</v>
      </c>
    </row>
    <row r="21" spans="1:32">
      <c r="A21" s="20"/>
      <c r="B21" s="13" t="s">
        <v>469</v>
      </c>
      <c r="C21" s="14">
        <v>0.03</v>
      </c>
      <c r="D21" s="14">
        <v>0.01</v>
      </c>
      <c r="E21" s="14">
        <v>7.0000000000000007E-2</v>
      </c>
      <c r="F21" s="14">
        <v>0.03</v>
      </c>
      <c r="G21" s="14">
        <v>0.02</v>
      </c>
      <c r="H21" s="14">
        <v>0.04</v>
      </c>
      <c r="I21" s="14">
        <v>0.04</v>
      </c>
      <c r="J21" s="14">
        <v>0.01</v>
      </c>
      <c r="K21" s="14">
        <v>0.04</v>
      </c>
      <c r="L21" s="14">
        <v>0.05</v>
      </c>
      <c r="M21" s="14">
        <v>0.01</v>
      </c>
      <c r="N21" s="14">
        <v>0.03</v>
      </c>
      <c r="O21" s="14">
        <v>0.02</v>
      </c>
      <c r="P21" s="14">
        <v>0.02</v>
      </c>
      <c r="Q21" s="14">
        <v>0.01</v>
      </c>
      <c r="R21" s="14">
        <v>0.04</v>
      </c>
      <c r="S21" s="14">
        <v>0.06</v>
      </c>
      <c r="T21" s="14">
        <v>0.03</v>
      </c>
      <c r="U21" s="14">
        <v>7.0000000000000007E-2</v>
      </c>
      <c r="V21" s="14">
        <v>0.02</v>
      </c>
      <c r="W21" s="14">
        <v>0.01</v>
      </c>
      <c r="X21" s="15" t="s">
        <v>459</v>
      </c>
      <c r="Y21" s="14">
        <v>0.01</v>
      </c>
      <c r="Z21" s="14">
        <v>0.05</v>
      </c>
      <c r="AA21" s="14">
        <v>0.04</v>
      </c>
      <c r="AB21" s="14">
        <v>0.03</v>
      </c>
      <c r="AC21" s="14">
        <v>0.03</v>
      </c>
      <c r="AD21" s="14">
        <v>0.01</v>
      </c>
      <c r="AE21" s="14">
        <v>0.01</v>
      </c>
      <c r="AF21" s="15" t="s">
        <v>459</v>
      </c>
    </row>
    <row r="22" spans="1:32">
      <c r="A22" s="20"/>
      <c r="B22" s="11" t="s">
        <v>566</v>
      </c>
      <c r="C22" s="12">
        <v>20341</v>
      </c>
      <c r="D22" s="12">
        <v>824</v>
      </c>
      <c r="E22" s="12">
        <v>678</v>
      </c>
      <c r="F22" s="12">
        <v>803</v>
      </c>
      <c r="G22" s="12">
        <v>893</v>
      </c>
      <c r="H22" s="12">
        <v>1017</v>
      </c>
      <c r="I22" s="12">
        <v>1238</v>
      </c>
      <c r="J22" s="12">
        <v>222</v>
      </c>
      <c r="K22" s="12">
        <v>767</v>
      </c>
      <c r="L22" s="12">
        <v>825</v>
      </c>
      <c r="M22" s="12">
        <v>660</v>
      </c>
      <c r="N22" s="12">
        <v>682</v>
      </c>
      <c r="O22" s="12">
        <v>690</v>
      </c>
      <c r="P22" s="12">
        <v>789</v>
      </c>
      <c r="Q22" s="12">
        <v>801</v>
      </c>
      <c r="R22" s="12">
        <v>315</v>
      </c>
      <c r="S22" s="12">
        <v>700</v>
      </c>
      <c r="T22" s="12">
        <v>778</v>
      </c>
      <c r="U22" s="12">
        <v>422</v>
      </c>
      <c r="V22" s="12">
        <v>758</v>
      </c>
      <c r="W22" s="12">
        <v>373</v>
      </c>
      <c r="X22" s="12">
        <v>884</v>
      </c>
      <c r="Y22" s="12">
        <v>868</v>
      </c>
      <c r="Z22" s="12">
        <v>817</v>
      </c>
      <c r="AA22" s="12">
        <v>967</v>
      </c>
      <c r="AB22" s="12">
        <v>739</v>
      </c>
      <c r="AC22" s="12">
        <v>756</v>
      </c>
      <c r="AD22" s="12">
        <v>747</v>
      </c>
      <c r="AE22" s="12">
        <v>918</v>
      </c>
      <c r="AF22" s="12">
        <v>928</v>
      </c>
    </row>
    <row r="23" spans="1:32">
      <c r="A23" s="20"/>
      <c r="B23" s="13" t="s">
        <v>567</v>
      </c>
      <c r="C23" s="14">
        <v>0.77</v>
      </c>
      <c r="D23" s="14">
        <v>0.82000000000000006</v>
      </c>
      <c r="E23" s="14">
        <v>0.66</v>
      </c>
      <c r="F23" s="14">
        <v>0.8</v>
      </c>
      <c r="G23" s="14">
        <v>0.89</v>
      </c>
      <c r="H23" s="14">
        <v>0.84</v>
      </c>
      <c r="I23" s="14">
        <v>0.82000000000000006</v>
      </c>
      <c r="J23" s="14">
        <v>0.75</v>
      </c>
      <c r="K23" s="14">
        <v>0.76</v>
      </c>
      <c r="L23" s="14">
        <v>0.81</v>
      </c>
      <c r="M23" s="14">
        <v>0.66</v>
      </c>
      <c r="N23" s="14">
        <v>0.68</v>
      </c>
      <c r="O23" s="14">
        <v>0.68</v>
      </c>
      <c r="P23" s="14">
        <v>0.78</v>
      </c>
      <c r="Q23" s="14">
        <v>0.79</v>
      </c>
      <c r="R23" s="14">
        <v>0.63</v>
      </c>
      <c r="S23" s="14">
        <v>0.69000000000000006</v>
      </c>
      <c r="T23" s="14">
        <v>0.76</v>
      </c>
      <c r="U23" s="14">
        <v>0.83000000000000007</v>
      </c>
      <c r="V23" s="14">
        <v>0.74</v>
      </c>
      <c r="W23" s="14">
        <v>0.74</v>
      </c>
      <c r="X23" s="14">
        <v>0.87</v>
      </c>
      <c r="Y23" s="14">
        <v>0.86</v>
      </c>
      <c r="Z23" s="14">
        <v>0.81</v>
      </c>
      <c r="AA23" s="14">
        <v>0.92</v>
      </c>
      <c r="AB23" s="14">
        <v>0.71</v>
      </c>
      <c r="AC23" s="14">
        <v>0.74</v>
      </c>
      <c r="AD23" s="14">
        <v>0.74</v>
      </c>
      <c r="AE23" s="14">
        <v>0.92</v>
      </c>
      <c r="AF23" s="14">
        <v>0.91</v>
      </c>
    </row>
    <row r="24" spans="1:32">
      <c r="A24" s="20"/>
      <c r="B24" s="11" t="s">
        <v>568</v>
      </c>
      <c r="C24" s="12">
        <v>5300</v>
      </c>
      <c r="D24" s="12">
        <v>170</v>
      </c>
      <c r="E24" s="12">
        <v>272</v>
      </c>
      <c r="F24" s="12">
        <v>172</v>
      </c>
      <c r="G24" s="12">
        <v>97</v>
      </c>
      <c r="H24" s="12">
        <v>149</v>
      </c>
      <c r="I24" s="12">
        <v>218</v>
      </c>
      <c r="J24" s="12">
        <v>69</v>
      </c>
      <c r="K24" s="12">
        <v>201</v>
      </c>
      <c r="L24" s="12">
        <v>135</v>
      </c>
      <c r="M24" s="12">
        <v>331</v>
      </c>
      <c r="N24" s="12">
        <v>294</v>
      </c>
      <c r="O24" s="12">
        <v>293</v>
      </c>
      <c r="P24" s="12">
        <v>213</v>
      </c>
      <c r="Q24" s="12">
        <v>204</v>
      </c>
      <c r="R24" s="12">
        <v>165</v>
      </c>
      <c r="S24" s="12">
        <v>249</v>
      </c>
      <c r="T24" s="12">
        <v>209</v>
      </c>
      <c r="U24" s="12">
        <v>48</v>
      </c>
      <c r="V24" s="12">
        <v>245</v>
      </c>
      <c r="W24" s="12">
        <v>123</v>
      </c>
      <c r="X24" s="12">
        <v>130</v>
      </c>
      <c r="Y24" s="12">
        <v>124</v>
      </c>
      <c r="Z24" s="12">
        <v>147</v>
      </c>
      <c r="AA24" s="12">
        <v>42</v>
      </c>
      <c r="AB24" s="12">
        <v>267</v>
      </c>
      <c r="AC24" s="12">
        <v>228</v>
      </c>
      <c r="AD24" s="12">
        <v>251</v>
      </c>
      <c r="AE24" s="12">
        <v>70</v>
      </c>
      <c r="AF24" s="12">
        <v>90</v>
      </c>
    </row>
    <row r="25" spans="1:32">
      <c r="A25" s="20"/>
      <c r="B25" s="13" t="s">
        <v>569</v>
      </c>
      <c r="C25" s="14">
        <v>0.2</v>
      </c>
      <c r="D25" s="14">
        <v>0.17</v>
      </c>
      <c r="E25" s="14">
        <v>0.27</v>
      </c>
      <c r="F25" s="14">
        <v>0.17</v>
      </c>
      <c r="G25" s="14">
        <v>0.09</v>
      </c>
      <c r="H25" s="14">
        <v>0.12</v>
      </c>
      <c r="I25" s="14">
        <v>0.14000000000000001</v>
      </c>
      <c r="J25" s="14">
        <v>0.24</v>
      </c>
      <c r="K25" s="14">
        <v>0.2</v>
      </c>
      <c r="L25" s="14">
        <v>0.14000000000000001</v>
      </c>
      <c r="M25" s="14">
        <v>0.33</v>
      </c>
      <c r="N25" s="14">
        <v>0.28999999999999998</v>
      </c>
      <c r="O25" s="14">
        <v>0.3</v>
      </c>
      <c r="P25" s="14">
        <v>0.2</v>
      </c>
      <c r="Q25" s="14">
        <v>0.2</v>
      </c>
      <c r="R25" s="14">
        <v>0.33</v>
      </c>
      <c r="S25" s="14">
        <v>0.25</v>
      </c>
      <c r="T25" s="14">
        <v>0.21</v>
      </c>
      <c r="U25" s="14">
        <v>0.1</v>
      </c>
      <c r="V25" s="14">
        <v>0.24</v>
      </c>
      <c r="W25" s="14">
        <v>0.25</v>
      </c>
      <c r="X25" s="14">
        <v>0.13</v>
      </c>
      <c r="Y25" s="14">
        <v>0.13</v>
      </c>
      <c r="Z25" s="14">
        <v>0.14000000000000001</v>
      </c>
      <c r="AA25" s="14">
        <v>0.04</v>
      </c>
      <c r="AB25" s="14">
        <v>0.26</v>
      </c>
      <c r="AC25" s="14">
        <v>0.23</v>
      </c>
      <c r="AD25" s="14">
        <v>0.25</v>
      </c>
      <c r="AE25" s="14">
        <v>7.0000000000000007E-2</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570</v>
      </c>
      <c r="C3" s="18"/>
      <c r="D3" s="18"/>
      <c r="E3" s="18"/>
      <c r="F3" s="18"/>
      <c r="H3" s="18" t="s">
        <v>571</v>
      </c>
      <c r="I3" s="18"/>
      <c r="J3" s="18"/>
      <c r="K3" s="18"/>
      <c r="L3" s="18"/>
    </row>
    <row r="4" spans="1:32" ht="27" customHeight="1">
      <c r="B4" s="18" t="s">
        <v>572</v>
      </c>
      <c r="C4" s="18"/>
      <c r="D4" s="18"/>
      <c r="E4" s="18"/>
      <c r="F4" s="18"/>
      <c r="H4" s="18" t="s">
        <v>573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6614</v>
      </c>
      <c r="D12" s="12">
        <v>239</v>
      </c>
      <c r="E12" s="12">
        <v>213</v>
      </c>
      <c r="F12" s="12">
        <v>264</v>
      </c>
      <c r="G12" s="12">
        <v>307</v>
      </c>
      <c r="H12" s="12">
        <v>393</v>
      </c>
      <c r="I12" s="12">
        <v>461</v>
      </c>
      <c r="J12" s="12">
        <v>68</v>
      </c>
      <c r="K12" s="12">
        <v>250</v>
      </c>
      <c r="L12" s="12">
        <v>349</v>
      </c>
      <c r="M12" s="12">
        <v>205</v>
      </c>
      <c r="N12" s="12">
        <v>245</v>
      </c>
      <c r="O12" s="12">
        <v>178</v>
      </c>
      <c r="P12" s="12">
        <v>210</v>
      </c>
      <c r="Q12" s="12">
        <v>254</v>
      </c>
      <c r="R12" s="12">
        <v>84</v>
      </c>
      <c r="S12" s="12">
        <v>260</v>
      </c>
      <c r="T12" s="12">
        <v>320</v>
      </c>
      <c r="U12" s="12">
        <v>181</v>
      </c>
      <c r="V12" s="12">
        <v>290</v>
      </c>
      <c r="W12" s="12">
        <v>154</v>
      </c>
      <c r="X12" s="12">
        <v>249</v>
      </c>
      <c r="Y12" s="12">
        <v>421</v>
      </c>
      <c r="Z12" s="12">
        <v>188</v>
      </c>
      <c r="AA12" s="12">
        <v>283</v>
      </c>
      <c r="AB12" s="12">
        <v>287</v>
      </c>
      <c r="AC12" s="12">
        <v>264</v>
      </c>
      <c r="AD12" s="12">
        <v>299</v>
      </c>
      <c r="AE12" s="12">
        <v>402</v>
      </c>
      <c r="AF12" s="12">
        <v>222</v>
      </c>
    </row>
    <row r="13" spans="1:32">
      <c r="A13" s="20"/>
      <c r="B13" s="13" t="s">
        <v>559</v>
      </c>
      <c r="C13" s="14">
        <v>0.25</v>
      </c>
      <c r="D13" s="14">
        <v>0.24</v>
      </c>
      <c r="E13" s="14">
        <v>0.21</v>
      </c>
      <c r="F13" s="14">
        <v>0.26</v>
      </c>
      <c r="G13" s="14">
        <v>0.31</v>
      </c>
      <c r="H13" s="14">
        <v>0.32</v>
      </c>
      <c r="I13" s="14">
        <v>0.3</v>
      </c>
      <c r="J13" s="14">
        <v>0.23</v>
      </c>
      <c r="K13" s="14">
        <v>0.25</v>
      </c>
      <c r="L13" s="14">
        <v>0.35</v>
      </c>
      <c r="M13" s="14">
        <v>0.2</v>
      </c>
      <c r="N13" s="14">
        <v>0.24</v>
      </c>
      <c r="O13" s="14">
        <v>0.18</v>
      </c>
      <c r="P13" s="14">
        <v>0.21</v>
      </c>
      <c r="Q13" s="14">
        <v>0.25</v>
      </c>
      <c r="R13" s="14">
        <v>0.17</v>
      </c>
      <c r="S13" s="14">
        <v>0.26</v>
      </c>
      <c r="T13" s="14">
        <v>0.32</v>
      </c>
      <c r="U13" s="14">
        <v>0.36</v>
      </c>
      <c r="V13" s="14">
        <v>0.28999999999999998</v>
      </c>
      <c r="W13" s="14">
        <v>0.3</v>
      </c>
      <c r="X13" s="14">
        <v>0.24</v>
      </c>
      <c r="Y13" s="14">
        <v>0.42</v>
      </c>
      <c r="Z13" s="14">
        <v>0.19</v>
      </c>
      <c r="AA13" s="14">
        <v>0.27</v>
      </c>
      <c r="AB13" s="14">
        <v>0.28000000000000003</v>
      </c>
      <c r="AC13" s="14">
        <v>0.26</v>
      </c>
      <c r="AD13" s="14">
        <v>0.3</v>
      </c>
      <c r="AE13" s="14">
        <v>0.4</v>
      </c>
      <c r="AF13" s="14">
        <v>0.22</v>
      </c>
    </row>
    <row r="14" spans="1:32">
      <c r="A14" s="20"/>
      <c r="B14" s="11" t="s">
        <v>560</v>
      </c>
      <c r="C14" s="12">
        <v>12612</v>
      </c>
      <c r="D14" s="12">
        <v>517</v>
      </c>
      <c r="E14" s="12">
        <v>461</v>
      </c>
      <c r="F14" s="12">
        <v>524</v>
      </c>
      <c r="G14" s="12">
        <v>442</v>
      </c>
      <c r="H14" s="12">
        <v>560</v>
      </c>
      <c r="I14" s="12">
        <v>707</v>
      </c>
      <c r="J14" s="12">
        <v>148</v>
      </c>
      <c r="K14" s="12">
        <v>492</v>
      </c>
      <c r="L14" s="12">
        <v>429</v>
      </c>
      <c r="M14" s="12">
        <v>432</v>
      </c>
      <c r="N14" s="12">
        <v>408</v>
      </c>
      <c r="O14" s="12">
        <v>445</v>
      </c>
      <c r="P14" s="12">
        <v>573</v>
      </c>
      <c r="Q14" s="12">
        <v>526</v>
      </c>
      <c r="R14" s="12">
        <v>209</v>
      </c>
      <c r="S14" s="12">
        <v>412</v>
      </c>
      <c r="T14" s="12">
        <v>449</v>
      </c>
      <c r="U14" s="12">
        <v>221</v>
      </c>
      <c r="V14" s="12">
        <v>411</v>
      </c>
      <c r="W14" s="12">
        <v>200</v>
      </c>
      <c r="X14" s="12">
        <v>478</v>
      </c>
      <c r="Y14" s="12">
        <v>430</v>
      </c>
      <c r="Z14" s="12">
        <v>617</v>
      </c>
      <c r="AA14" s="12">
        <v>657</v>
      </c>
      <c r="AB14" s="12">
        <v>484</v>
      </c>
      <c r="AC14" s="12">
        <v>459</v>
      </c>
      <c r="AD14" s="12">
        <v>509</v>
      </c>
      <c r="AE14" s="12">
        <v>451</v>
      </c>
      <c r="AF14" s="12">
        <v>517</v>
      </c>
    </row>
    <row r="15" spans="1:32">
      <c r="A15" s="20"/>
      <c r="B15" s="13" t="s">
        <v>561</v>
      </c>
      <c r="C15" s="14">
        <v>0.48</v>
      </c>
      <c r="D15" s="14">
        <v>0.51</v>
      </c>
      <c r="E15" s="14">
        <v>0.45</v>
      </c>
      <c r="F15" s="14">
        <v>0.52</v>
      </c>
      <c r="G15" s="14">
        <v>0.44</v>
      </c>
      <c r="H15" s="14">
        <v>0.46</v>
      </c>
      <c r="I15" s="14">
        <v>0.47</v>
      </c>
      <c r="J15" s="14">
        <v>0.5</v>
      </c>
      <c r="K15" s="14">
        <v>0.49</v>
      </c>
      <c r="L15" s="14">
        <v>0.43</v>
      </c>
      <c r="M15" s="14">
        <v>0.43</v>
      </c>
      <c r="N15" s="14">
        <v>0.41</v>
      </c>
      <c r="O15" s="14">
        <v>0.44</v>
      </c>
      <c r="P15" s="14">
        <v>0.56000000000000005</v>
      </c>
      <c r="Q15" s="14">
        <v>0.51</v>
      </c>
      <c r="R15" s="14">
        <v>0.42</v>
      </c>
      <c r="S15" s="14">
        <v>0.41</v>
      </c>
      <c r="T15" s="14">
        <v>0.44</v>
      </c>
      <c r="U15" s="14">
        <v>0.44</v>
      </c>
      <c r="V15" s="14">
        <v>0.4</v>
      </c>
      <c r="W15" s="14">
        <v>0.4</v>
      </c>
      <c r="X15" s="14">
        <v>0.47</v>
      </c>
      <c r="Y15" s="14">
        <v>0.43</v>
      </c>
      <c r="Z15" s="14">
        <v>0.61</v>
      </c>
      <c r="AA15" s="14">
        <v>0.62</v>
      </c>
      <c r="AB15" s="14">
        <v>0.47</v>
      </c>
      <c r="AC15" s="14">
        <v>0.46</v>
      </c>
      <c r="AD15" s="14">
        <v>0.51</v>
      </c>
      <c r="AE15" s="14">
        <v>0.45</v>
      </c>
      <c r="AF15" s="14">
        <v>0.51</v>
      </c>
    </row>
    <row r="16" spans="1:32">
      <c r="A16" s="20"/>
      <c r="B16" s="11" t="s">
        <v>562</v>
      </c>
      <c r="C16" s="12">
        <v>5001</v>
      </c>
      <c r="D16" s="12">
        <v>209</v>
      </c>
      <c r="E16" s="12">
        <v>217</v>
      </c>
      <c r="F16" s="12">
        <v>153</v>
      </c>
      <c r="G16" s="12">
        <v>183</v>
      </c>
      <c r="H16" s="12">
        <v>165</v>
      </c>
      <c r="I16" s="12">
        <v>220</v>
      </c>
      <c r="J16" s="12">
        <v>55</v>
      </c>
      <c r="K16" s="12">
        <v>165</v>
      </c>
      <c r="L16" s="12">
        <v>142</v>
      </c>
      <c r="M16" s="12">
        <v>271</v>
      </c>
      <c r="N16" s="12">
        <v>206</v>
      </c>
      <c r="O16" s="12">
        <v>274</v>
      </c>
      <c r="P16" s="12">
        <v>187</v>
      </c>
      <c r="Q16" s="12">
        <v>195</v>
      </c>
      <c r="R16" s="12">
        <v>141</v>
      </c>
      <c r="S16" s="12">
        <v>201</v>
      </c>
      <c r="T16" s="12">
        <v>183</v>
      </c>
      <c r="U16" s="12">
        <v>51</v>
      </c>
      <c r="V16" s="12">
        <v>249</v>
      </c>
      <c r="W16" s="12">
        <v>119</v>
      </c>
      <c r="X16" s="12">
        <v>244</v>
      </c>
      <c r="Y16" s="12">
        <v>117</v>
      </c>
      <c r="Z16" s="12">
        <v>147</v>
      </c>
      <c r="AA16" s="12">
        <v>71</v>
      </c>
      <c r="AB16" s="12">
        <v>181</v>
      </c>
      <c r="AC16" s="12">
        <v>214</v>
      </c>
      <c r="AD16" s="12">
        <v>146</v>
      </c>
      <c r="AE16" s="12">
        <v>116</v>
      </c>
      <c r="AF16" s="12">
        <v>197</v>
      </c>
    </row>
    <row r="17" spans="1:32">
      <c r="A17" s="20"/>
      <c r="B17" s="13" t="s">
        <v>563</v>
      </c>
      <c r="C17" s="14">
        <v>0.19</v>
      </c>
      <c r="D17" s="14">
        <v>0.21</v>
      </c>
      <c r="E17" s="14">
        <v>0.21</v>
      </c>
      <c r="F17" s="14">
        <v>0.15</v>
      </c>
      <c r="G17" s="14">
        <v>0.18</v>
      </c>
      <c r="H17" s="14">
        <v>0.14000000000000001</v>
      </c>
      <c r="I17" s="14">
        <v>0.15</v>
      </c>
      <c r="J17" s="14">
        <v>0.19</v>
      </c>
      <c r="K17" s="14">
        <v>0.16</v>
      </c>
      <c r="L17" s="14">
        <v>0.14000000000000001</v>
      </c>
      <c r="M17" s="14">
        <v>0.27</v>
      </c>
      <c r="N17" s="14">
        <v>0.21</v>
      </c>
      <c r="O17" s="14">
        <v>0.27</v>
      </c>
      <c r="P17" s="14">
        <v>0.18</v>
      </c>
      <c r="Q17" s="14">
        <v>0.19</v>
      </c>
      <c r="R17" s="14">
        <v>0.28000000000000003</v>
      </c>
      <c r="S17" s="14">
        <v>0.2</v>
      </c>
      <c r="T17" s="14">
        <v>0.18</v>
      </c>
      <c r="U17" s="14">
        <v>0.1</v>
      </c>
      <c r="V17" s="14">
        <v>0.24</v>
      </c>
      <c r="W17" s="14">
        <v>0.24</v>
      </c>
      <c r="X17" s="14">
        <v>0.24</v>
      </c>
      <c r="Y17" s="14">
        <v>0.12</v>
      </c>
      <c r="Z17" s="14">
        <v>0.15</v>
      </c>
      <c r="AA17" s="14">
        <v>7.0000000000000007E-2</v>
      </c>
      <c r="AB17" s="14">
        <v>0.17</v>
      </c>
      <c r="AC17" s="14">
        <v>0.21</v>
      </c>
      <c r="AD17" s="14">
        <v>0.14000000000000001</v>
      </c>
      <c r="AE17" s="14">
        <v>0.12</v>
      </c>
      <c r="AF17" s="14">
        <v>0.19</v>
      </c>
    </row>
    <row r="18" spans="1:32">
      <c r="A18" s="20"/>
      <c r="B18" s="11" t="s">
        <v>564</v>
      </c>
      <c r="C18" s="12">
        <v>1316</v>
      </c>
      <c r="D18" s="12">
        <v>31</v>
      </c>
      <c r="E18" s="12">
        <v>42</v>
      </c>
      <c r="F18" s="12">
        <v>37</v>
      </c>
      <c r="G18" s="12">
        <v>50</v>
      </c>
      <c r="H18" s="12">
        <v>40</v>
      </c>
      <c r="I18" s="12">
        <v>58</v>
      </c>
      <c r="J18" s="12">
        <v>19</v>
      </c>
      <c r="K18" s="12">
        <v>65</v>
      </c>
      <c r="L18" s="12">
        <v>32</v>
      </c>
      <c r="M18" s="12">
        <v>78</v>
      </c>
      <c r="N18" s="12">
        <v>114</v>
      </c>
      <c r="O18" s="12">
        <v>78</v>
      </c>
      <c r="P18" s="12">
        <v>33</v>
      </c>
      <c r="Q18" s="12">
        <v>27</v>
      </c>
      <c r="R18" s="12">
        <v>49</v>
      </c>
      <c r="S18" s="12">
        <v>50</v>
      </c>
      <c r="T18" s="12">
        <v>24</v>
      </c>
      <c r="U18" s="12">
        <v>12</v>
      </c>
      <c r="V18" s="12">
        <v>58</v>
      </c>
      <c r="W18" s="12">
        <v>21</v>
      </c>
      <c r="X18" s="12">
        <v>41</v>
      </c>
      <c r="Y18" s="12">
        <v>25</v>
      </c>
      <c r="Z18" s="12">
        <v>15</v>
      </c>
      <c r="AA18" s="12">
        <v>2</v>
      </c>
      <c r="AB18" s="12">
        <v>44</v>
      </c>
      <c r="AC18" s="12">
        <v>41</v>
      </c>
      <c r="AD18" s="12">
        <v>42</v>
      </c>
      <c r="AE18" s="12">
        <v>19</v>
      </c>
      <c r="AF18" s="12">
        <v>79</v>
      </c>
    </row>
    <row r="19" spans="1:32">
      <c r="A19" s="20"/>
      <c r="B19" s="13" t="s">
        <v>565</v>
      </c>
      <c r="C19" s="14">
        <v>0.05</v>
      </c>
      <c r="D19" s="14">
        <v>0.03</v>
      </c>
      <c r="E19" s="14">
        <v>0.04</v>
      </c>
      <c r="F19" s="14">
        <v>0.04</v>
      </c>
      <c r="G19" s="14">
        <v>0.05</v>
      </c>
      <c r="H19" s="14">
        <v>0.03</v>
      </c>
      <c r="I19" s="14">
        <v>0.04</v>
      </c>
      <c r="J19" s="14">
        <v>0.06</v>
      </c>
      <c r="K19" s="14">
        <v>7.0000000000000007E-2</v>
      </c>
      <c r="L19" s="14">
        <v>0.03</v>
      </c>
      <c r="M19" s="14">
        <v>0.08</v>
      </c>
      <c r="N19" s="14">
        <v>0.11</v>
      </c>
      <c r="O19" s="14">
        <v>0.08</v>
      </c>
      <c r="P19" s="14">
        <v>0.03</v>
      </c>
      <c r="Q19" s="14">
        <v>0.03</v>
      </c>
      <c r="R19" s="14">
        <v>0.1</v>
      </c>
      <c r="S19" s="14">
        <v>0.05</v>
      </c>
      <c r="T19" s="14">
        <v>0.02</v>
      </c>
      <c r="U19" s="14">
        <v>0.02</v>
      </c>
      <c r="V19" s="14">
        <v>0.06</v>
      </c>
      <c r="W19" s="14">
        <v>0.04</v>
      </c>
      <c r="X19" s="14">
        <v>0.04</v>
      </c>
      <c r="Y19" s="14">
        <v>0.02</v>
      </c>
      <c r="Z19" s="14">
        <v>0.01</v>
      </c>
      <c r="AA19" s="15" t="s">
        <v>459</v>
      </c>
      <c r="AB19" s="14">
        <v>0.04</v>
      </c>
      <c r="AC19" s="14">
        <v>0.04</v>
      </c>
      <c r="AD19" s="14">
        <v>0.04</v>
      </c>
      <c r="AE19" s="14">
        <v>0.02</v>
      </c>
      <c r="AF19" s="14">
        <v>0.08</v>
      </c>
    </row>
    <row r="20" spans="1:32">
      <c r="A20" s="20"/>
      <c r="B20" s="11" t="s">
        <v>468</v>
      </c>
      <c r="C20" s="12">
        <v>775</v>
      </c>
      <c r="D20" s="12">
        <v>7</v>
      </c>
      <c r="E20" s="12">
        <v>85</v>
      </c>
      <c r="F20" s="12">
        <v>28</v>
      </c>
      <c r="G20" s="12">
        <v>22</v>
      </c>
      <c r="H20" s="12">
        <v>59</v>
      </c>
      <c r="I20" s="12">
        <v>64</v>
      </c>
      <c r="J20" s="12">
        <v>5</v>
      </c>
      <c r="K20" s="12">
        <v>34</v>
      </c>
      <c r="L20" s="12">
        <v>56</v>
      </c>
      <c r="M20" s="12">
        <v>17</v>
      </c>
      <c r="N20" s="12">
        <v>31</v>
      </c>
      <c r="O20" s="12">
        <v>27</v>
      </c>
      <c r="P20" s="12">
        <v>19</v>
      </c>
      <c r="Q20" s="12">
        <v>18</v>
      </c>
      <c r="R20" s="12">
        <v>18</v>
      </c>
      <c r="S20" s="12">
        <v>85</v>
      </c>
      <c r="T20" s="12">
        <v>37</v>
      </c>
      <c r="U20" s="12">
        <v>42</v>
      </c>
      <c r="V20" s="12">
        <v>9</v>
      </c>
      <c r="W20" s="12">
        <v>9</v>
      </c>
      <c r="X20" s="12">
        <v>8</v>
      </c>
      <c r="Y20" s="12">
        <v>15</v>
      </c>
      <c r="Z20" s="12">
        <v>41</v>
      </c>
      <c r="AA20" s="12">
        <v>40</v>
      </c>
      <c r="AB20" s="12">
        <v>44</v>
      </c>
      <c r="AC20" s="12">
        <v>32</v>
      </c>
      <c r="AD20" s="12">
        <v>9</v>
      </c>
      <c r="AE20" s="12">
        <v>14</v>
      </c>
      <c r="AF20" s="12">
        <v>5</v>
      </c>
    </row>
    <row r="21" spans="1:32">
      <c r="A21" s="20"/>
      <c r="B21" s="13" t="s">
        <v>469</v>
      </c>
      <c r="C21" s="14">
        <v>0.03</v>
      </c>
      <c r="D21" s="14">
        <v>0.01</v>
      </c>
      <c r="E21" s="14">
        <v>0.09</v>
      </c>
      <c r="F21" s="14">
        <v>0.03</v>
      </c>
      <c r="G21" s="14">
        <v>0.02</v>
      </c>
      <c r="H21" s="14">
        <v>0.05</v>
      </c>
      <c r="I21" s="14">
        <v>0.04</v>
      </c>
      <c r="J21" s="14">
        <v>0.02</v>
      </c>
      <c r="K21" s="14">
        <v>0.03</v>
      </c>
      <c r="L21" s="14">
        <v>0.05</v>
      </c>
      <c r="M21" s="14">
        <v>0.02</v>
      </c>
      <c r="N21" s="14">
        <v>0.03</v>
      </c>
      <c r="O21" s="14">
        <v>0.03</v>
      </c>
      <c r="P21" s="14">
        <v>0.02</v>
      </c>
      <c r="Q21" s="14">
        <v>0.02</v>
      </c>
      <c r="R21" s="14">
        <v>0.03</v>
      </c>
      <c r="S21" s="14">
        <v>0.08</v>
      </c>
      <c r="T21" s="14">
        <v>0.04</v>
      </c>
      <c r="U21" s="14">
        <v>0.08</v>
      </c>
      <c r="V21" s="14">
        <v>0.01</v>
      </c>
      <c r="W21" s="14">
        <v>0.02</v>
      </c>
      <c r="X21" s="14">
        <v>0.01</v>
      </c>
      <c r="Y21" s="14">
        <v>0.01</v>
      </c>
      <c r="Z21" s="14">
        <v>0.04</v>
      </c>
      <c r="AA21" s="14">
        <v>0.04</v>
      </c>
      <c r="AB21" s="14">
        <v>0.04</v>
      </c>
      <c r="AC21" s="14">
        <v>0.03</v>
      </c>
      <c r="AD21" s="14">
        <v>0.01</v>
      </c>
      <c r="AE21" s="14">
        <v>0.01</v>
      </c>
      <c r="AF21" s="15" t="s">
        <v>459</v>
      </c>
    </row>
    <row r="22" spans="1:32">
      <c r="A22" s="20"/>
      <c r="B22" s="11" t="s">
        <v>566</v>
      </c>
      <c r="C22" s="12">
        <v>19226</v>
      </c>
      <c r="D22" s="12">
        <v>756</v>
      </c>
      <c r="E22" s="12">
        <v>674</v>
      </c>
      <c r="F22" s="12">
        <v>788</v>
      </c>
      <c r="G22" s="12">
        <v>749</v>
      </c>
      <c r="H22" s="12">
        <v>953</v>
      </c>
      <c r="I22" s="12">
        <v>1168</v>
      </c>
      <c r="J22" s="12">
        <v>216</v>
      </c>
      <c r="K22" s="12">
        <v>742</v>
      </c>
      <c r="L22" s="12">
        <v>778</v>
      </c>
      <c r="M22" s="12">
        <v>637</v>
      </c>
      <c r="N22" s="12">
        <v>653</v>
      </c>
      <c r="O22" s="12">
        <v>623</v>
      </c>
      <c r="P22" s="12">
        <v>783</v>
      </c>
      <c r="Q22" s="12">
        <v>780</v>
      </c>
      <c r="R22" s="12">
        <v>293</v>
      </c>
      <c r="S22" s="12">
        <v>672</v>
      </c>
      <c r="T22" s="12">
        <v>769</v>
      </c>
      <c r="U22" s="12">
        <v>402</v>
      </c>
      <c r="V22" s="12">
        <v>701</v>
      </c>
      <c r="W22" s="12">
        <v>354</v>
      </c>
      <c r="X22" s="12">
        <v>727</v>
      </c>
      <c r="Y22" s="12">
        <v>851</v>
      </c>
      <c r="Z22" s="12">
        <v>805</v>
      </c>
      <c r="AA22" s="12">
        <v>940</v>
      </c>
      <c r="AB22" s="12">
        <v>771</v>
      </c>
      <c r="AC22" s="12">
        <v>723</v>
      </c>
      <c r="AD22" s="12">
        <v>808</v>
      </c>
      <c r="AE22" s="12">
        <v>853</v>
      </c>
      <c r="AF22" s="12">
        <v>739</v>
      </c>
    </row>
    <row r="23" spans="1:32">
      <c r="A23" s="20"/>
      <c r="B23" s="13" t="s">
        <v>567</v>
      </c>
      <c r="C23" s="14">
        <v>0.73</v>
      </c>
      <c r="D23" s="14">
        <v>0.75</v>
      </c>
      <c r="E23" s="14">
        <v>0.66</v>
      </c>
      <c r="F23" s="14">
        <v>0.78</v>
      </c>
      <c r="G23" s="14">
        <v>0.75</v>
      </c>
      <c r="H23" s="14">
        <v>0.78</v>
      </c>
      <c r="I23" s="14">
        <v>0.77</v>
      </c>
      <c r="J23" s="14">
        <v>0.73</v>
      </c>
      <c r="K23" s="14">
        <v>0.74</v>
      </c>
      <c r="L23" s="14">
        <v>0.78</v>
      </c>
      <c r="M23" s="14">
        <v>0.63</v>
      </c>
      <c r="N23" s="14">
        <v>0.65</v>
      </c>
      <c r="O23" s="14">
        <v>0.62</v>
      </c>
      <c r="P23" s="14">
        <v>0.77</v>
      </c>
      <c r="Q23" s="14">
        <v>0.76</v>
      </c>
      <c r="R23" s="14">
        <v>0.59</v>
      </c>
      <c r="S23" s="14">
        <v>0.67</v>
      </c>
      <c r="T23" s="14">
        <v>0.76</v>
      </c>
      <c r="U23" s="14">
        <v>0.8</v>
      </c>
      <c r="V23" s="14">
        <v>0.69000000000000006</v>
      </c>
      <c r="W23" s="14">
        <v>0.70000000000000007</v>
      </c>
      <c r="X23" s="14">
        <v>0.71</v>
      </c>
      <c r="Y23" s="14">
        <v>0.85</v>
      </c>
      <c r="Z23" s="14">
        <v>0.8</v>
      </c>
      <c r="AA23" s="14">
        <v>0.89</v>
      </c>
      <c r="AB23" s="14">
        <v>0.75</v>
      </c>
      <c r="AC23" s="14">
        <v>0.72</v>
      </c>
      <c r="AD23" s="14">
        <v>0.81</v>
      </c>
      <c r="AE23" s="14">
        <v>0.85</v>
      </c>
      <c r="AF23" s="14">
        <v>0.73</v>
      </c>
    </row>
    <row r="24" spans="1:32">
      <c r="A24" s="20"/>
      <c r="B24" s="11" t="s">
        <v>568</v>
      </c>
      <c r="C24" s="12">
        <v>6317</v>
      </c>
      <c r="D24" s="12">
        <v>240</v>
      </c>
      <c r="E24" s="12">
        <v>259</v>
      </c>
      <c r="F24" s="12">
        <v>190</v>
      </c>
      <c r="G24" s="12">
        <v>233</v>
      </c>
      <c r="H24" s="12">
        <v>205</v>
      </c>
      <c r="I24" s="12">
        <v>278</v>
      </c>
      <c r="J24" s="12">
        <v>74</v>
      </c>
      <c r="K24" s="12">
        <v>230</v>
      </c>
      <c r="L24" s="12">
        <v>174</v>
      </c>
      <c r="M24" s="12">
        <v>349</v>
      </c>
      <c r="N24" s="12">
        <v>320</v>
      </c>
      <c r="O24" s="12">
        <v>352</v>
      </c>
      <c r="P24" s="12">
        <v>220</v>
      </c>
      <c r="Q24" s="12">
        <v>222</v>
      </c>
      <c r="R24" s="12">
        <v>190</v>
      </c>
      <c r="S24" s="12">
        <v>251</v>
      </c>
      <c r="T24" s="12">
        <v>207</v>
      </c>
      <c r="U24" s="12">
        <v>63</v>
      </c>
      <c r="V24" s="12">
        <v>307</v>
      </c>
      <c r="W24" s="12">
        <v>140</v>
      </c>
      <c r="X24" s="12">
        <v>285</v>
      </c>
      <c r="Y24" s="12">
        <v>142</v>
      </c>
      <c r="Z24" s="12">
        <v>162</v>
      </c>
      <c r="AA24" s="12">
        <v>73</v>
      </c>
      <c r="AB24" s="12">
        <v>225</v>
      </c>
      <c r="AC24" s="12">
        <v>255</v>
      </c>
      <c r="AD24" s="12">
        <v>188</v>
      </c>
      <c r="AE24" s="12">
        <v>135</v>
      </c>
      <c r="AF24" s="12">
        <v>276</v>
      </c>
    </row>
    <row r="25" spans="1:32">
      <c r="A25" s="20"/>
      <c r="B25" s="13" t="s">
        <v>569</v>
      </c>
      <c r="C25" s="14">
        <v>0.24</v>
      </c>
      <c r="D25" s="14">
        <v>0.24</v>
      </c>
      <c r="E25" s="14">
        <v>0.25</v>
      </c>
      <c r="F25" s="14">
        <v>0.19</v>
      </c>
      <c r="G25" s="14">
        <v>0.23</v>
      </c>
      <c r="H25" s="14">
        <v>0.17</v>
      </c>
      <c r="I25" s="14">
        <v>0.19</v>
      </c>
      <c r="J25" s="14">
        <v>0.25</v>
      </c>
      <c r="K25" s="14">
        <v>0.23</v>
      </c>
      <c r="L25" s="14">
        <v>0.17</v>
      </c>
      <c r="M25" s="14">
        <v>0.35</v>
      </c>
      <c r="N25" s="14">
        <v>0.32</v>
      </c>
      <c r="O25" s="14">
        <v>0.35</v>
      </c>
      <c r="P25" s="14">
        <v>0.21</v>
      </c>
      <c r="Q25" s="14">
        <v>0.22</v>
      </c>
      <c r="R25" s="14">
        <v>0.38</v>
      </c>
      <c r="S25" s="14">
        <v>0.25</v>
      </c>
      <c r="T25" s="14">
        <v>0.2</v>
      </c>
      <c r="U25" s="14">
        <v>0.12</v>
      </c>
      <c r="V25" s="14">
        <v>0.3</v>
      </c>
      <c r="W25" s="14">
        <v>0.28000000000000003</v>
      </c>
      <c r="X25" s="14">
        <v>0.28000000000000003</v>
      </c>
      <c r="Y25" s="14">
        <v>0.14000000000000001</v>
      </c>
      <c r="Z25" s="14">
        <v>0.16</v>
      </c>
      <c r="AA25" s="14">
        <v>7.0000000000000007E-2</v>
      </c>
      <c r="AB25" s="14">
        <v>0.21</v>
      </c>
      <c r="AC25" s="14">
        <v>0.25</v>
      </c>
      <c r="AD25" s="14">
        <v>0.18</v>
      </c>
      <c r="AE25" s="14">
        <v>0.14000000000000001</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574</v>
      </c>
      <c r="C3" s="18"/>
      <c r="D3" s="18"/>
      <c r="E3" s="18"/>
      <c r="F3" s="18"/>
      <c r="H3" s="18" t="s">
        <v>575</v>
      </c>
      <c r="I3" s="18"/>
      <c r="J3" s="18"/>
      <c r="K3" s="18"/>
      <c r="L3" s="18"/>
    </row>
    <row r="4" spans="1:32" ht="27" customHeight="1">
      <c r="B4" s="18" t="s">
        <v>576</v>
      </c>
      <c r="C4" s="18"/>
      <c r="D4" s="18"/>
      <c r="E4" s="18"/>
      <c r="F4" s="18"/>
      <c r="H4" s="18" t="s">
        <v>577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11870</v>
      </c>
      <c r="D12" s="12">
        <v>476</v>
      </c>
      <c r="E12" s="12">
        <v>360</v>
      </c>
      <c r="F12" s="12">
        <v>377</v>
      </c>
      <c r="G12" s="12">
        <v>668</v>
      </c>
      <c r="H12" s="12">
        <v>539</v>
      </c>
      <c r="I12" s="12">
        <v>661</v>
      </c>
      <c r="J12" s="12">
        <v>122</v>
      </c>
      <c r="K12" s="12">
        <v>386</v>
      </c>
      <c r="L12" s="12">
        <v>598</v>
      </c>
      <c r="M12" s="12">
        <v>495</v>
      </c>
      <c r="N12" s="12">
        <v>551</v>
      </c>
      <c r="O12" s="12">
        <v>579</v>
      </c>
      <c r="P12" s="12">
        <v>255</v>
      </c>
      <c r="Q12" s="12">
        <v>395</v>
      </c>
      <c r="R12" s="12">
        <v>344</v>
      </c>
      <c r="S12" s="12">
        <v>434</v>
      </c>
      <c r="T12" s="12">
        <v>389</v>
      </c>
      <c r="U12" s="12">
        <v>385</v>
      </c>
      <c r="V12" s="12">
        <v>346</v>
      </c>
      <c r="W12" s="12">
        <v>227</v>
      </c>
      <c r="X12" s="12">
        <v>631</v>
      </c>
      <c r="Y12" s="12">
        <v>367</v>
      </c>
      <c r="Z12" s="12">
        <v>180</v>
      </c>
      <c r="AA12" s="12">
        <v>376</v>
      </c>
      <c r="AB12" s="12">
        <v>262</v>
      </c>
      <c r="AC12" s="12">
        <v>522</v>
      </c>
      <c r="AD12" s="12">
        <v>525</v>
      </c>
      <c r="AE12" s="12">
        <v>632</v>
      </c>
      <c r="AF12" s="12">
        <v>781</v>
      </c>
    </row>
    <row r="13" spans="1:32">
      <c r="A13" s="20"/>
      <c r="B13" s="13" t="s">
        <v>559</v>
      </c>
      <c r="C13" s="14">
        <v>0.45</v>
      </c>
      <c r="D13" s="14">
        <v>0.47</v>
      </c>
      <c r="E13" s="14">
        <v>0.35</v>
      </c>
      <c r="F13" s="14">
        <v>0.38</v>
      </c>
      <c r="G13" s="14">
        <v>0.67</v>
      </c>
      <c r="H13" s="14">
        <v>0.44</v>
      </c>
      <c r="I13" s="14">
        <v>0.44</v>
      </c>
      <c r="J13" s="14">
        <v>0.42</v>
      </c>
      <c r="K13" s="14">
        <v>0.38</v>
      </c>
      <c r="L13" s="14">
        <v>0.59</v>
      </c>
      <c r="M13" s="14">
        <v>0.49</v>
      </c>
      <c r="N13" s="14">
        <v>0.55000000000000004</v>
      </c>
      <c r="O13" s="14">
        <v>0.57999999999999996</v>
      </c>
      <c r="P13" s="14">
        <v>0.25</v>
      </c>
      <c r="Q13" s="14">
        <v>0.39</v>
      </c>
      <c r="R13" s="14">
        <v>0.69000000000000006</v>
      </c>
      <c r="S13" s="14">
        <v>0.43</v>
      </c>
      <c r="T13" s="14">
        <v>0.39</v>
      </c>
      <c r="U13" s="14">
        <v>0.76</v>
      </c>
      <c r="V13" s="14">
        <v>0.34</v>
      </c>
      <c r="W13" s="14">
        <v>0.45</v>
      </c>
      <c r="X13" s="14">
        <v>0.62</v>
      </c>
      <c r="Y13" s="14">
        <v>0.36</v>
      </c>
      <c r="Z13" s="14">
        <v>0.18</v>
      </c>
      <c r="AA13" s="14">
        <v>0.36</v>
      </c>
      <c r="AB13" s="14">
        <v>0.25</v>
      </c>
      <c r="AC13" s="14">
        <v>0.52</v>
      </c>
      <c r="AD13" s="14">
        <v>0.52</v>
      </c>
      <c r="AE13" s="14">
        <v>0.63</v>
      </c>
      <c r="AF13" s="14">
        <v>0.77</v>
      </c>
    </row>
    <row r="14" spans="1:32">
      <c r="A14" s="20"/>
      <c r="B14" s="11" t="s">
        <v>560</v>
      </c>
      <c r="C14" s="12">
        <v>11246</v>
      </c>
      <c r="D14" s="12">
        <v>422</v>
      </c>
      <c r="E14" s="12">
        <v>411</v>
      </c>
      <c r="F14" s="12">
        <v>434</v>
      </c>
      <c r="G14" s="12">
        <v>255</v>
      </c>
      <c r="H14" s="12">
        <v>510</v>
      </c>
      <c r="I14" s="12">
        <v>640</v>
      </c>
      <c r="J14" s="12">
        <v>130</v>
      </c>
      <c r="K14" s="12">
        <v>430</v>
      </c>
      <c r="L14" s="12">
        <v>327</v>
      </c>
      <c r="M14" s="12">
        <v>418</v>
      </c>
      <c r="N14" s="12">
        <v>380</v>
      </c>
      <c r="O14" s="12">
        <v>359</v>
      </c>
      <c r="P14" s="12">
        <v>591</v>
      </c>
      <c r="Q14" s="12">
        <v>520</v>
      </c>
      <c r="R14" s="12">
        <v>124</v>
      </c>
      <c r="S14" s="12">
        <v>420</v>
      </c>
      <c r="T14" s="12">
        <v>428</v>
      </c>
      <c r="U14" s="12">
        <v>113</v>
      </c>
      <c r="V14" s="12">
        <v>496</v>
      </c>
      <c r="W14" s="12">
        <v>203</v>
      </c>
      <c r="X14" s="12">
        <v>307</v>
      </c>
      <c r="Y14" s="12">
        <v>434</v>
      </c>
      <c r="Z14" s="12">
        <v>614</v>
      </c>
      <c r="AA14" s="12">
        <v>605</v>
      </c>
      <c r="AB14" s="12">
        <v>502</v>
      </c>
      <c r="AC14" s="12">
        <v>385</v>
      </c>
      <c r="AD14" s="12">
        <v>368</v>
      </c>
      <c r="AE14" s="12">
        <v>285</v>
      </c>
      <c r="AF14" s="12">
        <v>185</v>
      </c>
    </row>
    <row r="15" spans="1:32">
      <c r="A15" s="20"/>
      <c r="B15" s="13" t="s">
        <v>561</v>
      </c>
      <c r="C15" s="14">
        <v>0.43</v>
      </c>
      <c r="D15" s="14">
        <v>0.42</v>
      </c>
      <c r="E15" s="14">
        <v>0.4</v>
      </c>
      <c r="F15" s="14">
        <v>0.43</v>
      </c>
      <c r="G15" s="14">
        <v>0.25</v>
      </c>
      <c r="H15" s="14">
        <v>0.42</v>
      </c>
      <c r="I15" s="14">
        <v>0.42</v>
      </c>
      <c r="J15" s="14">
        <v>0.44</v>
      </c>
      <c r="K15" s="14">
        <v>0.43</v>
      </c>
      <c r="L15" s="14">
        <v>0.33</v>
      </c>
      <c r="M15" s="14">
        <v>0.42</v>
      </c>
      <c r="N15" s="14">
        <v>0.38</v>
      </c>
      <c r="O15" s="14">
        <v>0.36</v>
      </c>
      <c r="P15" s="14">
        <v>0.57999999999999996</v>
      </c>
      <c r="Q15" s="14">
        <v>0.51</v>
      </c>
      <c r="R15" s="14">
        <v>0.25</v>
      </c>
      <c r="S15" s="14">
        <v>0.42</v>
      </c>
      <c r="T15" s="14">
        <v>0.42</v>
      </c>
      <c r="U15" s="14">
        <v>0.22</v>
      </c>
      <c r="V15" s="14">
        <v>0.49</v>
      </c>
      <c r="W15" s="14">
        <v>0.4</v>
      </c>
      <c r="X15" s="14">
        <v>0.3</v>
      </c>
      <c r="Y15" s="14">
        <v>0.43</v>
      </c>
      <c r="Z15" s="14">
        <v>0.61</v>
      </c>
      <c r="AA15" s="14">
        <v>0.57000000000000006</v>
      </c>
      <c r="AB15" s="14">
        <v>0.48</v>
      </c>
      <c r="AC15" s="14">
        <v>0.38</v>
      </c>
      <c r="AD15" s="14">
        <v>0.37</v>
      </c>
      <c r="AE15" s="14">
        <v>0.28999999999999998</v>
      </c>
      <c r="AF15" s="14">
        <v>0.18</v>
      </c>
    </row>
    <row r="16" spans="1:32">
      <c r="A16" s="20"/>
      <c r="B16" s="11" t="s">
        <v>562</v>
      </c>
      <c r="C16" s="12">
        <v>2111</v>
      </c>
      <c r="D16" s="12">
        <v>78</v>
      </c>
      <c r="E16" s="12">
        <v>142</v>
      </c>
      <c r="F16" s="12">
        <v>132</v>
      </c>
      <c r="G16" s="12">
        <v>48</v>
      </c>
      <c r="H16" s="12">
        <v>99</v>
      </c>
      <c r="I16" s="12">
        <v>124</v>
      </c>
      <c r="J16" s="12">
        <v>26</v>
      </c>
      <c r="K16" s="12">
        <v>106</v>
      </c>
      <c r="L16" s="12">
        <v>55</v>
      </c>
      <c r="M16" s="12">
        <v>59</v>
      </c>
      <c r="N16" s="12">
        <v>49</v>
      </c>
      <c r="O16" s="12">
        <v>40</v>
      </c>
      <c r="P16" s="12">
        <v>128</v>
      </c>
      <c r="Q16" s="12">
        <v>81</v>
      </c>
      <c r="R16" s="12">
        <v>18</v>
      </c>
      <c r="S16" s="12">
        <v>85</v>
      </c>
      <c r="T16" s="12">
        <v>111</v>
      </c>
      <c r="U16" s="12">
        <v>8</v>
      </c>
      <c r="V16" s="12">
        <v>139</v>
      </c>
      <c r="W16" s="12">
        <v>53</v>
      </c>
      <c r="X16" s="12">
        <v>65</v>
      </c>
      <c r="Y16" s="12">
        <v>129</v>
      </c>
      <c r="Z16" s="12">
        <v>140</v>
      </c>
      <c r="AA16" s="12">
        <v>39</v>
      </c>
      <c r="AB16" s="12">
        <v>195</v>
      </c>
      <c r="AC16" s="12">
        <v>78</v>
      </c>
      <c r="AD16" s="12">
        <v>77</v>
      </c>
      <c r="AE16" s="12">
        <v>52</v>
      </c>
      <c r="AF16" s="12">
        <v>15</v>
      </c>
    </row>
    <row r="17" spans="1:32">
      <c r="A17" s="20"/>
      <c r="B17" s="13" t="s">
        <v>563</v>
      </c>
      <c r="C17" s="14">
        <v>0.08</v>
      </c>
      <c r="D17" s="14">
        <v>0.08</v>
      </c>
      <c r="E17" s="14">
        <v>0.14000000000000001</v>
      </c>
      <c r="F17" s="14">
        <v>0.13</v>
      </c>
      <c r="G17" s="14">
        <v>0.05</v>
      </c>
      <c r="H17" s="14">
        <v>0.08</v>
      </c>
      <c r="I17" s="14">
        <v>0.08</v>
      </c>
      <c r="J17" s="14">
        <v>0.09</v>
      </c>
      <c r="K17" s="14">
        <v>0.11</v>
      </c>
      <c r="L17" s="14">
        <v>0.05</v>
      </c>
      <c r="M17" s="14">
        <v>0.06</v>
      </c>
      <c r="N17" s="14">
        <v>0.05</v>
      </c>
      <c r="O17" s="14">
        <v>0.04</v>
      </c>
      <c r="P17" s="14">
        <v>0.13</v>
      </c>
      <c r="Q17" s="14">
        <v>0.08</v>
      </c>
      <c r="R17" s="14">
        <v>0.03</v>
      </c>
      <c r="S17" s="14">
        <v>0.08</v>
      </c>
      <c r="T17" s="14">
        <v>0.11</v>
      </c>
      <c r="U17" s="14">
        <v>0.02</v>
      </c>
      <c r="V17" s="14">
        <v>0.14000000000000001</v>
      </c>
      <c r="W17" s="14">
        <v>0.1</v>
      </c>
      <c r="X17" s="14">
        <v>0.06</v>
      </c>
      <c r="Y17" s="14">
        <v>0.13</v>
      </c>
      <c r="Z17" s="14">
        <v>0.14000000000000001</v>
      </c>
      <c r="AA17" s="14">
        <v>0.04</v>
      </c>
      <c r="AB17" s="14">
        <v>0.19</v>
      </c>
      <c r="AC17" s="14">
        <v>0.08</v>
      </c>
      <c r="AD17" s="14">
        <v>0.08</v>
      </c>
      <c r="AE17" s="14">
        <v>0.05</v>
      </c>
      <c r="AF17" s="14">
        <v>0.01</v>
      </c>
    </row>
    <row r="18" spans="1:32">
      <c r="A18" s="20"/>
      <c r="B18" s="11" t="s">
        <v>564</v>
      </c>
      <c r="C18" s="12">
        <v>592</v>
      </c>
      <c r="D18" s="12">
        <v>17</v>
      </c>
      <c r="E18" s="12">
        <v>47</v>
      </c>
      <c r="F18" s="12">
        <v>41</v>
      </c>
      <c r="G18" s="12">
        <v>23</v>
      </c>
      <c r="H18" s="12">
        <v>21</v>
      </c>
      <c r="I18" s="12">
        <v>29</v>
      </c>
      <c r="J18" s="12">
        <v>8</v>
      </c>
      <c r="K18" s="12">
        <v>43</v>
      </c>
      <c r="L18" s="12">
        <v>9</v>
      </c>
      <c r="M18" s="12">
        <v>25</v>
      </c>
      <c r="N18" s="12">
        <v>12</v>
      </c>
      <c r="O18" s="12">
        <v>21</v>
      </c>
      <c r="P18" s="12">
        <v>33</v>
      </c>
      <c r="Q18" s="12">
        <v>13</v>
      </c>
      <c r="R18" s="12">
        <v>9</v>
      </c>
      <c r="S18" s="12">
        <v>33</v>
      </c>
      <c r="T18" s="12">
        <v>54</v>
      </c>
      <c r="U18" s="12">
        <v>1</v>
      </c>
      <c r="V18" s="12">
        <v>22</v>
      </c>
      <c r="W18" s="12">
        <v>17</v>
      </c>
      <c r="X18" s="12">
        <v>11</v>
      </c>
      <c r="Y18" s="12">
        <v>61</v>
      </c>
      <c r="Z18" s="12">
        <v>35</v>
      </c>
      <c r="AA18" s="12">
        <v>8</v>
      </c>
      <c r="AB18" s="12">
        <v>54</v>
      </c>
      <c r="AC18" s="12">
        <v>16</v>
      </c>
      <c r="AD18" s="12">
        <v>21</v>
      </c>
      <c r="AE18" s="12">
        <v>25</v>
      </c>
      <c r="AF18" s="12">
        <v>32</v>
      </c>
    </row>
    <row r="19" spans="1:32">
      <c r="A19" s="20"/>
      <c r="B19" s="13" t="s">
        <v>565</v>
      </c>
      <c r="C19" s="14">
        <v>0.02</v>
      </c>
      <c r="D19" s="14">
        <v>0.02</v>
      </c>
      <c r="E19" s="14">
        <v>0.05</v>
      </c>
      <c r="F19" s="14">
        <v>0.04</v>
      </c>
      <c r="G19" s="14">
        <v>0.02</v>
      </c>
      <c r="H19" s="14">
        <v>0.02</v>
      </c>
      <c r="I19" s="14">
        <v>0.02</v>
      </c>
      <c r="J19" s="14">
        <v>0.03</v>
      </c>
      <c r="K19" s="14">
        <v>0.04</v>
      </c>
      <c r="L19" s="14">
        <v>0.01</v>
      </c>
      <c r="M19" s="14">
        <v>0.03</v>
      </c>
      <c r="N19" s="14">
        <v>0.01</v>
      </c>
      <c r="O19" s="14">
        <v>0.02</v>
      </c>
      <c r="P19" s="14">
        <v>0.03</v>
      </c>
      <c r="Q19" s="14">
        <v>0.01</v>
      </c>
      <c r="R19" s="14">
        <v>0.02</v>
      </c>
      <c r="S19" s="14">
        <v>0.03</v>
      </c>
      <c r="T19" s="14">
        <v>0.05</v>
      </c>
      <c r="U19" s="15" t="s">
        <v>459</v>
      </c>
      <c r="V19" s="14">
        <v>0.02</v>
      </c>
      <c r="W19" s="14">
        <v>0.04</v>
      </c>
      <c r="X19" s="14">
        <v>0.01</v>
      </c>
      <c r="Y19" s="14">
        <v>0.06</v>
      </c>
      <c r="Z19" s="14">
        <v>0.03</v>
      </c>
      <c r="AA19" s="14">
        <v>0.01</v>
      </c>
      <c r="AB19" s="14">
        <v>0.05</v>
      </c>
      <c r="AC19" s="14">
        <v>0.01</v>
      </c>
      <c r="AD19" s="14">
        <v>0.02</v>
      </c>
      <c r="AE19" s="14">
        <v>0.02</v>
      </c>
      <c r="AF19" s="14">
        <v>0.03</v>
      </c>
    </row>
    <row r="20" spans="1:32">
      <c r="A20" s="20"/>
      <c r="B20" s="11" t="s">
        <v>468</v>
      </c>
      <c r="C20" s="12">
        <v>501</v>
      </c>
      <c r="D20" s="12">
        <v>10</v>
      </c>
      <c r="E20" s="12">
        <v>58</v>
      </c>
      <c r="F20" s="12">
        <v>22</v>
      </c>
      <c r="G20" s="12">
        <v>11</v>
      </c>
      <c r="H20" s="12">
        <v>47</v>
      </c>
      <c r="I20" s="12">
        <v>55</v>
      </c>
      <c r="J20" s="12">
        <v>8</v>
      </c>
      <c r="K20" s="12">
        <v>41</v>
      </c>
      <c r="L20" s="12">
        <v>19</v>
      </c>
      <c r="M20" s="12">
        <v>5</v>
      </c>
      <c r="N20" s="12">
        <v>12</v>
      </c>
      <c r="O20" s="12">
        <v>5</v>
      </c>
      <c r="P20" s="12">
        <v>16</v>
      </c>
      <c r="Q20" s="12">
        <v>10</v>
      </c>
      <c r="R20" s="12">
        <v>5</v>
      </c>
      <c r="S20" s="12">
        <v>36</v>
      </c>
      <c r="T20" s="12">
        <v>31</v>
      </c>
      <c r="U20" s="12">
        <v>0</v>
      </c>
      <c r="V20" s="12">
        <v>14</v>
      </c>
      <c r="W20" s="12">
        <v>4</v>
      </c>
      <c r="X20" s="12">
        <v>8</v>
      </c>
      <c r="Y20" s="12">
        <v>17</v>
      </c>
      <c r="Z20" s="12">
        <v>39</v>
      </c>
      <c r="AA20" s="12">
        <v>25</v>
      </c>
      <c r="AB20" s="12">
        <v>26</v>
      </c>
      <c r="AC20" s="12">
        <v>10</v>
      </c>
      <c r="AD20" s="12">
        <v>15</v>
      </c>
      <c r="AE20" s="12">
        <v>7</v>
      </c>
      <c r="AF20" s="12">
        <v>6</v>
      </c>
    </row>
    <row r="21" spans="1:32">
      <c r="A21" s="20"/>
      <c r="B21" s="13" t="s">
        <v>469</v>
      </c>
      <c r="C21" s="14">
        <v>0.02</v>
      </c>
      <c r="D21" s="14">
        <v>0.01</v>
      </c>
      <c r="E21" s="14">
        <v>0.06</v>
      </c>
      <c r="F21" s="14">
        <v>0.02</v>
      </c>
      <c r="G21" s="14">
        <v>0.01</v>
      </c>
      <c r="H21" s="14">
        <v>0.04</v>
      </c>
      <c r="I21" s="14">
        <v>0.04</v>
      </c>
      <c r="J21" s="14">
        <v>0.02</v>
      </c>
      <c r="K21" s="14">
        <v>0.04</v>
      </c>
      <c r="L21" s="14">
        <v>0.02</v>
      </c>
      <c r="M21" s="15" t="s">
        <v>459</v>
      </c>
      <c r="N21" s="14">
        <v>0.01</v>
      </c>
      <c r="O21" s="15" t="s">
        <v>459</v>
      </c>
      <c r="P21" s="14">
        <v>0.01</v>
      </c>
      <c r="Q21" s="14">
        <v>0.01</v>
      </c>
      <c r="R21" s="14">
        <v>0.01</v>
      </c>
      <c r="S21" s="14">
        <v>0.04</v>
      </c>
      <c r="T21" s="14">
        <v>0.03</v>
      </c>
      <c r="U21" s="15" t="s">
        <v>459</v>
      </c>
      <c r="V21" s="14">
        <v>0.01</v>
      </c>
      <c r="W21" s="14">
        <v>0.01</v>
      </c>
      <c r="X21" s="14">
        <v>0.01</v>
      </c>
      <c r="Y21" s="14">
        <v>0.02</v>
      </c>
      <c r="Z21" s="14">
        <v>0.04</v>
      </c>
      <c r="AA21" s="14">
        <v>0.02</v>
      </c>
      <c r="AB21" s="14">
        <v>0.03</v>
      </c>
      <c r="AC21" s="14">
        <v>0.01</v>
      </c>
      <c r="AD21" s="14">
        <v>0.01</v>
      </c>
      <c r="AE21" s="14">
        <v>0.01</v>
      </c>
      <c r="AF21" s="14">
        <v>0.01</v>
      </c>
    </row>
    <row r="22" spans="1:32">
      <c r="A22" s="20"/>
      <c r="B22" s="11" t="s">
        <v>566</v>
      </c>
      <c r="C22" s="12">
        <v>23116</v>
      </c>
      <c r="D22" s="12">
        <v>898</v>
      </c>
      <c r="E22" s="12">
        <v>771</v>
      </c>
      <c r="F22" s="12">
        <v>811</v>
      </c>
      <c r="G22" s="12">
        <v>923</v>
      </c>
      <c r="H22" s="12">
        <v>1049</v>
      </c>
      <c r="I22" s="12">
        <v>1301</v>
      </c>
      <c r="J22" s="12">
        <v>252</v>
      </c>
      <c r="K22" s="12">
        <v>816</v>
      </c>
      <c r="L22" s="12">
        <v>925</v>
      </c>
      <c r="M22" s="12">
        <v>913</v>
      </c>
      <c r="N22" s="12">
        <v>931</v>
      </c>
      <c r="O22" s="12">
        <v>938</v>
      </c>
      <c r="P22" s="12">
        <v>846</v>
      </c>
      <c r="Q22" s="12">
        <v>915</v>
      </c>
      <c r="R22" s="12">
        <v>468</v>
      </c>
      <c r="S22" s="12">
        <v>854</v>
      </c>
      <c r="T22" s="12">
        <v>817</v>
      </c>
      <c r="U22" s="12">
        <v>498</v>
      </c>
      <c r="V22" s="12">
        <v>842</v>
      </c>
      <c r="W22" s="12">
        <v>430</v>
      </c>
      <c r="X22" s="12">
        <v>938</v>
      </c>
      <c r="Y22" s="12">
        <v>801</v>
      </c>
      <c r="Z22" s="12">
        <v>794</v>
      </c>
      <c r="AA22" s="12">
        <v>981</v>
      </c>
      <c r="AB22" s="12">
        <v>764</v>
      </c>
      <c r="AC22" s="12">
        <v>907</v>
      </c>
      <c r="AD22" s="12">
        <v>893</v>
      </c>
      <c r="AE22" s="12">
        <v>917</v>
      </c>
      <c r="AF22" s="12">
        <v>966</v>
      </c>
    </row>
    <row r="23" spans="1:32">
      <c r="A23" s="20"/>
      <c r="B23" s="13" t="s">
        <v>567</v>
      </c>
      <c r="C23" s="14">
        <v>0.88</v>
      </c>
      <c r="D23" s="14">
        <v>0.89</v>
      </c>
      <c r="E23" s="14">
        <v>0.75</v>
      </c>
      <c r="F23" s="14">
        <v>0.81</v>
      </c>
      <c r="G23" s="14">
        <v>0.92</v>
      </c>
      <c r="H23" s="14">
        <v>0.86</v>
      </c>
      <c r="I23" s="14">
        <v>0.86</v>
      </c>
      <c r="J23" s="14">
        <v>0.86</v>
      </c>
      <c r="K23" s="14">
        <v>0.81</v>
      </c>
      <c r="L23" s="14">
        <v>0.92</v>
      </c>
      <c r="M23" s="14">
        <v>0.91</v>
      </c>
      <c r="N23" s="14">
        <v>0.93</v>
      </c>
      <c r="O23" s="14">
        <v>0.94000000000000006</v>
      </c>
      <c r="P23" s="14">
        <v>0.83000000000000007</v>
      </c>
      <c r="Q23" s="14">
        <v>0.9</v>
      </c>
      <c r="R23" s="14">
        <v>0.94000000000000006</v>
      </c>
      <c r="S23" s="14">
        <v>0.85</v>
      </c>
      <c r="T23" s="14">
        <v>0.81</v>
      </c>
      <c r="U23" s="14">
        <v>0.98</v>
      </c>
      <c r="V23" s="14">
        <v>0.83000000000000007</v>
      </c>
      <c r="W23" s="14">
        <v>0.85</v>
      </c>
      <c r="X23" s="14">
        <v>0.92</v>
      </c>
      <c r="Y23" s="14">
        <v>0.79</v>
      </c>
      <c r="Z23" s="14">
        <v>0.79</v>
      </c>
      <c r="AA23" s="14">
        <v>0.93</v>
      </c>
      <c r="AB23" s="14">
        <v>0.73</v>
      </c>
      <c r="AC23" s="14">
        <v>0.9</v>
      </c>
      <c r="AD23" s="14">
        <v>0.89</v>
      </c>
      <c r="AE23" s="14">
        <v>0.92</v>
      </c>
      <c r="AF23" s="14">
        <v>0.95000000000000007</v>
      </c>
    </row>
    <row r="24" spans="1:32">
      <c r="A24" s="20"/>
      <c r="B24" s="11" t="s">
        <v>568</v>
      </c>
      <c r="C24" s="12">
        <v>2703</v>
      </c>
      <c r="D24" s="12">
        <v>95</v>
      </c>
      <c r="E24" s="12">
        <v>189</v>
      </c>
      <c r="F24" s="12">
        <v>173</v>
      </c>
      <c r="G24" s="12">
        <v>71</v>
      </c>
      <c r="H24" s="12">
        <v>120</v>
      </c>
      <c r="I24" s="12">
        <v>153</v>
      </c>
      <c r="J24" s="12">
        <v>34</v>
      </c>
      <c r="K24" s="12">
        <v>149</v>
      </c>
      <c r="L24" s="12">
        <v>64</v>
      </c>
      <c r="M24" s="12">
        <v>84</v>
      </c>
      <c r="N24" s="12">
        <v>61</v>
      </c>
      <c r="O24" s="12">
        <v>61</v>
      </c>
      <c r="P24" s="12">
        <v>161</v>
      </c>
      <c r="Q24" s="12">
        <v>94</v>
      </c>
      <c r="R24" s="12">
        <v>27</v>
      </c>
      <c r="S24" s="12">
        <v>118</v>
      </c>
      <c r="T24" s="12">
        <v>165</v>
      </c>
      <c r="U24" s="12">
        <v>9</v>
      </c>
      <c r="V24" s="12">
        <v>161</v>
      </c>
      <c r="W24" s="12">
        <v>70</v>
      </c>
      <c r="X24" s="12">
        <v>76</v>
      </c>
      <c r="Y24" s="12">
        <v>190</v>
      </c>
      <c r="Z24" s="12">
        <v>175</v>
      </c>
      <c r="AA24" s="12">
        <v>47</v>
      </c>
      <c r="AB24" s="12">
        <v>249</v>
      </c>
      <c r="AC24" s="12">
        <v>94</v>
      </c>
      <c r="AD24" s="12">
        <v>98</v>
      </c>
      <c r="AE24" s="12">
        <v>77</v>
      </c>
      <c r="AF24" s="12">
        <v>47</v>
      </c>
    </row>
    <row r="25" spans="1:32">
      <c r="A25" s="20"/>
      <c r="B25" s="13" t="s">
        <v>569</v>
      </c>
      <c r="C25" s="14">
        <v>0.1</v>
      </c>
      <c r="D25" s="14">
        <v>0.1</v>
      </c>
      <c r="E25" s="14">
        <v>0.19</v>
      </c>
      <c r="F25" s="14">
        <v>0.17</v>
      </c>
      <c r="G25" s="14">
        <v>7.0000000000000007E-2</v>
      </c>
      <c r="H25" s="14">
        <v>0.1</v>
      </c>
      <c r="I25" s="14">
        <v>0.1</v>
      </c>
      <c r="J25" s="14">
        <v>0.12</v>
      </c>
      <c r="K25" s="14">
        <v>0.15</v>
      </c>
      <c r="L25" s="14">
        <v>0.06</v>
      </c>
      <c r="M25" s="14">
        <v>0.09</v>
      </c>
      <c r="N25" s="14">
        <v>0.06</v>
      </c>
      <c r="O25" s="14">
        <v>0.06</v>
      </c>
      <c r="P25" s="14">
        <v>0.16</v>
      </c>
      <c r="Q25" s="14">
        <v>0.09</v>
      </c>
      <c r="R25" s="14">
        <v>0.05</v>
      </c>
      <c r="S25" s="14">
        <v>0.11</v>
      </c>
      <c r="T25" s="14">
        <v>0.16</v>
      </c>
      <c r="U25" s="14">
        <v>0.02</v>
      </c>
      <c r="V25" s="14">
        <v>0.16</v>
      </c>
      <c r="W25" s="14">
        <v>0.14000000000000001</v>
      </c>
      <c r="X25" s="14">
        <v>7.0000000000000007E-2</v>
      </c>
      <c r="Y25" s="14">
        <v>0.19</v>
      </c>
      <c r="Z25" s="14">
        <v>0.17</v>
      </c>
      <c r="AA25" s="14">
        <v>0.05</v>
      </c>
      <c r="AB25" s="14">
        <v>0.24</v>
      </c>
      <c r="AC25" s="14">
        <v>0.09</v>
      </c>
      <c r="AD25" s="14">
        <v>0.1</v>
      </c>
      <c r="AE25" s="14">
        <v>7.0000000000000007E-2</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578</v>
      </c>
      <c r="C3" s="18"/>
      <c r="D3" s="18"/>
      <c r="E3" s="18"/>
      <c r="F3" s="18"/>
      <c r="H3" s="18" t="s">
        <v>579</v>
      </c>
      <c r="I3" s="18"/>
      <c r="J3" s="18"/>
      <c r="K3" s="18"/>
      <c r="L3" s="18"/>
    </row>
    <row r="4" spans="1:32" ht="27" customHeight="1">
      <c r="B4" s="18" t="s">
        <v>580</v>
      </c>
      <c r="C4" s="18"/>
      <c r="D4" s="18"/>
      <c r="E4" s="18"/>
      <c r="F4" s="18"/>
      <c r="H4" s="18" t="s">
        <v>581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10388</v>
      </c>
      <c r="D12" s="12">
        <v>410</v>
      </c>
      <c r="E12" s="12">
        <v>366</v>
      </c>
      <c r="F12" s="12">
        <v>276</v>
      </c>
      <c r="G12" s="12">
        <v>584</v>
      </c>
      <c r="H12" s="12">
        <v>421</v>
      </c>
      <c r="I12" s="12">
        <v>527</v>
      </c>
      <c r="J12" s="12">
        <v>107</v>
      </c>
      <c r="K12" s="12">
        <v>469</v>
      </c>
      <c r="L12" s="12">
        <v>589</v>
      </c>
      <c r="M12" s="12">
        <v>454</v>
      </c>
      <c r="N12" s="12">
        <v>532</v>
      </c>
      <c r="O12" s="12">
        <v>422</v>
      </c>
      <c r="P12" s="12">
        <v>315</v>
      </c>
      <c r="Q12" s="12">
        <v>326</v>
      </c>
      <c r="R12" s="12">
        <v>306</v>
      </c>
      <c r="S12" s="12">
        <v>538</v>
      </c>
      <c r="T12" s="12">
        <v>515</v>
      </c>
      <c r="U12" s="12">
        <v>295</v>
      </c>
      <c r="V12" s="12">
        <v>356</v>
      </c>
      <c r="W12" s="12">
        <v>306</v>
      </c>
      <c r="X12" s="12">
        <v>653</v>
      </c>
      <c r="Y12" s="12">
        <v>325</v>
      </c>
      <c r="Z12" s="12">
        <v>188</v>
      </c>
      <c r="AA12" s="12">
        <v>302</v>
      </c>
      <c r="AB12" s="12">
        <v>305</v>
      </c>
      <c r="AC12" s="12">
        <v>568</v>
      </c>
      <c r="AD12" s="12">
        <v>483</v>
      </c>
      <c r="AE12" s="12">
        <v>581</v>
      </c>
      <c r="AF12" s="12">
        <v>743</v>
      </c>
    </row>
    <row r="13" spans="1:32">
      <c r="A13" s="20"/>
      <c r="B13" s="13" t="s">
        <v>559</v>
      </c>
      <c r="C13" s="14">
        <v>0.4</v>
      </c>
      <c r="D13" s="14">
        <v>0.41</v>
      </c>
      <c r="E13" s="14">
        <v>0.36</v>
      </c>
      <c r="F13" s="14">
        <v>0.28000000000000003</v>
      </c>
      <c r="G13" s="14">
        <v>0.57999999999999996</v>
      </c>
      <c r="H13" s="14">
        <v>0.34</v>
      </c>
      <c r="I13" s="14">
        <v>0.35</v>
      </c>
      <c r="J13" s="14">
        <v>0.36</v>
      </c>
      <c r="K13" s="14">
        <v>0.47</v>
      </c>
      <c r="L13" s="14">
        <v>0.59</v>
      </c>
      <c r="M13" s="14">
        <v>0.45</v>
      </c>
      <c r="N13" s="14">
        <v>0.53</v>
      </c>
      <c r="O13" s="14">
        <v>0.42</v>
      </c>
      <c r="P13" s="14">
        <v>0.31</v>
      </c>
      <c r="Q13" s="14">
        <v>0.32</v>
      </c>
      <c r="R13" s="14">
        <v>0.61</v>
      </c>
      <c r="S13" s="14">
        <v>0.53</v>
      </c>
      <c r="T13" s="14">
        <v>0.51</v>
      </c>
      <c r="U13" s="14">
        <v>0.57999999999999996</v>
      </c>
      <c r="V13" s="14">
        <v>0.35</v>
      </c>
      <c r="W13" s="14">
        <v>0.61</v>
      </c>
      <c r="X13" s="14">
        <v>0.64</v>
      </c>
      <c r="Y13" s="14">
        <v>0.32</v>
      </c>
      <c r="Z13" s="14">
        <v>0.19</v>
      </c>
      <c r="AA13" s="14">
        <v>0.28999999999999998</v>
      </c>
      <c r="AB13" s="14">
        <v>0.28999999999999998</v>
      </c>
      <c r="AC13" s="14">
        <v>0.56000000000000005</v>
      </c>
      <c r="AD13" s="14">
        <v>0.48</v>
      </c>
      <c r="AE13" s="14">
        <v>0.57999999999999996</v>
      </c>
      <c r="AF13" s="14">
        <v>0.73</v>
      </c>
    </row>
    <row r="14" spans="1:32">
      <c r="A14" s="20"/>
      <c r="B14" s="11" t="s">
        <v>560</v>
      </c>
      <c r="C14" s="12">
        <v>12352</v>
      </c>
      <c r="D14" s="12">
        <v>465</v>
      </c>
      <c r="E14" s="12">
        <v>448</v>
      </c>
      <c r="F14" s="12">
        <v>532</v>
      </c>
      <c r="G14" s="12">
        <v>344</v>
      </c>
      <c r="H14" s="12">
        <v>568</v>
      </c>
      <c r="I14" s="12">
        <v>695</v>
      </c>
      <c r="J14" s="12">
        <v>127</v>
      </c>
      <c r="K14" s="12">
        <v>393</v>
      </c>
      <c r="L14" s="12">
        <v>355</v>
      </c>
      <c r="M14" s="12">
        <v>455</v>
      </c>
      <c r="N14" s="12">
        <v>372</v>
      </c>
      <c r="O14" s="12">
        <v>456</v>
      </c>
      <c r="P14" s="12">
        <v>579</v>
      </c>
      <c r="Q14" s="12">
        <v>582</v>
      </c>
      <c r="R14" s="12">
        <v>150</v>
      </c>
      <c r="S14" s="12">
        <v>360</v>
      </c>
      <c r="T14" s="12">
        <v>442</v>
      </c>
      <c r="U14" s="12">
        <v>166</v>
      </c>
      <c r="V14" s="12">
        <v>510</v>
      </c>
      <c r="W14" s="12">
        <v>169</v>
      </c>
      <c r="X14" s="12">
        <v>314</v>
      </c>
      <c r="Y14" s="12">
        <v>455</v>
      </c>
      <c r="Z14" s="12">
        <v>636</v>
      </c>
      <c r="AA14" s="12">
        <v>659</v>
      </c>
      <c r="AB14" s="12">
        <v>543</v>
      </c>
      <c r="AC14" s="12">
        <v>388</v>
      </c>
      <c r="AD14" s="12">
        <v>436</v>
      </c>
      <c r="AE14" s="12">
        <v>301</v>
      </c>
      <c r="AF14" s="12">
        <v>222</v>
      </c>
    </row>
    <row r="15" spans="1:32">
      <c r="A15" s="20"/>
      <c r="B15" s="13" t="s">
        <v>561</v>
      </c>
      <c r="C15" s="14">
        <v>0.47</v>
      </c>
      <c r="D15" s="14">
        <v>0.46</v>
      </c>
      <c r="E15" s="14">
        <v>0.44</v>
      </c>
      <c r="F15" s="14">
        <v>0.53</v>
      </c>
      <c r="G15" s="14">
        <v>0.34</v>
      </c>
      <c r="H15" s="14">
        <v>0.47</v>
      </c>
      <c r="I15" s="14">
        <v>0.46</v>
      </c>
      <c r="J15" s="14">
        <v>0.43</v>
      </c>
      <c r="K15" s="14">
        <v>0.39</v>
      </c>
      <c r="L15" s="14">
        <v>0.35</v>
      </c>
      <c r="M15" s="14">
        <v>0.45</v>
      </c>
      <c r="N15" s="14">
        <v>0.37</v>
      </c>
      <c r="O15" s="14">
        <v>0.45</v>
      </c>
      <c r="P15" s="14">
        <v>0.57000000000000006</v>
      </c>
      <c r="Q15" s="14">
        <v>0.57000000000000006</v>
      </c>
      <c r="R15" s="14">
        <v>0.3</v>
      </c>
      <c r="S15" s="14">
        <v>0.36</v>
      </c>
      <c r="T15" s="14">
        <v>0.44</v>
      </c>
      <c r="U15" s="14">
        <v>0.33</v>
      </c>
      <c r="V15" s="14">
        <v>0.5</v>
      </c>
      <c r="W15" s="14">
        <v>0.34</v>
      </c>
      <c r="X15" s="14">
        <v>0.31</v>
      </c>
      <c r="Y15" s="14">
        <v>0.45</v>
      </c>
      <c r="Z15" s="14">
        <v>0.63</v>
      </c>
      <c r="AA15" s="14">
        <v>0.62</v>
      </c>
      <c r="AB15" s="14">
        <v>0.52</v>
      </c>
      <c r="AC15" s="14">
        <v>0.39</v>
      </c>
      <c r="AD15" s="14">
        <v>0.43</v>
      </c>
      <c r="AE15" s="14">
        <v>0.3</v>
      </c>
      <c r="AF15" s="14">
        <v>0.22</v>
      </c>
    </row>
    <row r="16" spans="1:32">
      <c r="A16" s="20"/>
      <c r="B16" s="11" t="s">
        <v>562</v>
      </c>
      <c r="C16" s="12">
        <v>2394</v>
      </c>
      <c r="D16" s="12">
        <v>106</v>
      </c>
      <c r="E16" s="12">
        <v>123</v>
      </c>
      <c r="F16" s="12">
        <v>142</v>
      </c>
      <c r="G16" s="12">
        <v>34</v>
      </c>
      <c r="H16" s="12">
        <v>117</v>
      </c>
      <c r="I16" s="12">
        <v>158</v>
      </c>
      <c r="J16" s="12">
        <v>41</v>
      </c>
      <c r="K16" s="12">
        <v>77</v>
      </c>
      <c r="L16" s="12">
        <v>26</v>
      </c>
      <c r="M16" s="12">
        <v>64</v>
      </c>
      <c r="N16" s="12">
        <v>66</v>
      </c>
      <c r="O16" s="12">
        <v>90</v>
      </c>
      <c r="P16" s="12">
        <v>105</v>
      </c>
      <c r="Q16" s="12">
        <v>91</v>
      </c>
      <c r="R16" s="12">
        <v>29</v>
      </c>
      <c r="S16" s="12">
        <v>53</v>
      </c>
      <c r="T16" s="12">
        <v>34</v>
      </c>
      <c r="U16" s="12">
        <v>22</v>
      </c>
      <c r="V16" s="12">
        <v>122</v>
      </c>
      <c r="W16" s="12">
        <v>20</v>
      </c>
      <c r="X16" s="12">
        <v>42</v>
      </c>
      <c r="Y16" s="12">
        <v>128</v>
      </c>
      <c r="Z16" s="12">
        <v>128</v>
      </c>
      <c r="AA16" s="12">
        <v>68</v>
      </c>
      <c r="AB16" s="12">
        <v>150</v>
      </c>
      <c r="AC16" s="12">
        <v>40</v>
      </c>
      <c r="AD16" s="12">
        <v>58</v>
      </c>
      <c r="AE16" s="12">
        <v>58</v>
      </c>
      <c r="AF16" s="12">
        <v>25</v>
      </c>
    </row>
    <row r="17" spans="1:32">
      <c r="A17" s="20"/>
      <c r="B17" s="13" t="s">
        <v>563</v>
      </c>
      <c r="C17" s="14">
        <v>0.09</v>
      </c>
      <c r="D17" s="14">
        <v>0.11</v>
      </c>
      <c r="E17" s="14">
        <v>0.12</v>
      </c>
      <c r="F17" s="14">
        <v>0.14000000000000001</v>
      </c>
      <c r="G17" s="14">
        <v>0.03</v>
      </c>
      <c r="H17" s="14">
        <v>0.1</v>
      </c>
      <c r="I17" s="14">
        <v>0.11</v>
      </c>
      <c r="J17" s="14">
        <v>0.14000000000000001</v>
      </c>
      <c r="K17" s="14">
        <v>0.08</v>
      </c>
      <c r="L17" s="14">
        <v>0.03</v>
      </c>
      <c r="M17" s="14">
        <v>7.0000000000000007E-2</v>
      </c>
      <c r="N17" s="14">
        <v>0.06</v>
      </c>
      <c r="O17" s="14">
        <v>0.09</v>
      </c>
      <c r="P17" s="14">
        <v>0.1</v>
      </c>
      <c r="Q17" s="14">
        <v>0.09</v>
      </c>
      <c r="R17" s="14">
        <v>0.06</v>
      </c>
      <c r="S17" s="14">
        <v>0.05</v>
      </c>
      <c r="T17" s="14">
        <v>0.03</v>
      </c>
      <c r="U17" s="14">
        <v>0.05</v>
      </c>
      <c r="V17" s="14">
        <v>0.12</v>
      </c>
      <c r="W17" s="14">
        <v>0.04</v>
      </c>
      <c r="X17" s="14">
        <v>0.04</v>
      </c>
      <c r="Y17" s="14">
        <v>0.13</v>
      </c>
      <c r="Z17" s="14">
        <v>0.13</v>
      </c>
      <c r="AA17" s="14">
        <v>0.06</v>
      </c>
      <c r="AB17" s="14">
        <v>0.15</v>
      </c>
      <c r="AC17" s="14">
        <v>0.04</v>
      </c>
      <c r="AD17" s="14">
        <v>0.06</v>
      </c>
      <c r="AE17" s="14">
        <v>0.06</v>
      </c>
      <c r="AF17" s="14">
        <v>0.02</v>
      </c>
    </row>
    <row r="18" spans="1:32">
      <c r="A18" s="20"/>
      <c r="B18" s="11" t="s">
        <v>564</v>
      </c>
      <c r="C18" s="12">
        <v>598</v>
      </c>
      <c r="D18" s="12">
        <v>18</v>
      </c>
      <c r="E18" s="12">
        <v>41</v>
      </c>
      <c r="F18" s="12">
        <v>22</v>
      </c>
      <c r="G18" s="12">
        <v>18</v>
      </c>
      <c r="H18" s="12">
        <v>49</v>
      </c>
      <c r="I18" s="12">
        <v>63</v>
      </c>
      <c r="J18" s="12">
        <v>14</v>
      </c>
      <c r="K18" s="12">
        <v>33</v>
      </c>
      <c r="L18" s="12">
        <v>4</v>
      </c>
      <c r="M18" s="12">
        <v>23</v>
      </c>
      <c r="N18" s="12">
        <v>17</v>
      </c>
      <c r="O18" s="12">
        <v>20</v>
      </c>
      <c r="P18" s="12">
        <v>16</v>
      </c>
      <c r="Q18" s="12">
        <v>6</v>
      </c>
      <c r="R18" s="12">
        <v>13</v>
      </c>
      <c r="S18" s="12">
        <v>25</v>
      </c>
      <c r="T18" s="12">
        <v>8</v>
      </c>
      <c r="U18" s="12">
        <v>12</v>
      </c>
      <c r="V18" s="12">
        <v>22</v>
      </c>
      <c r="W18" s="12">
        <v>7</v>
      </c>
      <c r="X18" s="12">
        <v>5</v>
      </c>
      <c r="Y18" s="12">
        <v>67</v>
      </c>
      <c r="Z18" s="12">
        <v>24</v>
      </c>
      <c r="AA18" s="12">
        <v>6</v>
      </c>
      <c r="AB18" s="12">
        <v>30</v>
      </c>
      <c r="AC18" s="12">
        <v>10</v>
      </c>
      <c r="AD18" s="12">
        <v>10</v>
      </c>
      <c r="AE18" s="12">
        <v>29</v>
      </c>
      <c r="AF18" s="12">
        <v>24</v>
      </c>
    </row>
    <row r="19" spans="1:32">
      <c r="A19" s="20"/>
      <c r="B19" s="13" t="s">
        <v>565</v>
      </c>
      <c r="C19" s="14">
        <v>0.02</v>
      </c>
      <c r="D19" s="14">
        <v>0.02</v>
      </c>
      <c r="E19" s="14">
        <v>0.04</v>
      </c>
      <c r="F19" s="14">
        <v>0.02</v>
      </c>
      <c r="G19" s="14">
        <v>0.02</v>
      </c>
      <c r="H19" s="14">
        <v>0.04</v>
      </c>
      <c r="I19" s="14">
        <v>0.04</v>
      </c>
      <c r="J19" s="14">
        <v>0.05</v>
      </c>
      <c r="K19" s="14">
        <v>0.03</v>
      </c>
      <c r="L19" s="15" t="s">
        <v>459</v>
      </c>
      <c r="M19" s="14">
        <v>0.02</v>
      </c>
      <c r="N19" s="14">
        <v>0.02</v>
      </c>
      <c r="O19" s="14">
        <v>0.02</v>
      </c>
      <c r="P19" s="14">
        <v>0.01</v>
      </c>
      <c r="Q19" s="14">
        <v>0.01</v>
      </c>
      <c r="R19" s="14">
        <v>0.03</v>
      </c>
      <c r="S19" s="14">
        <v>0.03</v>
      </c>
      <c r="T19" s="14">
        <v>0.01</v>
      </c>
      <c r="U19" s="14">
        <v>0.02</v>
      </c>
      <c r="V19" s="14">
        <v>0.02</v>
      </c>
      <c r="W19" s="14">
        <v>0.01</v>
      </c>
      <c r="X19" s="15" t="s">
        <v>459</v>
      </c>
      <c r="Y19" s="14">
        <v>7.0000000000000007E-2</v>
      </c>
      <c r="Z19" s="14">
        <v>0.02</v>
      </c>
      <c r="AA19" s="14">
        <v>0.01</v>
      </c>
      <c r="AB19" s="14">
        <v>0.03</v>
      </c>
      <c r="AC19" s="14">
        <v>0.01</v>
      </c>
      <c r="AD19" s="14">
        <v>0.01</v>
      </c>
      <c r="AE19" s="14">
        <v>0.03</v>
      </c>
      <c r="AF19" s="14">
        <v>0.02</v>
      </c>
    </row>
    <row r="20" spans="1:32">
      <c r="A20" s="20"/>
      <c r="B20" s="11" t="s">
        <v>468</v>
      </c>
      <c r="C20" s="12">
        <v>588</v>
      </c>
      <c r="D20" s="12">
        <v>3</v>
      </c>
      <c r="E20" s="12">
        <v>40</v>
      </c>
      <c r="F20" s="12">
        <v>34</v>
      </c>
      <c r="G20" s="12">
        <v>25</v>
      </c>
      <c r="H20" s="12">
        <v>61</v>
      </c>
      <c r="I20" s="12">
        <v>67</v>
      </c>
      <c r="J20" s="12">
        <v>5</v>
      </c>
      <c r="K20" s="12">
        <v>34</v>
      </c>
      <c r="L20" s="12">
        <v>32</v>
      </c>
      <c r="M20" s="12">
        <v>7</v>
      </c>
      <c r="N20" s="12">
        <v>17</v>
      </c>
      <c r="O20" s="12">
        <v>16</v>
      </c>
      <c r="P20" s="12">
        <v>7</v>
      </c>
      <c r="Q20" s="12">
        <v>14</v>
      </c>
      <c r="R20" s="12">
        <v>2</v>
      </c>
      <c r="S20" s="12">
        <v>32</v>
      </c>
      <c r="T20" s="12">
        <v>15</v>
      </c>
      <c r="U20" s="12">
        <v>11</v>
      </c>
      <c r="V20" s="12">
        <v>7</v>
      </c>
      <c r="W20" s="12">
        <v>1</v>
      </c>
      <c r="X20" s="12">
        <v>7</v>
      </c>
      <c r="Y20" s="12">
        <v>33</v>
      </c>
      <c r="Z20" s="12">
        <v>33</v>
      </c>
      <c r="AA20" s="12">
        <v>19</v>
      </c>
      <c r="AB20" s="12">
        <v>11</v>
      </c>
      <c r="AC20" s="12">
        <v>4</v>
      </c>
      <c r="AD20" s="12">
        <v>18</v>
      </c>
      <c r="AE20" s="12">
        <v>32</v>
      </c>
      <c r="AF20" s="12">
        <v>6</v>
      </c>
    </row>
    <row r="21" spans="1:32">
      <c r="A21" s="20"/>
      <c r="B21" s="13" t="s">
        <v>469</v>
      </c>
      <c r="C21" s="14">
        <v>0.02</v>
      </c>
      <c r="D21" s="15" t="s">
        <v>459</v>
      </c>
      <c r="E21" s="14">
        <v>0.04</v>
      </c>
      <c r="F21" s="14">
        <v>0.03</v>
      </c>
      <c r="G21" s="14">
        <v>0.03</v>
      </c>
      <c r="H21" s="14">
        <v>0.05</v>
      </c>
      <c r="I21" s="14">
        <v>0.04</v>
      </c>
      <c r="J21" s="14">
        <v>0.02</v>
      </c>
      <c r="K21" s="14">
        <v>0.03</v>
      </c>
      <c r="L21" s="14">
        <v>0.03</v>
      </c>
      <c r="M21" s="14">
        <v>0.01</v>
      </c>
      <c r="N21" s="14">
        <v>0.02</v>
      </c>
      <c r="O21" s="14">
        <v>0.02</v>
      </c>
      <c r="P21" s="14">
        <v>0.01</v>
      </c>
      <c r="Q21" s="14">
        <v>0.01</v>
      </c>
      <c r="R21" s="15" t="s">
        <v>459</v>
      </c>
      <c r="S21" s="14">
        <v>0.03</v>
      </c>
      <c r="T21" s="14">
        <v>0.01</v>
      </c>
      <c r="U21" s="14">
        <v>0.02</v>
      </c>
      <c r="V21" s="14">
        <v>0.01</v>
      </c>
      <c r="W21" s="15" t="s">
        <v>459</v>
      </c>
      <c r="X21" s="14">
        <v>0.01</v>
      </c>
      <c r="Y21" s="14">
        <v>0.03</v>
      </c>
      <c r="Z21" s="14">
        <v>0.03</v>
      </c>
      <c r="AA21" s="14">
        <v>0.02</v>
      </c>
      <c r="AB21" s="14">
        <v>0.01</v>
      </c>
      <c r="AC21" s="15" t="s">
        <v>459</v>
      </c>
      <c r="AD21" s="14">
        <v>0.02</v>
      </c>
      <c r="AE21" s="14">
        <v>0.03</v>
      </c>
      <c r="AF21" s="14">
        <v>0.01</v>
      </c>
    </row>
    <row r="22" spans="1:32">
      <c r="A22" s="20"/>
      <c r="B22" s="11" t="s">
        <v>566</v>
      </c>
      <c r="C22" s="12">
        <v>22740</v>
      </c>
      <c r="D22" s="12">
        <v>875</v>
      </c>
      <c r="E22" s="12">
        <v>814</v>
      </c>
      <c r="F22" s="12">
        <v>808</v>
      </c>
      <c r="G22" s="12">
        <v>928</v>
      </c>
      <c r="H22" s="12">
        <v>989</v>
      </c>
      <c r="I22" s="12">
        <v>1222</v>
      </c>
      <c r="J22" s="12">
        <v>234</v>
      </c>
      <c r="K22" s="12">
        <v>862</v>
      </c>
      <c r="L22" s="12">
        <v>944</v>
      </c>
      <c r="M22" s="12">
        <v>909</v>
      </c>
      <c r="N22" s="12">
        <v>904</v>
      </c>
      <c r="O22" s="12">
        <v>878</v>
      </c>
      <c r="P22" s="12">
        <v>894</v>
      </c>
      <c r="Q22" s="12">
        <v>908</v>
      </c>
      <c r="R22" s="12">
        <v>456</v>
      </c>
      <c r="S22" s="12">
        <v>898</v>
      </c>
      <c r="T22" s="12">
        <v>957</v>
      </c>
      <c r="U22" s="12">
        <v>461</v>
      </c>
      <c r="V22" s="12">
        <v>866</v>
      </c>
      <c r="W22" s="12">
        <v>475</v>
      </c>
      <c r="X22" s="12">
        <v>967</v>
      </c>
      <c r="Y22" s="12">
        <v>780</v>
      </c>
      <c r="Z22" s="12">
        <v>824</v>
      </c>
      <c r="AA22" s="12">
        <v>961</v>
      </c>
      <c r="AB22" s="12">
        <v>848</v>
      </c>
      <c r="AC22" s="12">
        <v>956</v>
      </c>
      <c r="AD22" s="12">
        <v>919</v>
      </c>
      <c r="AE22" s="12">
        <v>882</v>
      </c>
      <c r="AF22" s="12">
        <v>965</v>
      </c>
    </row>
    <row r="23" spans="1:32">
      <c r="A23" s="20"/>
      <c r="B23" s="13" t="s">
        <v>567</v>
      </c>
      <c r="C23" s="14">
        <v>0.87</v>
      </c>
      <c r="D23" s="14">
        <v>0.87</v>
      </c>
      <c r="E23" s="14">
        <v>0.8</v>
      </c>
      <c r="F23" s="14">
        <v>0.81</v>
      </c>
      <c r="G23" s="14">
        <v>0.92</v>
      </c>
      <c r="H23" s="14">
        <v>0.81</v>
      </c>
      <c r="I23" s="14">
        <v>0.81</v>
      </c>
      <c r="J23" s="14">
        <v>0.79</v>
      </c>
      <c r="K23" s="14">
        <v>0.86</v>
      </c>
      <c r="L23" s="14">
        <v>0.94000000000000006</v>
      </c>
      <c r="M23" s="14">
        <v>0.9</v>
      </c>
      <c r="N23" s="14">
        <v>0.9</v>
      </c>
      <c r="O23" s="14">
        <v>0.87</v>
      </c>
      <c r="P23" s="14">
        <v>0.88</v>
      </c>
      <c r="Q23" s="14">
        <v>0.89</v>
      </c>
      <c r="R23" s="14">
        <v>0.91</v>
      </c>
      <c r="S23" s="14">
        <v>0.89</v>
      </c>
      <c r="T23" s="14">
        <v>0.95000000000000007</v>
      </c>
      <c r="U23" s="14">
        <v>0.91</v>
      </c>
      <c r="V23" s="14">
        <v>0.85</v>
      </c>
      <c r="W23" s="14">
        <v>0.95000000000000007</v>
      </c>
      <c r="X23" s="14">
        <v>0.95000000000000007</v>
      </c>
      <c r="Y23" s="14">
        <v>0.77</v>
      </c>
      <c r="Z23" s="14">
        <v>0.82000000000000006</v>
      </c>
      <c r="AA23" s="14">
        <v>0.91</v>
      </c>
      <c r="AB23" s="14">
        <v>0.81</v>
      </c>
      <c r="AC23" s="14">
        <v>0.95000000000000007</v>
      </c>
      <c r="AD23" s="14">
        <v>0.91</v>
      </c>
      <c r="AE23" s="14">
        <v>0.88</v>
      </c>
      <c r="AF23" s="14">
        <v>0.95000000000000007</v>
      </c>
    </row>
    <row r="24" spans="1:32">
      <c r="A24" s="20"/>
      <c r="B24" s="11" t="s">
        <v>568</v>
      </c>
      <c r="C24" s="12">
        <v>2992</v>
      </c>
      <c r="D24" s="12">
        <v>124</v>
      </c>
      <c r="E24" s="12">
        <v>164</v>
      </c>
      <c r="F24" s="12">
        <v>164</v>
      </c>
      <c r="G24" s="12">
        <v>52</v>
      </c>
      <c r="H24" s="12">
        <v>166</v>
      </c>
      <c r="I24" s="12">
        <v>221</v>
      </c>
      <c r="J24" s="12">
        <v>55</v>
      </c>
      <c r="K24" s="12">
        <v>110</v>
      </c>
      <c r="L24" s="12">
        <v>30</v>
      </c>
      <c r="M24" s="12">
        <v>87</v>
      </c>
      <c r="N24" s="12">
        <v>83</v>
      </c>
      <c r="O24" s="12">
        <v>110</v>
      </c>
      <c r="P24" s="12">
        <v>121</v>
      </c>
      <c r="Q24" s="12">
        <v>97</v>
      </c>
      <c r="R24" s="12">
        <v>42</v>
      </c>
      <c r="S24" s="12">
        <v>78</v>
      </c>
      <c r="T24" s="12">
        <v>42</v>
      </c>
      <c r="U24" s="12">
        <v>34</v>
      </c>
      <c r="V24" s="12">
        <v>144</v>
      </c>
      <c r="W24" s="12">
        <v>27</v>
      </c>
      <c r="X24" s="12">
        <v>47</v>
      </c>
      <c r="Y24" s="12">
        <v>195</v>
      </c>
      <c r="Z24" s="12">
        <v>152</v>
      </c>
      <c r="AA24" s="12">
        <v>74</v>
      </c>
      <c r="AB24" s="12">
        <v>180</v>
      </c>
      <c r="AC24" s="12">
        <v>50</v>
      </c>
      <c r="AD24" s="12">
        <v>68</v>
      </c>
      <c r="AE24" s="12">
        <v>87</v>
      </c>
      <c r="AF24" s="12">
        <v>49</v>
      </c>
    </row>
    <row r="25" spans="1:32">
      <c r="A25" s="20"/>
      <c r="B25" s="13" t="s">
        <v>569</v>
      </c>
      <c r="C25" s="14">
        <v>0.11</v>
      </c>
      <c r="D25" s="14">
        <v>0.13</v>
      </c>
      <c r="E25" s="14">
        <v>0.16</v>
      </c>
      <c r="F25" s="14">
        <v>0.16</v>
      </c>
      <c r="G25" s="14">
        <v>0.05</v>
      </c>
      <c r="H25" s="14">
        <v>0.14000000000000001</v>
      </c>
      <c r="I25" s="14">
        <v>0.15</v>
      </c>
      <c r="J25" s="14">
        <v>0.19</v>
      </c>
      <c r="K25" s="14">
        <v>0.11</v>
      </c>
      <c r="L25" s="14">
        <v>0.03</v>
      </c>
      <c r="M25" s="14">
        <v>0.09</v>
      </c>
      <c r="N25" s="14">
        <v>0.08</v>
      </c>
      <c r="O25" s="14">
        <v>0.11</v>
      </c>
      <c r="P25" s="14">
        <v>0.11</v>
      </c>
      <c r="Q25" s="14">
        <v>0.1</v>
      </c>
      <c r="R25" s="14">
        <v>0.09</v>
      </c>
      <c r="S25" s="14">
        <v>0.08</v>
      </c>
      <c r="T25" s="14">
        <v>0.04</v>
      </c>
      <c r="U25" s="14">
        <v>7.0000000000000007E-2</v>
      </c>
      <c r="V25" s="14">
        <v>0.14000000000000001</v>
      </c>
      <c r="W25" s="14">
        <v>0.05</v>
      </c>
      <c r="X25" s="14">
        <v>0.04</v>
      </c>
      <c r="Y25" s="14">
        <v>0.2</v>
      </c>
      <c r="Z25" s="14">
        <v>0.15</v>
      </c>
      <c r="AA25" s="14">
        <v>7.0000000000000007E-2</v>
      </c>
      <c r="AB25" s="14">
        <v>0.18</v>
      </c>
      <c r="AC25" s="14">
        <v>0.05</v>
      </c>
      <c r="AD25" s="14">
        <v>7.0000000000000007E-2</v>
      </c>
      <c r="AE25" s="14">
        <v>0.09</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582</v>
      </c>
      <c r="C3" s="18"/>
      <c r="D3" s="18"/>
      <c r="E3" s="18"/>
      <c r="F3" s="18"/>
      <c r="H3" s="18" t="s">
        <v>583</v>
      </c>
      <c r="I3" s="18"/>
      <c r="J3" s="18"/>
      <c r="K3" s="18"/>
      <c r="L3" s="18"/>
    </row>
    <row r="4" spans="1:32" ht="27" customHeight="1">
      <c r="B4" s="18" t="s">
        <v>584</v>
      </c>
      <c r="C4" s="18"/>
      <c r="D4" s="18"/>
      <c r="E4" s="18"/>
      <c r="F4" s="18"/>
      <c r="H4" s="18" t="s">
        <v>585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3505</v>
      </c>
      <c r="D12" s="12">
        <v>136</v>
      </c>
      <c r="E12" s="12">
        <v>107</v>
      </c>
      <c r="F12" s="12">
        <v>208</v>
      </c>
      <c r="G12" s="12">
        <v>95</v>
      </c>
      <c r="H12" s="12">
        <v>117</v>
      </c>
      <c r="I12" s="12">
        <v>152</v>
      </c>
      <c r="J12" s="12">
        <v>35</v>
      </c>
      <c r="K12" s="12">
        <v>107</v>
      </c>
      <c r="L12" s="12">
        <v>231</v>
      </c>
      <c r="M12" s="12">
        <v>122</v>
      </c>
      <c r="N12" s="12">
        <v>145</v>
      </c>
      <c r="O12" s="12">
        <v>116</v>
      </c>
      <c r="P12" s="12">
        <v>134</v>
      </c>
      <c r="Q12" s="12">
        <v>196</v>
      </c>
      <c r="R12" s="12">
        <v>56</v>
      </c>
      <c r="S12" s="12">
        <v>154</v>
      </c>
      <c r="T12" s="12">
        <v>166</v>
      </c>
      <c r="U12" s="12">
        <v>128</v>
      </c>
      <c r="V12" s="12">
        <v>200</v>
      </c>
      <c r="W12" s="12">
        <v>188</v>
      </c>
      <c r="X12" s="12">
        <v>97</v>
      </c>
      <c r="Y12" s="12">
        <v>223</v>
      </c>
      <c r="Z12" s="12">
        <v>114</v>
      </c>
      <c r="AA12" s="12">
        <v>101</v>
      </c>
      <c r="AB12" s="12">
        <v>157</v>
      </c>
      <c r="AC12" s="12">
        <v>110</v>
      </c>
      <c r="AD12" s="12">
        <v>95</v>
      </c>
      <c r="AE12" s="12">
        <v>77</v>
      </c>
      <c r="AF12" s="12">
        <v>68</v>
      </c>
    </row>
    <row r="13" spans="1:32">
      <c r="A13" s="20"/>
      <c r="B13" s="13" t="s">
        <v>559</v>
      </c>
      <c r="C13" s="14">
        <v>0.13</v>
      </c>
      <c r="D13" s="14">
        <v>0.13</v>
      </c>
      <c r="E13" s="14">
        <v>0.11</v>
      </c>
      <c r="F13" s="14">
        <v>0.21</v>
      </c>
      <c r="G13" s="14">
        <v>0.1</v>
      </c>
      <c r="H13" s="14">
        <v>0.1</v>
      </c>
      <c r="I13" s="14">
        <v>0.1</v>
      </c>
      <c r="J13" s="14">
        <v>0.12</v>
      </c>
      <c r="K13" s="14">
        <v>0.11</v>
      </c>
      <c r="L13" s="14">
        <v>0.23</v>
      </c>
      <c r="M13" s="14">
        <v>0.12</v>
      </c>
      <c r="N13" s="14">
        <v>0.14000000000000001</v>
      </c>
      <c r="O13" s="14">
        <v>0.12</v>
      </c>
      <c r="P13" s="14">
        <v>0.13</v>
      </c>
      <c r="Q13" s="14">
        <v>0.19</v>
      </c>
      <c r="R13" s="14">
        <v>0.11</v>
      </c>
      <c r="S13" s="14">
        <v>0.15</v>
      </c>
      <c r="T13" s="14">
        <v>0.16</v>
      </c>
      <c r="U13" s="14">
        <v>0.25</v>
      </c>
      <c r="V13" s="14">
        <v>0.2</v>
      </c>
      <c r="W13" s="14">
        <v>0.38</v>
      </c>
      <c r="X13" s="14">
        <v>0.1</v>
      </c>
      <c r="Y13" s="14">
        <v>0.22</v>
      </c>
      <c r="Z13" s="14">
        <v>0.11</v>
      </c>
      <c r="AA13" s="14">
        <v>0.1</v>
      </c>
      <c r="AB13" s="14">
        <v>0.15</v>
      </c>
      <c r="AC13" s="14">
        <v>0.11</v>
      </c>
      <c r="AD13" s="14">
        <v>0.09</v>
      </c>
      <c r="AE13" s="14">
        <v>0.08</v>
      </c>
      <c r="AF13" s="14">
        <v>7.0000000000000007E-2</v>
      </c>
    </row>
    <row r="14" spans="1:32">
      <c r="A14" s="20"/>
      <c r="B14" s="11" t="s">
        <v>560</v>
      </c>
      <c r="C14" s="12">
        <v>8319</v>
      </c>
      <c r="D14" s="12">
        <v>393</v>
      </c>
      <c r="E14" s="12">
        <v>178</v>
      </c>
      <c r="F14" s="12">
        <v>382</v>
      </c>
      <c r="G14" s="12">
        <v>242</v>
      </c>
      <c r="H14" s="12">
        <v>418</v>
      </c>
      <c r="I14" s="12">
        <v>499</v>
      </c>
      <c r="J14" s="12">
        <v>81</v>
      </c>
      <c r="K14" s="12">
        <v>202</v>
      </c>
      <c r="L14" s="12">
        <v>287</v>
      </c>
      <c r="M14" s="12">
        <v>233</v>
      </c>
      <c r="N14" s="12">
        <v>246</v>
      </c>
      <c r="O14" s="12">
        <v>197</v>
      </c>
      <c r="P14" s="12">
        <v>368</v>
      </c>
      <c r="Q14" s="12">
        <v>467</v>
      </c>
      <c r="R14" s="12">
        <v>118</v>
      </c>
      <c r="S14" s="12">
        <v>233</v>
      </c>
      <c r="T14" s="12">
        <v>284</v>
      </c>
      <c r="U14" s="12">
        <v>169</v>
      </c>
      <c r="V14" s="12">
        <v>332</v>
      </c>
      <c r="W14" s="12">
        <v>182</v>
      </c>
      <c r="X14" s="12">
        <v>267</v>
      </c>
      <c r="Y14" s="12">
        <v>351</v>
      </c>
      <c r="Z14" s="12">
        <v>420</v>
      </c>
      <c r="AA14" s="12">
        <v>381</v>
      </c>
      <c r="AB14" s="12">
        <v>394</v>
      </c>
      <c r="AC14" s="12">
        <v>271</v>
      </c>
      <c r="AD14" s="12">
        <v>274</v>
      </c>
      <c r="AE14" s="12">
        <v>186</v>
      </c>
      <c r="AF14" s="12">
        <v>226</v>
      </c>
    </row>
    <row r="15" spans="1:32">
      <c r="A15" s="20"/>
      <c r="B15" s="13" t="s">
        <v>561</v>
      </c>
      <c r="C15" s="14">
        <v>0.32</v>
      </c>
      <c r="D15" s="14">
        <v>0.39</v>
      </c>
      <c r="E15" s="14">
        <v>0.17</v>
      </c>
      <c r="F15" s="14">
        <v>0.38</v>
      </c>
      <c r="G15" s="14">
        <v>0.24</v>
      </c>
      <c r="H15" s="14">
        <v>0.34</v>
      </c>
      <c r="I15" s="14">
        <v>0.33</v>
      </c>
      <c r="J15" s="14">
        <v>0.27</v>
      </c>
      <c r="K15" s="14">
        <v>0.2</v>
      </c>
      <c r="L15" s="14">
        <v>0.28000000000000003</v>
      </c>
      <c r="M15" s="14">
        <v>0.23</v>
      </c>
      <c r="N15" s="14">
        <v>0.25</v>
      </c>
      <c r="O15" s="14">
        <v>0.2</v>
      </c>
      <c r="P15" s="14">
        <v>0.36</v>
      </c>
      <c r="Q15" s="14">
        <v>0.46</v>
      </c>
      <c r="R15" s="14">
        <v>0.24</v>
      </c>
      <c r="S15" s="14">
        <v>0.23</v>
      </c>
      <c r="T15" s="14">
        <v>0.28000000000000003</v>
      </c>
      <c r="U15" s="14">
        <v>0.33</v>
      </c>
      <c r="V15" s="14">
        <v>0.33</v>
      </c>
      <c r="W15" s="14">
        <v>0.36</v>
      </c>
      <c r="X15" s="14">
        <v>0.26</v>
      </c>
      <c r="Y15" s="14">
        <v>0.35</v>
      </c>
      <c r="Z15" s="14">
        <v>0.42</v>
      </c>
      <c r="AA15" s="14">
        <v>0.36</v>
      </c>
      <c r="AB15" s="14">
        <v>0.38</v>
      </c>
      <c r="AC15" s="14">
        <v>0.27</v>
      </c>
      <c r="AD15" s="14">
        <v>0.27</v>
      </c>
      <c r="AE15" s="14">
        <v>0.19</v>
      </c>
      <c r="AF15" s="14">
        <v>0.22</v>
      </c>
    </row>
    <row r="16" spans="1:32">
      <c r="A16" s="20"/>
      <c r="B16" s="11" t="s">
        <v>562</v>
      </c>
      <c r="C16" s="12">
        <v>8733</v>
      </c>
      <c r="D16" s="12">
        <v>368</v>
      </c>
      <c r="E16" s="12">
        <v>360</v>
      </c>
      <c r="F16" s="12">
        <v>294</v>
      </c>
      <c r="G16" s="12">
        <v>380</v>
      </c>
      <c r="H16" s="12">
        <v>422</v>
      </c>
      <c r="I16" s="12">
        <v>537</v>
      </c>
      <c r="J16" s="12">
        <v>115</v>
      </c>
      <c r="K16" s="12">
        <v>376</v>
      </c>
      <c r="L16" s="12">
        <v>263</v>
      </c>
      <c r="M16" s="12">
        <v>352</v>
      </c>
      <c r="N16" s="12">
        <v>263</v>
      </c>
      <c r="O16" s="12">
        <v>397</v>
      </c>
      <c r="P16" s="12">
        <v>259</v>
      </c>
      <c r="Q16" s="12">
        <v>270</v>
      </c>
      <c r="R16" s="12">
        <v>180</v>
      </c>
      <c r="S16" s="12">
        <v>331</v>
      </c>
      <c r="T16" s="12">
        <v>302</v>
      </c>
      <c r="U16" s="12">
        <v>163</v>
      </c>
      <c r="V16" s="12">
        <v>283</v>
      </c>
      <c r="W16" s="12">
        <v>103</v>
      </c>
      <c r="X16" s="12">
        <v>524</v>
      </c>
      <c r="Y16" s="12">
        <v>256</v>
      </c>
      <c r="Z16" s="12">
        <v>297</v>
      </c>
      <c r="AA16" s="12">
        <v>347</v>
      </c>
      <c r="AB16" s="12">
        <v>282</v>
      </c>
      <c r="AC16" s="12">
        <v>414</v>
      </c>
      <c r="AD16" s="12">
        <v>343</v>
      </c>
      <c r="AE16" s="12">
        <v>451</v>
      </c>
      <c r="AF16" s="12">
        <v>442</v>
      </c>
    </row>
    <row r="17" spans="1:32">
      <c r="A17" s="20"/>
      <c r="B17" s="13" t="s">
        <v>563</v>
      </c>
      <c r="C17" s="14">
        <v>0.33</v>
      </c>
      <c r="D17" s="14">
        <v>0.37</v>
      </c>
      <c r="E17" s="14">
        <v>0.35</v>
      </c>
      <c r="F17" s="14">
        <v>0.28999999999999998</v>
      </c>
      <c r="G17" s="14">
        <v>0.38</v>
      </c>
      <c r="H17" s="14">
        <v>0.35</v>
      </c>
      <c r="I17" s="14">
        <v>0.36</v>
      </c>
      <c r="J17" s="14">
        <v>0.39</v>
      </c>
      <c r="K17" s="14">
        <v>0.37</v>
      </c>
      <c r="L17" s="14">
        <v>0.26</v>
      </c>
      <c r="M17" s="14">
        <v>0.35</v>
      </c>
      <c r="N17" s="14">
        <v>0.26</v>
      </c>
      <c r="O17" s="14">
        <v>0.39</v>
      </c>
      <c r="P17" s="14">
        <v>0.25</v>
      </c>
      <c r="Q17" s="14">
        <v>0.27</v>
      </c>
      <c r="R17" s="14">
        <v>0.36</v>
      </c>
      <c r="S17" s="14">
        <v>0.33</v>
      </c>
      <c r="T17" s="14">
        <v>0.3</v>
      </c>
      <c r="U17" s="14">
        <v>0.32</v>
      </c>
      <c r="V17" s="14">
        <v>0.28000000000000003</v>
      </c>
      <c r="W17" s="14">
        <v>0.2</v>
      </c>
      <c r="X17" s="14">
        <v>0.51</v>
      </c>
      <c r="Y17" s="14">
        <v>0.26</v>
      </c>
      <c r="Z17" s="14">
        <v>0.3</v>
      </c>
      <c r="AA17" s="14">
        <v>0.33</v>
      </c>
      <c r="AB17" s="14">
        <v>0.27</v>
      </c>
      <c r="AC17" s="14">
        <v>0.41</v>
      </c>
      <c r="AD17" s="14">
        <v>0.34</v>
      </c>
      <c r="AE17" s="14">
        <v>0.45</v>
      </c>
      <c r="AF17" s="14">
        <v>0.43</v>
      </c>
    </row>
    <row r="18" spans="1:32">
      <c r="A18" s="20"/>
      <c r="B18" s="11" t="s">
        <v>564</v>
      </c>
      <c r="C18" s="12">
        <v>5080</v>
      </c>
      <c r="D18" s="12">
        <v>88</v>
      </c>
      <c r="E18" s="12">
        <v>313</v>
      </c>
      <c r="F18" s="12">
        <v>95</v>
      </c>
      <c r="G18" s="12">
        <v>266</v>
      </c>
      <c r="H18" s="12">
        <v>199</v>
      </c>
      <c r="I18" s="12">
        <v>259</v>
      </c>
      <c r="J18" s="12">
        <v>60</v>
      </c>
      <c r="K18" s="12">
        <v>295</v>
      </c>
      <c r="L18" s="12">
        <v>176</v>
      </c>
      <c r="M18" s="12">
        <v>284</v>
      </c>
      <c r="N18" s="12">
        <v>322</v>
      </c>
      <c r="O18" s="12">
        <v>269</v>
      </c>
      <c r="P18" s="12">
        <v>257</v>
      </c>
      <c r="Q18" s="12">
        <v>73</v>
      </c>
      <c r="R18" s="12">
        <v>125</v>
      </c>
      <c r="S18" s="12">
        <v>246</v>
      </c>
      <c r="T18" s="12">
        <v>236</v>
      </c>
      <c r="U18" s="12">
        <v>30</v>
      </c>
      <c r="V18" s="12">
        <v>189</v>
      </c>
      <c r="W18" s="12">
        <v>25</v>
      </c>
      <c r="X18" s="12">
        <v>109</v>
      </c>
      <c r="Y18" s="12">
        <v>155</v>
      </c>
      <c r="Z18" s="12">
        <v>154</v>
      </c>
      <c r="AA18" s="12">
        <v>194</v>
      </c>
      <c r="AB18" s="12">
        <v>177</v>
      </c>
      <c r="AC18" s="12">
        <v>196</v>
      </c>
      <c r="AD18" s="12">
        <v>286</v>
      </c>
      <c r="AE18" s="12">
        <v>282</v>
      </c>
      <c r="AF18" s="12">
        <v>261</v>
      </c>
    </row>
    <row r="19" spans="1:32">
      <c r="A19" s="20"/>
      <c r="B19" s="13" t="s">
        <v>565</v>
      </c>
      <c r="C19" s="14">
        <v>0.19</v>
      </c>
      <c r="D19" s="14">
        <v>0.09</v>
      </c>
      <c r="E19" s="14">
        <v>0.31</v>
      </c>
      <c r="F19" s="14">
        <v>0.09</v>
      </c>
      <c r="G19" s="14">
        <v>0.26</v>
      </c>
      <c r="H19" s="14">
        <v>0.16</v>
      </c>
      <c r="I19" s="14">
        <v>0.17</v>
      </c>
      <c r="J19" s="14">
        <v>0.21</v>
      </c>
      <c r="K19" s="14">
        <v>0.28999999999999998</v>
      </c>
      <c r="L19" s="14">
        <v>0.18</v>
      </c>
      <c r="M19" s="14">
        <v>0.28999999999999998</v>
      </c>
      <c r="N19" s="14">
        <v>0.32</v>
      </c>
      <c r="O19" s="14">
        <v>0.27</v>
      </c>
      <c r="P19" s="14">
        <v>0.25</v>
      </c>
      <c r="Q19" s="14">
        <v>7.0000000000000007E-2</v>
      </c>
      <c r="R19" s="14">
        <v>0.25</v>
      </c>
      <c r="S19" s="14">
        <v>0.25</v>
      </c>
      <c r="T19" s="14">
        <v>0.23</v>
      </c>
      <c r="U19" s="14">
        <v>0.06</v>
      </c>
      <c r="V19" s="14">
        <v>0.18</v>
      </c>
      <c r="W19" s="14">
        <v>0.05</v>
      </c>
      <c r="X19" s="14">
        <v>0.11</v>
      </c>
      <c r="Y19" s="14">
        <v>0.15</v>
      </c>
      <c r="Z19" s="14">
        <v>0.15</v>
      </c>
      <c r="AA19" s="14">
        <v>0.18</v>
      </c>
      <c r="AB19" s="14">
        <v>0.17</v>
      </c>
      <c r="AC19" s="14">
        <v>0.19</v>
      </c>
      <c r="AD19" s="14">
        <v>0.28999999999999998</v>
      </c>
      <c r="AE19" s="14">
        <v>0.28000000000000003</v>
      </c>
      <c r="AF19" s="14">
        <v>0.26</v>
      </c>
    </row>
    <row r="20" spans="1:32">
      <c r="A20" s="20"/>
      <c r="B20" s="11" t="s">
        <v>468</v>
      </c>
      <c r="C20" s="12">
        <v>682</v>
      </c>
      <c r="D20" s="12">
        <v>17</v>
      </c>
      <c r="E20" s="12">
        <v>61</v>
      </c>
      <c r="F20" s="12">
        <v>25</v>
      </c>
      <c r="G20" s="12">
        <v>22</v>
      </c>
      <c r="H20" s="12">
        <v>61</v>
      </c>
      <c r="I20" s="12">
        <v>63</v>
      </c>
      <c r="J20" s="12">
        <v>3</v>
      </c>
      <c r="K20" s="12">
        <v>25</v>
      </c>
      <c r="L20" s="12">
        <v>49</v>
      </c>
      <c r="M20" s="12">
        <v>13</v>
      </c>
      <c r="N20" s="12">
        <v>28</v>
      </c>
      <c r="O20" s="12">
        <v>24</v>
      </c>
      <c r="P20" s="12">
        <v>4</v>
      </c>
      <c r="Q20" s="12">
        <v>12</v>
      </c>
      <c r="R20" s="12">
        <v>21</v>
      </c>
      <c r="S20" s="12">
        <v>43</v>
      </c>
      <c r="T20" s="12">
        <v>26</v>
      </c>
      <c r="U20" s="12">
        <v>18</v>
      </c>
      <c r="V20" s="12">
        <v>13</v>
      </c>
      <c r="W20" s="12">
        <v>5</v>
      </c>
      <c r="X20" s="12">
        <v>24</v>
      </c>
      <c r="Y20" s="12">
        <v>24</v>
      </c>
      <c r="Z20" s="12">
        <v>23</v>
      </c>
      <c r="AA20" s="12">
        <v>30</v>
      </c>
      <c r="AB20" s="12">
        <v>29</v>
      </c>
      <c r="AC20" s="12">
        <v>20</v>
      </c>
      <c r="AD20" s="12">
        <v>8</v>
      </c>
      <c r="AE20" s="12">
        <v>5</v>
      </c>
      <c r="AF20" s="12">
        <v>23</v>
      </c>
    </row>
    <row r="21" spans="1:32">
      <c r="A21" s="20"/>
      <c r="B21" s="13" t="s">
        <v>469</v>
      </c>
      <c r="C21" s="14">
        <v>0.03</v>
      </c>
      <c r="D21" s="14">
        <v>0.02</v>
      </c>
      <c r="E21" s="14">
        <v>0.06</v>
      </c>
      <c r="F21" s="14">
        <v>0.03</v>
      </c>
      <c r="G21" s="14">
        <v>0.02</v>
      </c>
      <c r="H21" s="14">
        <v>0.05</v>
      </c>
      <c r="I21" s="14">
        <v>0.04</v>
      </c>
      <c r="J21" s="14">
        <v>0.01</v>
      </c>
      <c r="K21" s="14">
        <v>0.03</v>
      </c>
      <c r="L21" s="14">
        <v>0.05</v>
      </c>
      <c r="M21" s="14">
        <v>0.01</v>
      </c>
      <c r="N21" s="14">
        <v>0.03</v>
      </c>
      <c r="O21" s="14">
        <v>0.02</v>
      </c>
      <c r="P21" s="14">
        <v>0.01</v>
      </c>
      <c r="Q21" s="14">
        <v>0.01</v>
      </c>
      <c r="R21" s="14">
        <v>0.04</v>
      </c>
      <c r="S21" s="14">
        <v>0.04</v>
      </c>
      <c r="T21" s="14">
        <v>0.03</v>
      </c>
      <c r="U21" s="14">
        <v>0.04</v>
      </c>
      <c r="V21" s="14">
        <v>0.01</v>
      </c>
      <c r="W21" s="14">
        <v>0.01</v>
      </c>
      <c r="X21" s="14">
        <v>0.02</v>
      </c>
      <c r="Y21" s="14">
        <v>0.02</v>
      </c>
      <c r="Z21" s="14">
        <v>0.02</v>
      </c>
      <c r="AA21" s="14">
        <v>0.03</v>
      </c>
      <c r="AB21" s="14">
        <v>0.03</v>
      </c>
      <c r="AC21" s="14">
        <v>0.02</v>
      </c>
      <c r="AD21" s="14">
        <v>0.01</v>
      </c>
      <c r="AE21" s="15" t="s">
        <v>459</v>
      </c>
      <c r="AF21" s="14">
        <v>0.02</v>
      </c>
    </row>
    <row r="22" spans="1:32">
      <c r="A22" s="20"/>
      <c r="B22" s="11" t="s">
        <v>566</v>
      </c>
      <c r="C22" s="12">
        <v>11824</v>
      </c>
      <c r="D22" s="12">
        <v>529</v>
      </c>
      <c r="E22" s="12">
        <v>285</v>
      </c>
      <c r="F22" s="12">
        <v>590</v>
      </c>
      <c r="G22" s="12">
        <v>337</v>
      </c>
      <c r="H22" s="12">
        <v>535</v>
      </c>
      <c r="I22" s="12">
        <v>651</v>
      </c>
      <c r="J22" s="12">
        <v>116</v>
      </c>
      <c r="K22" s="12">
        <v>309</v>
      </c>
      <c r="L22" s="12">
        <v>518</v>
      </c>
      <c r="M22" s="12">
        <v>355</v>
      </c>
      <c r="N22" s="12">
        <v>391</v>
      </c>
      <c r="O22" s="12">
        <v>313</v>
      </c>
      <c r="P22" s="12">
        <v>502</v>
      </c>
      <c r="Q22" s="12">
        <v>663</v>
      </c>
      <c r="R22" s="12">
        <v>174</v>
      </c>
      <c r="S22" s="12">
        <v>387</v>
      </c>
      <c r="T22" s="12">
        <v>450</v>
      </c>
      <c r="U22" s="12">
        <v>297</v>
      </c>
      <c r="V22" s="12">
        <v>532</v>
      </c>
      <c r="W22" s="12">
        <v>370</v>
      </c>
      <c r="X22" s="12">
        <v>364</v>
      </c>
      <c r="Y22" s="12">
        <v>574</v>
      </c>
      <c r="Z22" s="12">
        <v>534</v>
      </c>
      <c r="AA22" s="12">
        <v>482</v>
      </c>
      <c r="AB22" s="12">
        <v>551</v>
      </c>
      <c r="AC22" s="12">
        <v>381</v>
      </c>
      <c r="AD22" s="12">
        <v>369</v>
      </c>
      <c r="AE22" s="12">
        <v>263</v>
      </c>
      <c r="AF22" s="12">
        <v>294</v>
      </c>
    </row>
    <row r="23" spans="1:32">
      <c r="A23" s="20"/>
      <c r="B23" s="13" t="s">
        <v>567</v>
      </c>
      <c r="C23" s="14">
        <v>0.45</v>
      </c>
      <c r="D23" s="14">
        <v>0.52</v>
      </c>
      <c r="E23" s="14">
        <v>0.28000000000000003</v>
      </c>
      <c r="F23" s="14">
        <v>0.59</v>
      </c>
      <c r="G23" s="14">
        <v>0.34</v>
      </c>
      <c r="H23" s="14">
        <v>0.44</v>
      </c>
      <c r="I23" s="14">
        <v>0.43</v>
      </c>
      <c r="J23" s="14">
        <v>0.39</v>
      </c>
      <c r="K23" s="14">
        <v>0.31</v>
      </c>
      <c r="L23" s="14">
        <v>0.51</v>
      </c>
      <c r="M23" s="14">
        <v>0.35</v>
      </c>
      <c r="N23" s="14">
        <v>0.39</v>
      </c>
      <c r="O23" s="14">
        <v>0.32</v>
      </c>
      <c r="P23" s="14">
        <v>0.49</v>
      </c>
      <c r="Q23" s="14">
        <v>0.65</v>
      </c>
      <c r="R23" s="14">
        <v>0.35</v>
      </c>
      <c r="S23" s="14">
        <v>0.38</v>
      </c>
      <c r="T23" s="14">
        <v>0.44</v>
      </c>
      <c r="U23" s="14">
        <v>0.57999999999999996</v>
      </c>
      <c r="V23" s="14">
        <v>0.53</v>
      </c>
      <c r="W23" s="14">
        <v>0.74</v>
      </c>
      <c r="X23" s="14">
        <v>0.36</v>
      </c>
      <c r="Y23" s="14">
        <v>0.57000000000000006</v>
      </c>
      <c r="Z23" s="14">
        <v>0.53</v>
      </c>
      <c r="AA23" s="14">
        <v>0.46</v>
      </c>
      <c r="AB23" s="14">
        <v>0.53</v>
      </c>
      <c r="AC23" s="14">
        <v>0.38</v>
      </c>
      <c r="AD23" s="14">
        <v>0.36</v>
      </c>
      <c r="AE23" s="14">
        <v>0.27</v>
      </c>
      <c r="AF23" s="14">
        <v>0.28999999999999998</v>
      </c>
    </row>
    <row r="24" spans="1:32">
      <c r="A24" s="20"/>
      <c r="B24" s="11" t="s">
        <v>568</v>
      </c>
      <c r="C24" s="12">
        <v>13813</v>
      </c>
      <c r="D24" s="12">
        <v>456</v>
      </c>
      <c r="E24" s="12">
        <v>673</v>
      </c>
      <c r="F24" s="12">
        <v>389</v>
      </c>
      <c r="G24" s="12">
        <v>646</v>
      </c>
      <c r="H24" s="12">
        <v>621</v>
      </c>
      <c r="I24" s="12">
        <v>796</v>
      </c>
      <c r="J24" s="12">
        <v>175</v>
      </c>
      <c r="K24" s="12">
        <v>671</v>
      </c>
      <c r="L24" s="12">
        <v>439</v>
      </c>
      <c r="M24" s="12">
        <v>636</v>
      </c>
      <c r="N24" s="12">
        <v>585</v>
      </c>
      <c r="O24" s="12">
        <v>666</v>
      </c>
      <c r="P24" s="12">
        <v>516</v>
      </c>
      <c r="Q24" s="12">
        <v>343</v>
      </c>
      <c r="R24" s="12">
        <v>305</v>
      </c>
      <c r="S24" s="12">
        <v>577</v>
      </c>
      <c r="T24" s="12">
        <v>538</v>
      </c>
      <c r="U24" s="12">
        <v>193</v>
      </c>
      <c r="V24" s="12">
        <v>472</v>
      </c>
      <c r="W24" s="12">
        <v>128</v>
      </c>
      <c r="X24" s="12">
        <v>633</v>
      </c>
      <c r="Y24" s="12">
        <v>411</v>
      </c>
      <c r="Z24" s="12">
        <v>451</v>
      </c>
      <c r="AA24" s="12">
        <v>541</v>
      </c>
      <c r="AB24" s="12">
        <v>459</v>
      </c>
      <c r="AC24" s="12">
        <v>610</v>
      </c>
      <c r="AD24" s="12">
        <v>629</v>
      </c>
      <c r="AE24" s="12">
        <v>733</v>
      </c>
      <c r="AF24" s="12">
        <v>703</v>
      </c>
    </row>
    <row r="25" spans="1:32">
      <c r="A25" s="20"/>
      <c r="B25" s="13" t="s">
        <v>569</v>
      </c>
      <c r="C25" s="14">
        <v>0.52</v>
      </c>
      <c r="D25" s="14">
        <v>0.46</v>
      </c>
      <c r="E25" s="14">
        <v>0.66</v>
      </c>
      <c r="F25" s="14">
        <v>0.38</v>
      </c>
      <c r="G25" s="14">
        <v>0.64</v>
      </c>
      <c r="H25" s="14">
        <v>0.51</v>
      </c>
      <c r="I25" s="14">
        <v>0.53</v>
      </c>
      <c r="J25" s="14">
        <v>0.6</v>
      </c>
      <c r="K25" s="14">
        <v>0.66</v>
      </c>
      <c r="L25" s="14">
        <v>0.44</v>
      </c>
      <c r="M25" s="14">
        <v>0.64</v>
      </c>
      <c r="N25" s="14">
        <v>0.57999999999999996</v>
      </c>
      <c r="O25" s="14">
        <v>0.66</v>
      </c>
      <c r="P25" s="14">
        <v>0.5</v>
      </c>
      <c r="Q25" s="14">
        <v>0.34</v>
      </c>
      <c r="R25" s="14">
        <v>0.61</v>
      </c>
      <c r="S25" s="14">
        <v>0.57999999999999996</v>
      </c>
      <c r="T25" s="14">
        <v>0.53</v>
      </c>
      <c r="U25" s="14">
        <v>0.38</v>
      </c>
      <c r="V25" s="14">
        <v>0.46</v>
      </c>
      <c r="W25" s="14">
        <v>0.25</v>
      </c>
      <c r="X25" s="14">
        <v>0.62</v>
      </c>
      <c r="Y25" s="14">
        <v>0.41</v>
      </c>
      <c r="Z25" s="14">
        <v>0.45</v>
      </c>
      <c r="AA25" s="14">
        <v>0.51</v>
      </c>
      <c r="AB25" s="14">
        <v>0.44</v>
      </c>
      <c r="AC25" s="14">
        <v>0.6</v>
      </c>
      <c r="AD25" s="14">
        <v>0.63</v>
      </c>
      <c r="AE25" s="14">
        <v>0.73</v>
      </c>
      <c r="AF25" s="14">
        <v>0.69000000000000006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586</v>
      </c>
      <c r="C3" s="18"/>
      <c r="D3" s="18"/>
      <c r="E3" s="18"/>
      <c r="F3" s="18"/>
      <c r="H3" s="18" t="s">
        <v>587</v>
      </c>
      <c r="I3" s="18"/>
      <c r="J3" s="18"/>
      <c r="K3" s="18"/>
      <c r="L3" s="18"/>
    </row>
    <row r="4" spans="1:32" ht="27" customHeight="1">
      <c r="B4" s="18" t="s">
        <v>588</v>
      </c>
      <c r="C4" s="18"/>
      <c r="D4" s="18"/>
      <c r="E4" s="18"/>
      <c r="F4" s="18"/>
      <c r="H4" s="18" t="s">
        <v>589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9207</v>
      </c>
      <c r="D12" s="12">
        <v>306</v>
      </c>
      <c r="E12" s="12">
        <v>336</v>
      </c>
      <c r="F12" s="12">
        <v>265</v>
      </c>
      <c r="G12" s="12">
        <v>352</v>
      </c>
      <c r="H12" s="12">
        <v>376</v>
      </c>
      <c r="I12" s="12">
        <v>483</v>
      </c>
      <c r="J12" s="12">
        <v>107</v>
      </c>
      <c r="K12" s="12">
        <v>343</v>
      </c>
      <c r="L12" s="12">
        <v>537</v>
      </c>
      <c r="M12" s="12">
        <v>372</v>
      </c>
      <c r="N12" s="12">
        <v>493</v>
      </c>
      <c r="O12" s="12">
        <v>383</v>
      </c>
      <c r="P12" s="12">
        <v>269</v>
      </c>
      <c r="Q12" s="12">
        <v>336</v>
      </c>
      <c r="R12" s="12">
        <v>293</v>
      </c>
      <c r="S12" s="12">
        <v>442</v>
      </c>
      <c r="T12" s="12">
        <v>297</v>
      </c>
      <c r="U12" s="12">
        <v>258</v>
      </c>
      <c r="V12" s="12">
        <v>332</v>
      </c>
      <c r="W12" s="12">
        <v>300</v>
      </c>
      <c r="X12" s="12">
        <v>419</v>
      </c>
      <c r="Y12" s="12">
        <v>337</v>
      </c>
      <c r="Z12" s="12">
        <v>184</v>
      </c>
      <c r="AA12" s="12">
        <v>331</v>
      </c>
      <c r="AB12" s="12">
        <v>263</v>
      </c>
      <c r="AC12" s="12">
        <v>409</v>
      </c>
      <c r="AD12" s="12">
        <v>342</v>
      </c>
      <c r="AE12" s="12">
        <v>434</v>
      </c>
      <c r="AF12" s="12">
        <v>548</v>
      </c>
    </row>
    <row r="13" spans="1:32">
      <c r="A13" s="20"/>
      <c r="B13" s="13" t="s">
        <v>559</v>
      </c>
      <c r="C13" s="14">
        <v>0.35</v>
      </c>
      <c r="D13" s="14">
        <v>0.31</v>
      </c>
      <c r="E13" s="14">
        <v>0.33</v>
      </c>
      <c r="F13" s="14">
        <v>0.26</v>
      </c>
      <c r="G13" s="14">
        <v>0.35</v>
      </c>
      <c r="H13" s="14">
        <v>0.31</v>
      </c>
      <c r="I13" s="14">
        <v>0.32</v>
      </c>
      <c r="J13" s="14">
        <v>0.37</v>
      </c>
      <c r="K13" s="14">
        <v>0.34</v>
      </c>
      <c r="L13" s="14">
        <v>0.53</v>
      </c>
      <c r="M13" s="14">
        <v>0.37</v>
      </c>
      <c r="N13" s="14">
        <v>0.49</v>
      </c>
      <c r="O13" s="14">
        <v>0.38</v>
      </c>
      <c r="P13" s="14">
        <v>0.26</v>
      </c>
      <c r="Q13" s="14">
        <v>0.33</v>
      </c>
      <c r="R13" s="14">
        <v>0.59</v>
      </c>
      <c r="S13" s="14">
        <v>0.44</v>
      </c>
      <c r="T13" s="14">
        <v>0.28999999999999998</v>
      </c>
      <c r="U13" s="14">
        <v>0.51</v>
      </c>
      <c r="V13" s="14">
        <v>0.33</v>
      </c>
      <c r="W13" s="14">
        <v>0.6</v>
      </c>
      <c r="X13" s="14">
        <v>0.41</v>
      </c>
      <c r="Y13" s="14">
        <v>0.33</v>
      </c>
      <c r="Z13" s="14">
        <v>0.18</v>
      </c>
      <c r="AA13" s="14">
        <v>0.31</v>
      </c>
      <c r="AB13" s="14">
        <v>0.25</v>
      </c>
      <c r="AC13" s="14">
        <v>0.4</v>
      </c>
      <c r="AD13" s="14">
        <v>0.34</v>
      </c>
      <c r="AE13" s="14">
        <v>0.43</v>
      </c>
      <c r="AF13" s="14">
        <v>0.54</v>
      </c>
    </row>
    <row r="14" spans="1:32">
      <c r="A14" s="20"/>
      <c r="B14" s="11" t="s">
        <v>560</v>
      </c>
      <c r="C14" s="12">
        <v>13330</v>
      </c>
      <c r="D14" s="12">
        <v>516</v>
      </c>
      <c r="E14" s="12">
        <v>452</v>
      </c>
      <c r="F14" s="12">
        <v>544</v>
      </c>
      <c r="G14" s="12">
        <v>433</v>
      </c>
      <c r="H14" s="12">
        <v>632</v>
      </c>
      <c r="I14" s="12">
        <v>773</v>
      </c>
      <c r="J14" s="12">
        <v>141</v>
      </c>
      <c r="K14" s="12">
        <v>501</v>
      </c>
      <c r="L14" s="12">
        <v>370</v>
      </c>
      <c r="M14" s="12">
        <v>517</v>
      </c>
      <c r="N14" s="12">
        <v>411</v>
      </c>
      <c r="O14" s="12">
        <v>486</v>
      </c>
      <c r="P14" s="12">
        <v>622</v>
      </c>
      <c r="Q14" s="12">
        <v>593</v>
      </c>
      <c r="R14" s="12">
        <v>158</v>
      </c>
      <c r="S14" s="12">
        <v>467</v>
      </c>
      <c r="T14" s="12">
        <v>526</v>
      </c>
      <c r="U14" s="12">
        <v>215</v>
      </c>
      <c r="V14" s="12">
        <v>530</v>
      </c>
      <c r="W14" s="12">
        <v>152</v>
      </c>
      <c r="X14" s="12">
        <v>447</v>
      </c>
      <c r="Y14" s="12">
        <v>423</v>
      </c>
      <c r="Z14" s="12">
        <v>638</v>
      </c>
      <c r="AA14" s="12">
        <v>647</v>
      </c>
      <c r="AB14" s="12">
        <v>550</v>
      </c>
      <c r="AC14" s="12">
        <v>474</v>
      </c>
      <c r="AD14" s="12">
        <v>555</v>
      </c>
      <c r="AE14" s="12">
        <v>430</v>
      </c>
      <c r="AF14" s="12">
        <v>333</v>
      </c>
    </row>
    <row r="15" spans="1:32">
      <c r="A15" s="20"/>
      <c r="B15" s="13" t="s">
        <v>561</v>
      </c>
      <c r="C15" s="14">
        <v>0.51</v>
      </c>
      <c r="D15" s="14">
        <v>0.51</v>
      </c>
      <c r="E15" s="14">
        <v>0.44</v>
      </c>
      <c r="F15" s="14">
        <v>0.54</v>
      </c>
      <c r="G15" s="14">
        <v>0.43</v>
      </c>
      <c r="H15" s="14">
        <v>0.52</v>
      </c>
      <c r="I15" s="14">
        <v>0.51</v>
      </c>
      <c r="J15" s="14">
        <v>0.48</v>
      </c>
      <c r="K15" s="14">
        <v>0.5</v>
      </c>
      <c r="L15" s="14">
        <v>0.37</v>
      </c>
      <c r="M15" s="14">
        <v>0.52</v>
      </c>
      <c r="N15" s="14">
        <v>0.41</v>
      </c>
      <c r="O15" s="14">
        <v>0.48</v>
      </c>
      <c r="P15" s="14">
        <v>0.61</v>
      </c>
      <c r="Q15" s="14">
        <v>0.57999999999999996</v>
      </c>
      <c r="R15" s="14">
        <v>0.31</v>
      </c>
      <c r="S15" s="14">
        <v>0.46</v>
      </c>
      <c r="T15" s="14">
        <v>0.52</v>
      </c>
      <c r="U15" s="14">
        <v>0.42</v>
      </c>
      <c r="V15" s="14">
        <v>0.52</v>
      </c>
      <c r="W15" s="14">
        <v>0.3</v>
      </c>
      <c r="X15" s="14">
        <v>0.44</v>
      </c>
      <c r="Y15" s="14">
        <v>0.42</v>
      </c>
      <c r="Z15" s="14">
        <v>0.63</v>
      </c>
      <c r="AA15" s="14">
        <v>0.61</v>
      </c>
      <c r="AB15" s="14">
        <v>0.53</v>
      </c>
      <c r="AC15" s="14">
        <v>0.47</v>
      </c>
      <c r="AD15" s="14">
        <v>0.55000000000000004</v>
      </c>
      <c r="AE15" s="14">
        <v>0.43</v>
      </c>
      <c r="AF15" s="14">
        <v>0.32</v>
      </c>
    </row>
    <row r="16" spans="1:32">
      <c r="A16" s="20"/>
      <c r="B16" s="11" t="s">
        <v>562</v>
      </c>
      <c r="C16" s="12">
        <v>2733</v>
      </c>
      <c r="D16" s="12">
        <v>146</v>
      </c>
      <c r="E16" s="12">
        <v>142</v>
      </c>
      <c r="F16" s="12">
        <v>143</v>
      </c>
      <c r="G16" s="12">
        <v>132</v>
      </c>
      <c r="H16" s="12">
        <v>138</v>
      </c>
      <c r="I16" s="12">
        <v>172</v>
      </c>
      <c r="J16" s="12">
        <v>35</v>
      </c>
      <c r="K16" s="12">
        <v>99</v>
      </c>
      <c r="L16" s="12">
        <v>59</v>
      </c>
      <c r="M16" s="12">
        <v>74</v>
      </c>
      <c r="N16" s="12">
        <v>70</v>
      </c>
      <c r="O16" s="12">
        <v>98</v>
      </c>
      <c r="P16" s="12">
        <v>105</v>
      </c>
      <c r="Q16" s="12">
        <v>70</v>
      </c>
      <c r="R16" s="12">
        <v>30</v>
      </c>
      <c r="S16" s="12">
        <v>60</v>
      </c>
      <c r="T16" s="12">
        <v>126</v>
      </c>
      <c r="U16" s="12">
        <v>23</v>
      </c>
      <c r="V16" s="12">
        <v>120</v>
      </c>
      <c r="W16" s="12">
        <v>36</v>
      </c>
      <c r="X16" s="12">
        <v>133</v>
      </c>
      <c r="Y16" s="12">
        <v>161</v>
      </c>
      <c r="Z16" s="12">
        <v>141</v>
      </c>
      <c r="AA16" s="12">
        <v>48</v>
      </c>
      <c r="AB16" s="12">
        <v>178</v>
      </c>
      <c r="AC16" s="12">
        <v>98</v>
      </c>
      <c r="AD16" s="12">
        <v>73</v>
      </c>
      <c r="AE16" s="12">
        <v>101</v>
      </c>
      <c r="AF16" s="12">
        <v>88</v>
      </c>
    </row>
    <row r="17" spans="1:32">
      <c r="A17" s="20"/>
      <c r="B17" s="13" t="s">
        <v>563</v>
      </c>
      <c r="C17" s="14">
        <v>0.1</v>
      </c>
      <c r="D17" s="14">
        <v>0.15</v>
      </c>
      <c r="E17" s="14">
        <v>0.14000000000000001</v>
      </c>
      <c r="F17" s="14">
        <v>0.14000000000000001</v>
      </c>
      <c r="G17" s="14">
        <v>0.13</v>
      </c>
      <c r="H17" s="14">
        <v>0.11</v>
      </c>
      <c r="I17" s="14">
        <v>0.11</v>
      </c>
      <c r="J17" s="14">
        <v>0.12</v>
      </c>
      <c r="K17" s="14">
        <v>0.1</v>
      </c>
      <c r="L17" s="14">
        <v>0.06</v>
      </c>
      <c r="M17" s="14">
        <v>7.0000000000000007E-2</v>
      </c>
      <c r="N17" s="14">
        <v>7.0000000000000007E-2</v>
      </c>
      <c r="O17" s="14">
        <v>0.1</v>
      </c>
      <c r="P17" s="14">
        <v>0.1</v>
      </c>
      <c r="Q17" s="14">
        <v>7.0000000000000007E-2</v>
      </c>
      <c r="R17" s="14">
        <v>0.06</v>
      </c>
      <c r="S17" s="14">
        <v>0.06</v>
      </c>
      <c r="T17" s="14">
        <v>0.13</v>
      </c>
      <c r="U17" s="14">
        <v>0.05</v>
      </c>
      <c r="V17" s="14">
        <v>0.12</v>
      </c>
      <c r="W17" s="14">
        <v>7.0000000000000007E-2</v>
      </c>
      <c r="X17" s="14">
        <v>0.13</v>
      </c>
      <c r="Y17" s="14">
        <v>0.16</v>
      </c>
      <c r="Z17" s="14">
        <v>0.14000000000000001</v>
      </c>
      <c r="AA17" s="14">
        <v>0.05</v>
      </c>
      <c r="AB17" s="14">
        <v>0.17</v>
      </c>
      <c r="AC17" s="14">
        <v>0.1</v>
      </c>
      <c r="AD17" s="14">
        <v>7.0000000000000007E-2</v>
      </c>
      <c r="AE17" s="14">
        <v>0.1</v>
      </c>
      <c r="AF17" s="14">
        <v>0.09</v>
      </c>
    </row>
    <row r="18" spans="1:32">
      <c r="A18" s="20"/>
      <c r="B18" s="11" t="s">
        <v>564</v>
      </c>
      <c r="C18" s="12">
        <v>462</v>
      </c>
      <c r="D18" s="12">
        <v>22</v>
      </c>
      <c r="E18" s="12">
        <v>35</v>
      </c>
      <c r="F18" s="12">
        <v>26</v>
      </c>
      <c r="G18" s="12">
        <v>47</v>
      </c>
      <c r="H18" s="12">
        <v>17</v>
      </c>
      <c r="I18" s="12">
        <v>24</v>
      </c>
      <c r="J18" s="12">
        <v>7</v>
      </c>
      <c r="K18" s="12">
        <v>23</v>
      </c>
      <c r="L18" s="12">
        <v>11</v>
      </c>
      <c r="M18" s="12">
        <v>34</v>
      </c>
      <c r="N18" s="12">
        <v>14</v>
      </c>
      <c r="O18" s="12">
        <v>11</v>
      </c>
      <c r="P18" s="12">
        <v>16</v>
      </c>
      <c r="Q18" s="12">
        <v>9</v>
      </c>
      <c r="R18" s="12">
        <v>9</v>
      </c>
      <c r="S18" s="12">
        <v>10</v>
      </c>
      <c r="T18" s="12">
        <v>24</v>
      </c>
      <c r="U18" s="12">
        <v>6</v>
      </c>
      <c r="V18" s="12">
        <v>16</v>
      </c>
      <c r="W18" s="12">
        <v>14</v>
      </c>
      <c r="X18" s="12">
        <v>18</v>
      </c>
      <c r="Y18" s="12">
        <v>55</v>
      </c>
      <c r="Z18" s="12">
        <v>23</v>
      </c>
      <c r="AA18" s="12">
        <v>7</v>
      </c>
      <c r="AB18" s="12">
        <v>31</v>
      </c>
      <c r="AC18" s="12">
        <v>18</v>
      </c>
      <c r="AD18" s="12">
        <v>12</v>
      </c>
      <c r="AE18" s="12">
        <v>17</v>
      </c>
      <c r="AF18" s="12">
        <v>33</v>
      </c>
    </row>
    <row r="19" spans="1:32">
      <c r="A19" s="20"/>
      <c r="B19" s="13" t="s">
        <v>565</v>
      </c>
      <c r="C19" s="14">
        <v>0.02</v>
      </c>
      <c r="D19" s="14">
        <v>0.02</v>
      </c>
      <c r="E19" s="14">
        <v>0.04</v>
      </c>
      <c r="F19" s="14">
        <v>0.03</v>
      </c>
      <c r="G19" s="14">
        <v>0.05</v>
      </c>
      <c r="H19" s="14">
        <v>0.01</v>
      </c>
      <c r="I19" s="14">
        <v>0.02</v>
      </c>
      <c r="J19" s="14">
        <v>0.02</v>
      </c>
      <c r="K19" s="14">
        <v>0.02</v>
      </c>
      <c r="L19" s="14">
        <v>0.01</v>
      </c>
      <c r="M19" s="14">
        <v>0.03</v>
      </c>
      <c r="N19" s="14">
        <v>0.01</v>
      </c>
      <c r="O19" s="14">
        <v>0.01</v>
      </c>
      <c r="P19" s="14">
        <v>0.02</v>
      </c>
      <c r="Q19" s="14">
        <v>0.01</v>
      </c>
      <c r="R19" s="14">
        <v>0.02</v>
      </c>
      <c r="S19" s="14">
        <v>0.01</v>
      </c>
      <c r="T19" s="14">
        <v>0.02</v>
      </c>
      <c r="U19" s="14">
        <v>0.01</v>
      </c>
      <c r="V19" s="14">
        <v>0.01</v>
      </c>
      <c r="W19" s="14">
        <v>0.03</v>
      </c>
      <c r="X19" s="14">
        <v>0.02</v>
      </c>
      <c r="Y19" s="14">
        <v>0.06</v>
      </c>
      <c r="Z19" s="14">
        <v>0.03</v>
      </c>
      <c r="AA19" s="14">
        <v>0.01</v>
      </c>
      <c r="AB19" s="14">
        <v>0.03</v>
      </c>
      <c r="AC19" s="14">
        <v>0.02</v>
      </c>
      <c r="AD19" s="14">
        <v>0.01</v>
      </c>
      <c r="AE19" s="14">
        <v>0.02</v>
      </c>
      <c r="AF19" s="14">
        <v>0.03</v>
      </c>
    </row>
    <row r="20" spans="1:32">
      <c r="A20" s="20"/>
      <c r="B20" s="11" t="s">
        <v>468</v>
      </c>
      <c r="C20" s="12">
        <v>588</v>
      </c>
      <c r="D20" s="12">
        <v>13</v>
      </c>
      <c r="E20" s="12">
        <v>53</v>
      </c>
      <c r="F20" s="12">
        <v>27</v>
      </c>
      <c r="G20" s="12">
        <v>41</v>
      </c>
      <c r="H20" s="12">
        <v>54</v>
      </c>
      <c r="I20" s="12">
        <v>58</v>
      </c>
      <c r="J20" s="12">
        <v>4</v>
      </c>
      <c r="K20" s="12">
        <v>40</v>
      </c>
      <c r="L20" s="12">
        <v>30</v>
      </c>
      <c r="M20" s="12">
        <v>6</v>
      </c>
      <c r="N20" s="12">
        <v>15</v>
      </c>
      <c r="O20" s="12">
        <v>25</v>
      </c>
      <c r="P20" s="12">
        <v>10</v>
      </c>
      <c r="Q20" s="12">
        <v>10</v>
      </c>
      <c r="R20" s="12">
        <v>10</v>
      </c>
      <c r="S20" s="12">
        <v>29</v>
      </c>
      <c r="T20" s="12">
        <v>42</v>
      </c>
      <c r="U20" s="12">
        <v>5</v>
      </c>
      <c r="V20" s="12">
        <v>18</v>
      </c>
      <c r="W20" s="12">
        <v>1</v>
      </c>
      <c r="X20" s="12">
        <v>5</v>
      </c>
      <c r="Y20" s="12">
        <v>32</v>
      </c>
      <c r="Z20" s="12">
        <v>21</v>
      </c>
      <c r="AA20" s="12">
        <v>20</v>
      </c>
      <c r="AB20" s="12">
        <v>17</v>
      </c>
      <c r="AC20" s="12">
        <v>10</v>
      </c>
      <c r="AD20" s="12">
        <v>23</v>
      </c>
      <c r="AE20" s="12">
        <v>19</v>
      </c>
      <c r="AF20" s="12">
        <v>18</v>
      </c>
    </row>
    <row r="21" spans="1:32">
      <c r="A21" s="20"/>
      <c r="B21" s="13" t="s">
        <v>469</v>
      </c>
      <c r="C21" s="14">
        <v>0.02</v>
      </c>
      <c r="D21" s="14">
        <v>0.01</v>
      </c>
      <c r="E21" s="14">
        <v>0.05</v>
      </c>
      <c r="F21" s="14">
        <v>0.03</v>
      </c>
      <c r="G21" s="14">
        <v>0.04</v>
      </c>
      <c r="H21" s="14">
        <v>0.05</v>
      </c>
      <c r="I21" s="14">
        <v>0.04</v>
      </c>
      <c r="J21" s="14">
        <v>0.01</v>
      </c>
      <c r="K21" s="14">
        <v>0.04</v>
      </c>
      <c r="L21" s="14">
        <v>0.03</v>
      </c>
      <c r="M21" s="14">
        <v>0.01</v>
      </c>
      <c r="N21" s="14">
        <v>0.02</v>
      </c>
      <c r="O21" s="14">
        <v>0.03</v>
      </c>
      <c r="P21" s="14">
        <v>0.01</v>
      </c>
      <c r="Q21" s="14">
        <v>0.01</v>
      </c>
      <c r="R21" s="14">
        <v>0.02</v>
      </c>
      <c r="S21" s="14">
        <v>0.03</v>
      </c>
      <c r="T21" s="14">
        <v>0.04</v>
      </c>
      <c r="U21" s="14">
        <v>0.01</v>
      </c>
      <c r="V21" s="14">
        <v>0.02</v>
      </c>
      <c r="W21" s="15" t="s">
        <v>459</v>
      </c>
      <c r="X21" s="15" t="s">
        <v>459</v>
      </c>
      <c r="Y21" s="14">
        <v>0.03</v>
      </c>
      <c r="Z21" s="14">
        <v>0.02</v>
      </c>
      <c r="AA21" s="14">
        <v>0.02</v>
      </c>
      <c r="AB21" s="14">
        <v>0.02</v>
      </c>
      <c r="AC21" s="14">
        <v>0.01</v>
      </c>
      <c r="AD21" s="14">
        <v>0.03</v>
      </c>
      <c r="AE21" s="14">
        <v>0.02</v>
      </c>
      <c r="AF21" s="14">
        <v>0.02</v>
      </c>
    </row>
    <row r="22" spans="1:32">
      <c r="A22" s="20"/>
      <c r="B22" s="11" t="s">
        <v>566</v>
      </c>
      <c r="C22" s="12">
        <v>22537</v>
      </c>
      <c r="D22" s="12">
        <v>822</v>
      </c>
      <c r="E22" s="12">
        <v>788</v>
      </c>
      <c r="F22" s="12">
        <v>809</v>
      </c>
      <c r="G22" s="12">
        <v>785</v>
      </c>
      <c r="H22" s="12">
        <v>1008</v>
      </c>
      <c r="I22" s="12">
        <v>1256</v>
      </c>
      <c r="J22" s="12">
        <v>248</v>
      </c>
      <c r="K22" s="12">
        <v>844</v>
      </c>
      <c r="L22" s="12">
        <v>907</v>
      </c>
      <c r="M22" s="12">
        <v>889</v>
      </c>
      <c r="N22" s="12">
        <v>904</v>
      </c>
      <c r="O22" s="12">
        <v>869</v>
      </c>
      <c r="P22" s="12">
        <v>891</v>
      </c>
      <c r="Q22" s="12">
        <v>929</v>
      </c>
      <c r="R22" s="12">
        <v>451</v>
      </c>
      <c r="S22" s="12">
        <v>909</v>
      </c>
      <c r="T22" s="12">
        <v>823</v>
      </c>
      <c r="U22" s="12">
        <v>473</v>
      </c>
      <c r="V22" s="12">
        <v>862</v>
      </c>
      <c r="W22" s="12">
        <v>452</v>
      </c>
      <c r="X22" s="12">
        <v>866</v>
      </c>
      <c r="Y22" s="12">
        <v>760</v>
      </c>
      <c r="Z22" s="12">
        <v>822</v>
      </c>
      <c r="AA22" s="12">
        <v>978</v>
      </c>
      <c r="AB22" s="12">
        <v>813</v>
      </c>
      <c r="AC22" s="12">
        <v>883</v>
      </c>
      <c r="AD22" s="12">
        <v>897</v>
      </c>
      <c r="AE22" s="12">
        <v>864</v>
      </c>
      <c r="AF22" s="12">
        <v>881</v>
      </c>
    </row>
    <row r="23" spans="1:32">
      <c r="A23" s="20"/>
      <c r="B23" s="13" t="s">
        <v>567</v>
      </c>
      <c r="C23" s="14">
        <v>0.86</v>
      </c>
      <c r="D23" s="14">
        <v>0.82000000000000006</v>
      </c>
      <c r="E23" s="14">
        <v>0.77</v>
      </c>
      <c r="F23" s="14">
        <v>0.8</v>
      </c>
      <c r="G23" s="14">
        <v>0.78</v>
      </c>
      <c r="H23" s="14">
        <v>0.83000000000000007</v>
      </c>
      <c r="I23" s="14">
        <v>0.83000000000000007</v>
      </c>
      <c r="J23" s="14">
        <v>0.85</v>
      </c>
      <c r="K23" s="14">
        <v>0.84</v>
      </c>
      <c r="L23" s="14">
        <v>0.9</v>
      </c>
      <c r="M23" s="14">
        <v>0.89</v>
      </c>
      <c r="N23" s="14">
        <v>0.9</v>
      </c>
      <c r="O23" s="14">
        <v>0.86</v>
      </c>
      <c r="P23" s="14">
        <v>0.87</v>
      </c>
      <c r="Q23" s="14">
        <v>0.91</v>
      </c>
      <c r="R23" s="14">
        <v>0.9</v>
      </c>
      <c r="S23" s="14">
        <v>0.9</v>
      </c>
      <c r="T23" s="14">
        <v>0.81</v>
      </c>
      <c r="U23" s="14">
        <v>0.93</v>
      </c>
      <c r="V23" s="14">
        <v>0.85</v>
      </c>
      <c r="W23" s="14">
        <v>0.9</v>
      </c>
      <c r="X23" s="14">
        <v>0.85</v>
      </c>
      <c r="Y23" s="14">
        <v>0.75</v>
      </c>
      <c r="Z23" s="14">
        <v>0.81</v>
      </c>
      <c r="AA23" s="14">
        <v>0.92</v>
      </c>
      <c r="AB23" s="14">
        <v>0.78</v>
      </c>
      <c r="AC23" s="14">
        <v>0.87</v>
      </c>
      <c r="AD23" s="14">
        <v>0.89</v>
      </c>
      <c r="AE23" s="14">
        <v>0.86</v>
      </c>
      <c r="AF23" s="14">
        <v>0.86</v>
      </c>
    </row>
    <row r="24" spans="1:32">
      <c r="A24" s="20"/>
      <c r="B24" s="11" t="s">
        <v>568</v>
      </c>
      <c r="C24" s="12">
        <v>3195</v>
      </c>
      <c r="D24" s="12">
        <v>168</v>
      </c>
      <c r="E24" s="12">
        <v>177</v>
      </c>
      <c r="F24" s="12">
        <v>169</v>
      </c>
      <c r="G24" s="12">
        <v>179</v>
      </c>
      <c r="H24" s="12">
        <v>155</v>
      </c>
      <c r="I24" s="12">
        <v>196</v>
      </c>
      <c r="J24" s="12">
        <v>42</v>
      </c>
      <c r="K24" s="12">
        <v>122</v>
      </c>
      <c r="L24" s="12">
        <v>70</v>
      </c>
      <c r="M24" s="12">
        <v>108</v>
      </c>
      <c r="N24" s="12">
        <v>84</v>
      </c>
      <c r="O24" s="12">
        <v>109</v>
      </c>
      <c r="P24" s="12">
        <v>121</v>
      </c>
      <c r="Q24" s="12">
        <v>79</v>
      </c>
      <c r="R24" s="12">
        <v>39</v>
      </c>
      <c r="S24" s="12">
        <v>70</v>
      </c>
      <c r="T24" s="12">
        <v>150</v>
      </c>
      <c r="U24" s="12">
        <v>29</v>
      </c>
      <c r="V24" s="12">
        <v>136</v>
      </c>
      <c r="W24" s="12">
        <v>50</v>
      </c>
      <c r="X24" s="12">
        <v>151</v>
      </c>
      <c r="Y24" s="12">
        <v>216</v>
      </c>
      <c r="Z24" s="12">
        <v>164</v>
      </c>
      <c r="AA24" s="12">
        <v>55</v>
      </c>
      <c r="AB24" s="12">
        <v>209</v>
      </c>
      <c r="AC24" s="12">
        <v>116</v>
      </c>
      <c r="AD24" s="12">
        <v>85</v>
      </c>
      <c r="AE24" s="12">
        <v>118</v>
      </c>
      <c r="AF24" s="12">
        <v>121</v>
      </c>
    </row>
    <row r="25" spans="1:32">
      <c r="A25" s="20"/>
      <c r="B25" s="13" t="s">
        <v>569</v>
      </c>
      <c r="C25" s="14">
        <v>0.12</v>
      </c>
      <c r="D25" s="14">
        <v>0.17</v>
      </c>
      <c r="E25" s="14">
        <v>0.18</v>
      </c>
      <c r="F25" s="14">
        <v>0.17</v>
      </c>
      <c r="G25" s="14">
        <v>0.18</v>
      </c>
      <c r="H25" s="14">
        <v>0.12</v>
      </c>
      <c r="I25" s="14">
        <v>0.13</v>
      </c>
      <c r="J25" s="14">
        <v>0.14000000000000001</v>
      </c>
      <c r="K25" s="14">
        <v>0.12</v>
      </c>
      <c r="L25" s="14">
        <v>7.0000000000000007E-2</v>
      </c>
      <c r="M25" s="14">
        <v>0.1</v>
      </c>
      <c r="N25" s="14">
        <v>0.08</v>
      </c>
      <c r="O25" s="14">
        <v>0.11</v>
      </c>
      <c r="P25" s="14">
        <v>0.12</v>
      </c>
      <c r="Q25" s="14">
        <v>0.08</v>
      </c>
      <c r="R25" s="14">
        <v>0.08</v>
      </c>
      <c r="S25" s="14">
        <v>7.0000000000000007E-2</v>
      </c>
      <c r="T25" s="14">
        <v>0.15</v>
      </c>
      <c r="U25" s="14">
        <v>0.06</v>
      </c>
      <c r="V25" s="14">
        <v>0.13</v>
      </c>
      <c r="W25" s="14">
        <v>0.1</v>
      </c>
      <c r="X25" s="14">
        <v>0.15</v>
      </c>
      <c r="Y25" s="14">
        <v>0.22</v>
      </c>
      <c r="Z25" s="14">
        <v>0.17</v>
      </c>
      <c r="AA25" s="14">
        <v>0.06</v>
      </c>
      <c r="AB25" s="14">
        <v>0.2</v>
      </c>
      <c r="AC25" s="14">
        <v>0.12</v>
      </c>
      <c r="AD25" s="14">
        <v>0.08</v>
      </c>
      <c r="AE25" s="14">
        <v>0.12</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590</v>
      </c>
      <c r="C3" s="18"/>
      <c r="D3" s="18"/>
      <c r="E3" s="18"/>
      <c r="F3" s="18"/>
      <c r="H3" s="18" t="s">
        <v>591</v>
      </c>
      <c r="I3" s="18"/>
      <c r="J3" s="18"/>
      <c r="K3" s="18"/>
      <c r="L3" s="18"/>
    </row>
    <row r="4" spans="1:32" ht="27" customHeight="1">
      <c r="B4" s="18" t="s">
        <v>592</v>
      </c>
      <c r="C4" s="18"/>
      <c r="D4" s="18"/>
      <c r="E4" s="18"/>
      <c r="F4" s="18"/>
      <c r="H4" s="18" t="s">
        <v>593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3192</v>
      </c>
      <c r="D12" s="12">
        <v>74</v>
      </c>
      <c r="E12" s="12">
        <v>105</v>
      </c>
      <c r="F12" s="12">
        <v>249</v>
      </c>
      <c r="G12" s="12">
        <v>111</v>
      </c>
      <c r="H12" s="12">
        <v>108</v>
      </c>
      <c r="I12" s="12">
        <v>142</v>
      </c>
      <c r="J12" s="12">
        <v>34</v>
      </c>
      <c r="K12" s="12">
        <v>93</v>
      </c>
      <c r="L12" s="12">
        <v>194</v>
      </c>
      <c r="M12" s="12">
        <v>117</v>
      </c>
      <c r="N12" s="12">
        <v>126</v>
      </c>
      <c r="O12" s="12">
        <v>64</v>
      </c>
      <c r="P12" s="12">
        <v>138</v>
      </c>
      <c r="Q12" s="12">
        <v>187</v>
      </c>
      <c r="R12" s="12">
        <v>27</v>
      </c>
      <c r="S12" s="12">
        <v>55</v>
      </c>
      <c r="T12" s="12">
        <v>75</v>
      </c>
      <c r="U12" s="12">
        <v>34</v>
      </c>
      <c r="V12" s="12">
        <v>248</v>
      </c>
      <c r="W12" s="12">
        <v>95</v>
      </c>
      <c r="X12" s="12">
        <v>56</v>
      </c>
      <c r="Y12" s="12">
        <v>222</v>
      </c>
      <c r="Z12" s="12">
        <v>157</v>
      </c>
      <c r="AA12" s="12">
        <v>110</v>
      </c>
      <c r="AB12" s="12">
        <v>138</v>
      </c>
      <c r="AC12" s="12">
        <v>104</v>
      </c>
      <c r="AD12" s="12">
        <v>218</v>
      </c>
      <c r="AE12" s="12">
        <v>57</v>
      </c>
      <c r="AF12" s="12">
        <v>45</v>
      </c>
    </row>
    <row r="13" spans="1:32">
      <c r="A13" s="20"/>
      <c r="B13" s="13" t="s">
        <v>559</v>
      </c>
      <c r="C13" s="14">
        <v>0.12</v>
      </c>
      <c r="D13" s="14">
        <v>7.0000000000000007E-2</v>
      </c>
      <c r="E13" s="14">
        <v>0.1</v>
      </c>
      <c r="F13" s="14">
        <v>0.25</v>
      </c>
      <c r="G13" s="14">
        <v>0.11</v>
      </c>
      <c r="H13" s="14">
        <v>0.09</v>
      </c>
      <c r="I13" s="14">
        <v>0.09</v>
      </c>
      <c r="J13" s="14">
        <v>0.12</v>
      </c>
      <c r="K13" s="14">
        <v>0.09</v>
      </c>
      <c r="L13" s="14">
        <v>0.19</v>
      </c>
      <c r="M13" s="14">
        <v>0.12</v>
      </c>
      <c r="N13" s="14">
        <v>0.12</v>
      </c>
      <c r="O13" s="14">
        <v>7.0000000000000007E-2</v>
      </c>
      <c r="P13" s="14">
        <v>0.14000000000000001</v>
      </c>
      <c r="Q13" s="14">
        <v>0.18</v>
      </c>
      <c r="R13" s="14">
        <v>0.05</v>
      </c>
      <c r="S13" s="14">
        <v>0.06</v>
      </c>
      <c r="T13" s="14">
        <v>7.0000000000000007E-2</v>
      </c>
      <c r="U13" s="14">
        <v>7.0000000000000007E-2</v>
      </c>
      <c r="V13" s="14">
        <v>0.24</v>
      </c>
      <c r="W13" s="14">
        <v>0.19</v>
      </c>
      <c r="X13" s="14">
        <v>0.05</v>
      </c>
      <c r="Y13" s="14">
        <v>0.22</v>
      </c>
      <c r="Z13" s="14">
        <v>0.16</v>
      </c>
      <c r="AA13" s="14">
        <v>0.1</v>
      </c>
      <c r="AB13" s="14">
        <v>0.13</v>
      </c>
      <c r="AC13" s="14">
        <v>0.1</v>
      </c>
      <c r="AD13" s="14">
        <v>0.22</v>
      </c>
      <c r="AE13" s="14">
        <v>0.06</v>
      </c>
      <c r="AF13" s="14">
        <v>0.04</v>
      </c>
    </row>
    <row r="14" spans="1:32">
      <c r="A14" s="20"/>
      <c r="B14" s="11" t="s">
        <v>560</v>
      </c>
      <c r="C14" s="12">
        <v>10159</v>
      </c>
      <c r="D14" s="12">
        <v>409</v>
      </c>
      <c r="E14" s="12">
        <v>291</v>
      </c>
      <c r="F14" s="12">
        <v>463</v>
      </c>
      <c r="G14" s="12">
        <v>371</v>
      </c>
      <c r="H14" s="12">
        <v>453</v>
      </c>
      <c r="I14" s="12">
        <v>562</v>
      </c>
      <c r="J14" s="12">
        <v>109</v>
      </c>
      <c r="K14" s="12">
        <v>273</v>
      </c>
      <c r="L14" s="12">
        <v>309</v>
      </c>
      <c r="M14" s="12">
        <v>331</v>
      </c>
      <c r="N14" s="12">
        <v>274</v>
      </c>
      <c r="O14" s="12">
        <v>322</v>
      </c>
      <c r="P14" s="12">
        <v>434</v>
      </c>
      <c r="Q14" s="12">
        <v>533</v>
      </c>
      <c r="R14" s="12">
        <v>91</v>
      </c>
      <c r="S14" s="12">
        <v>235</v>
      </c>
      <c r="T14" s="12">
        <v>255</v>
      </c>
      <c r="U14" s="12">
        <v>124</v>
      </c>
      <c r="V14" s="12">
        <v>410</v>
      </c>
      <c r="W14" s="12">
        <v>98</v>
      </c>
      <c r="X14" s="12">
        <v>325</v>
      </c>
      <c r="Y14" s="12">
        <v>431</v>
      </c>
      <c r="Z14" s="12">
        <v>536</v>
      </c>
      <c r="AA14" s="12">
        <v>442</v>
      </c>
      <c r="AB14" s="12">
        <v>456</v>
      </c>
      <c r="AC14" s="12">
        <v>287</v>
      </c>
      <c r="AD14" s="12">
        <v>454</v>
      </c>
      <c r="AE14" s="12">
        <v>280</v>
      </c>
      <c r="AF14" s="12">
        <v>295</v>
      </c>
    </row>
    <row r="15" spans="1:32">
      <c r="A15" s="20"/>
      <c r="B15" s="13" t="s">
        <v>561</v>
      </c>
      <c r="C15" s="14">
        <v>0.39</v>
      </c>
      <c r="D15" s="14">
        <v>0.41</v>
      </c>
      <c r="E15" s="14">
        <v>0.28999999999999998</v>
      </c>
      <c r="F15" s="14">
        <v>0.46</v>
      </c>
      <c r="G15" s="14">
        <v>0.37</v>
      </c>
      <c r="H15" s="14">
        <v>0.37</v>
      </c>
      <c r="I15" s="14">
        <v>0.37</v>
      </c>
      <c r="J15" s="14">
        <v>0.37</v>
      </c>
      <c r="K15" s="14">
        <v>0.27</v>
      </c>
      <c r="L15" s="14">
        <v>0.31</v>
      </c>
      <c r="M15" s="14">
        <v>0.33</v>
      </c>
      <c r="N15" s="14">
        <v>0.27</v>
      </c>
      <c r="O15" s="14">
        <v>0.32</v>
      </c>
      <c r="P15" s="14">
        <v>0.42</v>
      </c>
      <c r="Q15" s="14">
        <v>0.52</v>
      </c>
      <c r="R15" s="14">
        <v>0.18</v>
      </c>
      <c r="S15" s="14">
        <v>0.23</v>
      </c>
      <c r="T15" s="14">
        <v>0.25</v>
      </c>
      <c r="U15" s="14">
        <v>0.24</v>
      </c>
      <c r="V15" s="14">
        <v>0.4</v>
      </c>
      <c r="W15" s="14">
        <v>0.19</v>
      </c>
      <c r="X15" s="14">
        <v>0.32</v>
      </c>
      <c r="Y15" s="14">
        <v>0.43</v>
      </c>
      <c r="Z15" s="14">
        <v>0.53</v>
      </c>
      <c r="AA15" s="14">
        <v>0.42</v>
      </c>
      <c r="AB15" s="14">
        <v>0.44</v>
      </c>
      <c r="AC15" s="14">
        <v>0.28000000000000003</v>
      </c>
      <c r="AD15" s="14">
        <v>0.45</v>
      </c>
      <c r="AE15" s="14">
        <v>0.28000000000000003</v>
      </c>
      <c r="AF15" s="14">
        <v>0.28999999999999998</v>
      </c>
    </row>
    <row r="16" spans="1:32">
      <c r="A16" s="20"/>
      <c r="B16" s="11" t="s">
        <v>562</v>
      </c>
      <c r="C16" s="12">
        <v>7583</v>
      </c>
      <c r="D16" s="12">
        <v>385</v>
      </c>
      <c r="E16" s="12">
        <v>316</v>
      </c>
      <c r="F16" s="12">
        <v>172</v>
      </c>
      <c r="G16" s="12">
        <v>196</v>
      </c>
      <c r="H16" s="12">
        <v>348</v>
      </c>
      <c r="I16" s="12">
        <v>447</v>
      </c>
      <c r="J16" s="12">
        <v>99</v>
      </c>
      <c r="K16" s="12">
        <v>312</v>
      </c>
      <c r="L16" s="12">
        <v>274</v>
      </c>
      <c r="M16" s="12">
        <v>345</v>
      </c>
      <c r="N16" s="12">
        <v>317</v>
      </c>
      <c r="O16" s="12">
        <v>353</v>
      </c>
      <c r="P16" s="12">
        <v>295</v>
      </c>
      <c r="Q16" s="12">
        <v>226</v>
      </c>
      <c r="R16" s="12">
        <v>183</v>
      </c>
      <c r="S16" s="12">
        <v>303</v>
      </c>
      <c r="T16" s="12">
        <v>369</v>
      </c>
      <c r="U16" s="12">
        <v>122</v>
      </c>
      <c r="V16" s="12">
        <v>230</v>
      </c>
      <c r="W16" s="12">
        <v>221</v>
      </c>
      <c r="X16" s="12">
        <v>445</v>
      </c>
      <c r="Y16" s="12">
        <v>185</v>
      </c>
      <c r="Z16" s="12">
        <v>173</v>
      </c>
      <c r="AA16" s="12">
        <v>305</v>
      </c>
      <c r="AB16" s="12">
        <v>291</v>
      </c>
      <c r="AC16" s="12">
        <v>320</v>
      </c>
      <c r="AD16" s="12">
        <v>189</v>
      </c>
      <c r="AE16" s="12">
        <v>410</v>
      </c>
      <c r="AF16" s="12">
        <v>342</v>
      </c>
    </row>
    <row r="17" spans="1:32">
      <c r="A17" s="20"/>
      <c r="B17" s="13" t="s">
        <v>563</v>
      </c>
      <c r="C17" s="14">
        <v>0.28999999999999998</v>
      </c>
      <c r="D17" s="14">
        <v>0.38</v>
      </c>
      <c r="E17" s="14">
        <v>0.31</v>
      </c>
      <c r="F17" s="14">
        <v>0.17</v>
      </c>
      <c r="G17" s="14">
        <v>0.2</v>
      </c>
      <c r="H17" s="14">
        <v>0.28999999999999998</v>
      </c>
      <c r="I17" s="14">
        <v>0.3</v>
      </c>
      <c r="J17" s="14">
        <v>0.33</v>
      </c>
      <c r="K17" s="14">
        <v>0.31</v>
      </c>
      <c r="L17" s="14">
        <v>0.27</v>
      </c>
      <c r="M17" s="14">
        <v>0.34</v>
      </c>
      <c r="N17" s="14">
        <v>0.32</v>
      </c>
      <c r="O17" s="14">
        <v>0.35</v>
      </c>
      <c r="P17" s="14">
        <v>0.28999999999999998</v>
      </c>
      <c r="Q17" s="14">
        <v>0.22</v>
      </c>
      <c r="R17" s="14">
        <v>0.37</v>
      </c>
      <c r="S17" s="14">
        <v>0.3</v>
      </c>
      <c r="T17" s="14">
        <v>0.37</v>
      </c>
      <c r="U17" s="14">
        <v>0.24</v>
      </c>
      <c r="V17" s="14">
        <v>0.23</v>
      </c>
      <c r="W17" s="14">
        <v>0.44</v>
      </c>
      <c r="X17" s="14">
        <v>0.44</v>
      </c>
      <c r="Y17" s="14">
        <v>0.18</v>
      </c>
      <c r="Z17" s="14">
        <v>0.17</v>
      </c>
      <c r="AA17" s="14">
        <v>0.28999999999999998</v>
      </c>
      <c r="AB17" s="14">
        <v>0.28000000000000003</v>
      </c>
      <c r="AC17" s="14">
        <v>0.32</v>
      </c>
      <c r="AD17" s="14">
        <v>0.19</v>
      </c>
      <c r="AE17" s="14">
        <v>0.41</v>
      </c>
      <c r="AF17" s="14">
        <v>0.34</v>
      </c>
    </row>
    <row r="18" spans="1:32">
      <c r="A18" s="20"/>
      <c r="B18" s="11" t="s">
        <v>564</v>
      </c>
      <c r="C18" s="12">
        <v>2131</v>
      </c>
      <c r="D18" s="12">
        <v>77</v>
      </c>
      <c r="E18" s="12">
        <v>126</v>
      </c>
      <c r="F18" s="12">
        <v>27</v>
      </c>
      <c r="G18" s="12">
        <v>64</v>
      </c>
      <c r="H18" s="12">
        <v>80</v>
      </c>
      <c r="I18" s="12">
        <v>100</v>
      </c>
      <c r="J18" s="12">
        <v>20</v>
      </c>
      <c r="K18" s="12">
        <v>174</v>
      </c>
      <c r="L18" s="12">
        <v>107</v>
      </c>
      <c r="M18" s="12">
        <v>128</v>
      </c>
      <c r="N18" s="12">
        <v>161</v>
      </c>
      <c r="O18" s="12">
        <v>112</v>
      </c>
      <c r="P18" s="12">
        <v>102</v>
      </c>
      <c r="Q18" s="12">
        <v>26</v>
      </c>
      <c r="R18" s="12">
        <v>137</v>
      </c>
      <c r="S18" s="12">
        <v>124</v>
      </c>
      <c r="T18" s="12">
        <v>115</v>
      </c>
      <c r="U18" s="12">
        <v>35</v>
      </c>
      <c r="V18" s="12">
        <v>60</v>
      </c>
      <c r="W18" s="12">
        <v>68</v>
      </c>
      <c r="X18" s="12">
        <v>93</v>
      </c>
      <c r="Y18" s="12">
        <v>53</v>
      </c>
      <c r="Z18" s="12">
        <v>29</v>
      </c>
      <c r="AA18" s="12">
        <v>94</v>
      </c>
      <c r="AB18" s="12">
        <v>52</v>
      </c>
      <c r="AC18" s="12">
        <v>106</v>
      </c>
      <c r="AD18" s="12">
        <v>62</v>
      </c>
      <c r="AE18" s="12">
        <v>100</v>
      </c>
      <c r="AF18" s="12">
        <v>135</v>
      </c>
    </row>
    <row r="19" spans="1:32">
      <c r="A19" s="20"/>
      <c r="B19" s="13" t="s">
        <v>565</v>
      </c>
      <c r="C19" s="14">
        <v>0.08</v>
      </c>
      <c r="D19" s="14">
        <v>0.08</v>
      </c>
      <c r="E19" s="14">
        <v>0.12</v>
      </c>
      <c r="F19" s="14">
        <v>0.03</v>
      </c>
      <c r="G19" s="14">
        <v>0.06</v>
      </c>
      <c r="H19" s="14">
        <v>0.06</v>
      </c>
      <c r="I19" s="14">
        <v>7.0000000000000007E-2</v>
      </c>
      <c r="J19" s="14">
        <v>7.0000000000000007E-2</v>
      </c>
      <c r="K19" s="14">
        <v>0.17</v>
      </c>
      <c r="L19" s="14">
        <v>0.11</v>
      </c>
      <c r="M19" s="14">
        <v>0.13</v>
      </c>
      <c r="N19" s="14">
        <v>0.16</v>
      </c>
      <c r="O19" s="14">
        <v>0.11</v>
      </c>
      <c r="P19" s="14">
        <v>0.1</v>
      </c>
      <c r="Q19" s="14">
        <v>0.03</v>
      </c>
      <c r="R19" s="14">
        <v>0.28000000000000003</v>
      </c>
      <c r="S19" s="14">
        <v>0.12</v>
      </c>
      <c r="T19" s="14">
        <v>0.11</v>
      </c>
      <c r="U19" s="14">
        <v>7.0000000000000007E-2</v>
      </c>
      <c r="V19" s="14">
        <v>0.06</v>
      </c>
      <c r="W19" s="14">
        <v>0.14000000000000001</v>
      </c>
      <c r="X19" s="14">
        <v>0.09</v>
      </c>
      <c r="Y19" s="14">
        <v>0.05</v>
      </c>
      <c r="Z19" s="14">
        <v>0.03</v>
      </c>
      <c r="AA19" s="14">
        <v>0.09</v>
      </c>
      <c r="AB19" s="14">
        <v>0.05</v>
      </c>
      <c r="AC19" s="14">
        <v>0.11</v>
      </c>
      <c r="AD19" s="14">
        <v>0.06</v>
      </c>
      <c r="AE19" s="14">
        <v>0.1</v>
      </c>
      <c r="AF19" s="14">
        <v>0.13</v>
      </c>
    </row>
    <row r="20" spans="1:32">
      <c r="A20" s="20"/>
      <c r="B20" s="11" t="s">
        <v>468</v>
      </c>
      <c r="C20" s="12">
        <v>3253</v>
      </c>
      <c r="D20" s="12">
        <v>59</v>
      </c>
      <c r="E20" s="12">
        <v>181</v>
      </c>
      <c r="F20" s="12">
        <v>94</v>
      </c>
      <c r="G20" s="12">
        <v>263</v>
      </c>
      <c r="H20" s="12">
        <v>227</v>
      </c>
      <c r="I20" s="12">
        <v>259</v>
      </c>
      <c r="J20" s="12">
        <v>33</v>
      </c>
      <c r="K20" s="12">
        <v>154</v>
      </c>
      <c r="L20" s="12">
        <v>123</v>
      </c>
      <c r="M20" s="12">
        <v>81</v>
      </c>
      <c r="N20" s="12">
        <v>126</v>
      </c>
      <c r="O20" s="12">
        <v>153</v>
      </c>
      <c r="P20" s="12">
        <v>53</v>
      </c>
      <c r="Q20" s="12">
        <v>47</v>
      </c>
      <c r="R20" s="12">
        <v>62</v>
      </c>
      <c r="S20" s="12">
        <v>291</v>
      </c>
      <c r="T20" s="12">
        <v>201</v>
      </c>
      <c r="U20" s="12">
        <v>193</v>
      </c>
      <c r="V20" s="12">
        <v>68</v>
      </c>
      <c r="W20" s="12">
        <v>20</v>
      </c>
      <c r="X20" s="12">
        <v>102</v>
      </c>
      <c r="Y20" s="12">
        <v>117</v>
      </c>
      <c r="Z20" s="12">
        <v>113</v>
      </c>
      <c r="AA20" s="12">
        <v>102</v>
      </c>
      <c r="AB20" s="12">
        <v>102</v>
      </c>
      <c r="AC20" s="12">
        <v>194</v>
      </c>
      <c r="AD20" s="12">
        <v>83</v>
      </c>
      <c r="AE20" s="12">
        <v>154</v>
      </c>
      <c r="AF20" s="12">
        <v>203</v>
      </c>
    </row>
    <row r="21" spans="1:32">
      <c r="A21" s="20"/>
      <c r="B21" s="13" t="s">
        <v>469</v>
      </c>
      <c r="C21" s="14">
        <v>0.12</v>
      </c>
      <c r="D21" s="14">
        <v>0.06</v>
      </c>
      <c r="E21" s="14">
        <v>0.18</v>
      </c>
      <c r="F21" s="14">
        <v>0.09</v>
      </c>
      <c r="G21" s="14">
        <v>0.26</v>
      </c>
      <c r="H21" s="14">
        <v>0.19</v>
      </c>
      <c r="I21" s="14">
        <v>0.17</v>
      </c>
      <c r="J21" s="14">
        <v>0.11</v>
      </c>
      <c r="K21" s="14">
        <v>0.16</v>
      </c>
      <c r="L21" s="14">
        <v>0.12</v>
      </c>
      <c r="M21" s="14">
        <v>0.08</v>
      </c>
      <c r="N21" s="14">
        <v>0.13</v>
      </c>
      <c r="O21" s="14">
        <v>0.15</v>
      </c>
      <c r="P21" s="14">
        <v>0.05</v>
      </c>
      <c r="Q21" s="14">
        <v>0.05</v>
      </c>
      <c r="R21" s="14">
        <v>0.12</v>
      </c>
      <c r="S21" s="14">
        <v>0.28999999999999998</v>
      </c>
      <c r="T21" s="14">
        <v>0.2</v>
      </c>
      <c r="U21" s="14">
        <v>0.38</v>
      </c>
      <c r="V21" s="14">
        <v>7.0000000000000007E-2</v>
      </c>
      <c r="W21" s="14">
        <v>0.04</v>
      </c>
      <c r="X21" s="14">
        <v>0.1</v>
      </c>
      <c r="Y21" s="14">
        <v>0.12</v>
      </c>
      <c r="Z21" s="14">
        <v>0.11</v>
      </c>
      <c r="AA21" s="14">
        <v>0.1</v>
      </c>
      <c r="AB21" s="14">
        <v>0.1</v>
      </c>
      <c r="AC21" s="14">
        <v>0.19</v>
      </c>
      <c r="AD21" s="14">
        <v>0.08</v>
      </c>
      <c r="AE21" s="14">
        <v>0.15</v>
      </c>
      <c r="AF21" s="14">
        <v>0.2</v>
      </c>
    </row>
    <row r="22" spans="1:32">
      <c r="A22" s="20"/>
      <c r="B22" s="11" t="s">
        <v>566</v>
      </c>
      <c r="C22" s="12">
        <v>13351</v>
      </c>
      <c r="D22" s="12">
        <v>483</v>
      </c>
      <c r="E22" s="12">
        <v>396</v>
      </c>
      <c r="F22" s="12">
        <v>712</v>
      </c>
      <c r="G22" s="12">
        <v>482</v>
      </c>
      <c r="H22" s="12">
        <v>561</v>
      </c>
      <c r="I22" s="12">
        <v>704</v>
      </c>
      <c r="J22" s="12">
        <v>143</v>
      </c>
      <c r="K22" s="12">
        <v>366</v>
      </c>
      <c r="L22" s="12">
        <v>503</v>
      </c>
      <c r="M22" s="12">
        <v>448</v>
      </c>
      <c r="N22" s="12">
        <v>400</v>
      </c>
      <c r="O22" s="12">
        <v>386</v>
      </c>
      <c r="P22" s="12">
        <v>572</v>
      </c>
      <c r="Q22" s="12">
        <v>720</v>
      </c>
      <c r="R22" s="12">
        <v>118</v>
      </c>
      <c r="S22" s="12">
        <v>290</v>
      </c>
      <c r="T22" s="12">
        <v>330</v>
      </c>
      <c r="U22" s="12">
        <v>158</v>
      </c>
      <c r="V22" s="12">
        <v>658</v>
      </c>
      <c r="W22" s="12">
        <v>193</v>
      </c>
      <c r="X22" s="12">
        <v>381</v>
      </c>
      <c r="Y22" s="12">
        <v>653</v>
      </c>
      <c r="Z22" s="12">
        <v>693</v>
      </c>
      <c r="AA22" s="12">
        <v>552</v>
      </c>
      <c r="AB22" s="12">
        <v>594</v>
      </c>
      <c r="AC22" s="12">
        <v>391</v>
      </c>
      <c r="AD22" s="12">
        <v>672</v>
      </c>
      <c r="AE22" s="12">
        <v>337</v>
      </c>
      <c r="AF22" s="12">
        <v>340</v>
      </c>
    </row>
    <row r="23" spans="1:32">
      <c r="A23" s="20"/>
      <c r="B23" s="13" t="s">
        <v>567</v>
      </c>
      <c r="C23" s="14">
        <v>0.51</v>
      </c>
      <c r="D23" s="14">
        <v>0.48</v>
      </c>
      <c r="E23" s="14">
        <v>0.39</v>
      </c>
      <c r="F23" s="14">
        <v>0.71</v>
      </c>
      <c r="G23" s="14">
        <v>0.48</v>
      </c>
      <c r="H23" s="14">
        <v>0.46</v>
      </c>
      <c r="I23" s="14">
        <v>0.46</v>
      </c>
      <c r="J23" s="14">
        <v>0.49</v>
      </c>
      <c r="K23" s="14">
        <v>0.36</v>
      </c>
      <c r="L23" s="14">
        <v>0.5</v>
      </c>
      <c r="M23" s="14">
        <v>0.45</v>
      </c>
      <c r="N23" s="14">
        <v>0.39</v>
      </c>
      <c r="O23" s="14">
        <v>0.39</v>
      </c>
      <c r="P23" s="14">
        <v>0.56000000000000005</v>
      </c>
      <c r="Q23" s="14">
        <v>0.70000000000000007</v>
      </c>
      <c r="R23" s="14">
        <v>0.23</v>
      </c>
      <c r="S23" s="14">
        <v>0.28999999999999998</v>
      </c>
      <c r="T23" s="14">
        <v>0.32</v>
      </c>
      <c r="U23" s="14">
        <v>0.31</v>
      </c>
      <c r="V23" s="14">
        <v>0.64</v>
      </c>
      <c r="W23" s="14">
        <v>0.38</v>
      </c>
      <c r="X23" s="14">
        <v>0.37</v>
      </c>
      <c r="Y23" s="14">
        <v>0.65</v>
      </c>
      <c r="Z23" s="14">
        <v>0.69000000000000006</v>
      </c>
      <c r="AA23" s="14">
        <v>0.52</v>
      </c>
      <c r="AB23" s="14">
        <v>0.57000000000000006</v>
      </c>
      <c r="AC23" s="14">
        <v>0.38</v>
      </c>
      <c r="AD23" s="14">
        <v>0.67</v>
      </c>
      <c r="AE23" s="14">
        <v>0.34</v>
      </c>
      <c r="AF23" s="14">
        <v>0.33</v>
      </c>
    </row>
    <row r="24" spans="1:32">
      <c r="A24" s="20"/>
      <c r="B24" s="11" t="s">
        <v>568</v>
      </c>
      <c r="C24" s="12">
        <v>9714</v>
      </c>
      <c r="D24" s="12">
        <v>462</v>
      </c>
      <c r="E24" s="12">
        <v>442</v>
      </c>
      <c r="F24" s="12">
        <v>199</v>
      </c>
      <c r="G24" s="12">
        <v>260</v>
      </c>
      <c r="H24" s="12">
        <v>428</v>
      </c>
      <c r="I24" s="12">
        <v>547</v>
      </c>
      <c r="J24" s="12">
        <v>119</v>
      </c>
      <c r="K24" s="12">
        <v>486</v>
      </c>
      <c r="L24" s="12">
        <v>381</v>
      </c>
      <c r="M24" s="12">
        <v>473</v>
      </c>
      <c r="N24" s="12">
        <v>478</v>
      </c>
      <c r="O24" s="12">
        <v>465</v>
      </c>
      <c r="P24" s="12">
        <v>397</v>
      </c>
      <c r="Q24" s="12">
        <v>252</v>
      </c>
      <c r="R24" s="12">
        <v>320</v>
      </c>
      <c r="S24" s="12">
        <v>427</v>
      </c>
      <c r="T24" s="12">
        <v>484</v>
      </c>
      <c r="U24" s="12">
        <v>157</v>
      </c>
      <c r="V24" s="12">
        <v>290</v>
      </c>
      <c r="W24" s="12">
        <v>289</v>
      </c>
      <c r="X24" s="12">
        <v>538</v>
      </c>
      <c r="Y24" s="12">
        <v>238</v>
      </c>
      <c r="Z24" s="12">
        <v>202</v>
      </c>
      <c r="AA24" s="12">
        <v>399</v>
      </c>
      <c r="AB24" s="12">
        <v>343</v>
      </c>
      <c r="AC24" s="12">
        <v>426</v>
      </c>
      <c r="AD24" s="12">
        <v>251</v>
      </c>
      <c r="AE24" s="12">
        <v>510</v>
      </c>
      <c r="AF24" s="12">
        <v>477</v>
      </c>
    </row>
    <row r="25" spans="1:32">
      <c r="A25" s="20"/>
      <c r="B25" s="13" t="s">
        <v>569</v>
      </c>
      <c r="C25" s="14">
        <v>0.37</v>
      </c>
      <c r="D25" s="14">
        <v>0.46</v>
      </c>
      <c r="E25" s="14">
        <v>0.43</v>
      </c>
      <c r="F25" s="14">
        <v>0.2</v>
      </c>
      <c r="G25" s="14">
        <v>0.26</v>
      </c>
      <c r="H25" s="14">
        <v>0.35</v>
      </c>
      <c r="I25" s="14">
        <v>0.37</v>
      </c>
      <c r="J25" s="14">
        <v>0.4</v>
      </c>
      <c r="K25" s="14">
        <v>0.48</v>
      </c>
      <c r="L25" s="14">
        <v>0.38</v>
      </c>
      <c r="M25" s="14">
        <v>0.47</v>
      </c>
      <c r="N25" s="14">
        <v>0.48</v>
      </c>
      <c r="O25" s="14">
        <v>0.46</v>
      </c>
      <c r="P25" s="14">
        <v>0.39</v>
      </c>
      <c r="Q25" s="14">
        <v>0.25</v>
      </c>
      <c r="R25" s="14">
        <v>0.65</v>
      </c>
      <c r="S25" s="14">
        <v>0.42</v>
      </c>
      <c r="T25" s="14">
        <v>0.48</v>
      </c>
      <c r="U25" s="14">
        <v>0.31</v>
      </c>
      <c r="V25" s="14">
        <v>0.28999999999999998</v>
      </c>
      <c r="W25" s="14">
        <v>0.57999999999999996</v>
      </c>
      <c r="X25" s="14">
        <v>0.53</v>
      </c>
      <c r="Y25" s="14">
        <v>0.23</v>
      </c>
      <c r="Z25" s="14">
        <v>0.2</v>
      </c>
      <c r="AA25" s="14">
        <v>0.38</v>
      </c>
      <c r="AB25" s="14">
        <v>0.33</v>
      </c>
      <c r="AC25" s="14">
        <v>0.43</v>
      </c>
      <c r="AD25" s="14">
        <v>0.25</v>
      </c>
      <c r="AE25" s="14">
        <v>0.51</v>
      </c>
      <c r="AF25" s="14">
        <v>0.47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594</v>
      </c>
      <c r="C3" s="18"/>
      <c r="D3" s="18"/>
      <c r="E3" s="18"/>
      <c r="F3" s="18"/>
      <c r="H3" s="18" t="s">
        <v>595</v>
      </c>
      <c r="I3" s="18"/>
      <c r="J3" s="18"/>
      <c r="K3" s="18"/>
      <c r="L3" s="18"/>
    </row>
    <row r="4" spans="1:32" ht="27" customHeight="1">
      <c r="B4" s="18" t="s">
        <v>596</v>
      </c>
      <c r="C4" s="18"/>
      <c r="D4" s="18"/>
      <c r="E4" s="18"/>
      <c r="F4" s="18"/>
      <c r="H4" s="18" t="s">
        <v>597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3559</v>
      </c>
      <c r="D12" s="12">
        <v>127</v>
      </c>
      <c r="E12" s="12">
        <v>136</v>
      </c>
      <c r="F12" s="12">
        <v>78</v>
      </c>
      <c r="G12" s="12">
        <v>133</v>
      </c>
      <c r="H12" s="12">
        <v>142</v>
      </c>
      <c r="I12" s="12">
        <v>174</v>
      </c>
      <c r="J12" s="12">
        <v>32</v>
      </c>
      <c r="K12" s="12">
        <v>130</v>
      </c>
      <c r="L12" s="12">
        <v>238</v>
      </c>
      <c r="M12" s="12">
        <v>89</v>
      </c>
      <c r="N12" s="12">
        <v>146</v>
      </c>
      <c r="O12" s="12">
        <v>156</v>
      </c>
      <c r="P12" s="12">
        <v>173</v>
      </c>
      <c r="Q12" s="12">
        <v>147</v>
      </c>
      <c r="R12" s="12">
        <v>79</v>
      </c>
      <c r="S12" s="12">
        <v>196</v>
      </c>
      <c r="T12" s="12">
        <v>175</v>
      </c>
      <c r="U12" s="12">
        <v>83</v>
      </c>
      <c r="V12" s="12">
        <v>158</v>
      </c>
      <c r="W12" s="12">
        <v>171</v>
      </c>
      <c r="X12" s="12">
        <v>147</v>
      </c>
      <c r="Y12" s="12">
        <v>200</v>
      </c>
      <c r="Z12" s="12">
        <v>100</v>
      </c>
      <c r="AA12" s="12">
        <v>87</v>
      </c>
      <c r="AB12" s="12">
        <v>163</v>
      </c>
      <c r="AC12" s="12">
        <v>230</v>
      </c>
      <c r="AD12" s="12">
        <v>177</v>
      </c>
      <c r="AE12" s="12">
        <v>133</v>
      </c>
      <c r="AF12" s="12">
        <v>97</v>
      </c>
    </row>
    <row r="13" spans="1:32">
      <c r="A13" s="20"/>
      <c r="B13" s="13" t="s">
        <v>559</v>
      </c>
      <c r="C13" s="14">
        <v>0.14000000000000001</v>
      </c>
      <c r="D13" s="14">
        <v>0.13</v>
      </c>
      <c r="E13" s="14">
        <v>0.13</v>
      </c>
      <c r="F13" s="14">
        <v>0.08</v>
      </c>
      <c r="G13" s="14">
        <v>0.13</v>
      </c>
      <c r="H13" s="14">
        <v>0.12</v>
      </c>
      <c r="I13" s="14">
        <v>0.12</v>
      </c>
      <c r="J13" s="14">
        <v>0.11</v>
      </c>
      <c r="K13" s="14">
        <v>0.13</v>
      </c>
      <c r="L13" s="14">
        <v>0.24</v>
      </c>
      <c r="M13" s="14">
        <v>0.09</v>
      </c>
      <c r="N13" s="14">
        <v>0.15</v>
      </c>
      <c r="O13" s="14">
        <v>0.16</v>
      </c>
      <c r="P13" s="14">
        <v>0.17</v>
      </c>
      <c r="Q13" s="14">
        <v>0.14000000000000001</v>
      </c>
      <c r="R13" s="14">
        <v>0.16</v>
      </c>
      <c r="S13" s="14">
        <v>0.19</v>
      </c>
      <c r="T13" s="14">
        <v>0.17</v>
      </c>
      <c r="U13" s="14">
        <v>0.16</v>
      </c>
      <c r="V13" s="14">
        <v>0.16</v>
      </c>
      <c r="W13" s="14">
        <v>0.34</v>
      </c>
      <c r="X13" s="14">
        <v>0.15</v>
      </c>
      <c r="Y13" s="14">
        <v>0.2</v>
      </c>
      <c r="Z13" s="14">
        <v>0.1</v>
      </c>
      <c r="AA13" s="14">
        <v>0.08</v>
      </c>
      <c r="AB13" s="14">
        <v>0.16</v>
      </c>
      <c r="AC13" s="14">
        <v>0.23</v>
      </c>
      <c r="AD13" s="14">
        <v>0.18</v>
      </c>
      <c r="AE13" s="14">
        <v>0.13</v>
      </c>
      <c r="AF13" s="14">
        <v>0.1</v>
      </c>
    </row>
    <row r="14" spans="1:32">
      <c r="A14" s="20"/>
      <c r="B14" s="11" t="s">
        <v>560</v>
      </c>
      <c r="C14" s="12">
        <v>9064</v>
      </c>
      <c r="D14" s="12">
        <v>414</v>
      </c>
      <c r="E14" s="12">
        <v>316</v>
      </c>
      <c r="F14" s="12">
        <v>399</v>
      </c>
      <c r="G14" s="12">
        <v>306</v>
      </c>
      <c r="H14" s="12">
        <v>406</v>
      </c>
      <c r="I14" s="12">
        <v>513</v>
      </c>
      <c r="J14" s="12">
        <v>106</v>
      </c>
      <c r="K14" s="12">
        <v>356</v>
      </c>
      <c r="L14" s="12">
        <v>351</v>
      </c>
      <c r="M14" s="12">
        <v>242</v>
      </c>
      <c r="N14" s="12">
        <v>308</v>
      </c>
      <c r="O14" s="12">
        <v>291</v>
      </c>
      <c r="P14" s="12">
        <v>466</v>
      </c>
      <c r="Q14" s="12">
        <v>325</v>
      </c>
      <c r="R14" s="12">
        <v>171</v>
      </c>
      <c r="S14" s="12">
        <v>342</v>
      </c>
      <c r="T14" s="12">
        <v>293</v>
      </c>
      <c r="U14" s="12">
        <v>210</v>
      </c>
      <c r="V14" s="12">
        <v>398</v>
      </c>
      <c r="W14" s="12">
        <v>178</v>
      </c>
      <c r="X14" s="12">
        <v>389</v>
      </c>
      <c r="Y14" s="12">
        <v>344</v>
      </c>
      <c r="Z14" s="12">
        <v>480</v>
      </c>
      <c r="AA14" s="12">
        <v>330</v>
      </c>
      <c r="AB14" s="12">
        <v>430</v>
      </c>
      <c r="AC14" s="12">
        <v>355</v>
      </c>
      <c r="AD14" s="12">
        <v>383</v>
      </c>
      <c r="AE14" s="12">
        <v>370</v>
      </c>
      <c r="AF14" s="12">
        <v>358</v>
      </c>
    </row>
    <row r="15" spans="1:32">
      <c r="A15" s="20"/>
      <c r="B15" s="13" t="s">
        <v>561</v>
      </c>
      <c r="C15" s="14">
        <v>0.34</v>
      </c>
      <c r="D15" s="14">
        <v>0.41</v>
      </c>
      <c r="E15" s="14">
        <v>0.31</v>
      </c>
      <c r="F15" s="14">
        <v>0.4</v>
      </c>
      <c r="G15" s="14">
        <v>0.31</v>
      </c>
      <c r="H15" s="14">
        <v>0.33</v>
      </c>
      <c r="I15" s="14">
        <v>0.34</v>
      </c>
      <c r="J15" s="14">
        <v>0.36</v>
      </c>
      <c r="K15" s="14">
        <v>0.35</v>
      </c>
      <c r="L15" s="14">
        <v>0.35</v>
      </c>
      <c r="M15" s="14">
        <v>0.24</v>
      </c>
      <c r="N15" s="14">
        <v>0.31</v>
      </c>
      <c r="O15" s="14">
        <v>0.28999999999999998</v>
      </c>
      <c r="P15" s="14">
        <v>0.46</v>
      </c>
      <c r="Q15" s="14">
        <v>0.32</v>
      </c>
      <c r="R15" s="14">
        <v>0.34</v>
      </c>
      <c r="S15" s="14">
        <v>0.34</v>
      </c>
      <c r="T15" s="14">
        <v>0.28999999999999998</v>
      </c>
      <c r="U15" s="14">
        <v>0.41</v>
      </c>
      <c r="V15" s="14">
        <v>0.39</v>
      </c>
      <c r="W15" s="14">
        <v>0.35</v>
      </c>
      <c r="X15" s="14">
        <v>0.38</v>
      </c>
      <c r="Y15" s="14">
        <v>0.34</v>
      </c>
      <c r="Z15" s="14">
        <v>0.48</v>
      </c>
      <c r="AA15" s="14">
        <v>0.31</v>
      </c>
      <c r="AB15" s="14">
        <v>0.41</v>
      </c>
      <c r="AC15" s="14">
        <v>0.35</v>
      </c>
      <c r="AD15" s="14">
        <v>0.38</v>
      </c>
      <c r="AE15" s="14">
        <v>0.37</v>
      </c>
      <c r="AF15" s="14">
        <v>0.35</v>
      </c>
    </row>
    <row r="16" spans="1:32">
      <c r="A16" s="20"/>
      <c r="B16" s="11" t="s">
        <v>562</v>
      </c>
      <c r="C16" s="12">
        <v>7459</v>
      </c>
      <c r="D16" s="12">
        <v>334</v>
      </c>
      <c r="E16" s="12">
        <v>255</v>
      </c>
      <c r="F16" s="12">
        <v>307</v>
      </c>
      <c r="G16" s="12">
        <v>275</v>
      </c>
      <c r="H16" s="12">
        <v>393</v>
      </c>
      <c r="I16" s="12">
        <v>476</v>
      </c>
      <c r="J16" s="12">
        <v>83</v>
      </c>
      <c r="K16" s="12">
        <v>279</v>
      </c>
      <c r="L16" s="12">
        <v>229</v>
      </c>
      <c r="M16" s="12">
        <v>325</v>
      </c>
      <c r="N16" s="12">
        <v>263</v>
      </c>
      <c r="O16" s="12">
        <v>288</v>
      </c>
      <c r="P16" s="12">
        <v>196</v>
      </c>
      <c r="Q16" s="12">
        <v>293</v>
      </c>
      <c r="R16" s="12">
        <v>135</v>
      </c>
      <c r="S16" s="12">
        <v>258</v>
      </c>
      <c r="T16" s="12">
        <v>229</v>
      </c>
      <c r="U16" s="12">
        <v>132</v>
      </c>
      <c r="V16" s="12">
        <v>254</v>
      </c>
      <c r="W16" s="12">
        <v>90</v>
      </c>
      <c r="X16" s="12">
        <v>317</v>
      </c>
      <c r="Y16" s="12">
        <v>176</v>
      </c>
      <c r="Z16" s="12">
        <v>288</v>
      </c>
      <c r="AA16" s="12">
        <v>322</v>
      </c>
      <c r="AB16" s="12">
        <v>235</v>
      </c>
      <c r="AC16" s="12">
        <v>228</v>
      </c>
      <c r="AD16" s="12">
        <v>244</v>
      </c>
      <c r="AE16" s="12">
        <v>296</v>
      </c>
      <c r="AF16" s="12">
        <v>268</v>
      </c>
    </row>
    <row r="17" spans="1:32">
      <c r="A17" s="20"/>
      <c r="B17" s="13" t="s">
        <v>563</v>
      </c>
      <c r="C17" s="14">
        <v>0.28000000000000003</v>
      </c>
      <c r="D17" s="14">
        <v>0.33</v>
      </c>
      <c r="E17" s="14">
        <v>0.25</v>
      </c>
      <c r="F17" s="14">
        <v>0.3</v>
      </c>
      <c r="G17" s="14">
        <v>0.27</v>
      </c>
      <c r="H17" s="14">
        <v>0.32</v>
      </c>
      <c r="I17" s="14">
        <v>0.31</v>
      </c>
      <c r="J17" s="14">
        <v>0.28000000000000003</v>
      </c>
      <c r="K17" s="14">
        <v>0.28000000000000003</v>
      </c>
      <c r="L17" s="14">
        <v>0.23</v>
      </c>
      <c r="M17" s="14">
        <v>0.33</v>
      </c>
      <c r="N17" s="14">
        <v>0.26</v>
      </c>
      <c r="O17" s="14">
        <v>0.28999999999999998</v>
      </c>
      <c r="P17" s="14">
        <v>0.19</v>
      </c>
      <c r="Q17" s="14">
        <v>0.28999999999999998</v>
      </c>
      <c r="R17" s="14">
        <v>0.27</v>
      </c>
      <c r="S17" s="14">
        <v>0.26</v>
      </c>
      <c r="T17" s="14">
        <v>0.23</v>
      </c>
      <c r="U17" s="14">
        <v>0.26</v>
      </c>
      <c r="V17" s="14">
        <v>0.25</v>
      </c>
      <c r="W17" s="14">
        <v>0.18</v>
      </c>
      <c r="X17" s="14">
        <v>0.31</v>
      </c>
      <c r="Y17" s="14">
        <v>0.17</v>
      </c>
      <c r="Z17" s="14">
        <v>0.28000000000000003</v>
      </c>
      <c r="AA17" s="14">
        <v>0.31</v>
      </c>
      <c r="AB17" s="14">
        <v>0.23</v>
      </c>
      <c r="AC17" s="14">
        <v>0.23</v>
      </c>
      <c r="AD17" s="14">
        <v>0.24</v>
      </c>
      <c r="AE17" s="14">
        <v>0.3</v>
      </c>
      <c r="AF17" s="14">
        <v>0.26</v>
      </c>
    </row>
    <row r="18" spans="1:32">
      <c r="A18" s="20"/>
      <c r="B18" s="11" t="s">
        <v>564</v>
      </c>
      <c r="C18" s="12">
        <v>4988</v>
      </c>
      <c r="D18" s="12">
        <v>106</v>
      </c>
      <c r="E18" s="12">
        <v>234</v>
      </c>
      <c r="F18" s="12">
        <v>174</v>
      </c>
      <c r="G18" s="12">
        <v>202</v>
      </c>
      <c r="H18" s="12">
        <v>213</v>
      </c>
      <c r="I18" s="12">
        <v>280</v>
      </c>
      <c r="J18" s="12">
        <v>68</v>
      </c>
      <c r="K18" s="12">
        <v>190</v>
      </c>
      <c r="L18" s="12">
        <v>106</v>
      </c>
      <c r="M18" s="12">
        <v>324</v>
      </c>
      <c r="N18" s="12">
        <v>254</v>
      </c>
      <c r="O18" s="12">
        <v>196</v>
      </c>
      <c r="P18" s="12">
        <v>154</v>
      </c>
      <c r="Q18" s="12">
        <v>235</v>
      </c>
      <c r="R18" s="12">
        <v>97</v>
      </c>
      <c r="S18" s="12">
        <v>145</v>
      </c>
      <c r="T18" s="12">
        <v>208</v>
      </c>
      <c r="U18" s="12">
        <v>55</v>
      </c>
      <c r="V18" s="12">
        <v>183</v>
      </c>
      <c r="W18" s="12">
        <v>50</v>
      </c>
      <c r="X18" s="12">
        <v>94</v>
      </c>
      <c r="Y18" s="12">
        <v>229</v>
      </c>
      <c r="Z18" s="12">
        <v>95</v>
      </c>
      <c r="AA18" s="12">
        <v>212</v>
      </c>
      <c r="AB18" s="12">
        <v>145</v>
      </c>
      <c r="AC18" s="12">
        <v>152</v>
      </c>
      <c r="AD18" s="12">
        <v>170</v>
      </c>
      <c r="AE18" s="12">
        <v>155</v>
      </c>
      <c r="AF18" s="12">
        <v>255</v>
      </c>
    </row>
    <row r="19" spans="1:32">
      <c r="A19" s="20"/>
      <c r="B19" s="13" t="s">
        <v>565</v>
      </c>
      <c r="C19" s="14">
        <v>0.19</v>
      </c>
      <c r="D19" s="14">
        <v>0.11</v>
      </c>
      <c r="E19" s="14">
        <v>0.23</v>
      </c>
      <c r="F19" s="14">
        <v>0.17</v>
      </c>
      <c r="G19" s="14">
        <v>0.2</v>
      </c>
      <c r="H19" s="14">
        <v>0.18</v>
      </c>
      <c r="I19" s="14">
        <v>0.19</v>
      </c>
      <c r="J19" s="14">
        <v>0.23</v>
      </c>
      <c r="K19" s="14">
        <v>0.19</v>
      </c>
      <c r="L19" s="14">
        <v>0.1</v>
      </c>
      <c r="M19" s="14">
        <v>0.32</v>
      </c>
      <c r="N19" s="14">
        <v>0.25</v>
      </c>
      <c r="O19" s="14">
        <v>0.19</v>
      </c>
      <c r="P19" s="14">
        <v>0.15</v>
      </c>
      <c r="Q19" s="14">
        <v>0.23</v>
      </c>
      <c r="R19" s="14">
        <v>0.19</v>
      </c>
      <c r="S19" s="14">
        <v>0.14000000000000001</v>
      </c>
      <c r="T19" s="14">
        <v>0.2</v>
      </c>
      <c r="U19" s="14">
        <v>0.11</v>
      </c>
      <c r="V19" s="14">
        <v>0.18</v>
      </c>
      <c r="W19" s="14">
        <v>0.1</v>
      </c>
      <c r="X19" s="14">
        <v>0.09</v>
      </c>
      <c r="Y19" s="14">
        <v>0.23</v>
      </c>
      <c r="Z19" s="14">
        <v>0.09</v>
      </c>
      <c r="AA19" s="14">
        <v>0.2</v>
      </c>
      <c r="AB19" s="14">
        <v>0.14000000000000001</v>
      </c>
      <c r="AC19" s="14">
        <v>0.15</v>
      </c>
      <c r="AD19" s="14">
        <v>0.17</v>
      </c>
      <c r="AE19" s="14">
        <v>0.15</v>
      </c>
      <c r="AF19" s="14">
        <v>0.25</v>
      </c>
    </row>
    <row r="20" spans="1:32">
      <c r="A20" s="20"/>
      <c r="B20" s="11" t="s">
        <v>468</v>
      </c>
      <c r="C20" s="12">
        <v>1249</v>
      </c>
      <c r="D20" s="12">
        <v>22</v>
      </c>
      <c r="E20" s="12">
        <v>77</v>
      </c>
      <c r="F20" s="12">
        <v>48</v>
      </c>
      <c r="G20" s="12">
        <v>89</v>
      </c>
      <c r="H20" s="12">
        <v>63</v>
      </c>
      <c r="I20" s="12">
        <v>67</v>
      </c>
      <c r="J20" s="12">
        <v>5</v>
      </c>
      <c r="K20" s="12">
        <v>52</v>
      </c>
      <c r="L20" s="12">
        <v>83</v>
      </c>
      <c r="M20" s="12">
        <v>22</v>
      </c>
      <c r="N20" s="12">
        <v>33</v>
      </c>
      <c r="O20" s="12">
        <v>72</v>
      </c>
      <c r="P20" s="12">
        <v>33</v>
      </c>
      <c r="Q20" s="12">
        <v>18</v>
      </c>
      <c r="R20" s="12">
        <v>18</v>
      </c>
      <c r="S20" s="12">
        <v>68</v>
      </c>
      <c r="T20" s="12">
        <v>109</v>
      </c>
      <c r="U20" s="12">
        <v>28</v>
      </c>
      <c r="V20" s="12">
        <v>24</v>
      </c>
      <c r="W20" s="12">
        <v>15</v>
      </c>
      <c r="X20" s="12">
        <v>74</v>
      </c>
      <c r="Y20" s="12">
        <v>59</v>
      </c>
      <c r="Z20" s="12">
        <v>46</v>
      </c>
      <c r="AA20" s="12">
        <v>102</v>
      </c>
      <c r="AB20" s="12">
        <v>66</v>
      </c>
      <c r="AC20" s="12">
        <v>45</v>
      </c>
      <c r="AD20" s="12">
        <v>31</v>
      </c>
      <c r="AE20" s="12">
        <v>47</v>
      </c>
      <c r="AF20" s="12">
        <v>42</v>
      </c>
    </row>
    <row r="21" spans="1:32">
      <c r="A21" s="20"/>
      <c r="B21" s="13" t="s">
        <v>469</v>
      </c>
      <c r="C21" s="14">
        <v>0.05</v>
      </c>
      <c r="D21" s="14">
        <v>0.02</v>
      </c>
      <c r="E21" s="14">
        <v>0.08</v>
      </c>
      <c r="F21" s="14">
        <v>0.05</v>
      </c>
      <c r="G21" s="14">
        <v>0.09</v>
      </c>
      <c r="H21" s="14">
        <v>0.05</v>
      </c>
      <c r="I21" s="14">
        <v>0.04</v>
      </c>
      <c r="J21" s="14">
        <v>0.02</v>
      </c>
      <c r="K21" s="14">
        <v>0.05</v>
      </c>
      <c r="L21" s="14">
        <v>0.08</v>
      </c>
      <c r="M21" s="14">
        <v>0.02</v>
      </c>
      <c r="N21" s="14">
        <v>0.03</v>
      </c>
      <c r="O21" s="14">
        <v>7.0000000000000007E-2</v>
      </c>
      <c r="P21" s="14">
        <v>0.03</v>
      </c>
      <c r="Q21" s="14">
        <v>0.02</v>
      </c>
      <c r="R21" s="14">
        <v>0.04</v>
      </c>
      <c r="S21" s="14">
        <v>7.0000000000000007E-2</v>
      </c>
      <c r="T21" s="14">
        <v>0.11</v>
      </c>
      <c r="U21" s="14">
        <v>0.06</v>
      </c>
      <c r="V21" s="14">
        <v>0.02</v>
      </c>
      <c r="W21" s="14">
        <v>0.03</v>
      </c>
      <c r="X21" s="14">
        <v>7.0000000000000007E-2</v>
      </c>
      <c r="Y21" s="14">
        <v>0.06</v>
      </c>
      <c r="Z21" s="14">
        <v>0.05</v>
      </c>
      <c r="AA21" s="14">
        <v>0.1</v>
      </c>
      <c r="AB21" s="14">
        <v>0.06</v>
      </c>
      <c r="AC21" s="14">
        <v>0.04</v>
      </c>
      <c r="AD21" s="14">
        <v>0.03</v>
      </c>
      <c r="AE21" s="14">
        <v>0.05</v>
      </c>
      <c r="AF21" s="14">
        <v>0.04</v>
      </c>
    </row>
    <row r="22" spans="1:32">
      <c r="A22" s="20"/>
      <c r="B22" s="11" t="s">
        <v>566</v>
      </c>
      <c r="C22" s="12">
        <v>12623</v>
      </c>
      <c r="D22" s="12">
        <v>541</v>
      </c>
      <c r="E22" s="12">
        <v>452</v>
      </c>
      <c r="F22" s="12">
        <v>477</v>
      </c>
      <c r="G22" s="12">
        <v>439</v>
      </c>
      <c r="H22" s="12">
        <v>548</v>
      </c>
      <c r="I22" s="12">
        <v>687</v>
      </c>
      <c r="J22" s="12">
        <v>138</v>
      </c>
      <c r="K22" s="12">
        <v>486</v>
      </c>
      <c r="L22" s="12">
        <v>589</v>
      </c>
      <c r="M22" s="12">
        <v>331</v>
      </c>
      <c r="N22" s="12">
        <v>454</v>
      </c>
      <c r="O22" s="12">
        <v>447</v>
      </c>
      <c r="P22" s="12">
        <v>639</v>
      </c>
      <c r="Q22" s="12">
        <v>472</v>
      </c>
      <c r="R22" s="12">
        <v>250</v>
      </c>
      <c r="S22" s="12">
        <v>538</v>
      </c>
      <c r="T22" s="12">
        <v>468</v>
      </c>
      <c r="U22" s="12">
        <v>293</v>
      </c>
      <c r="V22" s="12">
        <v>556</v>
      </c>
      <c r="W22" s="12">
        <v>349</v>
      </c>
      <c r="X22" s="12">
        <v>536</v>
      </c>
      <c r="Y22" s="12">
        <v>544</v>
      </c>
      <c r="Z22" s="12">
        <v>580</v>
      </c>
      <c r="AA22" s="12">
        <v>417</v>
      </c>
      <c r="AB22" s="12">
        <v>593</v>
      </c>
      <c r="AC22" s="12">
        <v>585</v>
      </c>
      <c r="AD22" s="12">
        <v>560</v>
      </c>
      <c r="AE22" s="12">
        <v>503</v>
      </c>
      <c r="AF22" s="12">
        <v>455</v>
      </c>
    </row>
    <row r="23" spans="1:32">
      <c r="A23" s="20"/>
      <c r="B23" s="13" t="s">
        <v>567</v>
      </c>
      <c r="C23" s="14">
        <v>0.48</v>
      </c>
      <c r="D23" s="14">
        <v>0.54</v>
      </c>
      <c r="E23" s="14">
        <v>0.44</v>
      </c>
      <c r="F23" s="14">
        <v>0.48</v>
      </c>
      <c r="G23" s="14">
        <v>0.44</v>
      </c>
      <c r="H23" s="14">
        <v>0.45</v>
      </c>
      <c r="I23" s="14">
        <v>0.46</v>
      </c>
      <c r="J23" s="14">
        <v>0.47</v>
      </c>
      <c r="K23" s="14">
        <v>0.48</v>
      </c>
      <c r="L23" s="14">
        <v>0.59</v>
      </c>
      <c r="M23" s="14">
        <v>0.33</v>
      </c>
      <c r="N23" s="14">
        <v>0.46</v>
      </c>
      <c r="O23" s="14">
        <v>0.45</v>
      </c>
      <c r="P23" s="14">
        <v>0.63</v>
      </c>
      <c r="Q23" s="14">
        <v>0.46</v>
      </c>
      <c r="R23" s="14">
        <v>0.5</v>
      </c>
      <c r="S23" s="14">
        <v>0.53</v>
      </c>
      <c r="T23" s="14">
        <v>0.46</v>
      </c>
      <c r="U23" s="14">
        <v>0.57000000000000006</v>
      </c>
      <c r="V23" s="14">
        <v>0.55000000000000004</v>
      </c>
      <c r="W23" s="14">
        <v>0.69000000000000006</v>
      </c>
      <c r="X23" s="14">
        <v>0.53</v>
      </c>
      <c r="Y23" s="14">
        <v>0.54</v>
      </c>
      <c r="Z23" s="14">
        <v>0.57999999999999996</v>
      </c>
      <c r="AA23" s="14">
        <v>0.39</v>
      </c>
      <c r="AB23" s="14">
        <v>0.57000000000000006</v>
      </c>
      <c r="AC23" s="14">
        <v>0.57999999999999996</v>
      </c>
      <c r="AD23" s="14">
        <v>0.56000000000000005</v>
      </c>
      <c r="AE23" s="14">
        <v>0.5</v>
      </c>
      <c r="AF23" s="14">
        <v>0.45</v>
      </c>
    </row>
    <row r="24" spans="1:32">
      <c r="A24" s="20"/>
      <c r="B24" s="11" t="s">
        <v>568</v>
      </c>
      <c r="C24" s="12">
        <v>12447</v>
      </c>
      <c r="D24" s="12">
        <v>440</v>
      </c>
      <c r="E24" s="12">
        <v>489</v>
      </c>
      <c r="F24" s="12">
        <v>481</v>
      </c>
      <c r="G24" s="12">
        <v>477</v>
      </c>
      <c r="H24" s="12">
        <v>606</v>
      </c>
      <c r="I24" s="12">
        <v>756</v>
      </c>
      <c r="J24" s="12">
        <v>151</v>
      </c>
      <c r="K24" s="12">
        <v>469</v>
      </c>
      <c r="L24" s="12">
        <v>335</v>
      </c>
      <c r="M24" s="12">
        <v>649</v>
      </c>
      <c r="N24" s="12">
        <v>517</v>
      </c>
      <c r="O24" s="12">
        <v>484</v>
      </c>
      <c r="P24" s="12">
        <v>350</v>
      </c>
      <c r="Q24" s="12">
        <v>528</v>
      </c>
      <c r="R24" s="12">
        <v>232</v>
      </c>
      <c r="S24" s="12">
        <v>403</v>
      </c>
      <c r="T24" s="12">
        <v>437</v>
      </c>
      <c r="U24" s="12">
        <v>187</v>
      </c>
      <c r="V24" s="12">
        <v>437</v>
      </c>
      <c r="W24" s="12">
        <v>140</v>
      </c>
      <c r="X24" s="12">
        <v>411</v>
      </c>
      <c r="Y24" s="12">
        <v>405</v>
      </c>
      <c r="Z24" s="12">
        <v>383</v>
      </c>
      <c r="AA24" s="12">
        <v>534</v>
      </c>
      <c r="AB24" s="12">
        <v>380</v>
      </c>
      <c r="AC24" s="12">
        <v>380</v>
      </c>
      <c r="AD24" s="12">
        <v>414</v>
      </c>
      <c r="AE24" s="12">
        <v>451</v>
      </c>
      <c r="AF24" s="12">
        <v>523</v>
      </c>
    </row>
    <row r="25" spans="1:32">
      <c r="A25" s="20"/>
      <c r="B25" s="13" t="s">
        <v>569</v>
      </c>
      <c r="C25" s="14">
        <v>0.47</v>
      </c>
      <c r="D25" s="14">
        <v>0.44</v>
      </c>
      <c r="E25" s="14">
        <v>0.48</v>
      </c>
      <c r="F25" s="14">
        <v>0.47</v>
      </c>
      <c r="G25" s="14">
        <v>0.47</v>
      </c>
      <c r="H25" s="14">
        <v>0.5</v>
      </c>
      <c r="I25" s="14">
        <v>0.5</v>
      </c>
      <c r="J25" s="14">
        <v>0.51</v>
      </c>
      <c r="K25" s="14">
        <v>0.47</v>
      </c>
      <c r="L25" s="14">
        <v>0.33</v>
      </c>
      <c r="M25" s="14">
        <v>0.65</v>
      </c>
      <c r="N25" s="14">
        <v>0.51</v>
      </c>
      <c r="O25" s="14">
        <v>0.48</v>
      </c>
      <c r="P25" s="14">
        <v>0.34</v>
      </c>
      <c r="Q25" s="14">
        <v>0.52</v>
      </c>
      <c r="R25" s="14">
        <v>0.46</v>
      </c>
      <c r="S25" s="14">
        <v>0.4</v>
      </c>
      <c r="T25" s="14">
        <v>0.43</v>
      </c>
      <c r="U25" s="14">
        <v>0.37</v>
      </c>
      <c r="V25" s="14">
        <v>0.43</v>
      </c>
      <c r="W25" s="14">
        <v>0.28000000000000003</v>
      </c>
      <c r="X25" s="14">
        <v>0.4</v>
      </c>
      <c r="Y25" s="14">
        <v>0.4</v>
      </c>
      <c r="Z25" s="14">
        <v>0.37</v>
      </c>
      <c r="AA25" s="14">
        <v>0.51</v>
      </c>
      <c r="AB25" s="14">
        <v>0.37</v>
      </c>
      <c r="AC25" s="14">
        <v>0.38</v>
      </c>
      <c r="AD25" s="14">
        <v>0.41</v>
      </c>
      <c r="AE25" s="14">
        <v>0.45</v>
      </c>
      <c r="AF25" s="14">
        <v>0.51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5"/>
  <sheetViews>
    <sheetView workbookViewId="0">
      <pane xSplit="3" ySplit="9" topLeftCell="D10" activePane="bottomRight" state="frozen"/>
      <selection pane="bottomRight" activeCell="E32" sqref="E32"/>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598</v>
      </c>
      <c r="C3" s="18"/>
      <c r="D3" s="18"/>
      <c r="E3" s="18"/>
      <c r="F3" s="18"/>
      <c r="H3" s="18" t="s">
        <v>599</v>
      </c>
      <c r="I3" s="18"/>
      <c r="J3" s="18"/>
      <c r="K3" s="18"/>
      <c r="L3" s="18"/>
    </row>
    <row r="4" spans="1:32" ht="27" customHeight="1">
      <c r="B4" s="18" t="s">
        <v>600</v>
      </c>
      <c r="C4" s="18"/>
      <c r="D4" s="18"/>
      <c r="E4" s="18"/>
      <c r="F4" s="18"/>
      <c r="H4" s="18" t="s">
        <v>601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14301</v>
      </c>
      <c r="D12" s="12">
        <v>492</v>
      </c>
      <c r="E12" s="12">
        <v>568</v>
      </c>
      <c r="F12" s="12">
        <v>493</v>
      </c>
      <c r="G12" s="12">
        <v>725</v>
      </c>
      <c r="H12" s="12">
        <v>663</v>
      </c>
      <c r="I12" s="12">
        <v>834</v>
      </c>
      <c r="J12" s="12">
        <v>171</v>
      </c>
      <c r="K12" s="12">
        <v>512</v>
      </c>
      <c r="L12" s="12">
        <v>624</v>
      </c>
      <c r="M12" s="12">
        <v>578</v>
      </c>
      <c r="N12" s="12">
        <v>575</v>
      </c>
      <c r="O12" s="12">
        <v>573</v>
      </c>
      <c r="P12" s="12">
        <v>452</v>
      </c>
      <c r="Q12" s="12">
        <v>601</v>
      </c>
      <c r="R12" s="12">
        <v>342</v>
      </c>
      <c r="S12" s="12">
        <v>626</v>
      </c>
      <c r="T12" s="12">
        <v>582</v>
      </c>
      <c r="U12" s="12">
        <v>329</v>
      </c>
      <c r="V12" s="12">
        <v>482</v>
      </c>
      <c r="W12" s="12">
        <v>288</v>
      </c>
      <c r="X12" s="12">
        <v>630</v>
      </c>
      <c r="Y12" s="12">
        <v>492</v>
      </c>
      <c r="Z12" s="12">
        <v>327</v>
      </c>
      <c r="AA12" s="12">
        <v>468</v>
      </c>
      <c r="AB12" s="12">
        <v>418</v>
      </c>
      <c r="AC12" s="12">
        <v>715</v>
      </c>
      <c r="AD12" s="12">
        <v>586</v>
      </c>
      <c r="AE12" s="12">
        <v>736</v>
      </c>
      <c r="AF12" s="12">
        <v>784</v>
      </c>
    </row>
    <row r="13" spans="1:32">
      <c r="A13" s="20"/>
      <c r="B13" s="13" t="s">
        <v>559</v>
      </c>
      <c r="C13" s="14">
        <v>0.54</v>
      </c>
      <c r="D13" s="14">
        <v>0.49</v>
      </c>
      <c r="E13" s="14">
        <v>0.56000000000000005</v>
      </c>
      <c r="F13" s="14">
        <v>0.49</v>
      </c>
      <c r="G13" s="14">
        <v>0.72</v>
      </c>
      <c r="H13" s="14">
        <v>0.55000000000000004</v>
      </c>
      <c r="I13" s="14">
        <v>0.55000000000000004</v>
      </c>
      <c r="J13" s="14">
        <v>0.57999999999999996</v>
      </c>
      <c r="K13" s="14">
        <v>0.51</v>
      </c>
      <c r="L13" s="14">
        <v>0.62</v>
      </c>
      <c r="M13" s="14">
        <v>0.57999999999999996</v>
      </c>
      <c r="N13" s="14">
        <v>0.57000000000000006</v>
      </c>
      <c r="O13" s="14">
        <v>0.57000000000000006</v>
      </c>
      <c r="P13" s="14">
        <v>0.44</v>
      </c>
      <c r="Q13" s="14">
        <v>0.59</v>
      </c>
      <c r="R13" s="14">
        <v>0.68</v>
      </c>
      <c r="S13" s="14">
        <v>0.62</v>
      </c>
      <c r="T13" s="14">
        <v>0.57000000000000006</v>
      </c>
      <c r="U13" s="14">
        <v>0.65</v>
      </c>
      <c r="V13" s="14">
        <v>0.47</v>
      </c>
      <c r="W13" s="14">
        <v>0.57000000000000006</v>
      </c>
      <c r="X13" s="14">
        <v>0.62</v>
      </c>
      <c r="Y13" s="14">
        <v>0.49</v>
      </c>
      <c r="Z13" s="14">
        <v>0.32</v>
      </c>
      <c r="AA13" s="14">
        <v>0.44</v>
      </c>
      <c r="AB13" s="14">
        <v>0.4</v>
      </c>
      <c r="AC13" s="14">
        <v>0.71</v>
      </c>
      <c r="AD13" s="14">
        <v>0.57999999999999996</v>
      </c>
      <c r="AE13" s="14">
        <v>0.74</v>
      </c>
      <c r="AF13" s="14">
        <v>0.77</v>
      </c>
    </row>
    <row r="14" spans="1:32">
      <c r="A14" s="20"/>
      <c r="B14" s="11" t="s">
        <v>560</v>
      </c>
      <c r="C14" s="12">
        <v>7186</v>
      </c>
      <c r="D14" s="12">
        <v>319</v>
      </c>
      <c r="E14" s="12">
        <v>257</v>
      </c>
      <c r="F14" s="12">
        <v>323</v>
      </c>
      <c r="G14" s="12">
        <v>176</v>
      </c>
      <c r="H14" s="12">
        <v>332</v>
      </c>
      <c r="I14" s="12">
        <v>416</v>
      </c>
      <c r="J14" s="12">
        <v>85</v>
      </c>
      <c r="K14" s="12">
        <v>288</v>
      </c>
      <c r="L14" s="12">
        <v>263</v>
      </c>
      <c r="M14" s="12">
        <v>291</v>
      </c>
      <c r="N14" s="12">
        <v>272</v>
      </c>
      <c r="O14" s="12">
        <v>221</v>
      </c>
      <c r="P14" s="12">
        <v>421</v>
      </c>
      <c r="Q14" s="12">
        <v>173</v>
      </c>
      <c r="R14" s="12">
        <v>105</v>
      </c>
      <c r="S14" s="12">
        <v>250</v>
      </c>
      <c r="T14" s="12">
        <v>252</v>
      </c>
      <c r="U14" s="12">
        <v>115</v>
      </c>
      <c r="V14" s="12">
        <v>337</v>
      </c>
      <c r="W14" s="12">
        <v>134</v>
      </c>
      <c r="X14" s="12">
        <v>288</v>
      </c>
      <c r="Y14" s="12">
        <v>310</v>
      </c>
      <c r="Z14" s="12">
        <v>470</v>
      </c>
      <c r="AA14" s="12">
        <v>399</v>
      </c>
      <c r="AB14" s="12">
        <v>358</v>
      </c>
      <c r="AC14" s="12">
        <v>201</v>
      </c>
      <c r="AD14" s="12">
        <v>277</v>
      </c>
      <c r="AE14" s="12">
        <v>173</v>
      </c>
      <c r="AF14" s="12">
        <v>175</v>
      </c>
    </row>
    <row r="15" spans="1:32">
      <c r="A15" s="20"/>
      <c r="B15" s="13" t="s">
        <v>561</v>
      </c>
      <c r="C15" s="14">
        <v>0.27</v>
      </c>
      <c r="D15" s="14">
        <v>0.32</v>
      </c>
      <c r="E15" s="14">
        <v>0.25</v>
      </c>
      <c r="F15" s="14">
        <v>0.32</v>
      </c>
      <c r="G15" s="14">
        <v>0.17</v>
      </c>
      <c r="H15" s="14">
        <v>0.27</v>
      </c>
      <c r="I15" s="14">
        <v>0.28000000000000003</v>
      </c>
      <c r="J15" s="14">
        <v>0.28999999999999998</v>
      </c>
      <c r="K15" s="14">
        <v>0.28999999999999998</v>
      </c>
      <c r="L15" s="14">
        <v>0.26</v>
      </c>
      <c r="M15" s="14">
        <v>0.28999999999999998</v>
      </c>
      <c r="N15" s="14">
        <v>0.27</v>
      </c>
      <c r="O15" s="14">
        <v>0.22</v>
      </c>
      <c r="P15" s="14">
        <v>0.41</v>
      </c>
      <c r="Q15" s="14">
        <v>0.17</v>
      </c>
      <c r="R15" s="14">
        <v>0.21</v>
      </c>
      <c r="S15" s="14">
        <v>0.25</v>
      </c>
      <c r="T15" s="14">
        <v>0.25</v>
      </c>
      <c r="U15" s="14">
        <v>0.23</v>
      </c>
      <c r="V15" s="14">
        <v>0.33</v>
      </c>
      <c r="W15" s="14">
        <v>0.27</v>
      </c>
      <c r="X15" s="14">
        <v>0.28000000000000003</v>
      </c>
      <c r="Y15" s="14">
        <v>0.31</v>
      </c>
      <c r="Z15" s="14">
        <v>0.47</v>
      </c>
      <c r="AA15" s="14">
        <v>0.38</v>
      </c>
      <c r="AB15" s="14">
        <v>0.35</v>
      </c>
      <c r="AC15" s="14">
        <v>0.2</v>
      </c>
      <c r="AD15" s="14">
        <v>0.27</v>
      </c>
      <c r="AE15" s="14">
        <v>0.17</v>
      </c>
      <c r="AF15" s="14">
        <v>0.17</v>
      </c>
    </row>
    <row r="16" spans="1:32">
      <c r="A16" s="20"/>
      <c r="B16" s="11" t="s">
        <v>562</v>
      </c>
      <c r="C16" s="12">
        <v>2539</v>
      </c>
      <c r="D16" s="12">
        <v>118</v>
      </c>
      <c r="E16" s="12">
        <v>81</v>
      </c>
      <c r="F16" s="12">
        <v>118</v>
      </c>
      <c r="G16" s="12">
        <v>51</v>
      </c>
      <c r="H16" s="12">
        <v>125</v>
      </c>
      <c r="I16" s="12">
        <v>145</v>
      </c>
      <c r="J16" s="12">
        <v>20</v>
      </c>
      <c r="K16" s="12">
        <v>126</v>
      </c>
      <c r="L16" s="12">
        <v>52</v>
      </c>
      <c r="M16" s="12">
        <v>58</v>
      </c>
      <c r="N16" s="12">
        <v>77</v>
      </c>
      <c r="O16" s="12">
        <v>81</v>
      </c>
      <c r="P16" s="12">
        <v>82</v>
      </c>
      <c r="Q16" s="12">
        <v>143</v>
      </c>
      <c r="R16" s="12">
        <v>33</v>
      </c>
      <c r="S16" s="12">
        <v>59</v>
      </c>
      <c r="T16" s="12">
        <v>49</v>
      </c>
      <c r="U16" s="12">
        <v>20</v>
      </c>
      <c r="V16" s="12">
        <v>137</v>
      </c>
      <c r="W16" s="12">
        <v>47</v>
      </c>
      <c r="X16" s="12">
        <v>65</v>
      </c>
      <c r="Y16" s="12">
        <v>121</v>
      </c>
      <c r="Z16" s="12">
        <v>114</v>
      </c>
      <c r="AA16" s="12">
        <v>79</v>
      </c>
      <c r="AB16" s="12">
        <v>166</v>
      </c>
      <c r="AC16" s="12">
        <v>51</v>
      </c>
      <c r="AD16" s="12">
        <v>66</v>
      </c>
      <c r="AE16" s="12">
        <v>27</v>
      </c>
      <c r="AF16" s="12">
        <v>33</v>
      </c>
    </row>
    <row r="17" spans="1:32">
      <c r="A17" s="20"/>
      <c r="B17" s="13" t="s">
        <v>563</v>
      </c>
      <c r="C17" s="14">
        <v>0.1</v>
      </c>
      <c r="D17" s="14">
        <v>0.12</v>
      </c>
      <c r="E17" s="14">
        <v>0.08</v>
      </c>
      <c r="F17" s="14">
        <v>0.12</v>
      </c>
      <c r="G17" s="14">
        <v>0.05</v>
      </c>
      <c r="H17" s="14">
        <v>0.1</v>
      </c>
      <c r="I17" s="14">
        <v>0.1</v>
      </c>
      <c r="J17" s="14">
        <v>7.0000000000000007E-2</v>
      </c>
      <c r="K17" s="14">
        <v>0.12</v>
      </c>
      <c r="L17" s="14">
        <v>0.05</v>
      </c>
      <c r="M17" s="14">
        <v>0.06</v>
      </c>
      <c r="N17" s="14">
        <v>0.08</v>
      </c>
      <c r="O17" s="14">
        <v>0.08</v>
      </c>
      <c r="P17" s="14">
        <v>0.08</v>
      </c>
      <c r="Q17" s="14">
        <v>0.14000000000000001</v>
      </c>
      <c r="R17" s="14">
        <v>7.0000000000000007E-2</v>
      </c>
      <c r="S17" s="14">
        <v>0.06</v>
      </c>
      <c r="T17" s="14">
        <v>0.05</v>
      </c>
      <c r="U17" s="14">
        <v>0.04</v>
      </c>
      <c r="V17" s="14">
        <v>0.14000000000000001</v>
      </c>
      <c r="W17" s="14">
        <v>0.09</v>
      </c>
      <c r="X17" s="14">
        <v>0.06</v>
      </c>
      <c r="Y17" s="14">
        <v>0.12</v>
      </c>
      <c r="Z17" s="14">
        <v>0.11</v>
      </c>
      <c r="AA17" s="14">
        <v>0.08</v>
      </c>
      <c r="AB17" s="14">
        <v>0.16</v>
      </c>
      <c r="AC17" s="14">
        <v>0.05</v>
      </c>
      <c r="AD17" s="14">
        <v>7.0000000000000007E-2</v>
      </c>
      <c r="AE17" s="14">
        <v>0.03</v>
      </c>
      <c r="AF17" s="14">
        <v>0.03</v>
      </c>
    </row>
    <row r="18" spans="1:32">
      <c r="A18" s="20"/>
      <c r="B18" s="11" t="s">
        <v>564</v>
      </c>
      <c r="C18" s="12">
        <v>1355</v>
      </c>
      <c r="D18" s="12">
        <v>47</v>
      </c>
      <c r="E18" s="12">
        <v>47</v>
      </c>
      <c r="F18" s="12">
        <v>44</v>
      </c>
      <c r="G18" s="12">
        <v>16</v>
      </c>
      <c r="H18" s="12">
        <v>41</v>
      </c>
      <c r="I18" s="12">
        <v>54</v>
      </c>
      <c r="J18" s="12">
        <v>12</v>
      </c>
      <c r="K18" s="12">
        <v>41</v>
      </c>
      <c r="L18" s="12">
        <v>22</v>
      </c>
      <c r="M18" s="12">
        <v>64</v>
      </c>
      <c r="N18" s="12">
        <v>54</v>
      </c>
      <c r="O18" s="12">
        <v>58</v>
      </c>
      <c r="P18" s="12">
        <v>45</v>
      </c>
      <c r="Q18" s="12">
        <v>102</v>
      </c>
      <c r="R18" s="12">
        <v>9</v>
      </c>
      <c r="S18" s="12">
        <v>10</v>
      </c>
      <c r="T18" s="12">
        <v>47</v>
      </c>
      <c r="U18" s="12">
        <v>20</v>
      </c>
      <c r="V18" s="12">
        <v>47</v>
      </c>
      <c r="W18" s="12">
        <v>29</v>
      </c>
      <c r="X18" s="12">
        <v>6</v>
      </c>
      <c r="Y18" s="12">
        <v>48</v>
      </c>
      <c r="Z18" s="12">
        <v>56</v>
      </c>
      <c r="AA18" s="12">
        <v>43</v>
      </c>
      <c r="AB18" s="12">
        <v>52</v>
      </c>
      <c r="AC18" s="12">
        <v>21</v>
      </c>
      <c r="AD18" s="12">
        <v>57</v>
      </c>
      <c r="AE18" s="12">
        <v>12</v>
      </c>
      <c r="AF18" s="12">
        <v>11</v>
      </c>
    </row>
    <row r="19" spans="1:32">
      <c r="A19" s="20"/>
      <c r="B19" s="13" t="s">
        <v>565</v>
      </c>
      <c r="C19" s="14">
        <v>0.05</v>
      </c>
      <c r="D19" s="14">
        <v>0.05</v>
      </c>
      <c r="E19" s="14">
        <v>0.05</v>
      </c>
      <c r="F19" s="14">
        <v>0.04</v>
      </c>
      <c r="G19" s="14">
        <v>0.02</v>
      </c>
      <c r="H19" s="14">
        <v>0.03</v>
      </c>
      <c r="I19" s="14">
        <v>0.03</v>
      </c>
      <c r="J19" s="14">
        <v>0.04</v>
      </c>
      <c r="K19" s="14">
        <v>0.04</v>
      </c>
      <c r="L19" s="14">
        <v>0.02</v>
      </c>
      <c r="M19" s="14">
        <v>0.06</v>
      </c>
      <c r="N19" s="14">
        <v>0.05</v>
      </c>
      <c r="O19" s="14">
        <v>0.06</v>
      </c>
      <c r="P19" s="14">
        <v>0.05</v>
      </c>
      <c r="Q19" s="14">
        <v>0.1</v>
      </c>
      <c r="R19" s="14">
        <v>0.02</v>
      </c>
      <c r="S19" s="14">
        <v>0.01</v>
      </c>
      <c r="T19" s="14">
        <v>0.05</v>
      </c>
      <c r="U19" s="14">
        <v>0.04</v>
      </c>
      <c r="V19" s="14">
        <v>0.05</v>
      </c>
      <c r="W19" s="14">
        <v>0.06</v>
      </c>
      <c r="X19" s="14">
        <v>0.01</v>
      </c>
      <c r="Y19" s="14">
        <v>0.05</v>
      </c>
      <c r="Z19" s="14">
        <v>0.06</v>
      </c>
      <c r="AA19" s="14">
        <v>0.04</v>
      </c>
      <c r="AB19" s="14">
        <v>0.05</v>
      </c>
      <c r="AC19" s="14">
        <v>0.02</v>
      </c>
      <c r="AD19" s="14">
        <v>0.06</v>
      </c>
      <c r="AE19" s="14">
        <v>0.01</v>
      </c>
      <c r="AF19" s="14">
        <v>0.01</v>
      </c>
    </row>
    <row r="20" spans="1:32">
      <c r="A20" s="20"/>
      <c r="B20" s="11" t="s">
        <v>468</v>
      </c>
      <c r="C20" s="12">
        <v>937</v>
      </c>
      <c r="D20" s="12">
        <v>27</v>
      </c>
      <c r="E20" s="12">
        <v>65</v>
      </c>
      <c r="F20" s="12">
        <v>27</v>
      </c>
      <c r="G20" s="12">
        <v>36</v>
      </c>
      <c r="H20" s="12">
        <v>56</v>
      </c>
      <c r="I20" s="12">
        <v>61</v>
      </c>
      <c r="J20" s="12">
        <v>6</v>
      </c>
      <c r="K20" s="12">
        <v>39</v>
      </c>
      <c r="L20" s="12">
        <v>46</v>
      </c>
      <c r="M20" s="12">
        <v>12</v>
      </c>
      <c r="N20" s="12">
        <v>26</v>
      </c>
      <c r="O20" s="12">
        <v>69</v>
      </c>
      <c r="P20" s="12">
        <v>22</v>
      </c>
      <c r="Q20" s="12">
        <v>0</v>
      </c>
      <c r="R20" s="12">
        <v>11</v>
      </c>
      <c r="S20" s="12">
        <v>63</v>
      </c>
      <c r="T20" s="12">
        <v>84</v>
      </c>
      <c r="U20" s="12">
        <v>23</v>
      </c>
      <c r="V20" s="12">
        <v>14</v>
      </c>
      <c r="W20" s="12">
        <v>6</v>
      </c>
      <c r="X20" s="12">
        <v>31</v>
      </c>
      <c r="Y20" s="12">
        <v>37</v>
      </c>
      <c r="Z20" s="12">
        <v>41</v>
      </c>
      <c r="AA20" s="12">
        <v>64</v>
      </c>
      <c r="AB20" s="12">
        <v>45</v>
      </c>
      <c r="AC20" s="12">
        <v>22</v>
      </c>
      <c r="AD20" s="12">
        <v>20</v>
      </c>
      <c r="AE20" s="12">
        <v>54</v>
      </c>
      <c r="AF20" s="12">
        <v>16</v>
      </c>
    </row>
    <row r="21" spans="1:32">
      <c r="A21" s="20"/>
      <c r="B21" s="13" t="s">
        <v>469</v>
      </c>
      <c r="C21" s="14">
        <v>0.04</v>
      </c>
      <c r="D21" s="14">
        <v>0.02</v>
      </c>
      <c r="E21" s="14">
        <v>0.06</v>
      </c>
      <c r="F21" s="14">
        <v>0.03</v>
      </c>
      <c r="G21" s="14">
        <v>0.04</v>
      </c>
      <c r="H21" s="14">
        <v>0.05</v>
      </c>
      <c r="I21" s="14">
        <v>0.04</v>
      </c>
      <c r="J21" s="14">
        <v>0.02</v>
      </c>
      <c r="K21" s="14">
        <v>0.04</v>
      </c>
      <c r="L21" s="14">
        <v>0.05</v>
      </c>
      <c r="M21" s="14">
        <v>0.01</v>
      </c>
      <c r="N21" s="14">
        <v>0.03</v>
      </c>
      <c r="O21" s="14">
        <v>7.0000000000000007E-2</v>
      </c>
      <c r="P21" s="14">
        <v>0.02</v>
      </c>
      <c r="Q21" s="15" t="s">
        <v>459</v>
      </c>
      <c r="R21" s="14">
        <v>0.02</v>
      </c>
      <c r="S21" s="14">
        <v>0.06</v>
      </c>
      <c r="T21" s="14">
        <v>0.08</v>
      </c>
      <c r="U21" s="14">
        <v>0.04</v>
      </c>
      <c r="V21" s="14">
        <v>0.01</v>
      </c>
      <c r="W21" s="14">
        <v>0.01</v>
      </c>
      <c r="X21" s="14">
        <v>0.03</v>
      </c>
      <c r="Y21" s="14">
        <v>0.03</v>
      </c>
      <c r="Z21" s="14">
        <v>0.04</v>
      </c>
      <c r="AA21" s="14">
        <v>0.06</v>
      </c>
      <c r="AB21" s="14">
        <v>0.04</v>
      </c>
      <c r="AC21" s="14">
        <v>0.02</v>
      </c>
      <c r="AD21" s="14">
        <v>0.02</v>
      </c>
      <c r="AE21" s="14">
        <v>0.05</v>
      </c>
      <c r="AF21" s="14">
        <v>0.02</v>
      </c>
    </row>
    <row r="22" spans="1:32">
      <c r="A22" s="20"/>
      <c r="B22" s="11" t="s">
        <v>566</v>
      </c>
      <c r="C22" s="12">
        <v>21487</v>
      </c>
      <c r="D22" s="12">
        <v>811</v>
      </c>
      <c r="E22" s="12">
        <v>825</v>
      </c>
      <c r="F22" s="12">
        <v>816</v>
      </c>
      <c r="G22" s="12">
        <v>901</v>
      </c>
      <c r="H22" s="12">
        <v>995</v>
      </c>
      <c r="I22" s="12">
        <v>1250</v>
      </c>
      <c r="J22" s="12">
        <v>256</v>
      </c>
      <c r="K22" s="12">
        <v>800</v>
      </c>
      <c r="L22" s="12">
        <v>887</v>
      </c>
      <c r="M22" s="12">
        <v>869</v>
      </c>
      <c r="N22" s="12">
        <v>847</v>
      </c>
      <c r="O22" s="12">
        <v>794</v>
      </c>
      <c r="P22" s="12">
        <v>873</v>
      </c>
      <c r="Q22" s="12">
        <v>774</v>
      </c>
      <c r="R22" s="12">
        <v>447</v>
      </c>
      <c r="S22" s="12">
        <v>876</v>
      </c>
      <c r="T22" s="12">
        <v>834</v>
      </c>
      <c r="U22" s="12">
        <v>444</v>
      </c>
      <c r="V22" s="12">
        <v>819</v>
      </c>
      <c r="W22" s="12">
        <v>422</v>
      </c>
      <c r="X22" s="12">
        <v>918</v>
      </c>
      <c r="Y22" s="12">
        <v>802</v>
      </c>
      <c r="Z22" s="12">
        <v>797</v>
      </c>
      <c r="AA22" s="12">
        <v>867</v>
      </c>
      <c r="AB22" s="12">
        <v>776</v>
      </c>
      <c r="AC22" s="12">
        <v>916</v>
      </c>
      <c r="AD22" s="12">
        <v>863</v>
      </c>
      <c r="AE22" s="12">
        <v>909</v>
      </c>
      <c r="AF22" s="12">
        <v>959</v>
      </c>
    </row>
    <row r="23" spans="1:32">
      <c r="A23" s="20"/>
      <c r="B23" s="13" t="s">
        <v>567</v>
      </c>
      <c r="C23" s="14">
        <v>0.81</v>
      </c>
      <c r="D23" s="14">
        <v>0.81</v>
      </c>
      <c r="E23" s="14">
        <v>0.81</v>
      </c>
      <c r="F23" s="14">
        <v>0.81</v>
      </c>
      <c r="G23" s="14">
        <v>0.89</v>
      </c>
      <c r="H23" s="14">
        <v>0.82000000000000006</v>
      </c>
      <c r="I23" s="14">
        <v>0.83000000000000007</v>
      </c>
      <c r="J23" s="14">
        <v>0.87</v>
      </c>
      <c r="K23" s="14">
        <v>0.8</v>
      </c>
      <c r="L23" s="14">
        <v>0.88</v>
      </c>
      <c r="M23" s="14">
        <v>0.87</v>
      </c>
      <c r="N23" s="14">
        <v>0.84</v>
      </c>
      <c r="O23" s="14">
        <v>0.79</v>
      </c>
      <c r="P23" s="14">
        <v>0.85</v>
      </c>
      <c r="Q23" s="14">
        <v>0.76</v>
      </c>
      <c r="R23" s="14">
        <v>0.89</v>
      </c>
      <c r="S23" s="14">
        <v>0.87</v>
      </c>
      <c r="T23" s="14">
        <v>0.82000000000000006</v>
      </c>
      <c r="U23" s="14">
        <v>0.88</v>
      </c>
      <c r="V23" s="14">
        <v>0.8</v>
      </c>
      <c r="W23" s="14">
        <v>0.84</v>
      </c>
      <c r="X23" s="14">
        <v>0.9</v>
      </c>
      <c r="Y23" s="14">
        <v>0.8</v>
      </c>
      <c r="Z23" s="14">
        <v>0.79</v>
      </c>
      <c r="AA23" s="14">
        <v>0.82000000000000006</v>
      </c>
      <c r="AB23" s="14">
        <v>0.75</v>
      </c>
      <c r="AC23" s="14">
        <v>0.91</v>
      </c>
      <c r="AD23" s="14">
        <v>0.85</v>
      </c>
      <c r="AE23" s="14">
        <v>0.91</v>
      </c>
      <c r="AF23" s="14">
        <v>0.94000000000000006</v>
      </c>
    </row>
    <row r="24" spans="1:32">
      <c r="A24" s="20"/>
      <c r="B24" s="11" t="s">
        <v>568</v>
      </c>
      <c r="C24" s="12">
        <v>3894</v>
      </c>
      <c r="D24" s="12">
        <v>165</v>
      </c>
      <c r="E24" s="12">
        <v>128</v>
      </c>
      <c r="F24" s="12">
        <v>162</v>
      </c>
      <c r="G24" s="12">
        <v>67</v>
      </c>
      <c r="H24" s="12">
        <v>166</v>
      </c>
      <c r="I24" s="12">
        <v>199</v>
      </c>
      <c r="J24" s="12">
        <v>32</v>
      </c>
      <c r="K24" s="12">
        <v>167</v>
      </c>
      <c r="L24" s="12">
        <v>74</v>
      </c>
      <c r="M24" s="12">
        <v>122</v>
      </c>
      <c r="N24" s="12">
        <v>131</v>
      </c>
      <c r="O24" s="12">
        <v>139</v>
      </c>
      <c r="P24" s="12">
        <v>127</v>
      </c>
      <c r="Q24" s="12">
        <v>245</v>
      </c>
      <c r="R24" s="12">
        <v>42</v>
      </c>
      <c r="S24" s="12">
        <v>69</v>
      </c>
      <c r="T24" s="12">
        <v>96</v>
      </c>
      <c r="U24" s="12">
        <v>40</v>
      </c>
      <c r="V24" s="12">
        <v>184</v>
      </c>
      <c r="W24" s="12">
        <v>76</v>
      </c>
      <c r="X24" s="12">
        <v>71</v>
      </c>
      <c r="Y24" s="12">
        <v>169</v>
      </c>
      <c r="Z24" s="12">
        <v>170</v>
      </c>
      <c r="AA24" s="12">
        <v>122</v>
      </c>
      <c r="AB24" s="12">
        <v>218</v>
      </c>
      <c r="AC24" s="12">
        <v>72</v>
      </c>
      <c r="AD24" s="12">
        <v>123</v>
      </c>
      <c r="AE24" s="12">
        <v>39</v>
      </c>
      <c r="AF24" s="12">
        <v>44</v>
      </c>
    </row>
    <row r="25" spans="1:32">
      <c r="A25" s="20"/>
      <c r="B25" s="13" t="s">
        <v>569</v>
      </c>
      <c r="C25" s="14">
        <v>0.15</v>
      </c>
      <c r="D25" s="14">
        <v>0.17</v>
      </c>
      <c r="E25" s="14">
        <v>0.13</v>
      </c>
      <c r="F25" s="14">
        <v>0.16</v>
      </c>
      <c r="G25" s="14">
        <v>7.0000000000000007E-2</v>
      </c>
      <c r="H25" s="14">
        <v>0.13</v>
      </c>
      <c r="I25" s="14">
        <v>0.13</v>
      </c>
      <c r="J25" s="14">
        <v>0.11</v>
      </c>
      <c r="K25" s="14">
        <v>0.16</v>
      </c>
      <c r="L25" s="14">
        <v>7.0000000000000007E-2</v>
      </c>
      <c r="M25" s="14">
        <v>0.12</v>
      </c>
      <c r="N25" s="14">
        <v>0.13</v>
      </c>
      <c r="O25" s="14">
        <v>0.14000000000000001</v>
      </c>
      <c r="P25" s="14">
        <v>0.13</v>
      </c>
      <c r="Q25" s="14">
        <v>0.24</v>
      </c>
      <c r="R25" s="14">
        <v>0.09</v>
      </c>
      <c r="S25" s="14">
        <v>7.0000000000000007E-2</v>
      </c>
      <c r="T25" s="14">
        <v>0.1</v>
      </c>
      <c r="U25" s="14">
        <v>0.08</v>
      </c>
      <c r="V25" s="14">
        <v>0.19</v>
      </c>
      <c r="W25" s="14">
        <v>0.15</v>
      </c>
      <c r="X25" s="14">
        <v>7.0000000000000007E-2</v>
      </c>
      <c r="Y25" s="14">
        <v>0.17</v>
      </c>
      <c r="Z25" s="14">
        <v>0.17</v>
      </c>
      <c r="AA25" s="14">
        <v>0.12</v>
      </c>
      <c r="AB25" s="14">
        <v>0.21</v>
      </c>
      <c r="AC25" s="14">
        <v>7.0000000000000007E-2</v>
      </c>
      <c r="AD25" s="14">
        <v>0.13</v>
      </c>
      <c r="AE25" s="14">
        <v>0.04</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602</v>
      </c>
      <c r="C3" s="18"/>
      <c r="D3" s="18"/>
      <c r="E3" s="18"/>
      <c r="F3" s="18"/>
      <c r="H3" s="18" t="s">
        <v>603</v>
      </c>
      <c r="I3" s="18"/>
      <c r="J3" s="18"/>
      <c r="K3" s="18"/>
      <c r="L3" s="18"/>
    </row>
    <row r="4" spans="1:32" ht="27" customHeight="1">
      <c r="B4" s="18" t="s">
        <v>604</v>
      </c>
      <c r="C4" s="18"/>
      <c r="D4" s="18"/>
      <c r="E4" s="18"/>
      <c r="F4" s="18"/>
      <c r="H4" s="18" t="s">
        <v>605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2034</v>
      </c>
      <c r="D12" s="12">
        <v>57</v>
      </c>
      <c r="E12" s="12">
        <v>56</v>
      </c>
      <c r="F12" s="12">
        <v>46</v>
      </c>
      <c r="G12" s="12">
        <v>51</v>
      </c>
      <c r="H12" s="12">
        <v>66</v>
      </c>
      <c r="I12" s="12">
        <v>78</v>
      </c>
      <c r="J12" s="12">
        <v>12</v>
      </c>
      <c r="K12" s="12">
        <v>52</v>
      </c>
      <c r="L12" s="12">
        <v>122</v>
      </c>
      <c r="M12" s="12">
        <v>49</v>
      </c>
      <c r="N12" s="12">
        <v>94</v>
      </c>
      <c r="O12" s="12">
        <v>52</v>
      </c>
      <c r="P12" s="12">
        <v>121</v>
      </c>
      <c r="Q12" s="12">
        <v>108</v>
      </c>
      <c r="R12" s="12">
        <v>35</v>
      </c>
      <c r="S12" s="12">
        <v>65</v>
      </c>
      <c r="T12" s="12">
        <v>73</v>
      </c>
      <c r="U12" s="12">
        <v>39</v>
      </c>
      <c r="V12" s="12">
        <v>115</v>
      </c>
      <c r="W12" s="12">
        <v>101</v>
      </c>
      <c r="X12" s="12">
        <v>60</v>
      </c>
      <c r="Y12" s="12">
        <v>142</v>
      </c>
      <c r="Z12" s="12">
        <v>120</v>
      </c>
      <c r="AA12" s="12">
        <v>97</v>
      </c>
      <c r="AB12" s="12">
        <v>116</v>
      </c>
      <c r="AC12" s="12">
        <v>75</v>
      </c>
      <c r="AD12" s="12">
        <v>77</v>
      </c>
      <c r="AE12" s="12">
        <v>37</v>
      </c>
      <c r="AF12" s="12">
        <v>26</v>
      </c>
    </row>
    <row r="13" spans="1:32">
      <c r="A13" s="20"/>
      <c r="B13" s="13" t="s">
        <v>559</v>
      </c>
      <c r="C13" s="14">
        <v>0.08</v>
      </c>
      <c r="D13" s="14">
        <v>0.05</v>
      </c>
      <c r="E13" s="14">
        <v>0.06</v>
      </c>
      <c r="F13" s="14">
        <v>0.04</v>
      </c>
      <c r="G13" s="14">
        <v>0.05</v>
      </c>
      <c r="H13" s="14">
        <v>0.05</v>
      </c>
      <c r="I13" s="14">
        <v>0.05</v>
      </c>
      <c r="J13" s="14">
        <v>0.04</v>
      </c>
      <c r="K13" s="14">
        <v>0.05</v>
      </c>
      <c r="L13" s="14">
        <v>0.12</v>
      </c>
      <c r="M13" s="14">
        <v>0.05</v>
      </c>
      <c r="N13" s="14">
        <v>0.09</v>
      </c>
      <c r="O13" s="14">
        <v>0.05</v>
      </c>
      <c r="P13" s="14">
        <v>0.12</v>
      </c>
      <c r="Q13" s="14">
        <v>0.11</v>
      </c>
      <c r="R13" s="14">
        <v>7.0000000000000007E-2</v>
      </c>
      <c r="S13" s="14">
        <v>0.06</v>
      </c>
      <c r="T13" s="14">
        <v>7.0000000000000007E-2</v>
      </c>
      <c r="U13" s="14">
        <v>0.08</v>
      </c>
      <c r="V13" s="14">
        <v>0.11</v>
      </c>
      <c r="W13" s="14">
        <v>0.2</v>
      </c>
      <c r="X13" s="14">
        <v>0.06</v>
      </c>
      <c r="Y13" s="14">
        <v>0.14000000000000001</v>
      </c>
      <c r="Z13" s="14">
        <v>0.12</v>
      </c>
      <c r="AA13" s="14">
        <v>0.09</v>
      </c>
      <c r="AB13" s="14">
        <v>0.11</v>
      </c>
      <c r="AC13" s="14">
        <v>7.0000000000000007E-2</v>
      </c>
      <c r="AD13" s="14">
        <v>7.0000000000000007E-2</v>
      </c>
      <c r="AE13" s="14">
        <v>0.04</v>
      </c>
      <c r="AF13" s="14">
        <v>0.02</v>
      </c>
    </row>
    <row r="14" spans="1:32">
      <c r="A14" s="20"/>
      <c r="B14" s="11" t="s">
        <v>560</v>
      </c>
      <c r="C14" s="12">
        <v>4946</v>
      </c>
      <c r="D14" s="12">
        <v>208</v>
      </c>
      <c r="E14" s="12">
        <v>153</v>
      </c>
      <c r="F14" s="12">
        <v>182</v>
      </c>
      <c r="G14" s="12">
        <v>133</v>
      </c>
      <c r="H14" s="12">
        <v>178</v>
      </c>
      <c r="I14" s="12">
        <v>214</v>
      </c>
      <c r="J14" s="12">
        <v>36</v>
      </c>
      <c r="K14" s="12">
        <v>161</v>
      </c>
      <c r="L14" s="12">
        <v>157</v>
      </c>
      <c r="M14" s="12">
        <v>88</v>
      </c>
      <c r="N14" s="12">
        <v>172</v>
      </c>
      <c r="O14" s="12">
        <v>122</v>
      </c>
      <c r="P14" s="12">
        <v>281</v>
      </c>
      <c r="Q14" s="12">
        <v>267</v>
      </c>
      <c r="R14" s="12">
        <v>63</v>
      </c>
      <c r="S14" s="12">
        <v>186</v>
      </c>
      <c r="T14" s="12">
        <v>142</v>
      </c>
      <c r="U14" s="12">
        <v>94</v>
      </c>
      <c r="V14" s="12">
        <v>232</v>
      </c>
      <c r="W14" s="12">
        <v>99</v>
      </c>
      <c r="X14" s="12">
        <v>146</v>
      </c>
      <c r="Y14" s="12">
        <v>236</v>
      </c>
      <c r="Z14" s="12">
        <v>363</v>
      </c>
      <c r="AA14" s="12">
        <v>191</v>
      </c>
      <c r="AB14" s="12">
        <v>268</v>
      </c>
      <c r="AC14" s="12">
        <v>166</v>
      </c>
      <c r="AD14" s="12">
        <v>200</v>
      </c>
      <c r="AE14" s="12">
        <v>113</v>
      </c>
      <c r="AF14" s="12">
        <v>95</v>
      </c>
    </row>
    <row r="15" spans="1:32">
      <c r="A15" s="20"/>
      <c r="B15" s="13" t="s">
        <v>561</v>
      </c>
      <c r="C15" s="14">
        <v>0.19</v>
      </c>
      <c r="D15" s="14">
        <v>0.21</v>
      </c>
      <c r="E15" s="14">
        <v>0.15</v>
      </c>
      <c r="F15" s="14">
        <v>0.18</v>
      </c>
      <c r="G15" s="14">
        <v>0.13</v>
      </c>
      <c r="H15" s="14">
        <v>0.15</v>
      </c>
      <c r="I15" s="14">
        <v>0.14000000000000001</v>
      </c>
      <c r="J15" s="14">
        <v>0.12</v>
      </c>
      <c r="K15" s="14">
        <v>0.16</v>
      </c>
      <c r="L15" s="14">
        <v>0.16</v>
      </c>
      <c r="M15" s="14">
        <v>0.09</v>
      </c>
      <c r="N15" s="14">
        <v>0.17</v>
      </c>
      <c r="O15" s="14">
        <v>0.12</v>
      </c>
      <c r="P15" s="14">
        <v>0.27</v>
      </c>
      <c r="Q15" s="14">
        <v>0.26</v>
      </c>
      <c r="R15" s="14">
        <v>0.13</v>
      </c>
      <c r="S15" s="14">
        <v>0.18</v>
      </c>
      <c r="T15" s="14">
        <v>0.14000000000000001</v>
      </c>
      <c r="U15" s="14">
        <v>0.19</v>
      </c>
      <c r="V15" s="14">
        <v>0.23</v>
      </c>
      <c r="W15" s="14">
        <v>0.2</v>
      </c>
      <c r="X15" s="14">
        <v>0.14000000000000001</v>
      </c>
      <c r="Y15" s="14">
        <v>0.23</v>
      </c>
      <c r="Z15" s="14">
        <v>0.36</v>
      </c>
      <c r="AA15" s="14">
        <v>0.18</v>
      </c>
      <c r="AB15" s="14">
        <v>0.26</v>
      </c>
      <c r="AC15" s="14">
        <v>0.17</v>
      </c>
      <c r="AD15" s="14">
        <v>0.2</v>
      </c>
      <c r="AE15" s="14">
        <v>0.11</v>
      </c>
      <c r="AF15" s="14">
        <v>0.09</v>
      </c>
    </row>
    <row r="16" spans="1:32">
      <c r="A16" s="20"/>
      <c r="B16" s="11" t="s">
        <v>562</v>
      </c>
      <c r="C16" s="12">
        <v>5510</v>
      </c>
      <c r="D16" s="12">
        <v>247</v>
      </c>
      <c r="E16" s="12">
        <v>204</v>
      </c>
      <c r="F16" s="12">
        <v>248</v>
      </c>
      <c r="G16" s="12">
        <v>100</v>
      </c>
      <c r="H16" s="12">
        <v>284</v>
      </c>
      <c r="I16" s="12">
        <v>350</v>
      </c>
      <c r="J16" s="12">
        <v>65</v>
      </c>
      <c r="K16" s="12">
        <v>232</v>
      </c>
      <c r="L16" s="12">
        <v>251</v>
      </c>
      <c r="M16" s="12">
        <v>209</v>
      </c>
      <c r="N16" s="12">
        <v>196</v>
      </c>
      <c r="O16" s="12">
        <v>163</v>
      </c>
      <c r="P16" s="12">
        <v>215</v>
      </c>
      <c r="Q16" s="12">
        <v>260</v>
      </c>
      <c r="R16" s="12">
        <v>85</v>
      </c>
      <c r="S16" s="12">
        <v>147</v>
      </c>
      <c r="T16" s="12">
        <v>174</v>
      </c>
      <c r="U16" s="12">
        <v>93</v>
      </c>
      <c r="V16" s="12">
        <v>220</v>
      </c>
      <c r="W16" s="12">
        <v>66</v>
      </c>
      <c r="X16" s="12">
        <v>207</v>
      </c>
      <c r="Y16" s="12">
        <v>142</v>
      </c>
      <c r="Z16" s="12">
        <v>221</v>
      </c>
      <c r="AA16" s="12">
        <v>225</v>
      </c>
      <c r="AB16" s="12">
        <v>225</v>
      </c>
      <c r="AC16" s="12">
        <v>241</v>
      </c>
      <c r="AD16" s="12">
        <v>242</v>
      </c>
      <c r="AE16" s="12">
        <v>181</v>
      </c>
      <c r="AF16" s="12">
        <v>139</v>
      </c>
    </row>
    <row r="17" spans="1:32">
      <c r="A17" s="20"/>
      <c r="B17" s="13" t="s">
        <v>563</v>
      </c>
      <c r="C17" s="14">
        <v>0.21</v>
      </c>
      <c r="D17" s="14">
        <v>0.25</v>
      </c>
      <c r="E17" s="14">
        <v>0.2</v>
      </c>
      <c r="F17" s="14">
        <v>0.25</v>
      </c>
      <c r="G17" s="14">
        <v>0.1</v>
      </c>
      <c r="H17" s="14">
        <v>0.23</v>
      </c>
      <c r="I17" s="14">
        <v>0.23</v>
      </c>
      <c r="J17" s="14">
        <v>0.22</v>
      </c>
      <c r="K17" s="14">
        <v>0.23</v>
      </c>
      <c r="L17" s="14">
        <v>0.25</v>
      </c>
      <c r="M17" s="14">
        <v>0.21</v>
      </c>
      <c r="N17" s="14">
        <v>0.2</v>
      </c>
      <c r="O17" s="14">
        <v>0.16</v>
      </c>
      <c r="P17" s="14">
        <v>0.21</v>
      </c>
      <c r="Q17" s="14">
        <v>0.26</v>
      </c>
      <c r="R17" s="14">
        <v>0.17</v>
      </c>
      <c r="S17" s="14">
        <v>0.15</v>
      </c>
      <c r="T17" s="14">
        <v>0.17</v>
      </c>
      <c r="U17" s="14">
        <v>0.18</v>
      </c>
      <c r="V17" s="14">
        <v>0.22</v>
      </c>
      <c r="W17" s="14">
        <v>0.13</v>
      </c>
      <c r="X17" s="14">
        <v>0.2</v>
      </c>
      <c r="Y17" s="14">
        <v>0.14000000000000001</v>
      </c>
      <c r="Z17" s="14">
        <v>0.22</v>
      </c>
      <c r="AA17" s="14">
        <v>0.22</v>
      </c>
      <c r="AB17" s="14">
        <v>0.22</v>
      </c>
      <c r="AC17" s="14">
        <v>0.24</v>
      </c>
      <c r="AD17" s="14">
        <v>0.24</v>
      </c>
      <c r="AE17" s="14">
        <v>0.18</v>
      </c>
      <c r="AF17" s="14">
        <v>0.14000000000000001</v>
      </c>
    </row>
    <row r="18" spans="1:32">
      <c r="A18" s="20"/>
      <c r="B18" s="11" t="s">
        <v>564</v>
      </c>
      <c r="C18" s="12">
        <v>13252</v>
      </c>
      <c r="D18" s="12">
        <v>474</v>
      </c>
      <c r="E18" s="12">
        <v>571</v>
      </c>
      <c r="F18" s="12">
        <v>502</v>
      </c>
      <c r="G18" s="12">
        <v>699</v>
      </c>
      <c r="H18" s="12">
        <v>653</v>
      </c>
      <c r="I18" s="12">
        <v>830</v>
      </c>
      <c r="J18" s="12">
        <v>177</v>
      </c>
      <c r="K18" s="12">
        <v>526</v>
      </c>
      <c r="L18" s="12">
        <v>445</v>
      </c>
      <c r="M18" s="12">
        <v>655</v>
      </c>
      <c r="N18" s="12">
        <v>525</v>
      </c>
      <c r="O18" s="12">
        <v>643</v>
      </c>
      <c r="P18" s="12">
        <v>380</v>
      </c>
      <c r="Q18" s="12">
        <v>369</v>
      </c>
      <c r="R18" s="12">
        <v>297</v>
      </c>
      <c r="S18" s="12">
        <v>571</v>
      </c>
      <c r="T18" s="12">
        <v>558</v>
      </c>
      <c r="U18" s="12">
        <v>259</v>
      </c>
      <c r="V18" s="12">
        <v>431</v>
      </c>
      <c r="W18" s="12">
        <v>227</v>
      </c>
      <c r="X18" s="12">
        <v>596</v>
      </c>
      <c r="Y18" s="12">
        <v>479</v>
      </c>
      <c r="Z18" s="12">
        <v>276</v>
      </c>
      <c r="AA18" s="12">
        <v>495</v>
      </c>
      <c r="AB18" s="12">
        <v>397</v>
      </c>
      <c r="AC18" s="12">
        <v>508</v>
      </c>
      <c r="AD18" s="12">
        <v>480</v>
      </c>
      <c r="AE18" s="12">
        <v>620</v>
      </c>
      <c r="AF18" s="12">
        <v>755</v>
      </c>
    </row>
    <row r="19" spans="1:32">
      <c r="A19" s="20"/>
      <c r="B19" s="13" t="s">
        <v>565</v>
      </c>
      <c r="C19" s="14">
        <v>0.5</v>
      </c>
      <c r="D19" s="14">
        <v>0.47</v>
      </c>
      <c r="E19" s="14">
        <v>0.56000000000000005</v>
      </c>
      <c r="F19" s="14">
        <v>0.5</v>
      </c>
      <c r="G19" s="14">
        <v>0.70000000000000007</v>
      </c>
      <c r="H19" s="14">
        <v>0.54</v>
      </c>
      <c r="I19" s="14">
        <v>0.55000000000000004</v>
      </c>
      <c r="J19" s="14">
        <v>0.61</v>
      </c>
      <c r="K19" s="14">
        <v>0.52</v>
      </c>
      <c r="L19" s="14">
        <v>0.44</v>
      </c>
      <c r="M19" s="14">
        <v>0.65</v>
      </c>
      <c r="N19" s="14">
        <v>0.52</v>
      </c>
      <c r="O19" s="14">
        <v>0.64</v>
      </c>
      <c r="P19" s="14">
        <v>0.37</v>
      </c>
      <c r="Q19" s="14">
        <v>0.36</v>
      </c>
      <c r="R19" s="14">
        <v>0.59</v>
      </c>
      <c r="S19" s="14">
        <v>0.57000000000000006</v>
      </c>
      <c r="T19" s="14">
        <v>0.55000000000000004</v>
      </c>
      <c r="U19" s="14">
        <v>0.51</v>
      </c>
      <c r="V19" s="14">
        <v>0.42</v>
      </c>
      <c r="W19" s="14">
        <v>0.45</v>
      </c>
      <c r="X19" s="14">
        <v>0.59</v>
      </c>
      <c r="Y19" s="14">
        <v>0.48</v>
      </c>
      <c r="Z19" s="14">
        <v>0.27</v>
      </c>
      <c r="AA19" s="14">
        <v>0.47</v>
      </c>
      <c r="AB19" s="14">
        <v>0.38</v>
      </c>
      <c r="AC19" s="14">
        <v>0.5</v>
      </c>
      <c r="AD19" s="14">
        <v>0.48</v>
      </c>
      <c r="AE19" s="14">
        <v>0.62</v>
      </c>
      <c r="AF19" s="14">
        <v>0.74</v>
      </c>
    </row>
    <row r="20" spans="1:32">
      <c r="A20" s="20"/>
      <c r="B20" s="11" t="s">
        <v>468</v>
      </c>
      <c r="C20" s="12">
        <v>577</v>
      </c>
      <c r="D20" s="12">
        <v>18</v>
      </c>
      <c r="E20" s="12">
        <v>34</v>
      </c>
      <c r="F20" s="12">
        <v>27</v>
      </c>
      <c r="G20" s="12">
        <v>20</v>
      </c>
      <c r="H20" s="12">
        <v>35</v>
      </c>
      <c r="I20" s="12">
        <v>39</v>
      </c>
      <c r="J20" s="12">
        <v>4</v>
      </c>
      <c r="K20" s="12">
        <v>36</v>
      </c>
      <c r="L20" s="12">
        <v>32</v>
      </c>
      <c r="M20" s="12">
        <v>2</v>
      </c>
      <c r="N20" s="12">
        <v>16</v>
      </c>
      <c r="O20" s="12">
        <v>23</v>
      </c>
      <c r="P20" s="12">
        <v>26</v>
      </c>
      <c r="Q20" s="12">
        <v>15</v>
      </c>
      <c r="R20" s="12">
        <v>21</v>
      </c>
      <c r="S20" s="12">
        <v>38</v>
      </c>
      <c r="T20" s="12">
        <v>66</v>
      </c>
      <c r="U20" s="12">
        <v>23</v>
      </c>
      <c r="V20" s="12">
        <v>19</v>
      </c>
      <c r="W20" s="12">
        <v>11</v>
      </c>
      <c r="X20" s="12">
        <v>12</v>
      </c>
      <c r="Y20" s="12">
        <v>9</v>
      </c>
      <c r="Z20" s="12">
        <v>29</v>
      </c>
      <c r="AA20" s="12">
        <v>44</v>
      </c>
      <c r="AB20" s="12">
        <v>33</v>
      </c>
      <c r="AC20" s="12">
        <v>20</v>
      </c>
      <c r="AD20" s="12">
        <v>8</v>
      </c>
      <c r="AE20" s="12">
        <v>50</v>
      </c>
      <c r="AF20" s="12">
        <v>6</v>
      </c>
    </row>
    <row r="21" spans="1:32">
      <c r="A21" s="20"/>
      <c r="B21" s="13" t="s">
        <v>469</v>
      </c>
      <c r="C21" s="14">
        <v>0.02</v>
      </c>
      <c r="D21" s="14">
        <v>0.02</v>
      </c>
      <c r="E21" s="14">
        <v>0.03</v>
      </c>
      <c r="F21" s="14">
        <v>0.03</v>
      </c>
      <c r="G21" s="14">
        <v>0.02</v>
      </c>
      <c r="H21" s="14">
        <v>0.03</v>
      </c>
      <c r="I21" s="14">
        <v>0.03</v>
      </c>
      <c r="J21" s="14">
        <v>0.01</v>
      </c>
      <c r="K21" s="14">
        <v>0.04</v>
      </c>
      <c r="L21" s="14">
        <v>0.03</v>
      </c>
      <c r="M21" s="15" t="s">
        <v>459</v>
      </c>
      <c r="N21" s="14">
        <v>0.02</v>
      </c>
      <c r="O21" s="14">
        <v>0.03</v>
      </c>
      <c r="P21" s="14">
        <v>0.03</v>
      </c>
      <c r="Q21" s="14">
        <v>0.01</v>
      </c>
      <c r="R21" s="14">
        <v>0.04</v>
      </c>
      <c r="S21" s="14">
        <v>0.04</v>
      </c>
      <c r="T21" s="14">
        <v>7.0000000000000007E-2</v>
      </c>
      <c r="U21" s="14">
        <v>0.04</v>
      </c>
      <c r="V21" s="14">
        <v>0.02</v>
      </c>
      <c r="W21" s="14">
        <v>0.02</v>
      </c>
      <c r="X21" s="14">
        <v>0.01</v>
      </c>
      <c r="Y21" s="14">
        <v>0.01</v>
      </c>
      <c r="Z21" s="14">
        <v>0.03</v>
      </c>
      <c r="AA21" s="14">
        <v>0.04</v>
      </c>
      <c r="AB21" s="14">
        <v>0.03</v>
      </c>
      <c r="AC21" s="14">
        <v>0.02</v>
      </c>
      <c r="AD21" s="14">
        <v>0.01</v>
      </c>
      <c r="AE21" s="14">
        <v>0.05</v>
      </c>
      <c r="AF21" s="14">
        <v>0.01</v>
      </c>
    </row>
    <row r="22" spans="1:32">
      <c r="A22" s="20"/>
      <c r="B22" s="11" t="s">
        <v>566</v>
      </c>
      <c r="C22" s="12">
        <v>6980</v>
      </c>
      <c r="D22" s="12">
        <v>265</v>
      </c>
      <c r="E22" s="12">
        <v>209</v>
      </c>
      <c r="F22" s="12">
        <v>228</v>
      </c>
      <c r="G22" s="12">
        <v>184</v>
      </c>
      <c r="H22" s="12">
        <v>244</v>
      </c>
      <c r="I22" s="12">
        <v>292</v>
      </c>
      <c r="J22" s="12">
        <v>48</v>
      </c>
      <c r="K22" s="12">
        <v>213</v>
      </c>
      <c r="L22" s="12">
        <v>279</v>
      </c>
      <c r="M22" s="12">
        <v>137</v>
      </c>
      <c r="N22" s="12">
        <v>266</v>
      </c>
      <c r="O22" s="12">
        <v>174</v>
      </c>
      <c r="P22" s="12">
        <v>402</v>
      </c>
      <c r="Q22" s="12">
        <v>375</v>
      </c>
      <c r="R22" s="12">
        <v>98</v>
      </c>
      <c r="S22" s="12">
        <v>251</v>
      </c>
      <c r="T22" s="12">
        <v>215</v>
      </c>
      <c r="U22" s="12">
        <v>133</v>
      </c>
      <c r="V22" s="12">
        <v>347</v>
      </c>
      <c r="W22" s="12">
        <v>200</v>
      </c>
      <c r="X22" s="12">
        <v>206</v>
      </c>
      <c r="Y22" s="12">
        <v>378</v>
      </c>
      <c r="Z22" s="12">
        <v>483</v>
      </c>
      <c r="AA22" s="12">
        <v>288</v>
      </c>
      <c r="AB22" s="12">
        <v>384</v>
      </c>
      <c r="AC22" s="12">
        <v>241</v>
      </c>
      <c r="AD22" s="12">
        <v>277</v>
      </c>
      <c r="AE22" s="12">
        <v>150</v>
      </c>
      <c r="AF22" s="12">
        <v>121</v>
      </c>
    </row>
    <row r="23" spans="1:32">
      <c r="A23" s="20"/>
      <c r="B23" s="13" t="s">
        <v>567</v>
      </c>
      <c r="C23" s="14">
        <v>0.27</v>
      </c>
      <c r="D23" s="14">
        <v>0.26</v>
      </c>
      <c r="E23" s="14">
        <v>0.21</v>
      </c>
      <c r="F23" s="14">
        <v>0.22</v>
      </c>
      <c r="G23" s="14">
        <v>0.18</v>
      </c>
      <c r="H23" s="14">
        <v>0.2</v>
      </c>
      <c r="I23" s="14">
        <v>0.19</v>
      </c>
      <c r="J23" s="14">
        <v>0.16</v>
      </c>
      <c r="K23" s="14">
        <v>0.21</v>
      </c>
      <c r="L23" s="14">
        <v>0.28000000000000003</v>
      </c>
      <c r="M23" s="14">
        <v>0.14000000000000001</v>
      </c>
      <c r="N23" s="14">
        <v>0.26</v>
      </c>
      <c r="O23" s="14">
        <v>0.17</v>
      </c>
      <c r="P23" s="14">
        <v>0.39</v>
      </c>
      <c r="Q23" s="14">
        <v>0.37</v>
      </c>
      <c r="R23" s="14">
        <v>0.2</v>
      </c>
      <c r="S23" s="14">
        <v>0.24</v>
      </c>
      <c r="T23" s="14">
        <v>0.21</v>
      </c>
      <c r="U23" s="14">
        <v>0.27</v>
      </c>
      <c r="V23" s="14">
        <v>0.34</v>
      </c>
      <c r="W23" s="14">
        <v>0.4</v>
      </c>
      <c r="X23" s="14">
        <v>0.2</v>
      </c>
      <c r="Y23" s="14">
        <v>0.37</v>
      </c>
      <c r="Z23" s="14">
        <v>0.48</v>
      </c>
      <c r="AA23" s="14">
        <v>0.27</v>
      </c>
      <c r="AB23" s="14">
        <v>0.37</v>
      </c>
      <c r="AC23" s="14">
        <v>0.24</v>
      </c>
      <c r="AD23" s="14">
        <v>0.27</v>
      </c>
      <c r="AE23" s="14">
        <v>0.15</v>
      </c>
      <c r="AF23" s="14">
        <v>0.11</v>
      </c>
    </row>
    <row r="24" spans="1:32">
      <c r="A24" s="20"/>
      <c r="B24" s="11" t="s">
        <v>568</v>
      </c>
      <c r="C24" s="12">
        <v>18762</v>
      </c>
      <c r="D24" s="12">
        <v>721</v>
      </c>
      <c r="E24" s="12">
        <v>775</v>
      </c>
      <c r="F24" s="12">
        <v>750</v>
      </c>
      <c r="G24" s="12">
        <v>799</v>
      </c>
      <c r="H24" s="12">
        <v>937</v>
      </c>
      <c r="I24" s="12">
        <v>1180</v>
      </c>
      <c r="J24" s="12">
        <v>242</v>
      </c>
      <c r="K24" s="12">
        <v>758</v>
      </c>
      <c r="L24" s="12">
        <v>696</v>
      </c>
      <c r="M24" s="12">
        <v>864</v>
      </c>
      <c r="N24" s="12">
        <v>721</v>
      </c>
      <c r="O24" s="12">
        <v>806</v>
      </c>
      <c r="P24" s="12">
        <v>595</v>
      </c>
      <c r="Q24" s="12">
        <v>629</v>
      </c>
      <c r="R24" s="12">
        <v>382</v>
      </c>
      <c r="S24" s="12">
        <v>718</v>
      </c>
      <c r="T24" s="12">
        <v>732</v>
      </c>
      <c r="U24" s="12">
        <v>352</v>
      </c>
      <c r="V24" s="12">
        <v>651</v>
      </c>
      <c r="W24" s="12">
        <v>293</v>
      </c>
      <c r="X24" s="12">
        <v>803</v>
      </c>
      <c r="Y24" s="12">
        <v>621</v>
      </c>
      <c r="Z24" s="12">
        <v>497</v>
      </c>
      <c r="AA24" s="12">
        <v>720</v>
      </c>
      <c r="AB24" s="12">
        <v>622</v>
      </c>
      <c r="AC24" s="12">
        <v>749</v>
      </c>
      <c r="AD24" s="12">
        <v>722</v>
      </c>
      <c r="AE24" s="12">
        <v>801</v>
      </c>
      <c r="AF24" s="12">
        <v>894</v>
      </c>
    </row>
    <row r="25" spans="1:32">
      <c r="A25" s="20"/>
      <c r="B25" s="13" t="s">
        <v>569</v>
      </c>
      <c r="C25" s="14">
        <v>0.71</v>
      </c>
      <c r="D25" s="14">
        <v>0.72</v>
      </c>
      <c r="E25" s="14">
        <v>0.76</v>
      </c>
      <c r="F25" s="14">
        <v>0.75</v>
      </c>
      <c r="G25" s="14">
        <v>0.8</v>
      </c>
      <c r="H25" s="14">
        <v>0.77</v>
      </c>
      <c r="I25" s="14">
        <v>0.78</v>
      </c>
      <c r="J25" s="14">
        <v>0.83000000000000007</v>
      </c>
      <c r="K25" s="14">
        <v>0.75</v>
      </c>
      <c r="L25" s="14">
        <v>0.69000000000000006</v>
      </c>
      <c r="M25" s="14">
        <v>0.86</v>
      </c>
      <c r="N25" s="14">
        <v>0.72</v>
      </c>
      <c r="O25" s="14">
        <v>0.8</v>
      </c>
      <c r="P25" s="14">
        <v>0.57999999999999996</v>
      </c>
      <c r="Q25" s="14">
        <v>0.62</v>
      </c>
      <c r="R25" s="14">
        <v>0.76</v>
      </c>
      <c r="S25" s="14">
        <v>0.72</v>
      </c>
      <c r="T25" s="14">
        <v>0.72</v>
      </c>
      <c r="U25" s="14">
        <v>0.69000000000000006</v>
      </c>
      <c r="V25" s="14">
        <v>0.64</v>
      </c>
      <c r="W25" s="14">
        <v>0.57999999999999996</v>
      </c>
      <c r="X25" s="14">
        <v>0.79</v>
      </c>
      <c r="Y25" s="14">
        <v>0.62</v>
      </c>
      <c r="Z25" s="14">
        <v>0.49</v>
      </c>
      <c r="AA25" s="14">
        <v>0.69000000000000006</v>
      </c>
      <c r="AB25" s="14">
        <v>0.6</v>
      </c>
      <c r="AC25" s="14">
        <v>0.74</v>
      </c>
      <c r="AD25" s="14">
        <v>0.72</v>
      </c>
      <c r="AE25" s="14">
        <v>0.8</v>
      </c>
      <c r="AF25" s="14">
        <v>0.88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606</v>
      </c>
      <c r="C3" s="18"/>
      <c r="D3" s="18"/>
      <c r="E3" s="18"/>
      <c r="F3" s="18"/>
      <c r="H3" s="18" t="s">
        <v>607</v>
      </c>
      <c r="I3" s="18"/>
      <c r="J3" s="18"/>
      <c r="K3" s="18"/>
      <c r="L3" s="18"/>
    </row>
    <row r="4" spans="1:32" ht="27" customHeight="1">
      <c r="B4" s="18" t="s">
        <v>608</v>
      </c>
      <c r="C4" s="18"/>
      <c r="D4" s="18"/>
      <c r="E4" s="18"/>
      <c r="F4" s="18"/>
      <c r="H4" s="18" t="s">
        <v>609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2374</v>
      </c>
      <c r="D12" s="12">
        <v>74</v>
      </c>
      <c r="E12" s="12">
        <v>89</v>
      </c>
      <c r="F12" s="12">
        <v>56</v>
      </c>
      <c r="G12" s="12">
        <v>156</v>
      </c>
      <c r="H12" s="12">
        <v>66</v>
      </c>
      <c r="I12" s="12">
        <v>82</v>
      </c>
      <c r="J12" s="12">
        <v>16</v>
      </c>
      <c r="K12" s="12">
        <v>71</v>
      </c>
      <c r="L12" s="12">
        <v>155</v>
      </c>
      <c r="M12" s="12">
        <v>44</v>
      </c>
      <c r="N12" s="12">
        <v>136</v>
      </c>
      <c r="O12" s="12">
        <v>92</v>
      </c>
      <c r="P12" s="12">
        <v>130</v>
      </c>
      <c r="Q12" s="12">
        <v>86</v>
      </c>
      <c r="R12" s="12">
        <v>55</v>
      </c>
      <c r="S12" s="12">
        <v>162</v>
      </c>
      <c r="T12" s="12">
        <v>87</v>
      </c>
      <c r="U12" s="12">
        <v>50</v>
      </c>
      <c r="V12" s="12">
        <v>94</v>
      </c>
      <c r="W12" s="12">
        <v>100</v>
      </c>
      <c r="X12" s="12">
        <v>81</v>
      </c>
      <c r="Y12" s="12">
        <v>135</v>
      </c>
      <c r="Z12" s="12">
        <v>86</v>
      </c>
      <c r="AA12" s="12">
        <v>82</v>
      </c>
      <c r="AB12" s="12">
        <v>107</v>
      </c>
      <c r="AC12" s="12">
        <v>97</v>
      </c>
      <c r="AD12" s="12">
        <v>55</v>
      </c>
      <c r="AE12" s="12">
        <v>155</v>
      </c>
      <c r="AF12" s="12">
        <v>166</v>
      </c>
    </row>
    <row r="13" spans="1:32">
      <c r="A13" s="20"/>
      <c r="B13" s="13" t="s">
        <v>559</v>
      </c>
      <c r="C13" s="14">
        <v>0.09</v>
      </c>
      <c r="D13" s="14">
        <v>7.0000000000000007E-2</v>
      </c>
      <c r="E13" s="14">
        <v>0.09</v>
      </c>
      <c r="F13" s="14">
        <v>0.06</v>
      </c>
      <c r="G13" s="14">
        <v>0.16</v>
      </c>
      <c r="H13" s="14">
        <v>0.05</v>
      </c>
      <c r="I13" s="14">
        <v>0.05</v>
      </c>
      <c r="J13" s="14">
        <v>0.06</v>
      </c>
      <c r="K13" s="14">
        <v>7.0000000000000007E-2</v>
      </c>
      <c r="L13" s="14">
        <v>0.15</v>
      </c>
      <c r="M13" s="14">
        <v>0.04</v>
      </c>
      <c r="N13" s="14">
        <v>0.14000000000000001</v>
      </c>
      <c r="O13" s="14">
        <v>0.09</v>
      </c>
      <c r="P13" s="14">
        <v>0.13</v>
      </c>
      <c r="Q13" s="14">
        <v>0.09</v>
      </c>
      <c r="R13" s="14">
        <v>0.11</v>
      </c>
      <c r="S13" s="14">
        <v>0.16</v>
      </c>
      <c r="T13" s="14">
        <v>0.09</v>
      </c>
      <c r="U13" s="14">
        <v>0.1</v>
      </c>
      <c r="V13" s="14">
        <v>0.09</v>
      </c>
      <c r="W13" s="14">
        <v>0.2</v>
      </c>
      <c r="X13" s="14">
        <v>0.08</v>
      </c>
      <c r="Y13" s="14">
        <v>0.13</v>
      </c>
      <c r="Z13" s="14">
        <v>0.09</v>
      </c>
      <c r="AA13" s="14">
        <v>0.08</v>
      </c>
      <c r="AB13" s="14">
        <v>0.1</v>
      </c>
      <c r="AC13" s="14">
        <v>0.1</v>
      </c>
      <c r="AD13" s="14">
        <v>0.05</v>
      </c>
      <c r="AE13" s="14">
        <v>0.15</v>
      </c>
      <c r="AF13" s="14">
        <v>0.16</v>
      </c>
    </row>
    <row r="14" spans="1:32">
      <c r="A14" s="20"/>
      <c r="B14" s="11" t="s">
        <v>560</v>
      </c>
      <c r="C14" s="12">
        <v>7193</v>
      </c>
      <c r="D14" s="12">
        <v>291</v>
      </c>
      <c r="E14" s="12">
        <v>256</v>
      </c>
      <c r="F14" s="12">
        <v>255</v>
      </c>
      <c r="G14" s="12">
        <v>273</v>
      </c>
      <c r="H14" s="12">
        <v>304</v>
      </c>
      <c r="I14" s="12">
        <v>358</v>
      </c>
      <c r="J14" s="12">
        <v>54</v>
      </c>
      <c r="K14" s="12">
        <v>237</v>
      </c>
      <c r="L14" s="12">
        <v>347</v>
      </c>
      <c r="M14" s="12">
        <v>183</v>
      </c>
      <c r="N14" s="12">
        <v>303</v>
      </c>
      <c r="O14" s="12">
        <v>200</v>
      </c>
      <c r="P14" s="12">
        <v>405</v>
      </c>
      <c r="Q14" s="12">
        <v>299</v>
      </c>
      <c r="R14" s="12">
        <v>97</v>
      </c>
      <c r="S14" s="12">
        <v>283</v>
      </c>
      <c r="T14" s="12">
        <v>227</v>
      </c>
      <c r="U14" s="12">
        <v>167</v>
      </c>
      <c r="V14" s="12">
        <v>307</v>
      </c>
      <c r="W14" s="12">
        <v>170</v>
      </c>
      <c r="X14" s="12">
        <v>221</v>
      </c>
      <c r="Y14" s="12">
        <v>285</v>
      </c>
      <c r="Z14" s="12">
        <v>392</v>
      </c>
      <c r="AA14" s="12">
        <v>265</v>
      </c>
      <c r="AB14" s="12">
        <v>379</v>
      </c>
      <c r="AC14" s="12">
        <v>296</v>
      </c>
      <c r="AD14" s="12">
        <v>271</v>
      </c>
      <c r="AE14" s="12">
        <v>313</v>
      </c>
      <c r="AF14" s="12">
        <v>332</v>
      </c>
    </row>
    <row r="15" spans="1:32">
      <c r="A15" s="20"/>
      <c r="B15" s="13" t="s">
        <v>561</v>
      </c>
      <c r="C15" s="14">
        <v>0.27</v>
      </c>
      <c r="D15" s="14">
        <v>0.28999999999999998</v>
      </c>
      <c r="E15" s="14">
        <v>0.25</v>
      </c>
      <c r="F15" s="14">
        <v>0.25</v>
      </c>
      <c r="G15" s="14">
        <v>0.27</v>
      </c>
      <c r="H15" s="14">
        <v>0.25</v>
      </c>
      <c r="I15" s="14">
        <v>0.24</v>
      </c>
      <c r="J15" s="14">
        <v>0.18</v>
      </c>
      <c r="K15" s="14">
        <v>0.24</v>
      </c>
      <c r="L15" s="14">
        <v>0.35</v>
      </c>
      <c r="M15" s="14">
        <v>0.18</v>
      </c>
      <c r="N15" s="14">
        <v>0.3</v>
      </c>
      <c r="O15" s="14">
        <v>0.2</v>
      </c>
      <c r="P15" s="14">
        <v>0.39</v>
      </c>
      <c r="Q15" s="14">
        <v>0.28999999999999998</v>
      </c>
      <c r="R15" s="14">
        <v>0.19</v>
      </c>
      <c r="S15" s="14">
        <v>0.28000000000000003</v>
      </c>
      <c r="T15" s="14">
        <v>0.22</v>
      </c>
      <c r="U15" s="14">
        <v>0.33</v>
      </c>
      <c r="V15" s="14">
        <v>0.3</v>
      </c>
      <c r="W15" s="14">
        <v>0.34</v>
      </c>
      <c r="X15" s="14">
        <v>0.22</v>
      </c>
      <c r="Y15" s="14">
        <v>0.28000000000000003</v>
      </c>
      <c r="Z15" s="14">
        <v>0.39</v>
      </c>
      <c r="AA15" s="14">
        <v>0.25</v>
      </c>
      <c r="AB15" s="14">
        <v>0.36</v>
      </c>
      <c r="AC15" s="14">
        <v>0.28999999999999998</v>
      </c>
      <c r="AD15" s="14">
        <v>0.27</v>
      </c>
      <c r="AE15" s="14">
        <v>0.31</v>
      </c>
      <c r="AF15" s="14">
        <v>0.33</v>
      </c>
    </row>
    <row r="16" spans="1:32">
      <c r="A16" s="20"/>
      <c r="B16" s="11" t="s">
        <v>562</v>
      </c>
      <c r="C16" s="12">
        <v>7688</v>
      </c>
      <c r="D16" s="12">
        <v>354</v>
      </c>
      <c r="E16" s="12">
        <v>239</v>
      </c>
      <c r="F16" s="12">
        <v>332</v>
      </c>
      <c r="G16" s="12">
        <v>259</v>
      </c>
      <c r="H16" s="12">
        <v>374</v>
      </c>
      <c r="I16" s="12">
        <v>491</v>
      </c>
      <c r="J16" s="12">
        <v>117</v>
      </c>
      <c r="K16" s="12">
        <v>303</v>
      </c>
      <c r="L16" s="12">
        <v>230</v>
      </c>
      <c r="M16" s="12">
        <v>355</v>
      </c>
      <c r="N16" s="12">
        <v>250</v>
      </c>
      <c r="O16" s="12">
        <v>242</v>
      </c>
      <c r="P16" s="12">
        <v>258</v>
      </c>
      <c r="Q16" s="12">
        <v>346</v>
      </c>
      <c r="R16" s="12">
        <v>118</v>
      </c>
      <c r="S16" s="12">
        <v>253</v>
      </c>
      <c r="T16" s="12">
        <v>282</v>
      </c>
      <c r="U16" s="12">
        <v>149</v>
      </c>
      <c r="V16" s="12">
        <v>301</v>
      </c>
      <c r="W16" s="12">
        <v>106</v>
      </c>
      <c r="X16" s="12">
        <v>373</v>
      </c>
      <c r="Y16" s="12">
        <v>239</v>
      </c>
      <c r="Z16" s="12">
        <v>303</v>
      </c>
      <c r="AA16" s="12">
        <v>313</v>
      </c>
      <c r="AB16" s="12">
        <v>251</v>
      </c>
      <c r="AC16" s="12">
        <v>272</v>
      </c>
      <c r="AD16" s="12">
        <v>298</v>
      </c>
      <c r="AE16" s="12">
        <v>271</v>
      </c>
      <c r="AF16" s="12">
        <v>223</v>
      </c>
    </row>
    <row r="17" spans="1:32">
      <c r="A17" s="20"/>
      <c r="B17" s="13" t="s">
        <v>563</v>
      </c>
      <c r="C17" s="14">
        <v>0.28999999999999998</v>
      </c>
      <c r="D17" s="14">
        <v>0.35</v>
      </c>
      <c r="E17" s="14">
        <v>0.23</v>
      </c>
      <c r="F17" s="14">
        <v>0.33</v>
      </c>
      <c r="G17" s="14">
        <v>0.26</v>
      </c>
      <c r="H17" s="14">
        <v>0.31</v>
      </c>
      <c r="I17" s="14">
        <v>0.32</v>
      </c>
      <c r="J17" s="14">
        <v>0.4</v>
      </c>
      <c r="K17" s="14">
        <v>0.3</v>
      </c>
      <c r="L17" s="14">
        <v>0.23</v>
      </c>
      <c r="M17" s="14">
        <v>0.35</v>
      </c>
      <c r="N17" s="14">
        <v>0.25</v>
      </c>
      <c r="O17" s="14">
        <v>0.24</v>
      </c>
      <c r="P17" s="14">
        <v>0.25</v>
      </c>
      <c r="Q17" s="14">
        <v>0.34</v>
      </c>
      <c r="R17" s="14">
        <v>0.24</v>
      </c>
      <c r="S17" s="14">
        <v>0.25</v>
      </c>
      <c r="T17" s="14">
        <v>0.28000000000000003</v>
      </c>
      <c r="U17" s="14">
        <v>0.28999999999999998</v>
      </c>
      <c r="V17" s="14">
        <v>0.3</v>
      </c>
      <c r="W17" s="14">
        <v>0.21</v>
      </c>
      <c r="X17" s="14">
        <v>0.36</v>
      </c>
      <c r="Y17" s="14">
        <v>0.24</v>
      </c>
      <c r="Z17" s="14">
        <v>0.3</v>
      </c>
      <c r="AA17" s="14">
        <v>0.3</v>
      </c>
      <c r="AB17" s="14">
        <v>0.24</v>
      </c>
      <c r="AC17" s="14">
        <v>0.27</v>
      </c>
      <c r="AD17" s="14">
        <v>0.3</v>
      </c>
      <c r="AE17" s="14">
        <v>0.27</v>
      </c>
      <c r="AF17" s="14">
        <v>0.22</v>
      </c>
    </row>
    <row r="18" spans="1:32">
      <c r="A18" s="20"/>
      <c r="B18" s="11" t="s">
        <v>564</v>
      </c>
      <c r="C18" s="12">
        <v>6806</v>
      </c>
      <c r="D18" s="12">
        <v>237</v>
      </c>
      <c r="E18" s="12">
        <v>270</v>
      </c>
      <c r="F18" s="12">
        <v>266</v>
      </c>
      <c r="G18" s="12">
        <v>174</v>
      </c>
      <c r="H18" s="12">
        <v>354</v>
      </c>
      <c r="I18" s="12">
        <v>449</v>
      </c>
      <c r="J18" s="12">
        <v>95</v>
      </c>
      <c r="K18" s="12">
        <v>336</v>
      </c>
      <c r="L18" s="12">
        <v>203</v>
      </c>
      <c r="M18" s="12">
        <v>356</v>
      </c>
      <c r="N18" s="12">
        <v>233</v>
      </c>
      <c r="O18" s="12">
        <v>361</v>
      </c>
      <c r="P18" s="12">
        <v>181</v>
      </c>
      <c r="Q18" s="12">
        <v>225</v>
      </c>
      <c r="R18" s="12">
        <v>181</v>
      </c>
      <c r="S18" s="12">
        <v>198</v>
      </c>
      <c r="T18" s="12">
        <v>293</v>
      </c>
      <c r="U18" s="12">
        <v>107</v>
      </c>
      <c r="V18" s="12">
        <v>274</v>
      </c>
      <c r="W18" s="12">
        <v>106</v>
      </c>
      <c r="X18" s="12">
        <v>267</v>
      </c>
      <c r="Y18" s="12">
        <v>261</v>
      </c>
      <c r="Z18" s="12">
        <v>155</v>
      </c>
      <c r="AA18" s="12">
        <v>255</v>
      </c>
      <c r="AB18" s="12">
        <v>203</v>
      </c>
      <c r="AC18" s="12">
        <v>289</v>
      </c>
      <c r="AD18" s="12">
        <v>302</v>
      </c>
      <c r="AE18" s="12">
        <v>155</v>
      </c>
      <c r="AF18" s="12">
        <v>171</v>
      </c>
    </row>
    <row r="19" spans="1:32">
      <c r="A19" s="20"/>
      <c r="B19" s="13" t="s">
        <v>565</v>
      </c>
      <c r="C19" s="14">
        <v>0.26</v>
      </c>
      <c r="D19" s="14">
        <v>0.24</v>
      </c>
      <c r="E19" s="14">
        <v>0.27</v>
      </c>
      <c r="F19" s="14">
        <v>0.26</v>
      </c>
      <c r="G19" s="14">
        <v>0.17</v>
      </c>
      <c r="H19" s="14">
        <v>0.28999999999999998</v>
      </c>
      <c r="I19" s="14">
        <v>0.3</v>
      </c>
      <c r="J19" s="14">
        <v>0.32</v>
      </c>
      <c r="K19" s="14">
        <v>0.33</v>
      </c>
      <c r="L19" s="14">
        <v>0.2</v>
      </c>
      <c r="M19" s="14">
        <v>0.36</v>
      </c>
      <c r="N19" s="14">
        <v>0.23</v>
      </c>
      <c r="O19" s="14">
        <v>0.36</v>
      </c>
      <c r="P19" s="14">
        <v>0.18</v>
      </c>
      <c r="Q19" s="14">
        <v>0.22</v>
      </c>
      <c r="R19" s="14">
        <v>0.36</v>
      </c>
      <c r="S19" s="14">
        <v>0.2</v>
      </c>
      <c r="T19" s="14">
        <v>0.28999999999999998</v>
      </c>
      <c r="U19" s="14">
        <v>0.21</v>
      </c>
      <c r="V19" s="14">
        <v>0.27</v>
      </c>
      <c r="W19" s="14">
        <v>0.21</v>
      </c>
      <c r="X19" s="14">
        <v>0.26</v>
      </c>
      <c r="Y19" s="14">
        <v>0.26</v>
      </c>
      <c r="Z19" s="14">
        <v>0.15</v>
      </c>
      <c r="AA19" s="14">
        <v>0.24</v>
      </c>
      <c r="AB19" s="14">
        <v>0.2</v>
      </c>
      <c r="AC19" s="14">
        <v>0.28999999999999998</v>
      </c>
      <c r="AD19" s="14">
        <v>0.3</v>
      </c>
      <c r="AE19" s="14">
        <v>0.16</v>
      </c>
      <c r="AF19" s="14">
        <v>0.17</v>
      </c>
    </row>
    <row r="20" spans="1:32">
      <c r="A20" s="20"/>
      <c r="B20" s="11" t="s">
        <v>468</v>
      </c>
      <c r="C20" s="12">
        <v>2258</v>
      </c>
      <c r="D20" s="12">
        <v>47</v>
      </c>
      <c r="E20" s="12">
        <v>165</v>
      </c>
      <c r="F20" s="12">
        <v>96</v>
      </c>
      <c r="G20" s="12">
        <v>142</v>
      </c>
      <c r="H20" s="12">
        <v>118</v>
      </c>
      <c r="I20" s="12">
        <v>130</v>
      </c>
      <c r="J20" s="12">
        <v>12</v>
      </c>
      <c r="K20" s="12">
        <v>58</v>
      </c>
      <c r="L20" s="12">
        <v>73</v>
      </c>
      <c r="M20" s="12">
        <v>65</v>
      </c>
      <c r="N20" s="12">
        <v>82</v>
      </c>
      <c r="O20" s="12">
        <v>109</v>
      </c>
      <c r="P20" s="12">
        <v>48</v>
      </c>
      <c r="Q20" s="12">
        <v>63</v>
      </c>
      <c r="R20" s="12">
        <v>49</v>
      </c>
      <c r="S20" s="12">
        <v>112</v>
      </c>
      <c r="T20" s="12">
        <v>125</v>
      </c>
      <c r="U20" s="12">
        <v>34</v>
      </c>
      <c r="V20" s="12">
        <v>41</v>
      </c>
      <c r="W20" s="12">
        <v>21</v>
      </c>
      <c r="X20" s="12">
        <v>79</v>
      </c>
      <c r="Y20" s="12">
        <v>88</v>
      </c>
      <c r="Z20" s="12">
        <v>71</v>
      </c>
      <c r="AA20" s="12">
        <v>138</v>
      </c>
      <c r="AB20" s="12">
        <v>100</v>
      </c>
      <c r="AC20" s="12">
        <v>56</v>
      </c>
      <c r="AD20" s="12">
        <v>81</v>
      </c>
      <c r="AE20" s="12">
        <v>107</v>
      </c>
      <c r="AF20" s="12">
        <v>128</v>
      </c>
    </row>
    <row r="21" spans="1:32">
      <c r="A21" s="20"/>
      <c r="B21" s="13" t="s">
        <v>469</v>
      </c>
      <c r="C21" s="14">
        <v>0.09</v>
      </c>
      <c r="D21" s="14">
        <v>0.05</v>
      </c>
      <c r="E21" s="14">
        <v>0.16</v>
      </c>
      <c r="F21" s="14">
        <v>0.1</v>
      </c>
      <c r="G21" s="14">
        <v>0.14000000000000001</v>
      </c>
      <c r="H21" s="14">
        <v>0.1</v>
      </c>
      <c r="I21" s="14">
        <v>0.09</v>
      </c>
      <c r="J21" s="14">
        <v>0.04</v>
      </c>
      <c r="K21" s="14">
        <v>0.06</v>
      </c>
      <c r="L21" s="14">
        <v>7.0000000000000007E-2</v>
      </c>
      <c r="M21" s="14">
        <v>7.0000000000000007E-2</v>
      </c>
      <c r="N21" s="14">
        <v>0.08</v>
      </c>
      <c r="O21" s="14">
        <v>0.11</v>
      </c>
      <c r="P21" s="14">
        <v>0.05</v>
      </c>
      <c r="Q21" s="14">
        <v>0.06</v>
      </c>
      <c r="R21" s="14">
        <v>0.1</v>
      </c>
      <c r="S21" s="14">
        <v>0.11</v>
      </c>
      <c r="T21" s="14">
        <v>0.12</v>
      </c>
      <c r="U21" s="14">
        <v>7.0000000000000007E-2</v>
      </c>
      <c r="V21" s="14">
        <v>0.04</v>
      </c>
      <c r="W21" s="14">
        <v>0.04</v>
      </c>
      <c r="X21" s="14">
        <v>0.08</v>
      </c>
      <c r="Y21" s="14">
        <v>0.09</v>
      </c>
      <c r="Z21" s="14">
        <v>7.0000000000000007E-2</v>
      </c>
      <c r="AA21" s="14">
        <v>0.13</v>
      </c>
      <c r="AB21" s="14">
        <v>0.1</v>
      </c>
      <c r="AC21" s="14">
        <v>0.05</v>
      </c>
      <c r="AD21" s="14">
        <v>0.08</v>
      </c>
      <c r="AE21" s="14">
        <v>0.11</v>
      </c>
      <c r="AF21" s="14">
        <v>0.12</v>
      </c>
    </row>
    <row r="22" spans="1:32">
      <c r="A22" s="20"/>
      <c r="B22" s="11" t="s">
        <v>566</v>
      </c>
      <c r="C22" s="12">
        <v>9567</v>
      </c>
      <c r="D22" s="12">
        <v>365</v>
      </c>
      <c r="E22" s="12">
        <v>345</v>
      </c>
      <c r="F22" s="12">
        <v>311</v>
      </c>
      <c r="G22" s="12">
        <v>429</v>
      </c>
      <c r="H22" s="12">
        <v>370</v>
      </c>
      <c r="I22" s="12">
        <v>440</v>
      </c>
      <c r="J22" s="12">
        <v>70</v>
      </c>
      <c r="K22" s="12">
        <v>308</v>
      </c>
      <c r="L22" s="12">
        <v>502</v>
      </c>
      <c r="M22" s="12">
        <v>227</v>
      </c>
      <c r="N22" s="12">
        <v>439</v>
      </c>
      <c r="O22" s="12">
        <v>292</v>
      </c>
      <c r="P22" s="12">
        <v>535</v>
      </c>
      <c r="Q22" s="12">
        <v>385</v>
      </c>
      <c r="R22" s="12">
        <v>152</v>
      </c>
      <c r="S22" s="12">
        <v>445</v>
      </c>
      <c r="T22" s="12">
        <v>314</v>
      </c>
      <c r="U22" s="12">
        <v>217</v>
      </c>
      <c r="V22" s="12">
        <v>401</v>
      </c>
      <c r="W22" s="12">
        <v>270</v>
      </c>
      <c r="X22" s="12">
        <v>302</v>
      </c>
      <c r="Y22" s="12">
        <v>420</v>
      </c>
      <c r="Z22" s="12">
        <v>478</v>
      </c>
      <c r="AA22" s="12">
        <v>347</v>
      </c>
      <c r="AB22" s="12">
        <v>486</v>
      </c>
      <c r="AC22" s="12">
        <v>393</v>
      </c>
      <c r="AD22" s="12">
        <v>326</v>
      </c>
      <c r="AE22" s="12">
        <v>468</v>
      </c>
      <c r="AF22" s="12">
        <v>498</v>
      </c>
    </row>
    <row r="23" spans="1:32">
      <c r="A23" s="20"/>
      <c r="B23" s="13" t="s">
        <v>567</v>
      </c>
      <c r="C23" s="14">
        <v>0.36</v>
      </c>
      <c r="D23" s="14">
        <v>0.36</v>
      </c>
      <c r="E23" s="14">
        <v>0.34</v>
      </c>
      <c r="F23" s="14">
        <v>0.31</v>
      </c>
      <c r="G23" s="14">
        <v>0.43</v>
      </c>
      <c r="H23" s="14">
        <v>0.3</v>
      </c>
      <c r="I23" s="14">
        <v>0.28999999999999998</v>
      </c>
      <c r="J23" s="14">
        <v>0.24</v>
      </c>
      <c r="K23" s="14">
        <v>0.31</v>
      </c>
      <c r="L23" s="14">
        <v>0.5</v>
      </c>
      <c r="M23" s="14">
        <v>0.22</v>
      </c>
      <c r="N23" s="14">
        <v>0.44</v>
      </c>
      <c r="O23" s="14">
        <v>0.28999999999999998</v>
      </c>
      <c r="P23" s="14">
        <v>0.52</v>
      </c>
      <c r="Q23" s="14">
        <v>0.38</v>
      </c>
      <c r="R23" s="14">
        <v>0.3</v>
      </c>
      <c r="S23" s="14">
        <v>0.44</v>
      </c>
      <c r="T23" s="14">
        <v>0.31</v>
      </c>
      <c r="U23" s="14">
        <v>0.43</v>
      </c>
      <c r="V23" s="14">
        <v>0.39</v>
      </c>
      <c r="W23" s="14">
        <v>0.54</v>
      </c>
      <c r="X23" s="14">
        <v>0.3</v>
      </c>
      <c r="Y23" s="14">
        <v>0.41</v>
      </c>
      <c r="Z23" s="14">
        <v>0.48</v>
      </c>
      <c r="AA23" s="14">
        <v>0.33</v>
      </c>
      <c r="AB23" s="14">
        <v>0.46</v>
      </c>
      <c r="AC23" s="14">
        <v>0.39</v>
      </c>
      <c r="AD23" s="14">
        <v>0.32</v>
      </c>
      <c r="AE23" s="14">
        <v>0.46</v>
      </c>
      <c r="AF23" s="14">
        <v>0.49</v>
      </c>
    </row>
    <row r="24" spans="1:32">
      <c r="A24" s="20"/>
      <c r="B24" s="11" t="s">
        <v>568</v>
      </c>
      <c r="C24" s="12">
        <v>14494</v>
      </c>
      <c r="D24" s="12">
        <v>591</v>
      </c>
      <c r="E24" s="12">
        <v>509</v>
      </c>
      <c r="F24" s="12">
        <v>598</v>
      </c>
      <c r="G24" s="12">
        <v>433</v>
      </c>
      <c r="H24" s="12">
        <v>728</v>
      </c>
      <c r="I24" s="12">
        <v>940</v>
      </c>
      <c r="J24" s="12">
        <v>212</v>
      </c>
      <c r="K24" s="12">
        <v>639</v>
      </c>
      <c r="L24" s="12">
        <v>433</v>
      </c>
      <c r="M24" s="12">
        <v>711</v>
      </c>
      <c r="N24" s="12">
        <v>483</v>
      </c>
      <c r="O24" s="12">
        <v>603</v>
      </c>
      <c r="P24" s="12">
        <v>439</v>
      </c>
      <c r="Q24" s="12">
        <v>571</v>
      </c>
      <c r="R24" s="12">
        <v>299</v>
      </c>
      <c r="S24" s="12">
        <v>451</v>
      </c>
      <c r="T24" s="12">
        <v>575</v>
      </c>
      <c r="U24" s="12">
        <v>256</v>
      </c>
      <c r="V24" s="12">
        <v>575</v>
      </c>
      <c r="W24" s="12">
        <v>212</v>
      </c>
      <c r="X24" s="12">
        <v>640</v>
      </c>
      <c r="Y24" s="12">
        <v>500</v>
      </c>
      <c r="Z24" s="12">
        <v>458</v>
      </c>
      <c r="AA24" s="12">
        <v>568</v>
      </c>
      <c r="AB24" s="12">
        <v>454</v>
      </c>
      <c r="AC24" s="12">
        <v>561</v>
      </c>
      <c r="AD24" s="12">
        <v>600</v>
      </c>
      <c r="AE24" s="12">
        <v>426</v>
      </c>
      <c r="AF24" s="12">
        <v>394</v>
      </c>
    </row>
    <row r="25" spans="1:32">
      <c r="A25" s="20"/>
      <c r="B25" s="13" t="s">
        <v>569</v>
      </c>
      <c r="C25" s="14">
        <v>0.55000000000000004</v>
      </c>
      <c r="D25" s="14">
        <v>0.59</v>
      </c>
      <c r="E25" s="14">
        <v>0.5</v>
      </c>
      <c r="F25" s="14">
        <v>0.59</v>
      </c>
      <c r="G25" s="14">
        <v>0.43</v>
      </c>
      <c r="H25" s="14">
        <v>0.6</v>
      </c>
      <c r="I25" s="14">
        <v>0.62</v>
      </c>
      <c r="J25" s="14">
        <v>0.72</v>
      </c>
      <c r="K25" s="14">
        <v>0.63</v>
      </c>
      <c r="L25" s="14">
        <v>0.43</v>
      </c>
      <c r="M25" s="14">
        <v>0.71</v>
      </c>
      <c r="N25" s="14">
        <v>0.48</v>
      </c>
      <c r="O25" s="14">
        <v>0.6</v>
      </c>
      <c r="P25" s="14">
        <v>0.43</v>
      </c>
      <c r="Q25" s="14">
        <v>0.56000000000000005</v>
      </c>
      <c r="R25" s="14">
        <v>0.6</v>
      </c>
      <c r="S25" s="14">
        <v>0.45</v>
      </c>
      <c r="T25" s="14">
        <v>0.57000000000000006</v>
      </c>
      <c r="U25" s="14">
        <v>0.5</v>
      </c>
      <c r="V25" s="14">
        <v>0.57000000000000006</v>
      </c>
      <c r="W25" s="14">
        <v>0.42</v>
      </c>
      <c r="X25" s="14">
        <v>0.62</v>
      </c>
      <c r="Y25" s="14">
        <v>0.5</v>
      </c>
      <c r="Z25" s="14">
        <v>0.45</v>
      </c>
      <c r="AA25" s="14">
        <v>0.54</v>
      </c>
      <c r="AB25" s="14">
        <v>0.44</v>
      </c>
      <c r="AC25" s="14">
        <v>0.56000000000000005</v>
      </c>
      <c r="AD25" s="14">
        <v>0.6</v>
      </c>
      <c r="AE25" s="14">
        <v>0.43</v>
      </c>
      <c r="AF25" s="14">
        <v>0.39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610</v>
      </c>
      <c r="C3" s="18"/>
      <c r="D3" s="18"/>
      <c r="E3" s="18"/>
      <c r="F3" s="18"/>
      <c r="H3" s="18" t="s">
        <v>611</v>
      </c>
      <c r="I3" s="18"/>
      <c r="J3" s="18"/>
      <c r="K3" s="18"/>
      <c r="L3" s="18"/>
    </row>
    <row r="4" spans="1:32" ht="27" customHeight="1">
      <c r="B4" s="18" t="s">
        <v>612</v>
      </c>
      <c r="C4" s="18"/>
      <c r="D4" s="18"/>
      <c r="E4" s="18"/>
      <c r="F4" s="18"/>
      <c r="H4" s="18" t="s">
        <v>613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8118</v>
      </c>
      <c r="D12" s="12">
        <v>312</v>
      </c>
      <c r="E12" s="12">
        <v>241</v>
      </c>
      <c r="F12" s="12">
        <v>209</v>
      </c>
      <c r="G12" s="12">
        <v>397</v>
      </c>
      <c r="H12" s="12">
        <v>366</v>
      </c>
      <c r="I12" s="12">
        <v>464</v>
      </c>
      <c r="J12" s="12">
        <v>98</v>
      </c>
      <c r="K12" s="12">
        <v>222</v>
      </c>
      <c r="L12" s="12">
        <v>464</v>
      </c>
      <c r="M12" s="12">
        <v>279</v>
      </c>
      <c r="N12" s="12">
        <v>444</v>
      </c>
      <c r="O12" s="12">
        <v>365</v>
      </c>
      <c r="P12" s="12">
        <v>274</v>
      </c>
      <c r="Q12" s="12">
        <v>223</v>
      </c>
      <c r="R12" s="12">
        <v>247</v>
      </c>
      <c r="S12" s="12">
        <v>326</v>
      </c>
      <c r="T12" s="12">
        <v>260</v>
      </c>
      <c r="U12" s="12">
        <v>185</v>
      </c>
      <c r="V12" s="12">
        <v>298</v>
      </c>
      <c r="W12" s="12">
        <v>218</v>
      </c>
      <c r="X12" s="12">
        <v>363</v>
      </c>
      <c r="Y12" s="12">
        <v>293</v>
      </c>
      <c r="Z12" s="12">
        <v>165</v>
      </c>
      <c r="AA12" s="12">
        <v>232</v>
      </c>
      <c r="AB12" s="12">
        <v>315</v>
      </c>
      <c r="AC12" s="12">
        <v>258</v>
      </c>
      <c r="AD12" s="12">
        <v>262</v>
      </c>
      <c r="AE12" s="12">
        <v>413</v>
      </c>
      <c r="AF12" s="12">
        <v>454</v>
      </c>
    </row>
    <row r="13" spans="1:32">
      <c r="A13" s="20"/>
      <c r="B13" s="13" t="s">
        <v>559</v>
      </c>
      <c r="C13" s="14">
        <v>0.31</v>
      </c>
      <c r="D13" s="14">
        <v>0.31</v>
      </c>
      <c r="E13" s="14">
        <v>0.24</v>
      </c>
      <c r="F13" s="14">
        <v>0.21</v>
      </c>
      <c r="G13" s="14">
        <v>0.4</v>
      </c>
      <c r="H13" s="14">
        <v>0.3</v>
      </c>
      <c r="I13" s="14">
        <v>0.31</v>
      </c>
      <c r="J13" s="14">
        <v>0.33</v>
      </c>
      <c r="K13" s="14">
        <v>0.22</v>
      </c>
      <c r="L13" s="14">
        <v>0.46</v>
      </c>
      <c r="M13" s="14">
        <v>0.28000000000000003</v>
      </c>
      <c r="N13" s="14">
        <v>0.44</v>
      </c>
      <c r="O13" s="14">
        <v>0.36</v>
      </c>
      <c r="P13" s="14">
        <v>0.27</v>
      </c>
      <c r="Q13" s="14">
        <v>0.22</v>
      </c>
      <c r="R13" s="14">
        <v>0.5</v>
      </c>
      <c r="S13" s="14">
        <v>0.32</v>
      </c>
      <c r="T13" s="14">
        <v>0.26</v>
      </c>
      <c r="U13" s="14">
        <v>0.37</v>
      </c>
      <c r="V13" s="14">
        <v>0.28999999999999998</v>
      </c>
      <c r="W13" s="14">
        <v>0.43</v>
      </c>
      <c r="X13" s="14">
        <v>0.35</v>
      </c>
      <c r="Y13" s="14">
        <v>0.28999999999999998</v>
      </c>
      <c r="Z13" s="14">
        <v>0.16</v>
      </c>
      <c r="AA13" s="14">
        <v>0.22</v>
      </c>
      <c r="AB13" s="14">
        <v>0.3</v>
      </c>
      <c r="AC13" s="14">
        <v>0.25</v>
      </c>
      <c r="AD13" s="14">
        <v>0.26</v>
      </c>
      <c r="AE13" s="14">
        <v>0.41</v>
      </c>
      <c r="AF13" s="14">
        <v>0.45</v>
      </c>
    </row>
    <row r="14" spans="1:32">
      <c r="A14" s="20"/>
      <c r="B14" s="11" t="s">
        <v>560</v>
      </c>
      <c r="C14" s="12">
        <v>11173</v>
      </c>
      <c r="D14" s="12">
        <v>435</v>
      </c>
      <c r="E14" s="12">
        <v>365</v>
      </c>
      <c r="F14" s="12">
        <v>455</v>
      </c>
      <c r="G14" s="12">
        <v>340</v>
      </c>
      <c r="H14" s="12">
        <v>558</v>
      </c>
      <c r="I14" s="12">
        <v>692</v>
      </c>
      <c r="J14" s="12">
        <v>134</v>
      </c>
      <c r="K14" s="12">
        <v>351</v>
      </c>
      <c r="L14" s="12">
        <v>368</v>
      </c>
      <c r="M14" s="12">
        <v>460</v>
      </c>
      <c r="N14" s="12">
        <v>342</v>
      </c>
      <c r="O14" s="12">
        <v>361</v>
      </c>
      <c r="P14" s="12">
        <v>477</v>
      </c>
      <c r="Q14" s="12">
        <v>500</v>
      </c>
      <c r="R14" s="12">
        <v>152</v>
      </c>
      <c r="S14" s="12">
        <v>345</v>
      </c>
      <c r="T14" s="12">
        <v>331</v>
      </c>
      <c r="U14" s="12">
        <v>207</v>
      </c>
      <c r="V14" s="12">
        <v>439</v>
      </c>
      <c r="W14" s="12">
        <v>165</v>
      </c>
      <c r="X14" s="12">
        <v>387</v>
      </c>
      <c r="Y14" s="12">
        <v>384</v>
      </c>
      <c r="Z14" s="12">
        <v>539</v>
      </c>
      <c r="AA14" s="12">
        <v>462</v>
      </c>
      <c r="AB14" s="12">
        <v>445</v>
      </c>
      <c r="AC14" s="12">
        <v>324</v>
      </c>
      <c r="AD14" s="12">
        <v>519</v>
      </c>
      <c r="AE14" s="12">
        <v>395</v>
      </c>
      <c r="AF14" s="12">
        <v>371</v>
      </c>
    </row>
    <row r="15" spans="1:32">
      <c r="A15" s="20"/>
      <c r="B15" s="13" t="s">
        <v>561</v>
      </c>
      <c r="C15" s="14">
        <v>0.42</v>
      </c>
      <c r="D15" s="14">
        <v>0.44</v>
      </c>
      <c r="E15" s="14">
        <v>0.36</v>
      </c>
      <c r="F15" s="14">
        <v>0.45</v>
      </c>
      <c r="G15" s="14">
        <v>0.34</v>
      </c>
      <c r="H15" s="14">
        <v>0.46</v>
      </c>
      <c r="I15" s="14">
        <v>0.46</v>
      </c>
      <c r="J15" s="14">
        <v>0.46</v>
      </c>
      <c r="K15" s="14">
        <v>0.35</v>
      </c>
      <c r="L15" s="14">
        <v>0.37</v>
      </c>
      <c r="M15" s="14">
        <v>0.46</v>
      </c>
      <c r="N15" s="14">
        <v>0.34</v>
      </c>
      <c r="O15" s="14">
        <v>0.36</v>
      </c>
      <c r="P15" s="14">
        <v>0.47</v>
      </c>
      <c r="Q15" s="14">
        <v>0.49</v>
      </c>
      <c r="R15" s="14">
        <v>0.3</v>
      </c>
      <c r="S15" s="14">
        <v>0.34</v>
      </c>
      <c r="T15" s="14">
        <v>0.33</v>
      </c>
      <c r="U15" s="14">
        <v>0.41</v>
      </c>
      <c r="V15" s="14">
        <v>0.43</v>
      </c>
      <c r="W15" s="14">
        <v>0.33</v>
      </c>
      <c r="X15" s="14">
        <v>0.38</v>
      </c>
      <c r="Y15" s="14">
        <v>0.38</v>
      </c>
      <c r="Z15" s="14">
        <v>0.54</v>
      </c>
      <c r="AA15" s="14">
        <v>0.44</v>
      </c>
      <c r="AB15" s="14">
        <v>0.43</v>
      </c>
      <c r="AC15" s="14">
        <v>0.32</v>
      </c>
      <c r="AD15" s="14">
        <v>0.52</v>
      </c>
      <c r="AE15" s="14">
        <v>0.4</v>
      </c>
      <c r="AF15" s="14">
        <v>0.36</v>
      </c>
    </row>
    <row r="16" spans="1:32">
      <c r="A16" s="20"/>
      <c r="B16" s="11" t="s">
        <v>562</v>
      </c>
      <c r="C16" s="12">
        <v>4033</v>
      </c>
      <c r="D16" s="12">
        <v>184</v>
      </c>
      <c r="E16" s="12">
        <v>188</v>
      </c>
      <c r="F16" s="12">
        <v>207</v>
      </c>
      <c r="G16" s="12">
        <v>134</v>
      </c>
      <c r="H16" s="12">
        <v>144</v>
      </c>
      <c r="I16" s="12">
        <v>177</v>
      </c>
      <c r="J16" s="12">
        <v>33</v>
      </c>
      <c r="K16" s="12">
        <v>229</v>
      </c>
      <c r="L16" s="12">
        <v>90</v>
      </c>
      <c r="M16" s="12">
        <v>127</v>
      </c>
      <c r="N16" s="12">
        <v>116</v>
      </c>
      <c r="O16" s="12">
        <v>153</v>
      </c>
      <c r="P16" s="12">
        <v>148</v>
      </c>
      <c r="Q16" s="12">
        <v>197</v>
      </c>
      <c r="R16" s="12">
        <v>52</v>
      </c>
      <c r="S16" s="12">
        <v>138</v>
      </c>
      <c r="T16" s="12">
        <v>173</v>
      </c>
      <c r="U16" s="12">
        <v>55</v>
      </c>
      <c r="V16" s="12">
        <v>196</v>
      </c>
      <c r="W16" s="12">
        <v>69</v>
      </c>
      <c r="X16" s="12">
        <v>193</v>
      </c>
      <c r="Y16" s="12">
        <v>156</v>
      </c>
      <c r="Z16" s="12">
        <v>183</v>
      </c>
      <c r="AA16" s="12">
        <v>205</v>
      </c>
      <c r="AB16" s="12">
        <v>178</v>
      </c>
      <c r="AC16" s="12">
        <v>238</v>
      </c>
      <c r="AD16" s="12">
        <v>125</v>
      </c>
      <c r="AE16" s="12">
        <v>105</v>
      </c>
      <c r="AF16" s="12">
        <v>111</v>
      </c>
    </row>
    <row r="17" spans="1:32">
      <c r="A17" s="20"/>
      <c r="B17" s="13" t="s">
        <v>563</v>
      </c>
      <c r="C17" s="14">
        <v>0.15</v>
      </c>
      <c r="D17" s="14">
        <v>0.18</v>
      </c>
      <c r="E17" s="14">
        <v>0.18</v>
      </c>
      <c r="F17" s="14">
        <v>0.21</v>
      </c>
      <c r="G17" s="14">
        <v>0.13</v>
      </c>
      <c r="H17" s="14">
        <v>0.12</v>
      </c>
      <c r="I17" s="14">
        <v>0.12</v>
      </c>
      <c r="J17" s="14">
        <v>0.11</v>
      </c>
      <c r="K17" s="14">
        <v>0.23</v>
      </c>
      <c r="L17" s="14">
        <v>0.09</v>
      </c>
      <c r="M17" s="14">
        <v>0.13</v>
      </c>
      <c r="N17" s="14">
        <v>0.12</v>
      </c>
      <c r="O17" s="14">
        <v>0.15</v>
      </c>
      <c r="P17" s="14">
        <v>0.14000000000000001</v>
      </c>
      <c r="Q17" s="14">
        <v>0.19</v>
      </c>
      <c r="R17" s="14">
        <v>0.11</v>
      </c>
      <c r="S17" s="14">
        <v>0.14000000000000001</v>
      </c>
      <c r="T17" s="14">
        <v>0.17</v>
      </c>
      <c r="U17" s="14">
        <v>0.11</v>
      </c>
      <c r="V17" s="14">
        <v>0.19</v>
      </c>
      <c r="W17" s="14">
        <v>0.14000000000000001</v>
      </c>
      <c r="X17" s="14">
        <v>0.19</v>
      </c>
      <c r="Y17" s="14">
        <v>0.16</v>
      </c>
      <c r="Z17" s="14">
        <v>0.18</v>
      </c>
      <c r="AA17" s="14">
        <v>0.19</v>
      </c>
      <c r="AB17" s="14">
        <v>0.17</v>
      </c>
      <c r="AC17" s="14">
        <v>0.24</v>
      </c>
      <c r="AD17" s="14">
        <v>0.12</v>
      </c>
      <c r="AE17" s="14">
        <v>0.11</v>
      </c>
      <c r="AF17" s="14">
        <v>0.11</v>
      </c>
    </row>
    <row r="18" spans="1:32">
      <c r="A18" s="20"/>
      <c r="B18" s="11" t="s">
        <v>564</v>
      </c>
      <c r="C18" s="12">
        <v>1556</v>
      </c>
      <c r="D18" s="12">
        <v>51</v>
      </c>
      <c r="E18" s="12">
        <v>116</v>
      </c>
      <c r="F18" s="12">
        <v>85</v>
      </c>
      <c r="G18" s="12">
        <v>84</v>
      </c>
      <c r="H18" s="12">
        <v>38</v>
      </c>
      <c r="I18" s="12">
        <v>50</v>
      </c>
      <c r="J18" s="12">
        <v>12</v>
      </c>
      <c r="K18" s="12">
        <v>142</v>
      </c>
      <c r="L18" s="12">
        <v>32</v>
      </c>
      <c r="M18" s="12">
        <v>67</v>
      </c>
      <c r="N18" s="12">
        <v>64</v>
      </c>
      <c r="O18" s="12">
        <v>68</v>
      </c>
      <c r="P18" s="12">
        <v>58</v>
      </c>
      <c r="Q18" s="12">
        <v>68</v>
      </c>
      <c r="R18" s="12">
        <v>26</v>
      </c>
      <c r="S18" s="12">
        <v>102</v>
      </c>
      <c r="T18" s="12">
        <v>132</v>
      </c>
      <c r="U18" s="12">
        <v>33</v>
      </c>
      <c r="V18" s="12">
        <v>54</v>
      </c>
      <c r="W18" s="12">
        <v>34</v>
      </c>
      <c r="X18" s="12">
        <v>60</v>
      </c>
      <c r="Y18" s="12">
        <v>103</v>
      </c>
      <c r="Z18" s="12">
        <v>49</v>
      </c>
      <c r="AA18" s="12">
        <v>51</v>
      </c>
      <c r="AB18" s="12">
        <v>59</v>
      </c>
      <c r="AC18" s="12">
        <v>144</v>
      </c>
      <c r="AD18" s="12">
        <v>50</v>
      </c>
      <c r="AE18" s="12">
        <v>44</v>
      </c>
      <c r="AF18" s="12">
        <v>65</v>
      </c>
    </row>
    <row r="19" spans="1:32">
      <c r="A19" s="20"/>
      <c r="B19" s="13" t="s">
        <v>565</v>
      </c>
      <c r="C19" s="14">
        <v>0.06</v>
      </c>
      <c r="D19" s="14">
        <v>0.05</v>
      </c>
      <c r="E19" s="14">
        <v>0.11</v>
      </c>
      <c r="F19" s="14">
        <v>0.08</v>
      </c>
      <c r="G19" s="14">
        <v>0.08</v>
      </c>
      <c r="H19" s="14">
        <v>0.03</v>
      </c>
      <c r="I19" s="14">
        <v>0.03</v>
      </c>
      <c r="J19" s="14">
        <v>0.04</v>
      </c>
      <c r="K19" s="14">
        <v>0.14000000000000001</v>
      </c>
      <c r="L19" s="14">
        <v>0.03</v>
      </c>
      <c r="M19" s="14">
        <v>0.06</v>
      </c>
      <c r="N19" s="14">
        <v>0.06</v>
      </c>
      <c r="O19" s="14">
        <v>7.0000000000000007E-2</v>
      </c>
      <c r="P19" s="14">
        <v>0.06</v>
      </c>
      <c r="Q19" s="14">
        <v>7.0000000000000007E-2</v>
      </c>
      <c r="R19" s="14">
        <v>0.05</v>
      </c>
      <c r="S19" s="14">
        <v>0.1</v>
      </c>
      <c r="T19" s="14">
        <v>0.13</v>
      </c>
      <c r="U19" s="14">
        <v>0.06</v>
      </c>
      <c r="V19" s="14">
        <v>0.06</v>
      </c>
      <c r="W19" s="14">
        <v>7.0000000000000007E-2</v>
      </c>
      <c r="X19" s="14">
        <v>0.06</v>
      </c>
      <c r="Y19" s="14">
        <v>0.1</v>
      </c>
      <c r="Z19" s="14">
        <v>0.05</v>
      </c>
      <c r="AA19" s="14">
        <v>0.05</v>
      </c>
      <c r="AB19" s="14">
        <v>0.06</v>
      </c>
      <c r="AC19" s="14">
        <v>0.14000000000000001</v>
      </c>
      <c r="AD19" s="14">
        <v>0.05</v>
      </c>
      <c r="AE19" s="14">
        <v>0.04</v>
      </c>
      <c r="AF19" s="14">
        <v>0.06</v>
      </c>
    </row>
    <row r="20" spans="1:32">
      <c r="A20" s="20"/>
      <c r="B20" s="11" t="s">
        <v>468</v>
      </c>
      <c r="C20" s="12">
        <v>1438</v>
      </c>
      <c r="D20" s="12">
        <v>21</v>
      </c>
      <c r="E20" s="12">
        <v>108</v>
      </c>
      <c r="F20" s="12">
        <v>49</v>
      </c>
      <c r="G20" s="12">
        <v>49</v>
      </c>
      <c r="H20" s="12">
        <v>109</v>
      </c>
      <c r="I20" s="12">
        <v>126</v>
      </c>
      <c r="J20" s="12">
        <v>17</v>
      </c>
      <c r="K20" s="12">
        <v>62</v>
      </c>
      <c r="L20" s="12">
        <v>53</v>
      </c>
      <c r="M20" s="12">
        <v>70</v>
      </c>
      <c r="N20" s="12">
        <v>38</v>
      </c>
      <c r="O20" s="12">
        <v>56</v>
      </c>
      <c r="P20" s="12">
        <v>65</v>
      </c>
      <c r="Q20" s="12">
        <v>30</v>
      </c>
      <c r="R20" s="12">
        <v>22</v>
      </c>
      <c r="S20" s="12">
        <v>97</v>
      </c>
      <c r="T20" s="12">
        <v>117</v>
      </c>
      <c r="U20" s="12">
        <v>27</v>
      </c>
      <c r="V20" s="12">
        <v>31</v>
      </c>
      <c r="W20" s="12">
        <v>16</v>
      </c>
      <c r="X20" s="12">
        <v>17</v>
      </c>
      <c r="Y20" s="12">
        <v>71</v>
      </c>
      <c r="Z20" s="12">
        <v>72</v>
      </c>
      <c r="AA20" s="12">
        <v>104</v>
      </c>
      <c r="AB20" s="12">
        <v>42</v>
      </c>
      <c r="AC20" s="12">
        <v>46</v>
      </c>
      <c r="AD20" s="12">
        <v>49</v>
      </c>
      <c r="AE20" s="12">
        <v>43</v>
      </c>
      <c r="AF20" s="12">
        <v>19</v>
      </c>
    </row>
    <row r="21" spans="1:32">
      <c r="A21" s="20"/>
      <c r="B21" s="13" t="s">
        <v>469</v>
      </c>
      <c r="C21" s="14">
        <v>0.06</v>
      </c>
      <c r="D21" s="14">
        <v>0.02</v>
      </c>
      <c r="E21" s="14">
        <v>0.11</v>
      </c>
      <c r="F21" s="14">
        <v>0.05</v>
      </c>
      <c r="G21" s="14">
        <v>0.05</v>
      </c>
      <c r="H21" s="14">
        <v>0.09</v>
      </c>
      <c r="I21" s="14">
        <v>0.08</v>
      </c>
      <c r="J21" s="14">
        <v>0.06</v>
      </c>
      <c r="K21" s="14">
        <v>0.06</v>
      </c>
      <c r="L21" s="14">
        <v>0.05</v>
      </c>
      <c r="M21" s="14">
        <v>7.0000000000000007E-2</v>
      </c>
      <c r="N21" s="14">
        <v>0.04</v>
      </c>
      <c r="O21" s="14">
        <v>0.06</v>
      </c>
      <c r="P21" s="14">
        <v>0.06</v>
      </c>
      <c r="Q21" s="14">
        <v>0.03</v>
      </c>
      <c r="R21" s="14">
        <v>0.04</v>
      </c>
      <c r="S21" s="14">
        <v>0.1</v>
      </c>
      <c r="T21" s="14">
        <v>0.11</v>
      </c>
      <c r="U21" s="14">
        <v>0.05</v>
      </c>
      <c r="V21" s="14">
        <v>0.03</v>
      </c>
      <c r="W21" s="14">
        <v>0.03</v>
      </c>
      <c r="X21" s="14">
        <v>0.02</v>
      </c>
      <c r="Y21" s="14">
        <v>7.0000000000000007E-2</v>
      </c>
      <c r="Z21" s="14">
        <v>7.0000000000000007E-2</v>
      </c>
      <c r="AA21" s="14">
        <v>0.1</v>
      </c>
      <c r="AB21" s="14">
        <v>0.04</v>
      </c>
      <c r="AC21" s="14">
        <v>0.05</v>
      </c>
      <c r="AD21" s="14">
        <v>0.05</v>
      </c>
      <c r="AE21" s="14">
        <v>0.04</v>
      </c>
      <c r="AF21" s="14">
        <v>0.02</v>
      </c>
    </row>
    <row r="22" spans="1:32">
      <c r="A22" s="20"/>
      <c r="B22" s="11" t="s">
        <v>566</v>
      </c>
      <c r="C22" s="12">
        <v>19291</v>
      </c>
      <c r="D22" s="12">
        <v>747</v>
      </c>
      <c r="E22" s="12">
        <v>606</v>
      </c>
      <c r="F22" s="12">
        <v>664</v>
      </c>
      <c r="G22" s="12">
        <v>737</v>
      </c>
      <c r="H22" s="12">
        <v>924</v>
      </c>
      <c r="I22" s="12">
        <v>1156</v>
      </c>
      <c r="J22" s="12">
        <v>232</v>
      </c>
      <c r="K22" s="12">
        <v>573</v>
      </c>
      <c r="L22" s="12">
        <v>832</v>
      </c>
      <c r="M22" s="12">
        <v>739</v>
      </c>
      <c r="N22" s="12">
        <v>786</v>
      </c>
      <c r="O22" s="12">
        <v>726</v>
      </c>
      <c r="P22" s="12">
        <v>751</v>
      </c>
      <c r="Q22" s="12">
        <v>723</v>
      </c>
      <c r="R22" s="12">
        <v>399</v>
      </c>
      <c r="S22" s="12">
        <v>671</v>
      </c>
      <c r="T22" s="12">
        <v>591</v>
      </c>
      <c r="U22" s="12">
        <v>392</v>
      </c>
      <c r="V22" s="12">
        <v>737</v>
      </c>
      <c r="W22" s="12">
        <v>383</v>
      </c>
      <c r="X22" s="12">
        <v>750</v>
      </c>
      <c r="Y22" s="12">
        <v>677</v>
      </c>
      <c r="Z22" s="12">
        <v>704</v>
      </c>
      <c r="AA22" s="12">
        <v>694</v>
      </c>
      <c r="AB22" s="12">
        <v>760</v>
      </c>
      <c r="AC22" s="12">
        <v>582</v>
      </c>
      <c r="AD22" s="12">
        <v>781</v>
      </c>
      <c r="AE22" s="12">
        <v>808</v>
      </c>
      <c r="AF22" s="12">
        <v>825</v>
      </c>
    </row>
    <row r="23" spans="1:32">
      <c r="A23" s="20"/>
      <c r="B23" s="13" t="s">
        <v>567</v>
      </c>
      <c r="C23" s="14">
        <v>0.73</v>
      </c>
      <c r="D23" s="14">
        <v>0.75</v>
      </c>
      <c r="E23" s="14">
        <v>0.6</v>
      </c>
      <c r="F23" s="14">
        <v>0.66</v>
      </c>
      <c r="G23" s="14">
        <v>0.74</v>
      </c>
      <c r="H23" s="14">
        <v>0.76</v>
      </c>
      <c r="I23" s="14">
        <v>0.77</v>
      </c>
      <c r="J23" s="14">
        <v>0.79</v>
      </c>
      <c r="K23" s="14">
        <v>0.57000000000000006</v>
      </c>
      <c r="L23" s="14">
        <v>0.83000000000000007</v>
      </c>
      <c r="M23" s="14">
        <v>0.74</v>
      </c>
      <c r="N23" s="14">
        <v>0.78</v>
      </c>
      <c r="O23" s="14">
        <v>0.72</v>
      </c>
      <c r="P23" s="14">
        <v>0.74</v>
      </c>
      <c r="Q23" s="14">
        <v>0.71</v>
      </c>
      <c r="R23" s="14">
        <v>0.8</v>
      </c>
      <c r="S23" s="14">
        <v>0.66</v>
      </c>
      <c r="T23" s="14">
        <v>0.59</v>
      </c>
      <c r="U23" s="14">
        <v>0.78</v>
      </c>
      <c r="V23" s="14">
        <v>0.72</v>
      </c>
      <c r="W23" s="14">
        <v>0.76</v>
      </c>
      <c r="X23" s="14">
        <v>0.73</v>
      </c>
      <c r="Y23" s="14">
        <v>0.67</v>
      </c>
      <c r="Z23" s="14">
        <v>0.70000000000000007</v>
      </c>
      <c r="AA23" s="14">
        <v>0.66</v>
      </c>
      <c r="AB23" s="14">
        <v>0.73</v>
      </c>
      <c r="AC23" s="14">
        <v>0.57000000000000006</v>
      </c>
      <c r="AD23" s="14">
        <v>0.78</v>
      </c>
      <c r="AE23" s="14">
        <v>0.81</v>
      </c>
      <c r="AF23" s="14">
        <v>0.81</v>
      </c>
    </row>
    <row r="24" spans="1:32">
      <c r="A24" s="20"/>
      <c r="B24" s="11" t="s">
        <v>568</v>
      </c>
      <c r="C24" s="12">
        <v>5589</v>
      </c>
      <c r="D24" s="12">
        <v>235</v>
      </c>
      <c r="E24" s="12">
        <v>304</v>
      </c>
      <c r="F24" s="12">
        <v>292</v>
      </c>
      <c r="G24" s="12">
        <v>218</v>
      </c>
      <c r="H24" s="12">
        <v>182</v>
      </c>
      <c r="I24" s="12">
        <v>227</v>
      </c>
      <c r="J24" s="12">
        <v>45</v>
      </c>
      <c r="K24" s="12">
        <v>371</v>
      </c>
      <c r="L24" s="12">
        <v>122</v>
      </c>
      <c r="M24" s="12">
        <v>194</v>
      </c>
      <c r="N24" s="12">
        <v>180</v>
      </c>
      <c r="O24" s="12">
        <v>221</v>
      </c>
      <c r="P24" s="12">
        <v>206</v>
      </c>
      <c r="Q24" s="12">
        <v>265</v>
      </c>
      <c r="R24" s="12">
        <v>78</v>
      </c>
      <c r="S24" s="12">
        <v>240</v>
      </c>
      <c r="T24" s="12">
        <v>305</v>
      </c>
      <c r="U24" s="12">
        <v>88</v>
      </c>
      <c r="V24" s="12">
        <v>250</v>
      </c>
      <c r="W24" s="12">
        <v>103</v>
      </c>
      <c r="X24" s="12">
        <v>253</v>
      </c>
      <c r="Y24" s="12">
        <v>259</v>
      </c>
      <c r="Z24" s="12">
        <v>232</v>
      </c>
      <c r="AA24" s="12">
        <v>256</v>
      </c>
      <c r="AB24" s="12">
        <v>237</v>
      </c>
      <c r="AC24" s="12">
        <v>382</v>
      </c>
      <c r="AD24" s="12">
        <v>175</v>
      </c>
      <c r="AE24" s="12">
        <v>149</v>
      </c>
      <c r="AF24" s="12">
        <v>176</v>
      </c>
    </row>
    <row r="25" spans="1:32">
      <c r="A25" s="20"/>
      <c r="B25" s="13" t="s">
        <v>569</v>
      </c>
      <c r="C25" s="14">
        <v>0.21</v>
      </c>
      <c r="D25" s="14">
        <v>0.23</v>
      </c>
      <c r="E25" s="14">
        <v>0.28999999999999998</v>
      </c>
      <c r="F25" s="14">
        <v>0.28999999999999998</v>
      </c>
      <c r="G25" s="14">
        <v>0.21</v>
      </c>
      <c r="H25" s="14">
        <v>0.15</v>
      </c>
      <c r="I25" s="14">
        <v>0.15</v>
      </c>
      <c r="J25" s="14">
        <v>0.15</v>
      </c>
      <c r="K25" s="14">
        <v>0.37</v>
      </c>
      <c r="L25" s="14">
        <v>0.12</v>
      </c>
      <c r="M25" s="14">
        <v>0.19</v>
      </c>
      <c r="N25" s="14">
        <v>0.18</v>
      </c>
      <c r="O25" s="14">
        <v>0.22</v>
      </c>
      <c r="P25" s="14">
        <v>0.2</v>
      </c>
      <c r="Q25" s="14">
        <v>0.26</v>
      </c>
      <c r="R25" s="14">
        <v>0.16</v>
      </c>
      <c r="S25" s="14">
        <v>0.24</v>
      </c>
      <c r="T25" s="14">
        <v>0.3</v>
      </c>
      <c r="U25" s="14">
        <v>0.17</v>
      </c>
      <c r="V25" s="14">
        <v>0.25</v>
      </c>
      <c r="W25" s="14">
        <v>0.21</v>
      </c>
      <c r="X25" s="14">
        <v>0.25</v>
      </c>
      <c r="Y25" s="14">
        <v>0.26</v>
      </c>
      <c r="Z25" s="14">
        <v>0.23</v>
      </c>
      <c r="AA25" s="14">
        <v>0.24</v>
      </c>
      <c r="AB25" s="14">
        <v>0.23</v>
      </c>
      <c r="AC25" s="14">
        <v>0.38</v>
      </c>
      <c r="AD25" s="14">
        <v>0.17</v>
      </c>
      <c r="AE25" s="14">
        <v>0.15</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51</v>
      </c>
      <c r="C3" s="18"/>
      <c r="D3" s="18"/>
      <c r="E3" s="18"/>
      <c r="F3" s="18"/>
      <c r="H3" s="18" t="s">
        <v>52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8.95">
      <c r="A12" s="20"/>
      <c r="B12" s="11" t="s">
        <v>614</v>
      </c>
      <c r="C12" s="12">
        <v>5389</v>
      </c>
      <c r="D12" s="12">
        <v>158</v>
      </c>
      <c r="E12" s="12">
        <v>168</v>
      </c>
      <c r="F12" s="12">
        <v>262</v>
      </c>
      <c r="G12" s="12">
        <v>307</v>
      </c>
      <c r="H12" s="12">
        <v>224</v>
      </c>
      <c r="I12" s="12">
        <v>281</v>
      </c>
      <c r="J12" s="12">
        <v>57</v>
      </c>
      <c r="K12" s="12">
        <v>202</v>
      </c>
      <c r="L12" s="12">
        <v>167</v>
      </c>
      <c r="M12" s="12">
        <v>174</v>
      </c>
      <c r="N12" s="12">
        <v>212</v>
      </c>
      <c r="O12" s="12">
        <v>232</v>
      </c>
      <c r="P12" s="12">
        <v>168</v>
      </c>
      <c r="Q12" s="12">
        <v>208</v>
      </c>
      <c r="R12" s="12">
        <v>148</v>
      </c>
      <c r="S12" s="12">
        <v>199</v>
      </c>
      <c r="T12" s="12">
        <v>213</v>
      </c>
      <c r="U12" s="12">
        <v>104</v>
      </c>
      <c r="V12" s="12">
        <v>173</v>
      </c>
      <c r="W12" s="12">
        <v>164</v>
      </c>
      <c r="X12" s="12">
        <v>230</v>
      </c>
      <c r="Y12" s="12">
        <v>153</v>
      </c>
      <c r="Z12" s="12">
        <v>204</v>
      </c>
      <c r="AA12" s="12">
        <v>170</v>
      </c>
      <c r="AB12" s="12">
        <v>123</v>
      </c>
      <c r="AC12" s="12">
        <v>265</v>
      </c>
      <c r="AD12" s="12">
        <v>173</v>
      </c>
      <c r="AE12" s="12">
        <v>337</v>
      </c>
      <c r="AF12" s="12">
        <v>370</v>
      </c>
    </row>
    <row r="13" spans="1:32" ht="36.950000000000003">
      <c r="A13" s="20"/>
      <c r="B13" s="13" t="s">
        <v>615</v>
      </c>
      <c r="C13" s="14">
        <v>0.2</v>
      </c>
      <c r="D13" s="14">
        <v>0.16</v>
      </c>
      <c r="E13" s="14">
        <v>0.16</v>
      </c>
      <c r="F13" s="14">
        <v>0.26</v>
      </c>
      <c r="G13" s="14">
        <v>0.31</v>
      </c>
      <c r="H13" s="14">
        <v>0.18</v>
      </c>
      <c r="I13" s="14">
        <v>0.19</v>
      </c>
      <c r="J13" s="14">
        <v>0.2</v>
      </c>
      <c r="K13" s="14">
        <v>0.2</v>
      </c>
      <c r="L13" s="14">
        <v>0.17</v>
      </c>
      <c r="M13" s="14">
        <v>0.17</v>
      </c>
      <c r="N13" s="14">
        <v>0.21</v>
      </c>
      <c r="O13" s="14">
        <v>0.23</v>
      </c>
      <c r="P13" s="14">
        <v>0.16</v>
      </c>
      <c r="Q13" s="14">
        <v>0.21</v>
      </c>
      <c r="R13" s="14">
        <v>0.3</v>
      </c>
      <c r="S13" s="14">
        <v>0.2</v>
      </c>
      <c r="T13" s="14">
        <v>0.21</v>
      </c>
      <c r="U13" s="14">
        <v>0.2</v>
      </c>
      <c r="V13" s="14">
        <v>0.17</v>
      </c>
      <c r="W13" s="14">
        <v>0.32</v>
      </c>
      <c r="X13" s="14">
        <v>0.23</v>
      </c>
      <c r="Y13" s="14">
        <v>0.15</v>
      </c>
      <c r="Z13" s="14">
        <v>0.2</v>
      </c>
      <c r="AA13" s="14">
        <v>0.16</v>
      </c>
      <c r="AB13" s="14">
        <v>0.12</v>
      </c>
      <c r="AC13" s="14">
        <v>0.26</v>
      </c>
      <c r="AD13" s="14">
        <v>0.17</v>
      </c>
      <c r="AE13" s="14">
        <v>0.34</v>
      </c>
      <c r="AF13" s="14">
        <v>0.36</v>
      </c>
    </row>
    <row r="14" spans="1:32" ht="36.950000000000003">
      <c r="A14" s="20"/>
      <c r="B14" s="11" t="s">
        <v>616</v>
      </c>
      <c r="C14" s="12">
        <v>1169</v>
      </c>
      <c r="D14" s="12">
        <v>40</v>
      </c>
      <c r="E14" s="12">
        <v>62</v>
      </c>
      <c r="F14" s="12">
        <v>29</v>
      </c>
      <c r="G14" s="12">
        <v>27</v>
      </c>
      <c r="H14" s="12">
        <v>55</v>
      </c>
      <c r="I14" s="12">
        <v>64</v>
      </c>
      <c r="J14" s="12">
        <v>9</v>
      </c>
      <c r="K14" s="12">
        <v>45</v>
      </c>
      <c r="L14" s="12">
        <v>58</v>
      </c>
      <c r="M14" s="12">
        <v>75</v>
      </c>
      <c r="N14" s="12">
        <v>47</v>
      </c>
      <c r="O14" s="12">
        <v>30</v>
      </c>
      <c r="P14" s="12">
        <v>33</v>
      </c>
      <c r="Q14" s="12">
        <v>62</v>
      </c>
      <c r="R14" s="12">
        <v>20</v>
      </c>
      <c r="S14" s="12">
        <v>41</v>
      </c>
      <c r="T14" s="12">
        <v>29</v>
      </c>
      <c r="U14" s="12">
        <v>28</v>
      </c>
      <c r="V14" s="12">
        <v>44</v>
      </c>
      <c r="W14" s="12">
        <v>70</v>
      </c>
      <c r="X14" s="12">
        <v>36</v>
      </c>
      <c r="Y14" s="12">
        <v>30</v>
      </c>
      <c r="Z14" s="12">
        <v>69</v>
      </c>
      <c r="AA14" s="12">
        <v>55</v>
      </c>
      <c r="AB14" s="12">
        <v>37</v>
      </c>
      <c r="AC14" s="12">
        <v>30</v>
      </c>
      <c r="AD14" s="12">
        <v>33</v>
      </c>
      <c r="AE14" s="12">
        <v>6</v>
      </c>
      <c r="AF14" s="12">
        <v>13</v>
      </c>
    </row>
    <row r="15" spans="1:32" ht="36.950000000000003">
      <c r="A15" s="20"/>
      <c r="B15" s="13" t="s">
        <v>617</v>
      </c>
      <c r="C15" s="14">
        <v>0.04</v>
      </c>
      <c r="D15" s="14">
        <v>0.04</v>
      </c>
      <c r="E15" s="14">
        <v>0.06</v>
      </c>
      <c r="F15" s="14">
        <v>0.03</v>
      </c>
      <c r="G15" s="14">
        <v>0.03</v>
      </c>
      <c r="H15" s="14">
        <v>0.05</v>
      </c>
      <c r="I15" s="14">
        <v>0.04</v>
      </c>
      <c r="J15" s="14">
        <v>0.03</v>
      </c>
      <c r="K15" s="14">
        <v>0.04</v>
      </c>
      <c r="L15" s="14">
        <v>0.06</v>
      </c>
      <c r="M15" s="14">
        <v>0.08</v>
      </c>
      <c r="N15" s="14">
        <v>0.05</v>
      </c>
      <c r="O15" s="14">
        <v>0.03</v>
      </c>
      <c r="P15" s="14">
        <v>0.03</v>
      </c>
      <c r="Q15" s="14">
        <v>0.06</v>
      </c>
      <c r="R15" s="14">
        <v>0.04</v>
      </c>
      <c r="S15" s="14">
        <v>0.04</v>
      </c>
      <c r="T15" s="14">
        <v>0.03</v>
      </c>
      <c r="U15" s="14">
        <v>0.06</v>
      </c>
      <c r="V15" s="14">
        <v>0.04</v>
      </c>
      <c r="W15" s="14">
        <v>0.14000000000000001</v>
      </c>
      <c r="X15" s="14">
        <v>0.03</v>
      </c>
      <c r="Y15" s="14">
        <v>0.03</v>
      </c>
      <c r="Z15" s="14">
        <v>7.0000000000000007E-2</v>
      </c>
      <c r="AA15" s="14">
        <v>0.05</v>
      </c>
      <c r="AB15" s="14">
        <v>0.04</v>
      </c>
      <c r="AC15" s="14">
        <v>0.03</v>
      </c>
      <c r="AD15" s="14">
        <v>0.03</v>
      </c>
      <c r="AE15" s="14">
        <v>0.01</v>
      </c>
      <c r="AF15" s="14">
        <v>0.01</v>
      </c>
    </row>
    <row r="16" spans="1:32" ht="72.95">
      <c r="A16" s="20"/>
      <c r="B16" s="11" t="s">
        <v>618</v>
      </c>
      <c r="C16" s="12">
        <v>3046</v>
      </c>
      <c r="D16" s="12">
        <v>92</v>
      </c>
      <c r="E16" s="12">
        <v>126</v>
      </c>
      <c r="F16" s="12">
        <v>87</v>
      </c>
      <c r="G16" s="12">
        <v>24</v>
      </c>
      <c r="H16" s="12">
        <v>101</v>
      </c>
      <c r="I16" s="12">
        <v>132</v>
      </c>
      <c r="J16" s="12">
        <v>30</v>
      </c>
      <c r="K16" s="12">
        <v>107</v>
      </c>
      <c r="L16" s="12">
        <v>128</v>
      </c>
      <c r="M16" s="12">
        <v>155</v>
      </c>
      <c r="N16" s="12">
        <v>112</v>
      </c>
      <c r="O16" s="12">
        <v>110</v>
      </c>
      <c r="P16" s="12">
        <v>144</v>
      </c>
      <c r="Q16" s="12">
        <v>176</v>
      </c>
      <c r="R16" s="12">
        <v>89</v>
      </c>
      <c r="S16" s="12">
        <v>131</v>
      </c>
      <c r="T16" s="12">
        <v>99</v>
      </c>
      <c r="U16" s="12">
        <v>59</v>
      </c>
      <c r="V16" s="12">
        <v>212</v>
      </c>
      <c r="W16" s="12">
        <v>84</v>
      </c>
      <c r="X16" s="12">
        <v>61</v>
      </c>
      <c r="Y16" s="12">
        <v>97</v>
      </c>
      <c r="Z16" s="12">
        <v>156</v>
      </c>
      <c r="AA16" s="12">
        <v>104</v>
      </c>
      <c r="AB16" s="12">
        <v>132</v>
      </c>
      <c r="AC16" s="12">
        <v>130</v>
      </c>
      <c r="AD16" s="12">
        <v>120</v>
      </c>
      <c r="AE16" s="12">
        <v>56</v>
      </c>
      <c r="AF16" s="12">
        <v>28</v>
      </c>
    </row>
    <row r="17" spans="1:32" ht="48.95">
      <c r="A17" s="20"/>
      <c r="B17" s="13" t="s">
        <v>619</v>
      </c>
      <c r="C17" s="14">
        <v>0.12</v>
      </c>
      <c r="D17" s="14">
        <v>0.09</v>
      </c>
      <c r="E17" s="14">
        <v>0.12</v>
      </c>
      <c r="F17" s="14">
        <v>0.09</v>
      </c>
      <c r="G17" s="14">
        <v>0.02</v>
      </c>
      <c r="H17" s="14">
        <v>0.08</v>
      </c>
      <c r="I17" s="14">
        <v>0.09</v>
      </c>
      <c r="J17" s="14">
        <v>0.1</v>
      </c>
      <c r="K17" s="14">
        <v>0.11</v>
      </c>
      <c r="L17" s="14">
        <v>0.13</v>
      </c>
      <c r="M17" s="14">
        <v>0.16</v>
      </c>
      <c r="N17" s="14">
        <v>0.11</v>
      </c>
      <c r="O17" s="14">
        <v>0.11</v>
      </c>
      <c r="P17" s="14">
        <v>0.14000000000000001</v>
      </c>
      <c r="Q17" s="14">
        <v>0.17</v>
      </c>
      <c r="R17" s="14">
        <v>0.18</v>
      </c>
      <c r="S17" s="14">
        <v>0.13</v>
      </c>
      <c r="T17" s="14">
        <v>0.1</v>
      </c>
      <c r="U17" s="14">
        <v>0.12</v>
      </c>
      <c r="V17" s="14">
        <v>0.21</v>
      </c>
      <c r="W17" s="14">
        <v>0.17</v>
      </c>
      <c r="X17" s="14">
        <v>0.06</v>
      </c>
      <c r="Y17" s="14">
        <v>0.1</v>
      </c>
      <c r="Z17" s="14">
        <v>0.16</v>
      </c>
      <c r="AA17" s="14">
        <v>0.1</v>
      </c>
      <c r="AB17" s="14">
        <v>0.13</v>
      </c>
      <c r="AC17" s="14">
        <v>0.13</v>
      </c>
      <c r="AD17" s="14">
        <v>0.12</v>
      </c>
      <c r="AE17" s="14">
        <v>0.06</v>
      </c>
      <c r="AF17" s="14">
        <v>0.03</v>
      </c>
    </row>
    <row r="18" spans="1:32" ht="48.95">
      <c r="A18" s="20"/>
      <c r="B18" s="11" t="s">
        <v>620</v>
      </c>
      <c r="C18" s="12">
        <v>2202</v>
      </c>
      <c r="D18" s="12">
        <v>106</v>
      </c>
      <c r="E18" s="12">
        <v>68</v>
      </c>
      <c r="F18" s="12">
        <v>65</v>
      </c>
      <c r="G18" s="12">
        <v>56</v>
      </c>
      <c r="H18" s="12">
        <v>141</v>
      </c>
      <c r="I18" s="12">
        <v>174</v>
      </c>
      <c r="J18" s="12">
        <v>33</v>
      </c>
      <c r="K18" s="12">
        <v>73</v>
      </c>
      <c r="L18" s="12">
        <v>84</v>
      </c>
      <c r="M18" s="12">
        <v>63</v>
      </c>
      <c r="N18" s="12">
        <v>62</v>
      </c>
      <c r="O18" s="12">
        <v>58</v>
      </c>
      <c r="P18" s="12">
        <v>95</v>
      </c>
      <c r="Q18" s="12">
        <v>94</v>
      </c>
      <c r="R18" s="12">
        <v>26</v>
      </c>
      <c r="S18" s="12">
        <v>87</v>
      </c>
      <c r="T18" s="12">
        <v>99</v>
      </c>
      <c r="U18" s="12">
        <v>50</v>
      </c>
      <c r="V18" s="12">
        <v>118</v>
      </c>
      <c r="W18" s="12">
        <v>30</v>
      </c>
      <c r="X18" s="12">
        <v>36</v>
      </c>
      <c r="Y18" s="12">
        <v>105</v>
      </c>
      <c r="Z18" s="12">
        <v>112</v>
      </c>
      <c r="AA18" s="12">
        <v>42</v>
      </c>
      <c r="AB18" s="12">
        <v>103</v>
      </c>
      <c r="AC18" s="12">
        <v>82</v>
      </c>
      <c r="AD18" s="12">
        <v>78</v>
      </c>
      <c r="AE18" s="12">
        <v>57</v>
      </c>
      <c r="AF18" s="12">
        <v>57</v>
      </c>
    </row>
    <row r="19" spans="1:32" ht="36.950000000000003">
      <c r="A19" s="20"/>
      <c r="B19" s="13" t="s">
        <v>621</v>
      </c>
      <c r="C19" s="14">
        <v>0.08</v>
      </c>
      <c r="D19" s="14">
        <v>0.11</v>
      </c>
      <c r="E19" s="14">
        <v>7.0000000000000007E-2</v>
      </c>
      <c r="F19" s="14">
        <v>0.06</v>
      </c>
      <c r="G19" s="14">
        <v>0.06</v>
      </c>
      <c r="H19" s="14">
        <v>0.12</v>
      </c>
      <c r="I19" s="14">
        <v>0.12</v>
      </c>
      <c r="J19" s="14">
        <v>0.11</v>
      </c>
      <c r="K19" s="14">
        <v>7.0000000000000007E-2</v>
      </c>
      <c r="L19" s="14">
        <v>0.08</v>
      </c>
      <c r="M19" s="14">
        <v>0.06</v>
      </c>
      <c r="N19" s="14">
        <v>0.06</v>
      </c>
      <c r="O19" s="14">
        <v>0.06</v>
      </c>
      <c r="P19" s="14">
        <v>0.09</v>
      </c>
      <c r="Q19" s="14">
        <v>0.09</v>
      </c>
      <c r="R19" s="14">
        <v>0.05</v>
      </c>
      <c r="S19" s="14">
        <v>0.09</v>
      </c>
      <c r="T19" s="14">
        <v>0.1</v>
      </c>
      <c r="U19" s="14">
        <v>0.1</v>
      </c>
      <c r="V19" s="14">
        <v>0.12</v>
      </c>
      <c r="W19" s="14">
        <v>0.06</v>
      </c>
      <c r="X19" s="14">
        <v>0.04</v>
      </c>
      <c r="Y19" s="14">
        <v>0.1</v>
      </c>
      <c r="Z19" s="14">
        <v>0.11</v>
      </c>
      <c r="AA19" s="14">
        <v>0.04</v>
      </c>
      <c r="AB19" s="14">
        <v>0.1</v>
      </c>
      <c r="AC19" s="14">
        <v>0.08</v>
      </c>
      <c r="AD19" s="14">
        <v>0.08</v>
      </c>
      <c r="AE19" s="14">
        <v>0.06</v>
      </c>
      <c r="AF19" s="14">
        <v>0.06</v>
      </c>
    </row>
    <row r="20" spans="1:32" ht="60.95">
      <c r="A20" s="20"/>
      <c r="B20" s="11" t="s">
        <v>622</v>
      </c>
      <c r="C20" s="12">
        <v>3649</v>
      </c>
      <c r="D20" s="12">
        <v>196</v>
      </c>
      <c r="E20" s="12">
        <v>123</v>
      </c>
      <c r="F20" s="12">
        <v>92</v>
      </c>
      <c r="G20" s="12">
        <v>88</v>
      </c>
      <c r="H20" s="12">
        <v>215</v>
      </c>
      <c r="I20" s="12">
        <v>270</v>
      </c>
      <c r="J20" s="12">
        <v>55</v>
      </c>
      <c r="K20" s="12">
        <v>113</v>
      </c>
      <c r="L20" s="12">
        <v>213</v>
      </c>
      <c r="M20" s="12">
        <v>132</v>
      </c>
      <c r="N20" s="12">
        <v>153</v>
      </c>
      <c r="O20" s="12">
        <v>128</v>
      </c>
      <c r="P20" s="12">
        <v>159</v>
      </c>
      <c r="Q20" s="12">
        <v>129</v>
      </c>
      <c r="R20" s="12">
        <v>71</v>
      </c>
      <c r="S20" s="12">
        <v>136</v>
      </c>
      <c r="T20" s="12">
        <v>147</v>
      </c>
      <c r="U20" s="12">
        <v>78</v>
      </c>
      <c r="V20" s="12">
        <v>124</v>
      </c>
      <c r="W20" s="12">
        <v>72</v>
      </c>
      <c r="X20" s="12">
        <v>126</v>
      </c>
      <c r="Y20" s="12">
        <v>145</v>
      </c>
      <c r="Z20" s="12">
        <v>92</v>
      </c>
      <c r="AA20" s="12">
        <v>178</v>
      </c>
      <c r="AB20" s="12">
        <v>145</v>
      </c>
      <c r="AC20" s="12">
        <v>126</v>
      </c>
      <c r="AD20" s="12">
        <v>89</v>
      </c>
      <c r="AE20" s="12">
        <v>152</v>
      </c>
      <c r="AF20" s="12">
        <v>72</v>
      </c>
    </row>
    <row r="21" spans="1:32" ht="36.950000000000003">
      <c r="A21" s="20"/>
      <c r="B21" s="13" t="s">
        <v>623</v>
      </c>
      <c r="C21" s="14">
        <v>0.14000000000000001</v>
      </c>
      <c r="D21" s="14">
        <v>0.19</v>
      </c>
      <c r="E21" s="14">
        <v>0.12</v>
      </c>
      <c r="F21" s="14">
        <v>0.09</v>
      </c>
      <c r="G21" s="14">
        <v>0.09</v>
      </c>
      <c r="H21" s="14">
        <v>0.18</v>
      </c>
      <c r="I21" s="14">
        <v>0.18</v>
      </c>
      <c r="J21" s="14">
        <v>0.19</v>
      </c>
      <c r="K21" s="14">
        <v>0.11</v>
      </c>
      <c r="L21" s="14">
        <v>0.21</v>
      </c>
      <c r="M21" s="14">
        <v>0.13</v>
      </c>
      <c r="N21" s="14">
        <v>0.15</v>
      </c>
      <c r="O21" s="14">
        <v>0.13</v>
      </c>
      <c r="P21" s="14">
        <v>0.16</v>
      </c>
      <c r="Q21" s="14">
        <v>0.13</v>
      </c>
      <c r="R21" s="14">
        <v>0.14000000000000001</v>
      </c>
      <c r="S21" s="14">
        <v>0.13</v>
      </c>
      <c r="T21" s="14">
        <v>0.14000000000000001</v>
      </c>
      <c r="U21" s="14">
        <v>0.15</v>
      </c>
      <c r="V21" s="14">
        <v>0.12</v>
      </c>
      <c r="W21" s="14">
        <v>0.14000000000000001</v>
      </c>
      <c r="X21" s="14">
        <v>0.12</v>
      </c>
      <c r="Y21" s="14">
        <v>0.14000000000000001</v>
      </c>
      <c r="Z21" s="14">
        <v>0.09</v>
      </c>
      <c r="AA21" s="14">
        <v>0.17</v>
      </c>
      <c r="AB21" s="14">
        <v>0.14000000000000001</v>
      </c>
      <c r="AC21" s="14">
        <v>0.12</v>
      </c>
      <c r="AD21" s="14">
        <v>0.09</v>
      </c>
      <c r="AE21" s="14">
        <v>0.15</v>
      </c>
      <c r="AF21" s="14">
        <v>7.0000000000000007E-2</v>
      </c>
    </row>
    <row r="22" spans="1:32" ht="48.95">
      <c r="A22" s="20"/>
      <c r="B22" s="11" t="s">
        <v>624</v>
      </c>
      <c r="C22" s="12">
        <v>1472</v>
      </c>
      <c r="D22" s="12">
        <v>43</v>
      </c>
      <c r="E22" s="12">
        <v>70</v>
      </c>
      <c r="F22" s="12">
        <v>82</v>
      </c>
      <c r="G22" s="12">
        <v>49</v>
      </c>
      <c r="H22" s="12">
        <v>70</v>
      </c>
      <c r="I22" s="12">
        <v>91</v>
      </c>
      <c r="J22" s="12">
        <v>21</v>
      </c>
      <c r="K22" s="12">
        <v>58</v>
      </c>
      <c r="L22" s="12">
        <v>52</v>
      </c>
      <c r="M22" s="12">
        <v>69</v>
      </c>
      <c r="N22" s="12">
        <v>64</v>
      </c>
      <c r="O22" s="12">
        <v>39</v>
      </c>
      <c r="P22" s="12">
        <v>59</v>
      </c>
      <c r="Q22" s="12">
        <v>65</v>
      </c>
      <c r="R22" s="12">
        <v>11</v>
      </c>
      <c r="S22" s="12">
        <v>20</v>
      </c>
      <c r="T22" s="12">
        <v>47</v>
      </c>
      <c r="U22" s="12">
        <v>21</v>
      </c>
      <c r="V22" s="12">
        <v>64</v>
      </c>
      <c r="W22" s="12">
        <v>13</v>
      </c>
      <c r="X22" s="12">
        <v>18</v>
      </c>
      <c r="Y22" s="12">
        <v>75</v>
      </c>
      <c r="Z22" s="12">
        <v>60</v>
      </c>
      <c r="AA22" s="12">
        <v>40</v>
      </c>
      <c r="AB22" s="12">
        <v>88</v>
      </c>
      <c r="AC22" s="12">
        <v>37</v>
      </c>
      <c r="AD22" s="12">
        <v>76</v>
      </c>
      <c r="AE22" s="12">
        <v>33</v>
      </c>
      <c r="AF22" s="12">
        <v>34</v>
      </c>
    </row>
    <row r="23" spans="1:32" ht="36.950000000000003">
      <c r="A23" s="20"/>
      <c r="B23" s="13" t="s">
        <v>625</v>
      </c>
      <c r="C23" s="14">
        <v>0.06</v>
      </c>
      <c r="D23" s="14">
        <v>0.04</v>
      </c>
      <c r="E23" s="14">
        <v>7.0000000000000007E-2</v>
      </c>
      <c r="F23" s="14">
        <v>0.08</v>
      </c>
      <c r="G23" s="14">
        <v>0.05</v>
      </c>
      <c r="H23" s="14">
        <v>0.06</v>
      </c>
      <c r="I23" s="14">
        <v>0.06</v>
      </c>
      <c r="J23" s="14">
        <v>7.0000000000000007E-2</v>
      </c>
      <c r="K23" s="14">
        <v>0.06</v>
      </c>
      <c r="L23" s="14">
        <v>0.05</v>
      </c>
      <c r="M23" s="14">
        <v>7.0000000000000007E-2</v>
      </c>
      <c r="N23" s="14">
        <v>7.0000000000000007E-2</v>
      </c>
      <c r="O23" s="14">
        <v>0.04</v>
      </c>
      <c r="P23" s="14">
        <v>0.06</v>
      </c>
      <c r="Q23" s="14">
        <v>0.06</v>
      </c>
      <c r="R23" s="14">
        <v>0.02</v>
      </c>
      <c r="S23" s="14">
        <v>0.02</v>
      </c>
      <c r="T23" s="14">
        <v>0.05</v>
      </c>
      <c r="U23" s="14">
        <v>0.04</v>
      </c>
      <c r="V23" s="14">
        <v>0.06</v>
      </c>
      <c r="W23" s="14">
        <v>0.03</v>
      </c>
      <c r="X23" s="14">
        <v>0.02</v>
      </c>
      <c r="Y23" s="14">
        <v>0.08</v>
      </c>
      <c r="Z23" s="14">
        <v>0.06</v>
      </c>
      <c r="AA23" s="14">
        <v>0.04</v>
      </c>
      <c r="AB23" s="14">
        <v>0.08</v>
      </c>
      <c r="AC23" s="14">
        <v>0.04</v>
      </c>
      <c r="AD23" s="14">
        <v>0.08</v>
      </c>
      <c r="AE23" s="14">
        <v>0.03</v>
      </c>
      <c r="AF23" s="14">
        <v>0.03</v>
      </c>
    </row>
    <row r="24" spans="1:32" ht="24.95">
      <c r="A24" s="20"/>
      <c r="B24" s="11" t="s">
        <v>626</v>
      </c>
      <c r="C24" s="12">
        <v>3337</v>
      </c>
      <c r="D24" s="12">
        <v>169</v>
      </c>
      <c r="E24" s="12">
        <v>124</v>
      </c>
      <c r="F24" s="12">
        <v>143</v>
      </c>
      <c r="G24" s="12">
        <v>174</v>
      </c>
      <c r="H24" s="12">
        <v>47</v>
      </c>
      <c r="I24" s="12">
        <v>63</v>
      </c>
      <c r="J24" s="12">
        <v>16</v>
      </c>
      <c r="K24" s="12">
        <v>161</v>
      </c>
      <c r="L24" s="12">
        <v>124</v>
      </c>
      <c r="M24" s="12">
        <v>123</v>
      </c>
      <c r="N24" s="12">
        <v>163</v>
      </c>
      <c r="O24" s="12">
        <v>181</v>
      </c>
      <c r="P24" s="12">
        <v>121</v>
      </c>
      <c r="Q24" s="12">
        <v>126</v>
      </c>
      <c r="R24" s="12">
        <v>33</v>
      </c>
      <c r="S24" s="12">
        <v>110</v>
      </c>
      <c r="T24" s="12">
        <v>122</v>
      </c>
      <c r="U24" s="12">
        <v>66</v>
      </c>
      <c r="V24" s="12">
        <v>122</v>
      </c>
      <c r="W24" s="12">
        <v>24</v>
      </c>
      <c r="X24" s="12">
        <v>223</v>
      </c>
      <c r="Y24" s="12">
        <v>51</v>
      </c>
      <c r="Z24" s="12">
        <v>115</v>
      </c>
      <c r="AA24" s="12">
        <v>223</v>
      </c>
      <c r="AB24" s="12">
        <v>140</v>
      </c>
      <c r="AC24" s="12">
        <v>116</v>
      </c>
      <c r="AD24" s="12">
        <v>175</v>
      </c>
      <c r="AE24" s="12">
        <v>116</v>
      </c>
      <c r="AF24" s="12">
        <v>97</v>
      </c>
    </row>
    <row r="25" spans="1:32" ht="24.95">
      <c r="A25" s="20"/>
      <c r="B25" s="13" t="s">
        <v>627</v>
      </c>
      <c r="C25" s="14">
        <v>0.13</v>
      </c>
      <c r="D25" s="14">
        <v>0.17</v>
      </c>
      <c r="E25" s="14">
        <v>0.12</v>
      </c>
      <c r="F25" s="14">
        <v>0.14000000000000001</v>
      </c>
      <c r="G25" s="14">
        <v>0.17</v>
      </c>
      <c r="H25" s="14">
        <v>0.04</v>
      </c>
      <c r="I25" s="14">
        <v>0.04</v>
      </c>
      <c r="J25" s="14">
        <v>0.05</v>
      </c>
      <c r="K25" s="14">
        <v>0.16</v>
      </c>
      <c r="L25" s="14">
        <v>0.12</v>
      </c>
      <c r="M25" s="14">
        <v>0.12</v>
      </c>
      <c r="N25" s="14">
        <v>0.16</v>
      </c>
      <c r="O25" s="14">
        <v>0.18</v>
      </c>
      <c r="P25" s="14">
        <v>0.12</v>
      </c>
      <c r="Q25" s="14">
        <v>0.12</v>
      </c>
      <c r="R25" s="14">
        <v>7.0000000000000007E-2</v>
      </c>
      <c r="S25" s="14">
        <v>0.11</v>
      </c>
      <c r="T25" s="14">
        <v>0.12</v>
      </c>
      <c r="U25" s="14">
        <v>0.13</v>
      </c>
      <c r="V25" s="14">
        <v>0.12</v>
      </c>
      <c r="W25" s="14">
        <v>0.05</v>
      </c>
      <c r="X25" s="14">
        <v>0.22</v>
      </c>
      <c r="Y25" s="14">
        <v>0.05</v>
      </c>
      <c r="Z25" s="14">
        <v>0.11</v>
      </c>
      <c r="AA25" s="14">
        <v>0.21</v>
      </c>
      <c r="AB25" s="14">
        <v>0.13</v>
      </c>
      <c r="AC25" s="14">
        <v>0.12</v>
      </c>
      <c r="AD25" s="14">
        <v>0.17</v>
      </c>
      <c r="AE25" s="14">
        <v>0.12</v>
      </c>
      <c r="AF25" s="14">
        <v>0.09</v>
      </c>
    </row>
    <row r="26" spans="1:32" ht="36.950000000000003">
      <c r="A26" s="20"/>
      <c r="B26" s="11" t="s">
        <v>628</v>
      </c>
      <c r="C26" s="12">
        <v>1347</v>
      </c>
      <c r="D26" s="12">
        <v>67</v>
      </c>
      <c r="E26" s="12">
        <v>92</v>
      </c>
      <c r="F26" s="12">
        <v>48</v>
      </c>
      <c r="G26" s="12">
        <v>35</v>
      </c>
      <c r="H26" s="12">
        <v>64</v>
      </c>
      <c r="I26" s="12">
        <v>79</v>
      </c>
      <c r="J26" s="12">
        <v>15</v>
      </c>
      <c r="K26" s="12">
        <v>75</v>
      </c>
      <c r="L26" s="12">
        <v>81</v>
      </c>
      <c r="M26" s="12">
        <v>72</v>
      </c>
      <c r="N26" s="12">
        <v>43</v>
      </c>
      <c r="O26" s="12">
        <v>47</v>
      </c>
      <c r="P26" s="12">
        <v>80</v>
      </c>
      <c r="Q26" s="12">
        <v>50</v>
      </c>
      <c r="R26" s="12">
        <v>35</v>
      </c>
      <c r="S26" s="12">
        <v>77</v>
      </c>
      <c r="T26" s="12">
        <v>45</v>
      </c>
      <c r="U26" s="12">
        <v>16</v>
      </c>
      <c r="V26" s="12">
        <v>37</v>
      </c>
      <c r="W26" s="12">
        <v>23</v>
      </c>
      <c r="X26" s="12">
        <v>52</v>
      </c>
      <c r="Y26" s="12">
        <v>56</v>
      </c>
      <c r="Z26" s="12">
        <v>37</v>
      </c>
      <c r="AA26" s="12">
        <v>64</v>
      </c>
      <c r="AB26" s="12">
        <v>85</v>
      </c>
      <c r="AC26" s="12">
        <v>31</v>
      </c>
      <c r="AD26" s="12">
        <v>58</v>
      </c>
      <c r="AE26" s="12">
        <v>52</v>
      </c>
      <c r="AF26" s="12">
        <v>43</v>
      </c>
    </row>
    <row r="27" spans="1:32" ht="24.95">
      <c r="A27" s="20"/>
      <c r="B27" s="13" t="s">
        <v>629</v>
      </c>
      <c r="C27" s="14">
        <v>0.05</v>
      </c>
      <c r="D27" s="14">
        <v>7.0000000000000007E-2</v>
      </c>
      <c r="E27" s="14">
        <v>0.09</v>
      </c>
      <c r="F27" s="14">
        <v>0.05</v>
      </c>
      <c r="G27" s="14">
        <v>0.03</v>
      </c>
      <c r="H27" s="14">
        <v>0.05</v>
      </c>
      <c r="I27" s="14">
        <v>0.05</v>
      </c>
      <c r="J27" s="14">
        <v>0.05</v>
      </c>
      <c r="K27" s="14">
        <v>7.0000000000000007E-2</v>
      </c>
      <c r="L27" s="14">
        <v>0.08</v>
      </c>
      <c r="M27" s="14">
        <v>7.0000000000000007E-2</v>
      </c>
      <c r="N27" s="14">
        <v>0.04</v>
      </c>
      <c r="O27" s="14">
        <v>0.05</v>
      </c>
      <c r="P27" s="14">
        <v>0.08</v>
      </c>
      <c r="Q27" s="14">
        <v>0.05</v>
      </c>
      <c r="R27" s="14">
        <v>7.0000000000000007E-2</v>
      </c>
      <c r="S27" s="14">
        <v>0.08</v>
      </c>
      <c r="T27" s="14">
        <v>0.04</v>
      </c>
      <c r="U27" s="14">
        <v>0.03</v>
      </c>
      <c r="V27" s="14">
        <v>0.04</v>
      </c>
      <c r="W27" s="14">
        <v>0.05</v>
      </c>
      <c r="X27" s="14">
        <v>0.05</v>
      </c>
      <c r="Y27" s="14">
        <v>0.06</v>
      </c>
      <c r="Z27" s="14">
        <v>0.04</v>
      </c>
      <c r="AA27" s="14">
        <v>0.06</v>
      </c>
      <c r="AB27" s="14">
        <v>0.08</v>
      </c>
      <c r="AC27" s="14">
        <v>0.03</v>
      </c>
      <c r="AD27" s="14">
        <v>0.06</v>
      </c>
      <c r="AE27" s="14">
        <v>0.05</v>
      </c>
      <c r="AF27" s="14">
        <v>0.04</v>
      </c>
    </row>
    <row r="28" spans="1:32" ht="24.95">
      <c r="A28" s="20"/>
      <c r="B28" s="11" t="s">
        <v>630</v>
      </c>
      <c r="C28" s="12">
        <v>2233</v>
      </c>
      <c r="D28" s="12">
        <v>91</v>
      </c>
      <c r="E28" s="12">
        <v>57</v>
      </c>
      <c r="F28" s="12">
        <v>50</v>
      </c>
      <c r="G28" s="12">
        <v>164</v>
      </c>
      <c r="H28" s="12">
        <v>150</v>
      </c>
      <c r="I28" s="12">
        <v>180</v>
      </c>
      <c r="J28" s="12">
        <v>30</v>
      </c>
      <c r="K28" s="12">
        <v>47</v>
      </c>
      <c r="L28" s="12">
        <v>34</v>
      </c>
      <c r="M28" s="12">
        <v>71</v>
      </c>
      <c r="N28" s="12">
        <v>53</v>
      </c>
      <c r="O28" s="12">
        <v>90</v>
      </c>
      <c r="P28" s="12">
        <v>70</v>
      </c>
      <c r="Q28" s="12">
        <v>56</v>
      </c>
      <c r="R28" s="12">
        <v>11</v>
      </c>
      <c r="S28" s="12">
        <v>30</v>
      </c>
      <c r="T28" s="12">
        <v>42</v>
      </c>
      <c r="U28" s="12">
        <v>58</v>
      </c>
      <c r="V28" s="12">
        <v>47</v>
      </c>
      <c r="W28" s="12">
        <v>12</v>
      </c>
      <c r="X28" s="12">
        <v>187</v>
      </c>
      <c r="Y28" s="12">
        <v>104</v>
      </c>
      <c r="Z28" s="12">
        <v>52</v>
      </c>
      <c r="AA28" s="12">
        <v>51</v>
      </c>
      <c r="AB28" s="12">
        <v>59</v>
      </c>
      <c r="AC28" s="12">
        <v>43</v>
      </c>
      <c r="AD28" s="12">
        <v>69</v>
      </c>
      <c r="AE28" s="12">
        <v>86</v>
      </c>
      <c r="AF28" s="12">
        <v>263</v>
      </c>
    </row>
    <row r="29" spans="1:32" ht="24.95">
      <c r="A29" s="20"/>
      <c r="B29" s="13" t="s">
        <v>631</v>
      </c>
      <c r="C29" s="14">
        <v>0.08</v>
      </c>
      <c r="D29" s="14">
        <v>0.09</v>
      </c>
      <c r="E29" s="14">
        <v>0.06</v>
      </c>
      <c r="F29" s="14">
        <v>0.05</v>
      </c>
      <c r="G29" s="14">
        <v>0.16</v>
      </c>
      <c r="H29" s="14">
        <v>0.12</v>
      </c>
      <c r="I29" s="14">
        <v>0.12</v>
      </c>
      <c r="J29" s="14">
        <v>0.1</v>
      </c>
      <c r="K29" s="14">
        <v>0.05</v>
      </c>
      <c r="L29" s="14">
        <v>0.03</v>
      </c>
      <c r="M29" s="14">
        <v>7.0000000000000007E-2</v>
      </c>
      <c r="N29" s="14">
        <v>0.05</v>
      </c>
      <c r="O29" s="14">
        <v>0.09</v>
      </c>
      <c r="P29" s="14">
        <v>7.0000000000000007E-2</v>
      </c>
      <c r="Q29" s="14">
        <v>0.06</v>
      </c>
      <c r="R29" s="14">
        <v>0.02</v>
      </c>
      <c r="S29" s="14">
        <v>0.03</v>
      </c>
      <c r="T29" s="14">
        <v>0.04</v>
      </c>
      <c r="U29" s="14">
        <v>0.12</v>
      </c>
      <c r="V29" s="14">
        <v>0.05</v>
      </c>
      <c r="W29" s="14">
        <v>0.02</v>
      </c>
      <c r="X29" s="14">
        <v>0.18</v>
      </c>
      <c r="Y29" s="14">
        <v>0.1</v>
      </c>
      <c r="Z29" s="14">
        <v>0.05</v>
      </c>
      <c r="AA29" s="14">
        <v>0.05</v>
      </c>
      <c r="AB29" s="14">
        <v>0.06</v>
      </c>
      <c r="AC29" s="14">
        <v>0.04</v>
      </c>
      <c r="AD29" s="14">
        <v>7.0000000000000007E-2</v>
      </c>
      <c r="AE29" s="14">
        <v>0.08</v>
      </c>
      <c r="AF29" s="14">
        <v>0.26</v>
      </c>
    </row>
    <row r="30" spans="1:32" ht="36.950000000000003">
      <c r="A30" s="20"/>
      <c r="B30" s="11" t="s">
        <v>632</v>
      </c>
      <c r="C30" s="12">
        <v>1299</v>
      </c>
      <c r="D30" s="12">
        <v>21</v>
      </c>
      <c r="E30" s="12">
        <v>84</v>
      </c>
      <c r="F30" s="12">
        <v>66</v>
      </c>
      <c r="G30" s="12">
        <v>28</v>
      </c>
      <c r="H30" s="12">
        <v>58</v>
      </c>
      <c r="I30" s="12">
        <v>75</v>
      </c>
      <c r="J30" s="12">
        <v>17</v>
      </c>
      <c r="K30" s="12">
        <v>62</v>
      </c>
      <c r="L30" s="12">
        <v>34</v>
      </c>
      <c r="M30" s="12">
        <v>63</v>
      </c>
      <c r="N30" s="12">
        <v>43</v>
      </c>
      <c r="O30" s="12">
        <v>53</v>
      </c>
      <c r="P30" s="12">
        <v>69</v>
      </c>
      <c r="Q30" s="12">
        <v>30</v>
      </c>
      <c r="R30" s="12">
        <v>25</v>
      </c>
      <c r="S30" s="12">
        <v>77</v>
      </c>
      <c r="T30" s="12">
        <v>73</v>
      </c>
      <c r="U30" s="12">
        <v>19</v>
      </c>
      <c r="V30" s="12">
        <v>57</v>
      </c>
      <c r="W30" s="12">
        <v>10</v>
      </c>
      <c r="X30" s="12">
        <v>30</v>
      </c>
      <c r="Y30" s="12">
        <v>70</v>
      </c>
      <c r="Z30" s="12">
        <v>58</v>
      </c>
      <c r="AA30" s="12">
        <v>64</v>
      </c>
      <c r="AB30" s="12">
        <v>77</v>
      </c>
      <c r="AC30" s="12">
        <v>94</v>
      </c>
      <c r="AD30" s="12">
        <v>125</v>
      </c>
      <c r="AE30" s="12">
        <v>55</v>
      </c>
      <c r="AF30" s="12">
        <v>25</v>
      </c>
    </row>
    <row r="31" spans="1:32" ht="36.950000000000003">
      <c r="A31" s="20"/>
      <c r="B31" s="13" t="s">
        <v>633</v>
      </c>
      <c r="C31" s="14">
        <v>0.05</v>
      </c>
      <c r="D31" s="14">
        <v>0.02</v>
      </c>
      <c r="E31" s="14">
        <v>0.08</v>
      </c>
      <c r="F31" s="14">
        <v>7.0000000000000007E-2</v>
      </c>
      <c r="G31" s="14">
        <v>0.03</v>
      </c>
      <c r="H31" s="14">
        <v>0.05</v>
      </c>
      <c r="I31" s="14">
        <v>0.05</v>
      </c>
      <c r="J31" s="14">
        <v>0.06</v>
      </c>
      <c r="K31" s="14">
        <v>0.06</v>
      </c>
      <c r="L31" s="14">
        <v>0.03</v>
      </c>
      <c r="M31" s="14">
        <v>0.06</v>
      </c>
      <c r="N31" s="14">
        <v>0.04</v>
      </c>
      <c r="O31" s="14">
        <v>0.05</v>
      </c>
      <c r="P31" s="14">
        <v>7.0000000000000007E-2</v>
      </c>
      <c r="Q31" s="14">
        <v>0.03</v>
      </c>
      <c r="R31" s="14">
        <v>0.05</v>
      </c>
      <c r="S31" s="14">
        <v>0.08</v>
      </c>
      <c r="T31" s="14">
        <v>7.0000000000000007E-2</v>
      </c>
      <c r="U31" s="14">
        <v>0.04</v>
      </c>
      <c r="V31" s="14">
        <v>0.06</v>
      </c>
      <c r="W31" s="14">
        <v>0.02</v>
      </c>
      <c r="X31" s="14">
        <v>0.03</v>
      </c>
      <c r="Y31" s="14">
        <v>7.0000000000000007E-2</v>
      </c>
      <c r="Z31" s="14">
        <v>0.06</v>
      </c>
      <c r="AA31" s="14">
        <v>0.06</v>
      </c>
      <c r="AB31" s="14">
        <v>7.0000000000000007E-2</v>
      </c>
      <c r="AC31" s="14">
        <v>0.09</v>
      </c>
      <c r="AD31" s="14">
        <v>0.12</v>
      </c>
      <c r="AE31" s="14">
        <v>0.05</v>
      </c>
      <c r="AF31" s="14">
        <v>0.03</v>
      </c>
    </row>
    <row r="32" spans="1:32">
      <c r="A32" s="20"/>
      <c r="B32" s="11" t="s">
        <v>519</v>
      </c>
      <c r="C32" s="12">
        <v>75</v>
      </c>
      <c r="D32" s="12">
        <v>0</v>
      </c>
      <c r="E32" s="12">
        <v>0</v>
      </c>
      <c r="F32" s="12">
        <v>0</v>
      </c>
      <c r="G32" s="12">
        <v>4</v>
      </c>
      <c r="H32" s="12">
        <v>14</v>
      </c>
      <c r="I32" s="12">
        <v>14</v>
      </c>
      <c r="J32" s="12">
        <v>0</v>
      </c>
      <c r="K32" s="12">
        <v>9</v>
      </c>
      <c r="L32" s="12">
        <v>1</v>
      </c>
      <c r="M32" s="12">
        <v>0</v>
      </c>
      <c r="N32" s="12">
        <v>0</v>
      </c>
      <c r="O32" s="12">
        <v>0</v>
      </c>
      <c r="P32" s="12">
        <v>0</v>
      </c>
      <c r="Q32" s="12">
        <v>2</v>
      </c>
      <c r="R32" s="12">
        <v>1</v>
      </c>
      <c r="S32" s="12">
        <v>15</v>
      </c>
      <c r="T32" s="12">
        <v>6</v>
      </c>
      <c r="U32" s="12">
        <v>0</v>
      </c>
      <c r="V32" s="12">
        <v>0</v>
      </c>
      <c r="W32" s="12">
        <v>0</v>
      </c>
      <c r="X32" s="12">
        <v>4</v>
      </c>
      <c r="Y32" s="12">
        <v>13</v>
      </c>
      <c r="Z32" s="12">
        <v>0</v>
      </c>
      <c r="AA32" s="12">
        <v>2</v>
      </c>
      <c r="AB32" s="12">
        <v>5</v>
      </c>
      <c r="AC32" s="12">
        <v>1</v>
      </c>
      <c r="AD32" s="12">
        <v>0</v>
      </c>
      <c r="AE32" s="12">
        <v>4</v>
      </c>
      <c r="AF32" s="12">
        <v>0</v>
      </c>
    </row>
    <row r="33" spans="1:32">
      <c r="A33" s="20"/>
      <c r="B33" s="13" t="s">
        <v>520</v>
      </c>
      <c r="C33" s="15" t="s">
        <v>459</v>
      </c>
      <c r="D33" s="15" t="s">
        <v>459</v>
      </c>
      <c r="E33" s="15" t="s">
        <v>459</v>
      </c>
      <c r="F33" s="15" t="s">
        <v>459</v>
      </c>
      <c r="G33" s="15" t="s">
        <v>459</v>
      </c>
      <c r="H33" s="14">
        <v>0.01</v>
      </c>
      <c r="I33" s="14">
        <v>0.01</v>
      </c>
      <c r="J33" s="15" t="s">
        <v>459</v>
      </c>
      <c r="K33" s="14">
        <v>0.01</v>
      </c>
      <c r="L33" s="15" t="s">
        <v>459</v>
      </c>
      <c r="M33" s="15" t="s">
        <v>459</v>
      </c>
      <c r="N33" s="15" t="s">
        <v>459</v>
      </c>
      <c r="O33" s="15" t="s">
        <v>459</v>
      </c>
      <c r="P33" s="15" t="s">
        <v>459</v>
      </c>
      <c r="Q33" s="15" t="s">
        <v>459</v>
      </c>
      <c r="R33" s="15" t="s">
        <v>459</v>
      </c>
      <c r="S33" s="14">
        <v>0.01</v>
      </c>
      <c r="T33" s="14">
        <v>0.01</v>
      </c>
      <c r="U33" s="15" t="s">
        <v>459</v>
      </c>
      <c r="V33" s="15" t="s">
        <v>459</v>
      </c>
      <c r="W33" s="15" t="s">
        <v>459</v>
      </c>
      <c r="X33" s="15" t="s">
        <v>459</v>
      </c>
      <c r="Y33" s="14">
        <v>0.01</v>
      </c>
      <c r="Z33" s="15" t="s">
        <v>459</v>
      </c>
      <c r="AA33" s="15" t="s">
        <v>459</v>
      </c>
      <c r="AB33" s="14">
        <v>0.01</v>
      </c>
      <c r="AC33" s="15" t="s">
        <v>459</v>
      </c>
      <c r="AD33" s="15" t="s">
        <v>459</v>
      </c>
      <c r="AE33" s="15" t="s">
        <v>459</v>
      </c>
      <c r="AF33" s="15" t="s">
        <v>459</v>
      </c>
    </row>
    <row r="34" spans="1:32">
      <c r="A34" s="20"/>
      <c r="B34" s="11" t="s">
        <v>521</v>
      </c>
      <c r="C34" s="12">
        <v>419</v>
      </c>
      <c r="D34" s="12">
        <v>13</v>
      </c>
      <c r="E34" s="12">
        <v>8</v>
      </c>
      <c r="F34" s="12">
        <v>43</v>
      </c>
      <c r="G34" s="12">
        <v>17</v>
      </c>
      <c r="H34" s="12">
        <v>35</v>
      </c>
      <c r="I34" s="12">
        <v>37</v>
      </c>
      <c r="J34" s="12">
        <v>2</v>
      </c>
      <c r="K34" s="12">
        <v>16</v>
      </c>
      <c r="L34" s="12">
        <v>4</v>
      </c>
      <c r="M34" s="12">
        <v>5</v>
      </c>
      <c r="N34" s="12">
        <v>14</v>
      </c>
      <c r="O34" s="12">
        <v>12</v>
      </c>
      <c r="P34" s="12">
        <v>3</v>
      </c>
      <c r="Q34" s="12">
        <v>9</v>
      </c>
      <c r="R34" s="12">
        <v>4</v>
      </c>
      <c r="S34" s="12">
        <v>9</v>
      </c>
      <c r="T34" s="12">
        <v>22</v>
      </c>
      <c r="U34" s="12">
        <v>1</v>
      </c>
      <c r="V34" s="12">
        <v>5</v>
      </c>
      <c r="W34" s="12">
        <v>0</v>
      </c>
      <c r="X34" s="12">
        <v>8</v>
      </c>
      <c r="Y34" s="12">
        <v>65</v>
      </c>
      <c r="Z34" s="12">
        <v>22</v>
      </c>
      <c r="AA34" s="12">
        <v>11</v>
      </c>
      <c r="AB34" s="12">
        <v>14</v>
      </c>
      <c r="AC34" s="12">
        <v>20</v>
      </c>
      <c r="AD34" s="12">
        <v>1</v>
      </c>
      <c r="AE34" s="12">
        <v>9</v>
      </c>
      <c r="AF34" s="12">
        <v>7</v>
      </c>
    </row>
    <row r="35" spans="1:32">
      <c r="A35" s="20"/>
      <c r="B35" s="13" t="s">
        <v>522</v>
      </c>
      <c r="C35" s="14">
        <v>0.02</v>
      </c>
      <c r="D35" s="14">
        <v>0.01</v>
      </c>
      <c r="E35" s="14">
        <v>0.01</v>
      </c>
      <c r="F35" s="14">
        <v>0.04</v>
      </c>
      <c r="G35" s="14">
        <v>0.02</v>
      </c>
      <c r="H35" s="14">
        <v>0.03</v>
      </c>
      <c r="I35" s="14">
        <v>0.02</v>
      </c>
      <c r="J35" s="14">
        <v>0.01</v>
      </c>
      <c r="K35" s="14">
        <v>0.02</v>
      </c>
      <c r="L35" s="14">
        <v>0.01</v>
      </c>
      <c r="M35" s="14">
        <v>0.01</v>
      </c>
      <c r="N35" s="14">
        <v>0.02</v>
      </c>
      <c r="O35" s="14">
        <v>0.01</v>
      </c>
      <c r="P35" s="15" t="s">
        <v>459</v>
      </c>
      <c r="Q35" s="14">
        <v>0.01</v>
      </c>
      <c r="R35" s="14">
        <v>0.01</v>
      </c>
      <c r="S35" s="14">
        <v>0.01</v>
      </c>
      <c r="T35" s="14">
        <v>0.02</v>
      </c>
      <c r="U35" s="15" t="s">
        <v>459</v>
      </c>
      <c r="V35" s="15" t="s">
        <v>459</v>
      </c>
      <c r="W35" s="15" t="s">
        <v>459</v>
      </c>
      <c r="X35" s="14">
        <v>0.01</v>
      </c>
      <c r="Y35" s="14">
        <v>0.06</v>
      </c>
      <c r="Z35" s="14">
        <v>0.02</v>
      </c>
      <c r="AA35" s="14">
        <v>0.01</v>
      </c>
      <c r="AB35" s="14">
        <v>0.01</v>
      </c>
      <c r="AC35" s="14">
        <v>0.02</v>
      </c>
      <c r="AD35" s="15" t="s">
        <v>459</v>
      </c>
      <c r="AE35" s="14">
        <v>0.01</v>
      </c>
      <c r="AF35" s="14">
        <v>0.01</v>
      </c>
    </row>
    <row r="36" spans="1:32">
      <c r="A36" s="20"/>
      <c r="B36" s="11" t="s">
        <v>468</v>
      </c>
      <c r="C36" s="12">
        <v>682</v>
      </c>
      <c r="D36" s="12">
        <v>7</v>
      </c>
      <c r="E36" s="12">
        <v>37</v>
      </c>
      <c r="F36" s="12">
        <v>38</v>
      </c>
      <c r="G36" s="12">
        <v>30</v>
      </c>
      <c r="H36" s="12">
        <v>41</v>
      </c>
      <c r="I36" s="12">
        <v>49</v>
      </c>
      <c r="J36" s="12">
        <v>8</v>
      </c>
      <c r="K36" s="12">
        <v>37</v>
      </c>
      <c r="L36" s="12">
        <v>28</v>
      </c>
      <c r="M36" s="12">
        <v>1</v>
      </c>
      <c r="N36" s="12">
        <v>38</v>
      </c>
      <c r="O36" s="12">
        <v>21</v>
      </c>
      <c r="P36" s="12">
        <v>22</v>
      </c>
      <c r="Q36" s="12">
        <v>12</v>
      </c>
      <c r="R36" s="12">
        <v>26</v>
      </c>
      <c r="S36" s="12">
        <v>76</v>
      </c>
      <c r="T36" s="12">
        <v>68</v>
      </c>
      <c r="U36" s="12">
        <v>7</v>
      </c>
      <c r="V36" s="12">
        <v>15</v>
      </c>
      <c r="W36" s="12">
        <v>1</v>
      </c>
      <c r="X36" s="12">
        <v>10</v>
      </c>
      <c r="Y36" s="12">
        <v>46</v>
      </c>
      <c r="Z36" s="12">
        <v>30</v>
      </c>
      <c r="AA36" s="12">
        <v>49</v>
      </c>
      <c r="AB36" s="12">
        <v>31</v>
      </c>
      <c r="AC36" s="12">
        <v>35</v>
      </c>
      <c r="AD36" s="12">
        <v>9</v>
      </c>
      <c r="AE36" s="12">
        <v>37</v>
      </c>
      <c r="AF36" s="12">
        <v>10</v>
      </c>
    </row>
    <row r="37" spans="1:32">
      <c r="A37" s="20"/>
      <c r="B37" s="13" t="s">
        <v>469</v>
      </c>
      <c r="C37" s="14">
        <v>0.03</v>
      </c>
      <c r="D37" s="14">
        <v>0.01</v>
      </c>
      <c r="E37" s="14">
        <v>0.04</v>
      </c>
      <c r="F37" s="14">
        <v>0.04</v>
      </c>
      <c r="G37" s="14">
        <v>0.03</v>
      </c>
      <c r="H37" s="14">
        <v>0.03</v>
      </c>
      <c r="I37" s="14">
        <v>0.03</v>
      </c>
      <c r="J37" s="14">
        <v>0.03</v>
      </c>
      <c r="K37" s="14">
        <v>0.04</v>
      </c>
      <c r="L37" s="14">
        <v>0.03</v>
      </c>
      <c r="M37" s="15" t="s">
        <v>459</v>
      </c>
      <c r="N37" s="14">
        <v>0.04</v>
      </c>
      <c r="O37" s="14">
        <v>0.02</v>
      </c>
      <c r="P37" s="14">
        <v>0.02</v>
      </c>
      <c r="Q37" s="14">
        <v>0.01</v>
      </c>
      <c r="R37" s="14">
        <v>0.05</v>
      </c>
      <c r="S37" s="14">
        <v>7.0000000000000007E-2</v>
      </c>
      <c r="T37" s="14">
        <v>7.0000000000000007E-2</v>
      </c>
      <c r="U37" s="14">
        <v>0.01</v>
      </c>
      <c r="V37" s="14">
        <v>0.01</v>
      </c>
      <c r="W37" s="15" t="s">
        <v>459</v>
      </c>
      <c r="X37" s="14">
        <v>0.01</v>
      </c>
      <c r="Y37" s="14">
        <v>0.05</v>
      </c>
      <c r="Z37" s="14">
        <v>0.03</v>
      </c>
      <c r="AA37" s="14">
        <v>0.05</v>
      </c>
      <c r="AB37" s="14">
        <v>0.03</v>
      </c>
      <c r="AC37" s="14">
        <v>0.04</v>
      </c>
      <c r="AD37" s="14">
        <v>0.01</v>
      </c>
      <c r="AE37" s="14">
        <v>0.04</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53</v>
      </c>
      <c r="C3" s="18"/>
      <c r="D3" s="18"/>
      <c r="E3" s="18"/>
      <c r="F3" s="18"/>
      <c r="H3" s="18" t="s">
        <v>54</v>
      </c>
      <c r="I3" s="18"/>
      <c r="J3" s="18"/>
      <c r="K3" s="18"/>
      <c r="L3" s="18"/>
    </row>
    <row r="4" spans="1:32" ht="27" customHeight="1">
      <c r="B4" s="18"/>
      <c r="C4" s="18"/>
      <c r="D4" s="18"/>
      <c r="E4" s="18"/>
      <c r="F4" s="18"/>
      <c r="H4" s="18"/>
      <c r="I4" s="18"/>
      <c r="J4" s="18"/>
      <c r="K4" s="18"/>
      <c r="L4" s="18"/>
    </row>
    <row r="5" spans="1:32" ht="24" customHeight="1">
      <c r="B5" s="18" t="s">
        <v>634</v>
      </c>
      <c r="C5" s="18"/>
      <c r="D5" s="18"/>
      <c r="E5" s="18"/>
      <c r="F5" s="18"/>
      <c r="H5" s="18" t="s">
        <v>635</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25218</v>
      </c>
      <c r="D10" s="10">
        <v>982</v>
      </c>
      <c r="E10" s="10">
        <v>973</v>
      </c>
      <c r="F10" s="10">
        <v>924</v>
      </c>
      <c r="G10" s="10">
        <v>957</v>
      </c>
      <c r="H10" s="10">
        <v>1140</v>
      </c>
      <c r="I10" s="10">
        <v>1423</v>
      </c>
      <c r="J10" s="10">
        <v>284</v>
      </c>
      <c r="K10" s="10">
        <v>953</v>
      </c>
      <c r="L10" s="10">
        <v>975</v>
      </c>
      <c r="M10" s="10">
        <v>997</v>
      </c>
      <c r="N10" s="10">
        <v>952</v>
      </c>
      <c r="O10" s="10">
        <v>970</v>
      </c>
      <c r="P10" s="10">
        <v>997</v>
      </c>
      <c r="Q10" s="10">
        <v>998</v>
      </c>
      <c r="R10" s="10">
        <v>469</v>
      </c>
      <c r="S10" s="10">
        <v>923</v>
      </c>
      <c r="T10" s="10">
        <v>923</v>
      </c>
      <c r="U10" s="10">
        <v>499</v>
      </c>
      <c r="V10" s="10">
        <v>997</v>
      </c>
      <c r="W10" s="10">
        <v>502</v>
      </c>
      <c r="X10" s="10">
        <v>1003</v>
      </c>
      <c r="Y10" s="10">
        <v>897</v>
      </c>
      <c r="Z10" s="10">
        <v>956</v>
      </c>
      <c r="AA10" s="10">
        <v>993</v>
      </c>
      <c r="AB10" s="10">
        <v>994</v>
      </c>
      <c r="AC10" s="10">
        <v>955</v>
      </c>
      <c r="AD10" s="10">
        <v>996</v>
      </c>
      <c r="AE10" s="10">
        <v>955</v>
      </c>
      <c r="AF10" s="10">
        <v>1003</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8.95">
      <c r="A12" s="20"/>
      <c r="B12" s="11" t="s">
        <v>614</v>
      </c>
      <c r="C12" s="12">
        <v>5809</v>
      </c>
      <c r="D12" s="12">
        <v>166</v>
      </c>
      <c r="E12" s="12">
        <v>255</v>
      </c>
      <c r="F12" s="12">
        <v>214</v>
      </c>
      <c r="G12" s="12">
        <v>259</v>
      </c>
      <c r="H12" s="12">
        <v>289</v>
      </c>
      <c r="I12" s="12">
        <v>366</v>
      </c>
      <c r="J12" s="12">
        <v>76</v>
      </c>
      <c r="K12" s="12">
        <v>201</v>
      </c>
      <c r="L12" s="12">
        <v>213</v>
      </c>
      <c r="M12" s="12">
        <v>376</v>
      </c>
      <c r="N12" s="12">
        <v>167</v>
      </c>
      <c r="O12" s="12">
        <v>232</v>
      </c>
      <c r="P12" s="12">
        <v>269</v>
      </c>
      <c r="Q12" s="12">
        <v>220</v>
      </c>
      <c r="R12" s="12">
        <v>135</v>
      </c>
      <c r="S12" s="12">
        <v>85</v>
      </c>
      <c r="T12" s="12">
        <v>193</v>
      </c>
      <c r="U12" s="12">
        <v>86</v>
      </c>
      <c r="V12" s="12">
        <v>229</v>
      </c>
      <c r="W12" s="12">
        <v>83</v>
      </c>
      <c r="X12" s="12">
        <v>281</v>
      </c>
      <c r="Y12" s="12">
        <v>268</v>
      </c>
      <c r="Z12" s="12">
        <v>151</v>
      </c>
      <c r="AA12" s="12">
        <v>229</v>
      </c>
      <c r="AB12" s="12">
        <v>190</v>
      </c>
      <c r="AC12" s="12">
        <v>122</v>
      </c>
      <c r="AD12" s="12">
        <v>322</v>
      </c>
      <c r="AE12" s="12">
        <v>218</v>
      </c>
      <c r="AF12" s="12">
        <v>328</v>
      </c>
    </row>
    <row r="13" spans="1:32" ht="36.950000000000003">
      <c r="A13" s="20"/>
      <c r="B13" s="13" t="s">
        <v>615</v>
      </c>
      <c r="C13" s="14">
        <v>0.28999999999999998</v>
      </c>
      <c r="D13" s="14">
        <v>0.2</v>
      </c>
      <c r="E13" s="14">
        <v>0.32</v>
      </c>
      <c r="F13" s="14">
        <v>0.32</v>
      </c>
      <c r="G13" s="14">
        <v>0.4</v>
      </c>
      <c r="H13" s="14">
        <v>0.32</v>
      </c>
      <c r="I13" s="14">
        <v>0.32</v>
      </c>
      <c r="J13" s="14">
        <v>0.34</v>
      </c>
      <c r="K13" s="14">
        <v>0.27</v>
      </c>
      <c r="L13" s="14">
        <v>0.26</v>
      </c>
      <c r="M13" s="14">
        <v>0.46</v>
      </c>
      <c r="N13" s="14">
        <v>0.23</v>
      </c>
      <c r="O13" s="14">
        <v>0.31</v>
      </c>
      <c r="P13" s="14">
        <v>0.32</v>
      </c>
      <c r="Q13" s="14">
        <v>0.28000000000000003</v>
      </c>
      <c r="R13" s="14">
        <v>0.42</v>
      </c>
      <c r="S13" s="14">
        <v>0.12</v>
      </c>
      <c r="T13" s="14">
        <v>0.27</v>
      </c>
      <c r="U13" s="14">
        <v>0.22</v>
      </c>
      <c r="V13" s="14">
        <v>0.28000000000000003</v>
      </c>
      <c r="W13" s="14">
        <v>0.25</v>
      </c>
      <c r="X13" s="14">
        <v>0.36</v>
      </c>
      <c r="Y13" s="14">
        <v>0.36</v>
      </c>
      <c r="Z13" s="14">
        <v>0.2</v>
      </c>
      <c r="AA13" s="14">
        <v>0.28000000000000003</v>
      </c>
      <c r="AB13" s="14">
        <v>0.22</v>
      </c>
      <c r="AC13" s="14">
        <v>0.18</v>
      </c>
      <c r="AD13" s="14">
        <v>0.39</v>
      </c>
      <c r="AE13" s="14">
        <v>0.35</v>
      </c>
      <c r="AF13" s="14">
        <v>0.52</v>
      </c>
    </row>
    <row r="14" spans="1:32" ht="36.950000000000003">
      <c r="A14" s="20"/>
      <c r="B14" s="11" t="s">
        <v>616</v>
      </c>
      <c r="C14" s="12">
        <v>3080</v>
      </c>
      <c r="D14" s="12">
        <v>97</v>
      </c>
      <c r="E14" s="12">
        <v>166</v>
      </c>
      <c r="F14" s="12">
        <v>97</v>
      </c>
      <c r="G14" s="12">
        <v>47</v>
      </c>
      <c r="H14" s="12">
        <v>118</v>
      </c>
      <c r="I14" s="12">
        <v>142</v>
      </c>
      <c r="J14" s="12">
        <v>25</v>
      </c>
      <c r="K14" s="12">
        <v>133</v>
      </c>
      <c r="L14" s="12">
        <v>192</v>
      </c>
      <c r="M14" s="12">
        <v>252</v>
      </c>
      <c r="N14" s="12">
        <v>116</v>
      </c>
      <c r="O14" s="12">
        <v>103</v>
      </c>
      <c r="P14" s="12">
        <v>215</v>
      </c>
      <c r="Q14" s="12">
        <v>152</v>
      </c>
      <c r="R14" s="12">
        <v>99</v>
      </c>
      <c r="S14" s="12">
        <v>47</v>
      </c>
      <c r="T14" s="12">
        <v>81</v>
      </c>
      <c r="U14" s="12">
        <v>55</v>
      </c>
      <c r="V14" s="12">
        <v>215</v>
      </c>
      <c r="W14" s="12">
        <v>64</v>
      </c>
      <c r="X14" s="12">
        <v>70</v>
      </c>
      <c r="Y14" s="12">
        <v>225</v>
      </c>
      <c r="Z14" s="12">
        <v>117</v>
      </c>
      <c r="AA14" s="12">
        <v>129</v>
      </c>
      <c r="AB14" s="12">
        <v>102</v>
      </c>
      <c r="AC14" s="12">
        <v>72</v>
      </c>
      <c r="AD14" s="12">
        <v>130</v>
      </c>
      <c r="AE14" s="12">
        <v>42</v>
      </c>
      <c r="AF14" s="12">
        <v>57</v>
      </c>
    </row>
    <row r="15" spans="1:32" ht="36.950000000000003">
      <c r="A15" s="20"/>
      <c r="B15" s="13" t="s">
        <v>617</v>
      </c>
      <c r="C15" s="14">
        <v>0.13</v>
      </c>
      <c r="D15" s="14">
        <v>0.1</v>
      </c>
      <c r="E15" s="14">
        <v>0.18</v>
      </c>
      <c r="F15" s="14">
        <v>0.11</v>
      </c>
      <c r="G15" s="14">
        <v>0.05</v>
      </c>
      <c r="H15" s="14">
        <v>0.11</v>
      </c>
      <c r="I15" s="14">
        <v>0.1</v>
      </c>
      <c r="J15" s="14">
        <v>0.09</v>
      </c>
      <c r="K15" s="14">
        <v>0.15</v>
      </c>
      <c r="L15" s="14">
        <v>0.21</v>
      </c>
      <c r="M15" s="14">
        <v>0.27</v>
      </c>
      <c r="N15" s="14">
        <v>0.13</v>
      </c>
      <c r="O15" s="14">
        <v>0.11</v>
      </c>
      <c r="P15" s="14">
        <v>0.22</v>
      </c>
      <c r="Q15" s="14">
        <v>0.16</v>
      </c>
      <c r="R15" s="14">
        <v>0.22</v>
      </c>
      <c r="S15" s="14">
        <v>0.05</v>
      </c>
      <c r="T15" s="14">
        <v>0.09</v>
      </c>
      <c r="U15" s="14">
        <v>0.12</v>
      </c>
      <c r="V15" s="14">
        <v>0.23</v>
      </c>
      <c r="W15" s="14">
        <v>0.15</v>
      </c>
      <c r="X15" s="14">
        <v>7.0000000000000007E-2</v>
      </c>
      <c r="Y15" s="14">
        <v>0.26</v>
      </c>
      <c r="Z15" s="14">
        <v>0.13</v>
      </c>
      <c r="AA15" s="14">
        <v>0.14000000000000001</v>
      </c>
      <c r="AB15" s="14">
        <v>0.11</v>
      </c>
      <c r="AC15" s="14">
        <v>0.08</v>
      </c>
      <c r="AD15" s="14">
        <v>0.13</v>
      </c>
      <c r="AE15" s="14">
        <v>0.04</v>
      </c>
      <c r="AF15" s="14">
        <v>0.06</v>
      </c>
    </row>
    <row r="16" spans="1:32" ht="72.95">
      <c r="A16" s="20"/>
      <c r="B16" s="11" t="s">
        <v>618</v>
      </c>
      <c r="C16" s="12">
        <v>5524</v>
      </c>
      <c r="D16" s="12">
        <v>165</v>
      </c>
      <c r="E16" s="12">
        <v>228</v>
      </c>
      <c r="F16" s="12">
        <v>170</v>
      </c>
      <c r="G16" s="12">
        <v>149</v>
      </c>
      <c r="H16" s="12">
        <v>225</v>
      </c>
      <c r="I16" s="12">
        <v>288</v>
      </c>
      <c r="J16" s="12">
        <v>63</v>
      </c>
      <c r="K16" s="12">
        <v>196</v>
      </c>
      <c r="L16" s="12">
        <v>281</v>
      </c>
      <c r="M16" s="12">
        <v>331</v>
      </c>
      <c r="N16" s="12">
        <v>213</v>
      </c>
      <c r="O16" s="12">
        <v>210</v>
      </c>
      <c r="P16" s="12">
        <v>308</v>
      </c>
      <c r="Q16" s="12">
        <v>266</v>
      </c>
      <c r="R16" s="12">
        <v>170</v>
      </c>
      <c r="S16" s="12">
        <v>130</v>
      </c>
      <c r="T16" s="12">
        <v>158</v>
      </c>
      <c r="U16" s="12">
        <v>86</v>
      </c>
      <c r="V16" s="12">
        <v>224</v>
      </c>
      <c r="W16" s="12">
        <v>141</v>
      </c>
      <c r="X16" s="12">
        <v>134</v>
      </c>
      <c r="Y16" s="12">
        <v>229</v>
      </c>
      <c r="Z16" s="12">
        <v>216</v>
      </c>
      <c r="AA16" s="12">
        <v>216</v>
      </c>
      <c r="AB16" s="12">
        <v>201</v>
      </c>
      <c r="AC16" s="12">
        <v>143</v>
      </c>
      <c r="AD16" s="12">
        <v>291</v>
      </c>
      <c r="AE16" s="12">
        <v>158</v>
      </c>
      <c r="AF16" s="12">
        <v>137</v>
      </c>
    </row>
    <row r="17" spans="1:32" ht="48.95">
      <c r="A17" s="20"/>
      <c r="B17" s="13" t="s">
        <v>619</v>
      </c>
      <c r="C17" s="14">
        <v>0.25</v>
      </c>
      <c r="D17" s="14">
        <v>0.19</v>
      </c>
      <c r="E17" s="14">
        <v>0.27</v>
      </c>
      <c r="F17" s="14">
        <v>0.2</v>
      </c>
      <c r="G17" s="14">
        <v>0.16</v>
      </c>
      <c r="H17" s="14">
        <v>0.22</v>
      </c>
      <c r="I17" s="14">
        <v>0.22</v>
      </c>
      <c r="J17" s="14">
        <v>0.25</v>
      </c>
      <c r="K17" s="14">
        <v>0.23</v>
      </c>
      <c r="L17" s="14">
        <v>0.33</v>
      </c>
      <c r="M17" s="14">
        <v>0.39</v>
      </c>
      <c r="N17" s="14">
        <v>0.25</v>
      </c>
      <c r="O17" s="14">
        <v>0.24</v>
      </c>
      <c r="P17" s="14">
        <v>0.36</v>
      </c>
      <c r="Q17" s="14">
        <v>0.32</v>
      </c>
      <c r="R17" s="14">
        <v>0.45</v>
      </c>
      <c r="S17" s="14">
        <v>0.16</v>
      </c>
      <c r="T17" s="14">
        <v>0.19</v>
      </c>
      <c r="U17" s="14">
        <v>0.19</v>
      </c>
      <c r="V17" s="14">
        <v>0.28000000000000003</v>
      </c>
      <c r="W17" s="14">
        <v>0.34</v>
      </c>
      <c r="X17" s="14">
        <v>0.14000000000000001</v>
      </c>
      <c r="Y17" s="14">
        <v>0.28999999999999998</v>
      </c>
      <c r="Z17" s="14">
        <v>0.27</v>
      </c>
      <c r="AA17" s="14">
        <v>0.24</v>
      </c>
      <c r="AB17" s="14">
        <v>0.23</v>
      </c>
      <c r="AC17" s="14">
        <v>0.17</v>
      </c>
      <c r="AD17" s="14">
        <v>0.33</v>
      </c>
      <c r="AE17" s="14">
        <v>0.18</v>
      </c>
      <c r="AF17" s="14">
        <v>0.14000000000000001</v>
      </c>
    </row>
    <row r="18" spans="1:32" ht="48.95">
      <c r="A18" s="20"/>
      <c r="B18" s="11" t="s">
        <v>620</v>
      </c>
      <c r="C18" s="12">
        <v>5853</v>
      </c>
      <c r="D18" s="12">
        <v>189</v>
      </c>
      <c r="E18" s="12">
        <v>242</v>
      </c>
      <c r="F18" s="12">
        <v>144</v>
      </c>
      <c r="G18" s="12">
        <v>207</v>
      </c>
      <c r="H18" s="12">
        <v>317</v>
      </c>
      <c r="I18" s="12">
        <v>388</v>
      </c>
      <c r="J18" s="12">
        <v>71</v>
      </c>
      <c r="K18" s="12">
        <v>222</v>
      </c>
      <c r="L18" s="12">
        <v>236</v>
      </c>
      <c r="M18" s="12">
        <v>271</v>
      </c>
      <c r="N18" s="12">
        <v>180</v>
      </c>
      <c r="O18" s="12">
        <v>216</v>
      </c>
      <c r="P18" s="12">
        <v>282</v>
      </c>
      <c r="Q18" s="12">
        <v>246</v>
      </c>
      <c r="R18" s="12">
        <v>143</v>
      </c>
      <c r="S18" s="12">
        <v>141</v>
      </c>
      <c r="T18" s="12">
        <v>188</v>
      </c>
      <c r="U18" s="12">
        <v>96</v>
      </c>
      <c r="V18" s="12">
        <v>290</v>
      </c>
      <c r="W18" s="12">
        <v>127</v>
      </c>
      <c r="X18" s="12">
        <v>251</v>
      </c>
      <c r="Y18" s="12">
        <v>236</v>
      </c>
      <c r="Z18" s="12">
        <v>173</v>
      </c>
      <c r="AA18" s="12">
        <v>188</v>
      </c>
      <c r="AB18" s="12">
        <v>213</v>
      </c>
      <c r="AC18" s="12">
        <v>171</v>
      </c>
      <c r="AD18" s="12">
        <v>280</v>
      </c>
      <c r="AE18" s="12">
        <v>171</v>
      </c>
      <c r="AF18" s="12">
        <v>312</v>
      </c>
    </row>
    <row r="19" spans="1:32" ht="36.950000000000003">
      <c r="A19" s="20"/>
      <c r="B19" s="13" t="s">
        <v>621</v>
      </c>
      <c r="C19" s="14">
        <v>0.25</v>
      </c>
      <c r="D19" s="14">
        <v>0.22</v>
      </c>
      <c r="E19" s="14">
        <v>0.27</v>
      </c>
      <c r="F19" s="14">
        <v>0.17</v>
      </c>
      <c r="G19" s="14">
        <v>0.23</v>
      </c>
      <c r="H19" s="14">
        <v>0.32</v>
      </c>
      <c r="I19" s="14">
        <v>0.31</v>
      </c>
      <c r="J19" s="14">
        <v>0.28000000000000003</v>
      </c>
      <c r="K19" s="14">
        <v>0.25</v>
      </c>
      <c r="L19" s="14">
        <v>0.27</v>
      </c>
      <c r="M19" s="14">
        <v>0.28999999999999998</v>
      </c>
      <c r="N19" s="14">
        <v>0.2</v>
      </c>
      <c r="O19" s="14">
        <v>0.24</v>
      </c>
      <c r="P19" s="14">
        <v>0.31</v>
      </c>
      <c r="Q19" s="14">
        <v>0.27</v>
      </c>
      <c r="R19" s="14">
        <v>0.32</v>
      </c>
      <c r="S19" s="14">
        <v>0.17</v>
      </c>
      <c r="T19" s="14">
        <v>0.23</v>
      </c>
      <c r="U19" s="14">
        <v>0.21</v>
      </c>
      <c r="V19" s="14">
        <v>0.33</v>
      </c>
      <c r="W19" s="14">
        <v>0.27</v>
      </c>
      <c r="X19" s="14">
        <v>0.26</v>
      </c>
      <c r="Y19" s="14">
        <v>0.3</v>
      </c>
      <c r="Z19" s="14">
        <v>0.21</v>
      </c>
      <c r="AA19" s="14">
        <v>0.2</v>
      </c>
      <c r="AB19" s="14">
        <v>0.24</v>
      </c>
      <c r="AC19" s="14">
        <v>0.2</v>
      </c>
      <c r="AD19" s="14">
        <v>0.31</v>
      </c>
      <c r="AE19" s="14">
        <v>0.19</v>
      </c>
      <c r="AF19" s="14">
        <v>0.33</v>
      </c>
    </row>
    <row r="20" spans="1:32" ht="60.95">
      <c r="A20" s="20"/>
      <c r="B20" s="11" t="s">
        <v>622</v>
      </c>
      <c r="C20" s="12">
        <v>7457</v>
      </c>
      <c r="D20" s="12">
        <v>253</v>
      </c>
      <c r="E20" s="12">
        <v>313</v>
      </c>
      <c r="F20" s="12">
        <v>173</v>
      </c>
      <c r="G20" s="12">
        <v>249</v>
      </c>
      <c r="H20" s="12">
        <v>354</v>
      </c>
      <c r="I20" s="12">
        <v>434</v>
      </c>
      <c r="J20" s="12">
        <v>79</v>
      </c>
      <c r="K20" s="12">
        <v>250</v>
      </c>
      <c r="L20" s="12">
        <v>297</v>
      </c>
      <c r="M20" s="12">
        <v>395</v>
      </c>
      <c r="N20" s="12">
        <v>253</v>
      </c>
      <c r="O20" s="12">
        <v>306</v>
      </c>
      <c r="P20" s="12">
        <v>323</v>
      </c>
      <c r="Q20" s="12">
        <v>324</v>
      </c>
      <c r="R20" s="12">
        <v>206</v>
      </c>
      <c r="S20" s="12">
        <v>185</v>
      </c>
      <c r="T20" s="12">
        <v>284</v>
      </c>
      <c r="U20" s="12">
        <v>142</v>
      </c>
      <c r="V20" s="12">
        <v>348</v>
      </c>
      <c r="W20" s="12">
        <v>162</v>
      </c>
      <c r="X20" s="12">
        <v>277</v>
      </c>
      <c r="Y20" s="12">
        <v>312</v>
      </c>
      <c r="Z20" s="12">
        <v>228</v>
      </c>
      <c r="AA20" s="12">
        <v>290</v>
      </c>
      <c r="AB20" s="12">
        <v>275</v>
      </c>
      <c r="AC20" s="12">
        <v>224</v>
      </c>
      <c r="AD20" s="12">
        <v>262</v>
      </c>
      <c r="AE20" s="12">
        <v>275</v>
      </c>
      <c r="AF20" s="12">
        <v>314</v>
      </c>
    </row>
    <row r="21" spans="1:32" ht="36.950000000000003">
      <c r="A21" s="20"/>
      <c r="B21" s="13" t="s">
        <v>623</v>
      </c>
      <c r="C21" s="14">
        <v>0.35</v>
      </c>
      <c r="D21" s="14">
        <v>0.32</v>
      </c>
      <c r="E21" s="14">
        <v>0.37</v>
      </c>
      <c r="F21" s="14">
        <v>0.21</v>
      </c>
      <c r="G21" s="14">
        <v>0.28999999999999998</v>
      </c>
      <c r="H21" s="14">
        <v>0.38</v>
      </c>
      <c r="I21" s="14">
        <v>0.38</v>
      </c>
      <c r="J21" s="14">
        <v>0.35</v>
      </c>
      <c r="K21" s="14">
        <v>0.3</v>
      </c>
      <c r="L21" s="14">
        <v>0.39</v>
      </c>
      <c r="M21" s="14">
        <v>0.46</v>
      </c>
      <c r="N21" s="14">
        <v>0.32</v>
      </c>
      <c r="O21" s="14">
        <v>0.36</v>
      </c>
      <c r="P21" s="14">
        <v>0.39</v>
      </c>
      <c r="Q21" s="14">
        <v>0.37</v>
      </c>
      <c r="R21" s="14">
        <v>0.52</v>
      </c>
      <c r="S21" s="14">
        <v>0.23</v>
      </c>
      <c r="T21" s="14">
        <v>0.37</v>
      </c>
      <c r="U21" s="14">
        <v>0.34</v>
      </c>
      <c r="V21" s="14">
        <v>0.4</v>
      </c>
      <c r="W21" s="14">
        <v>0.38</v>
      </c>
      <c r="X21" s="14">
        <v>0.32</v>
      </c>
      <c r="Y21" s="14">
        <v>0.41</v>
      </c>
      <c r="Z21" s="14">
        <v>0.26</v>
      </c>
      <c r="AA21" s="14">
        <v>0.36</v>
      </c>
      <c r="AB21" s="14">
        <v>0.32</v>
      </c>
      <c r="AC21" s="14">
        <v>0.27</v>
      </c>
      <c r="AD21" s="14">
        <v>0.28999999999999998</v>
      </c>
      <c r="AE21" s="14">
        <v>0.34</v>
      </c>
      <c r="AF21" s="14">
        <v>0.34</v>
      </c>
    </row>
    <row r="22" spans="1:32" ht="48.95">
      <c r="A22" s="20"/>
      <c r="B22" s="11" t="s">
        <v>624</v>
      </c>
      <c r="C22" s="12">
        <v>5296</v>
      </c>
      <c r="D22" s="12">
        <v>165</v>
      </c>
      <c r="E22" s="12">
        <v>253</v>
      </c>
      <c r="F22" s="12">
        <v>188</v>
      </c>
      <c r="G22" s="12">
        <v>184</v>
      </c>
      <c r="H22" s="12">
        <v>263</v>
      </c>
      <c r="I22" s="12">
        <v>314</v>
      </c>
      <c r="J22" s="12">
        <v>51</v>
      </c>
      <c r="K22" s="12">
        <v>212</v>
      </c>
      <c r="L22" s="12">
        <v>246</v>
      </c>
      <c r="M22" s="12">
        <v>295</v>
      </c>
      <c r="N22" s="12">
        <v>193</v>
      </c>
      <c r="O22" s="12">
        <v>155</v>
      </c>
      <c r="P22" s="12">
        <v>265</v>
      </c>
      <c r="Q22" s="12">
        <v>254</v>
      </c>
      <c r="R22" s="12">
        <v>148</v>
      </c>
      <c r="S22" s="12">
        <v>101</v>
      </c>
      <c r="T22" s="12">
        <v>177</v>
      </c>
      <c r="U22" s="12">
        <v>71</v>
      </c>
      <c r="V22" s="12">
        <v>276</v>
      </c>
      <c r="W22" s="12">
        <v>117</v>
      </c>
      <c r="X22" s="12">
        <v>101</v>
      </c>
      <c r="Y22" s="12">
        <v>264</v>
      </c>
      <c r="Z22" s="12">
        <v>199</v>
      </c>
      <c r="AA22" s="12">
        <v>233</v>
      </c>
      <c r="AB22" s="12">
        <v>236</v>
      </c>
      <c r="AC22" s="12">
        <v>146</v>
      </c>
      <c r="AD22" s="12">
        <v>258</v>
      </c>
      <c r="AE22" s="12">
        <v>92</v>
      </c>
      <c r="AF22" s="12">
        <v>172</v>
      </c>
    </row>
    <row r="23" spans="1:32" ht="36.950000000000003">
      <c r="A23" s="20"/>
      <c r="B23" s="13" t="s">
        <v>625</v>
      </c>
      <c r="C23" s="14">
        <v>0.22</v>
      </c>
      <c r="D23" s="14">
        <v>0.18</v>
      </c>
      <c r="E23" s="14">
        <v>0.28000000000000003</v>
      </c>
      <c r="F23" s="14">
        <v>0.22</v>
      </c>
      <c r="G23" s="14">
        <v>0.2</v>
      </c>
      <c r="H23" s="14">
        <v>0.25</v>
      </c>
      <c r="I23" s="14">
        <v>0.24</v>
      </c>
      <c r="J23" s="14">
        <v>0.19</v>
      </c>
      <c r="K23" s="14">
        <v>0.24</v>
      </c>
      <c r="L23" s="14">
        <v>0.27</v>
      </c>
      <c r="M23" s="14">
        <v>0.32</v>
      </c>
      <c r="N23" s="14">
        <v>0.22</v>
      </c>
      <c r="O23" s="14">
        <v>0.17</v>
      </c>
      <c r="P23" s="14">
        <v>0.28000000000000003</v>
      </c>
      <c r="Q23" s="14">
        <v>0.27</v>
      </c>
      <c r="R23" s="14">
        <v>0.32</v>
      </c>
      <c r="S23" s="14">
        <v>0.11</v>
      </c>
      <c r="T23" s="14">
        <v>0.2</v>
      </c>
      <c r="U23" s="14">
        <v>0.15</v>
      </c>
      <c r="V23" s="14">
        <v>0.3</v>
      </c>
      <c r="W23" s="14">
        <v>0.24</v>
      </c>
      <c r="X23" s="14">
        <v>0.1</v>
      </c>
      <c r="Y23" s="14">
        <v>0.32</v>
      </c>
      <c r="Z23" s="14">
        <v>0.22</v>
      </c>
      <c r="AA23" s="14">
        <v>0.24</v>
      </c>
      <c r="AB23" s="14">
        <v>0.26</v>
      </c>
      <c r="AC23" s="14">
        <v>0.16</v>
      </c>
      <c r="AD23" s="14">
        <v>0.28000000000000003</v>
      </c>
      <c r="AE23" s="14">
        <v>0.1</v>
      </c>
      <c r="AF23" s="14">
        <v>0.18</v>
      </c>
    </row>
    <row r="24" spans="1:32" ht="24.95">
      <c r="A24" s="20"/>
      <c r="B24" s="11" t="s">
        <v>626</v>
      </c>
      <c r="C24" s="12">
        <v>8449</v>
      </c>
      <c r="D24" s="12">
        <v>322</v>
      </c>
      <c r="E24" s="12">
        <v>391</v>
      </c>
      <c r="F24" s="12">
        <v>270</v>
      </c>
      <c r="G24" s="12">
        <v>334</v>
      </c>
      <c r="H24" s="12">
        <v>285</v>
      </c>
      <c r="I24" s="12">
        <v>357</v>
      </c>
      <c r="J24" s="12">
        <v>72</v>
      </c>
      <c r="K24" s="12">
        <v>340</v>
      </c>
      <c r="L24" s="12">
        <v>357</v>
      </c>
      <c r="M24" s="12">
        <v>471</v>
      </c>
      <c r="N24" s="12">
        <v>373</v>
      </c>
      <c r="O24" s="12">
        <v>365</v>
      </c>
      <c r="P24" s="12">
        <v>387</v>
      </c>
      <c r="Q24" s="12">
        <v>384</v>
      </c>
      <c r="R24" s="12">
        <v>211</v>
      </c>
      <c r="S24" s="12">
        <v>228</v>
      </c>
      <c r="T24" s="12">
        <v>322</v>
      </c>
      <c r="U24" s="12">
        <v>158</v>
      </c>
      <c r="V24" s="12">
        <v>388</v>
      </c>
      <c r="W24" s="12">
        <v>119</v>
      </c>
      <c r="X24" s="12">
        <v>355</v>
      </c>
      <c r="Y24" s="12">
        <v>266</v>
      </c>
      <c r="Z24" s="12">
        <v>212</v>
      </c>
      <c r="AA24" s="12">
        <v>394</v>
      </c>
      <c r="AB24" s="12">
        <v>301</v>
      </c>
      <c r="AC24" s="12">
        <v>282</v>
      </c>
      <c r="AD24" s="12">
        <v>345</v>
      </c>
      <c r="AE24" s="12">
        <v>292</v>
      </c>
      <c r="AF24" s="12">
        <v>351</v>
      </c>
    </row>
    <row r="25" spans="1:32" ht="24.95">
      <c r="A25" s="20"/>
      <c r="B25" s="13" t="s">
        <v>627</v>
      </c>
      <c r="C25" s="14">
        <v>0.39</v>
      </c>
      <c r="D25" s="14">
        <v>0.4</v>
      </c>
      <c r="E25" s="14">
        <v>0.46</v>
      </c>
      <c r="F25" s="14">
        <v>0.35</v>
      </c>
      <c r="G25" s="14">
        <v>0.43</v>
      </c>
      <c r="H25" s="14">
        <v>0.26</v>
      </c>
      <c r="I25" s="14">
        <v>0.26</v>
      </c>
      <c r="J25" s="14">
        <v>0.27</v>
      </c>
      <c r="K25" s="14">
        <v>0.43</v>
      </c>
      <c r="L25" s="14">
        <v>0.42</v>
      </c>
      <c r="M25" s="14">
        <v>0.54</v>
      </c>
      <c r="N25" s="14">
        <v>0.47</v>
      </c>
      <c r="O25" s="14">
        <v>0.46</v>
      </c>
      <c r="P25" s="14">
        <v>0.44</v>
      </c>
      <c r="Q25" s="14">
        <v>0.44</v>
      </c>
      <c r="R25" s="14">
        <v>0.48</v>
      </c>
      <c r="S25" s="14">
        <v>0.28000000000000003</v>
      </c>
      <c r="T25" s="14">
        <v>0.4</v>
      </c>
      <c r="U25" s="14">
        <v>0.36</v>
      </c>
      <c r="V25" s="14">
        <v>0.44</v>
      </c>
      <c r="W25" s="14">
        <v>0.25</v>
      </c>
      <c r="X25" s="14">
        <v>0.46</v>
      </c>
      <c r="Y25" s="14">
        <v>0.31</v>
      </c>
      <c r="Z25" s="14">
        <v>0.25</v>
      </c>
      <c r="AA25" s="14">
        <v>0.51</v>
      </c>
      <c r="AB25" s="14">
        <v>0.35</v>
      </c>
      <c r="AC25" s="14">
        <v>0.34</v>
      </c>
      <c r="AD25" s="14">
        <v>0.42</v>
      </c>
      <c r="AE25" s="14">
        <v>0.35</v>
      </c>
      <c r="AF25" s="14">
        <v>0.39</v>
      </c>
    </row>
    <row r="26" spans="1:32" ht="36.950000000000003">
      <c r="A26" s="20"/>
      <c r="B26" s="11" t="s">
        <v>628</v>
      </c>
      <c r="C26" s="12">
        <v>6178</v>
      </c>
      <c r="D26" s="12">
        <v>174</v>
      </c>
      <c r="E26" s="12">
        <v>291</v>
      </c>
      <c r="F26" s="12">
        <v>186</v>
      </c>
      <c r="G26" s="12">
        <v>174</v>
      </c>
      <c r="H26" s="12">
        <v>285</v>
      </c>
      <c r="I26" s="12">
        <v>363</v>
      </c>
      <c r="J26" s="12">
        <v>78</v>
      </c>
      <c r="K26" s="12">
        <v>280</v>
      </c>
      <c r="L26" s="12">
        <v>385</v>
      </c>
      <c r="M26" s="12">
        <v>405</v>
      </c>
      <c r="N26" s="12">
        <v>247</v>
      </c>
      <c r="O26" s="12">
        <v>202</v>
      </c>
      <c r="P26" s="12">
        <v>307</v>
      </c>
      <c r="Q26" s="12">
        <v>303</v>
      </c>
      <c r="R26" s="12">
        <v>207</v>
      </c>
      <c r="S26" s="12">
        <v>198</v>
      </c>
      <c r="T26" s="12">
        <v>236</v>
      </c>
      <c r="U26" s="12">
        <v>99</v>
      </c>
      <c r="V26" s="12">
        <v>268</v>
      </c>
      <c r="W26" s="12">
        <v>125</v>
      </c>
      <c r="X26" s="12">
        <v>174</v>
      </c>
      <c r="Y26" s="12">
        <v>224</v>
      </c>
      <c r="Z26" s="12">
        <v>128</v>
      </c>
      <c r="AA26" s="12">
        <v>360</v>
      </c>
      <c r="AB26" s="12">
        <v>242</v>
      </c>
      <c r="AC26" s="12">
        <v>185</v>
      </c>
      <c r="AD26" s="12">
        <v>273</v>
      </c>
      <c r="AE26" s="12">
        <v>162</v>
      </c>
      <c r="AF26" s="12">
        <v>220</v>
      </c>
    </row>
    <row r="27" spans="1:32" ht="24.95">
      <c r="A27" s="20"/>
      <c r="B27" s="13" t="s">
        <v>629</v>
      </c>
      <c r="C27" s="14">
        <v>0.26</v>
      </c>
      <c r="D27" s="14">
        <v>0.19</v>
      </c>
      <c r="E27" s="14">
        <v>0.33</v>
      </c>
      <c r="F27" s="14">
        <v>0.21</v>
      </c>
      <c r="G27" s="14">
        <v>0.19</v>
      </c>
      <c r="H27" s="14">
        <v>0.26</v>
      </c>
      <c r="I27" s="14">
        <v>0.27</v>
      </c>
      <c r="J27" s="14">
        <v>0.28999999999999998</v>
      </c>
      <c r="K27" s="14">
        <v>0.32</v>
      </c>
      <c r="L27" s="14">
        <v>0.43</v>
      </c>
      <c r="M27" s="14">
        <v>0.44</v>
      </c>
      <c r="N27" s="14">
        <v>0.27</v>
      </c>
      <c r="O27" s="14">
        <v>0.22</v>
      </c>
      <c r="P27" s="14">
        <v>0.33</v>
      </c>
      <c r="Q27" s="14">
        <v>0.32</v>
      </c>
      <c r="R27" s="14">
        <v>0.48</v>
      </c>
      <c r="S27" s="14">
        <v>0.23</v>
      </c>
      <c r="T27" s="14">
        <v>0.27</v>
      </c>
      <c r="U27" s="14">
        <v>0.21</v>
      </c>
      <c r="V27" s="14">
        <v>0.28000000000000003</v>
      </c>
      <c r="W27" s="14">
        <v>0.26</v>
      </c>
      <c r="X27" s="14">
        <v>0.18</v>
      </c>
      <c r="Y27" s="14">
        <v>0.27</v>
      </c>
      <c r="Z27" s="14">
        <v>0.14000000000000001</v>
      </c>
      <c r="AA27" s="14">
        <v>0.39</v>
      </c>
      <c r="AB27" s="14">
        <v>0.27</v>
      </c>
      <c r="AC27" s="14">
        <v>0.2</v>
      </c>
      <c r="AD27" s="14">
        <v>0.28999999999999998</v>
      </c>
      <c r="AE27" s="14">
        <v>0.18</v>
      </c>
      <c r="AF27" s="14">
        <v>0.23</v>
      </c>
    </row>
    <row r="28" spans="1:32" ht="24.95">
      <c r="A28" s="20"/>
      <c r="B28" s="11" t="s">
        <v>630</v>
      </c>
      <c r="C28" s="12">
        <v>8199</v>
      </c>
      <c r="D28" s="12">
        <v>251</v>
      </c>
      <c r="E28" s="12">
        <v>329</v>
      </c>
      <c r="F28" s="12">
        <v>281</v>
      </c>
      <c r="G28" s="12">
        <v>380</v>
      </c>
      <c r="H28" s="12">
        <v>384</v>
      </c>
      <c r="I28" s="12">
        <v>517</v>
      </c>
      <c r="J28" s="12">
        <v>133</v>
      </c>
      <c r="K28" s="12">
        <v>266</v>
      </c>
      <c r="L28" s="12">
        <v>278</v>
      </c>
      <c r="M28" s="12">
        <v>469</v>
      </c>
      <c r="N28" s="12">
        <v>303</v>
      </c>
      <c r="O28" s="12">
        <v>357</v>
      </c>
      <c r="P28" s="12">
        <v>325</v>
      </c>
      <c r="Q28" s="12">
        <v>320</v>
      </c>
      <c r="R28" s="12">
        <v>214</v>
      </c>
      <c r="S28" s="12">
        <v>134</v>
      </c>
      <c r="T28" s="12">
        <v>205</v>
      </c>
      <c r="U28" s="12">
        <v>146</v>
      </c>
      <c r="V28" s="12">
        <v>287</v>
      </c>
      <c r="W28" s="12">
        <v>115</v>
      </c>
      <c r="X28" s="12">
        <v>364</v>
      </c>
      <c r="Y28" s="12">
        <v>302</v>
      </c>
      <c r="Z28" s="12">
        <v>166</v>
      </c>
      <c r="AA28" s="12">
        <v>399</v>
      </c>
      <c r="AB28" s="12">
        <v>256</v>
      </c>
      <c r="AC28" s="12">
        <v>229</v>
      </c>
      <c r="AD28" s="12">
        <v>317</v>
      </c>
      <c r="AE28" s="12">
        <v>262</v>
      </c>
      <c r="AF28" s="12">
        <v>357</v>
      </c>
    </row>
    <row r="29" spans="1:32" ht="24.95">
      <c r="A29" s="20"/>
      <c r="B29" s="13" t="s">
        <v>631</v>
      </c>
      <c r="C29" s="14">
        <v>0.36</v>
      </c>
      <c r="D29" s="14">
        <v>0.28000000000000003</v>
      </c>
      <c r="E29" s="14">
        <v>0.36</v>
      </c>
      <c r="F29" s="14">
        <v>0.32</v>
      </c>
      <c r="G29" s="14">
        <v>0.48</v>
      </c>
      <c r="H29" s="14">
        <v>0.39</v>
      </c>
      <c r="I29" s="14">
        <v>0.42</v>
      </c>
      <c r="J29" s="14">
        <v>0.52</v>
      </c>
      <c r="K29" s="14">
        <v>0.28999999999999998</v>
      </c>
      <c r="L29" s="14">
        <v>0.3</v>
      </c>
      <c r="M29" s="14">
        <v>0.51</v>
      </c>
      <c r="N29" s="14">
        <v>0.34</v>
      </c>
      <c r="O29" s="14">
        <v>0.41</v>
      </c>
      <c r="P29" s="14">
        <v>0.35</v>
      </c>
      <c r="Q29" s="14">
        <v>0.34</v>
      </c>
      <c r="R29" s="14">
        <v>0.47</v>
      </c>
      <c r="S29" s="14">
        <v>0.15</v>
      </c>
      <c r="T29" s="14">
        <v>0.23</v>
      </c>
      <c r="U29" s="14">
        <v>0.33</v>
      </c>
      <c r="V29" s="14">
        <v>0.3</v>
      </c>
      <c r="W29" s="14">
        <v>0.23</v>
      </c>
      <c r="X29" s="14">
        <v>0.45</v>
      </c>
      <c r="Y29" s="14">
        <v>0.38</v>
      </c>
      <c r="Z29" s="14">
        <v>0.18</v>
      </c>
      <c r="AA29" s="14">
        <v>0.42</v>
      </c>
      <c r="AB29" s="14">
        <v>0.27</v>
      </c>
      <c r="AC29" s="14">
        <v>0.25</v>
      </c>
      <c r="AD29" s="14">
        <v>0.34</v>
      </c>
      <c r="AE29" s="14">
        <v>0.3</v>
      </c>
      <c r="AF29" s="14">
        <v>0.48</v>
      </c>
    </row>
    <row r="30" spans="1:32" ht="36.950000000000003">
      <c r="A30" s="20"/>
      <c r="B30" s="11" t="s">
        <v>632</v>
      </c>
      <c r="C30" s="12">
        <v>6794</v>
      </c>
      <c r="D30" s="12">
        <v>150</v>
      </c>
      <c r="E30" s="12">
        <v>317</v>
      </c>
      <c r="F30" s="12">
        <v>264</v>
      </c>
      <c r="G30" s="12">
        <v>256</v>
      </c>
      <c r="H30" s="12">
        <v>308</v>
      </c>
      <c r="I30" s="12">
        <v>412</v>
      </c>
      <c r="J30" s="12">
        <v>104</v>
      </c>
      <c r="K30" s="12">
        <v>352</v>
      </c>
      <c r="L30" s="12">
        <v>269</v>
      </c>
      <c r="M30" s="12">
        <v>453</v>
      </c>
      <c r="N30" s="12">
        <v>242</v>
      </c>
      <c r="O30" s="12">
        <v>269</v>
      </c>
      <c r="P30" s="12">
        <v>296</v>
      </c>
      <c r="Q30" s="12">
        <v>254</v>
      </c>
      <c r="R30" s="12">
        <v>198</v>
      </c>
      <c r="S30" s="12">
        <v>198</v>
      </c>
      <c r="T30" s="12">
        <v>288</v>
      </c>
      <c r="U30" s="12">
        <v>106</v>
      </c>
      <c r="V30" s="12">
        <v>279</v>
      </c>
      <c r="W30" s="12">
        <v>155</v>
      </c>
      <c r="X30" s="12">
        <v>239</v>
      </c>
      <c r="Y30" s="12">
        <v>267</v>
      </c>
      <c r="Z30" s="12">
        <v>143</v>
      </c>
      <c r="AA30" s="12">
        <v>405</v>
      </c>
      <c r="AB30" s="12">
        <v>214</v>
      </c>
      <c r="AC30" s="12">
        <v>281</v>
      </c>
      <c r="AD30" s="12">
        <v>422</v>
      </c>
      <c r="AE30" s="12">
        <v>277</v>
      </c>
      <c r="AF30" s="12">
        <v>366</v>
      </c>
    </row>
    <row r="31" spans="1:32" ht="36.950000000000003">
      <c r="A31" s="20"/>
      <c r="B31" s="13" t="s">
        <v>633</v>
      </c>
      <c r="C31" s="14">
        <v>0.28000000000000003</v>
      </c>
      <c r="D31" s="14">
        <v>0.16</v>
      </c>
      <c r="E31" s="14">
        <v>0.36</v>
      </c>
      <c r="F31" s="14">
        <v>0.31</v>
      </c>
      <c r="G31" s="14">
        <v>0.28000000000000003</v>
      </c>
      <c r="H31" s="14">
        <v>0.28000000000000003</v>
      </c>
      <c r="I31" s="14">
        <v>0.31</v>
      </c>
      <c r="J31" s="14">
        <v>0.39</v>
      </c>
      <c r="K31" s="14">
        <v>0.39</v>
      </c>
      <c r="L31" s="14">
        <v>0.28999999999999998</v>
      </c>
      <c r="M31" s="14">
        <v>0.48</v>
      </c>
      <c r="N31" s="14">
        <v>0.27</v>
      </c>
      <c r="O31" s="14">
        <v>0.28999999999999998</v>
      </c>
      <c r="P31" s="14">
        <v>0.32</v>
      </c>
      <c r="Q31" s="14">
        <v>0.26</v>
      </c>
      <c r="R31" s="14">
        <v>0.44</v>
      </c>
      <c r="S31" s="14">
        <v>0.23</v>
      </c>
      <c r="T31" s="14">
        <v>0.34</v>
      </c>
      <c r="U31" s="14">
        <v>0.22</v>
      </c>
      <c r="V31" s="14">
        <v>0.3</v>
      </c>
      <c r="W31" s="14">
        <v>0.31</v>
      </c>
      <c r="X31" s="14">
        <v>0.25</v>
      </c>
      <c r="Y31" s="14">
        <v>0.32</v>
      </c>
      <c r="Z31" s="14">
        <v>0.16</v>
      </c>
      <c r="AA31" s="14">
        <v>0.44</v>
      </c>
      <c r="AB31" s="14">
        <v>0.23</v>
      </c>
      <c r="AC31" s="14">
        <v>0.33</v>
      </c>
      <c r="AD31" s="14">
        <v>0.48</v>
      </c>
      <c r="AE31" s="14">
        <v>0.31</v>
      </c>
      <c r="AF31" s="14">
        <v>0.37</v>
      </c>
    </row>
    <row r="32" spans="1:32">
      <c r="A32" s="20"/>
      <c r="B32" s="11" t="s">
        <v>519</v>
      </c>
      <c r="C32" s="12">
        <v>87</v>
      </c>
      <c r="D32" s="12">
        <v>2</v>
      </c>
      <c r="E32" s="12">
        <v>0</v>
      </c>
      <c r="F32" s="12">
        <v>3</v>
      </c>
      <c r="G32" s="12">
        <v>6</v>
      </c>
      <c r="H32" s="12">
        <v>15</v>
      </c>
      <c r="I32" s="12">
        <v>15</v>
      </c>
      <c r="J32" s="12">
        <v>1</v>
      </c>
      <c r="K32" s="12">
        <v>12</v>
      </c>
      <c r="L32" s="12">
        <v>2</v>
      </c>
      <c r="M32" s="12">
        <v>0</v>
      </c>
      <c r="N32" s="12">
        <v>0</v>
      </c>
      <c r="O32" s="12">
        <v>0</v>
      </c>
      <c r="P32" s="12">
        <v>0</v>
      </c>
      <c r="Q32" s="12">
        <v>1</v>
      </c>
      <c r="R32" s="12">
        <v>1</v>
      </c>
      <c r="S32" s="12">
        <v>13</v>
      </c>
      <c r="T32" s="12">
        <v>4</v>
      </c>
      <c r="U32" s="12">
        <v>5</v>
      </c>
      <c r="V32" s="12">
        <v>0</v>
      </c>
      <c r="W32" s="12">
        <v>0</v>
      </c>
      <c r="X32" s="12">
        <v>6</v>
      </c>
      <c r="Y32" s="12">
        <v>12</v>
      </c>
      <c r="Z32" s="12">
        <v>1</v>
      </c>
      <c r="AA32" s="12">
        <v>5</v>
      </c>
      <c r="AB32" s="12">
        <v>4</v>
      </c>
      <c r="AC32" s="12">
        <v>6</v>
      </c>
      <c r="AD32" s="12">
        <v>2</v>
      </c>
      <c r="AE32" s="12">
        <v>2</v>
      </c>
      <c r="AF32" s="12">
        <v>1</v>
      </c>
    </row>
    <row r="33" spans="1:32">
      <c r="A33" s="20"/>
      <c r="B33" s="13" t="s">
        <v>520</v>
      </c>
      <c r="C33" s="15" t="s">
        <v>459</v>
      </c>
      <c r="D33" s="15" t="s">
        <v>459</v>
      </c>
      <c r="E33" s="15" t="s">
        <v>459</v>
      </c>
      <c r="F33" s="15" t="s">
        <v>459</v>
      </c>
      <c r="G33" s="14">
        <v>0.01</v>
      </c>
      <c r="H33" s="14">
        <v>0.01</v>
      </c>
      <c r="I33" s="14">
        <v>0.01</v>
      </c>
      <c r="J33" s="15" t="s">
        <v>459</v>
      </c>
      <c r="K33" s="14">
        <v>0.01</v>
      </c>
      <c r="L33" s="15" t="s">
        <v>459</v>
      </c>
      <c r="M33" s="15" t="s">
        <v>459</v>
      </c>
      <c r="N33" s="15" t="s">
        <v>459</v>
      </c>
      <c r="O33" s="15" t="s">
        <v>459</v>
      </c>
      <c r="P33" s="15" t="s">
        <v>459</v>
      </c>
      <c r="Q33" s="15" t="s">
        <v>459</v>
      </c>
      <c r="R33" s="15" t="s">
        <v>459</v>
      </c>
      <c r="S33" s="14">
        <v>0.01</v>
      </c>
      <c r="T33" s="15" t="s">
        <v>459</v>
      </c>
      <c r="U33" s="14">
        <v>0.01</v>
      </c>
      <c r="V33" s="15" t="s">
        <v>459</v>
      </c>
      <c r="W33" s="15" t="s">
        <v>459</v>
      </c>
      <c r="X33" s="14">
        <v>0.01</v>
      </c>
      <c r="Y33" s="14">
        <v>0.01</v>
      </c>
      <c r="Z33" s="15" t="s">
        <v>459</v>
      </c>
      <c r="AA33" s="15" t="s">
        <v>459</v>
      </c>
      <c r="AB33" s="15" t="s">
        <v>459</v>
      </c>
      <c r="AC33" s="14">
        <v>0.01</v>
      </c>
      <c r="AD33" s="15" t="s">
        <v>459</v>
      </c>
      <c r="AE33" s="15" t="s">
        <v>459</v>
      </c>
      <c r="AF33" s="15" t="s">
        <v>459</v>
      </c>
    </row>
    <row r="34" spans="1:32">
      <c r="A34" s="20"/>
      <c r="B34" s="11" t="s">
        <v>521</v>
      </c>
      <c r="C34" s="12">
        <v>372</v>
      </c>
      <c r="D34" s="12">
        <v>15</v>
      </c>
      <c r="E34" s="12">
        <v>2</v>
      </c>
      <c r="F34" s="12">
        <v>13</v>
      </c>
      <c r="G34" s="12">
        <v>30</v>
      </c>
      <c r="H34" s="12">
        <v>15</v>
      </c>
      <c r="I34" s="12">
        <v>17</v>
      </c>
      <c r="J34" s="12">
        <v>2</v>
      </c>
      <c r="K34" s="12">
        <v>6</v>
      </c>
      <c r="L34" s="12">
        <v>8</v>
      </c>
      <c r="M34" s="12">
        <v>3</v>
      </c>
      <c r="N34" s="12">
        <v>18</v>
      </c>
      <c r="O34" s="12">
        <v>26</v>
      </c>
      <c r="P34" s="12">
        <v>1</v>
      </c>
      <c r="Q34" s="12">
        <v>3</v>
      </c>
      <c r="R34" s="12">
        <v>1</v>
      </c>
      <c r="S34" s="12">
        <v>31</v>
      </c>
      <c r="T34" s="12">
        <v>12</v>
      </c>
      <c r="U34" s="12">
        <v>11</v>
      </c>
      <c r="V34" s="12">
        <v>4</v>
      </c>
      <c r="W34" s="12">
        <v>3</v>
      </c>
      <c r="X34" s="12">
        <v>36</v>
      </c>
      <c r="Y34" s="12">
        <v>14</v>
      </c>
      <c r="Z34" s="12">
        <v>4</v>
      </c>
      <c r="AA34" s="12">
        <v>1</v>
      </c>
      <c r="AB34" s="12">
        <v>7</v>
      </c>
      <c r="AC34" s="12">
        <v>31</v>
      </c>
      <c r="AD34" s="12">
        <v>8</v>
      </c>
      <c r="AE34" s="12">
        <v>40</v>
      </c>
      <c r="AF34" s="12">
        <v>57</v>
      </c>
    </row>
    <row r="35" spans="1:32">
      <c r="A35" s="20"/>
      <c r="B35" s="13" t="s">
        <v>522</v>
      </c>
      <c r="C35" s="14">
        <v>0.01</v>
      </c>
      <c r="D35" s="14">
        <v>0.02</v>
      </c>
      <c r="E35" s="15" t="s">
        <v>459</v>
      </c>
      <c r="F35" s="14">
        <v>0.01</v>
      </c>
      <c r="G35" s="14">
        <v>0.03</v>
      </c>
      <c r="H35" s="14">
        <v>0.01</v>
      </c>
      <c r="I35" s="14">
        <v>0.01</v>
      </c>
      <c r="J35" s="14">
        <v>0.01</v>
      </c>
      <c r="K35" s="14">
        <v>0.01</v>
      </c>
      <c r="L35" s="14">
        <v>0.01</v>
      </c>
      <c r="M35" s="15" t="s">
        <v>459</v>
      </c>
      <c r="N35" s="14">
        <v>0.02</v>
      </c>
      <c r="O35" s="14">
        <v>0.03</v>
      </c>
      <c r="P35" s="15" t="s">
        <v>459</v>
      </c>
      <c r="Q35" s="15" t="s">
        <v>459</v>
      </c>
      <c r="R35" s="15" t="s">
        <v>459</v>
      </c>
      <c r="S35" s="14">
        <v>0.03</v>
      </c>
      <c r="T35" s="14">
        <v>0.01</v>
      </c>
      <c r="U35" s="14">
        <v>0.02</v>
      </c>
      <c r="V35" s="15" t="s">
        <v>459</v>
      </c>
      <c r="W35" s="14">
        <v>0.01</v>
      </c>
      <c r="X35" s="14">
        <v>0.04</v>
      </c>
      <c r="Y35" s="14">
        <v>0.02</v>
      </c>
      <c r="Z35" s="15" t="s">
        <v>459</v>
      </c>
      <c r="AA35" s="15" t="s">
        <v>459</v>
      </c>
      <c r="AB35" s="14">
        <v>0.01</v>
      </c>
      <c r="AC35" s="14">
        <v>0.03</v>
      </c>
      <c r="AD35" s="14">
        <v>0.01</v>
      </c>
      <c r="AE35" s="14">
        <v>0.04</v>
      </c>
      <c r="AF35" s="14">
        <v>0.06</v>
      </c>
    </row>
    <row r="36" spans="1:32">
      <c r="A36" s="20"/>
      <c r="B36" s="11" t="s">
        <v>468</v>
      </c>
      <c r="C36" s="12">
        <v>359</v>
      </c>
      <c r="D36" s="12">
        <v>5</v>
      </c>
      <c r="E36" s="12">
        <v>11</v>
      </c>
      <c r="F36" s="12">
        <v>11</v>
      </c>
      <c r="G36" s="12">
        <v>17</v>
      </c>
      <c r="H36" s="12">
        <v>12</v>
      </c>
      <c r="I36" s="12">
        <v>14</v>
      </c>
      <c r="J36" s="12">
        <v>2</v>
      </c>
      <c r="K36" s="12">
        <v>36</v>
      </c>
      <c r="L36" s="12">
        <v>8</v>
      </c>
      <c r="M36" s="12">
        <v>0</v>
      </c>
      <c r="N36" s="12">
        <v>25</v>
      </c>
      <c r="O36" s="12">
        <v>30</v>
      </c>
      <c r="P36" s="12">
        <v>4</v>
      </c>
      <c r="Q36" s="12">
        <v>6</v>
      </c>
      <c r="R36" s="12">
        <v>1</v>
      </c>
      <c r="S36" s="12">
        <v>73</v>
      </c>
      <c r="T36" s="12">
        <v>14</v>
      </c>
      <c r="U36" s="12">
        <v>4</v>
      </c>
      <c r="V36" s="12">
        <v>7</v>
      </c>
      <c r="W36" s="12">
        <v>2</v>
      </c>
      <c r="X36" s="12">
        <v>0</v>
      </c>
      <c r="Y36" s="12">
        <v>18</v>
      </c>
      <c r="Z36" s="12">
        <v>4</v>
      </c>
      <c r="AA36" s="12">
        <v>35</v>
      </c>
      <c r="AB36" s="12">
        <v>5</v>
      </c>
      <c r="AC36" s="12">
        <v>9</v>
      </c>
      <c r="AD36" s="12">
        <v>11</v>
      </c>
      <c r="AE36" s="12">
        <v>34</v>
      </c>
      <c r="AF36" s="12">
        <v>1</v>
      </c>
    </row>
    <row r="37" spans="1:32">
      <c r="A37" s="20"/>
      <c r="B37" s="13" t="s">
        <v>469</v>
      </c>
      <c r="C37" s="14">
        <v>0.01</v>
      </c>
      <c r="D37" s="14">
        <v>0.01</v>
      </c>
      <c r="E37" s="14">
        <v>0.01</v>
      </c>
      <c r="F37" s="14">
        <v>0.01</v>
      </c>
      <c r="G37" s="14">
        <v>0.02</v>
      </c>
      <c r="H37" s="14">
        <v>0.01</v>
      </c>
      <c r="I37" s="14">
        <v>0.01</v>
      </c>
      <c r="J37" s="14">
        <v>0.01</v>
      </c>
      <c r="K37" s="14">
        <v>0.04</v>
      </c>
      <c r="L37" s="14">
        <v>0.01</v>
      </c>
      <c r="M37" s="15" t="s">
        <v>459</v>
      </c>
      <c r="N37" s="14">
        <v>0.03</v>
      </c>
      <c r="O37" s="14">
        <v>0.03</v>
      </c>
      <c r="P37" s="15" t="s">
        <v>459</v>
      </c>
      <c r="Q37" s="14">
        <v>0.01</v>
      </c>
      <c r="R37" s="15" t="s">
        <v>459</v>
      </c>
      <c r="S37" s="14">
        <v>0.08</v>
      </c>
      <c r="T37" s="14">
        <v>0.02</v>
      </c>
      <c r="U37" s="14">
        <v>0.01</v>
      </c>
      <c r="V37" s="14">
        <v>0.01</v>
      </c>
      <c r="W37" s="15" t="s">
        <v>459</v>
      </c>
      <c r="X37" s="15" t="s">
        <v>459</v>
      </c>
      <c r="Y37" s="14">
        <v>0.02</v>
      </c>
      <c r="Z37" s="15" t="s">
        <v>459</v>
      </c>
      <c r="AA37" s="14">
        <v>0.03</v>
      </c>
      <c r="AB37" s="15" t="s">
        <v>459</v>
      </c>
      <c r="AC37" s="14">
        <v>0.01</v>
      </c>
      <c r="AD37" s="14">
        <v>0.01</v>
      </c>
      <c r="AE37" s="14">
        <v>0.04</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55</v>
      </c>
      <c r="C3" s="18"/>
      <c r="D3" s="18"/>
      <c r="E3" s="18"/>
      <c r="F3" s="18"/>
      <c r="H3" s="18" t="s">
        <v>56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8.95">
      <c r="A12" s="20"/>
      <c r="B12" s="11" t="s">
        <v>614</v>
      </c>
      <c r="C12" s="12">
        <v>11197</v>
      </c>
      <c r="D12" s="12">
        <v>324</v>
      </c>
      <c r="E12" s="12">
        <v>423</v>
      </c>
      <c r="F12" s="12">
        <v>477</v>
      </c>
      <c r="G12" s="12">
        <v>566</v>
      </c>
      <c r="H12" s="12">
        <v>513</v>
      </c>
      <c r="I12" s="12">
        <v>646</v>
      </c>
      <c r="J12" s="12">
        <v>133</v>
      </c>
      <c r="K12" s="12">
        <v>403</v>
      </c>
      <c r="L12" s="12">
        <v>380</v>
      </c>
      <c r="M12" s="12">
        <v>549</v>
      </c>
      <c r="N12" s="12">
        <v>378</v>
      </c>
      <c r="O12" s="12">
        <v>464</v>
      </c>
      <c r="P12" s="12">
        <v>436</v>
      </c>
      <c r="Q12" s="12">
        <v>428</v>
      </c>
      <c r="R12" s="12">
        <v>283</v>
      </c>
      <c r="S12" s="12">
        <v>284</v>
      </c>
      <c r="T12" s="12">
        <v>406</v>
      </c>
      <c r="U12" s="12">
        <v>190</v>
      </c>
      <c r="V12" s="12">
        <v>402</v>
      </c>
      <c r="W12" s="12">
        <v>247</v>
      </c>
      <c r="X12" s="12">
        <v>511</v>
      </c>
      <c r="Y12" s="12">
        <v>420</v>
      </c>
      <c r="Z12" s="12">
        <v>355</v>
      </c>
      <c r="AA12" s="12">
        <v>399</v>
      </c>
      <c r="AB12" s="12">
        <v>313</v>
      </c>
      <c r="AC12" s="12">
        <v>387</v>
      </c>
      <c r="AD12" s="12">
        <v>496</v>
      </c>
      <c r="AE12" s="12">
        <v>555</v>
      </c>
      <c r="AF12" s="12">
        <v>698</v>
      </c>
    </row>
    <row r="13" spans="1:32" ht="36.950000000000003">
      <c r="A13" s="20"/>
      <c r="B13" s="13" t="s">
        <v>615</v>
      </c>
      <c r="C13" s="14">
        <v>0.43</v>
      </c>
      <c r="D13" s="14">
        <v>0.32</v>
      </c>
      <c r="E13" s="14">
        <v>0.42</v>
      </c>
      <c r="F13" s="14">
        <v>0.47</v>
      </c>
      <c r="G13" s="14">
        <v>0.56000000000000005</v>
      </c>
      <c r="H13" s="14">
        <v>0.42</v>
      </c>
      <c r="I13" s="14">
        <v>0.43</v>
      </c>
      <c r="J13" s="14">
        <v>0.45</v>
      </c>
      <c r="K13" s="14">
        <v>0.4</v>
      </c>
      <c r="L13" s="14">
        <v>0.38</v>
      </c>
      <c r="M13" s="14">
        <v>0.55000000000000004</v>
      </c>
      <c r="N13" s="14">
        <v>0.38</v>
      </c>
      <c r="O13" s="14">
        <v>0.46</v>
      </c>
      <c r="P13" s="14">
        <v>0.43</v>
      </c>
      <c r="Q13" s="14">
        <v>0.42</v>
      </c>
      <c r="R13" s="14">
        <v>0.57000000000000006</v>
      </c>
      <c r="S13" s="14">
        <v>0.28000000000000003</v>
      </c>
      <c r="T13" s="14">
        <v>0.4</v>
      </c>
      <c r="U13" s="14">
        <v>0.38</v>
      </c>
      <c r="V13" s="14">
        <v>0.4</v>
      </c>
      <c r="W13" s="14">
        <v>0.49</v>
      </c>
      <c r="X13" s="14">
        <v>0.5</v>
      </c>
      <c r="Y13" s="14">
        <v>0.42</v>
      </c>
      <c r="Z13" s="14">
        <v>0.35</v>
      </c>
      <c r="AA13" s="14">
        <v>0.38</v>
      </c>
      <c r="AB13" s="14">
        <v>0.3</v>
      </c>
      <c r="AC13" s="14">
        <v>0.38</v>
      </c>
      <c r="AD13" s="14">
        <v>0.49</v>
      </c>
      <c r="AE13" s="14">
        <v>0.55000000000000004</v>
      </c>
      <c r="AF13" s="14">
        <v>0.68</v>
      </c>
    </row>
    <row r="14" spans="1:32" ht="36.950000000000003">
      <c r="A14" s="20"/>
      <c r="B14" s="11" t="s">
        <v>616</v>
      </c>
      <c r="C14" s="12">
        <v>4250</v>
      </c>
      <c r="D14" s="12">
        <v>137</v>
      </c>
      <c r="E14" s="12">
        <v>228</v>
      </c>
      <c r="F14" s="12">
        <v>126</v>
      </c>
      <c r="G14" s="12">
        <v>74</v>
      </c>
      <c r="H14" s="12">
        <v>173</v>
      </c>
      <c r="I14" s="12">
        <v>207</v>
      </c>
      <c r="J14" s="12">
        <v>34</v>
      </c>
      <c r="K14" s="12">
        <v>178</v>
      </c>
      <c r="L14" s="12">
        <v>250</v>
      </c>
      <c r="M14" s="12">
        <v>327</v>
      </c>
      <c r="N14" s="12">
        <v>163</v>
      </c>
      <c r="O14" s="12">
        <v>133</v>
      </c>
      <c r="P14" s="12">
        <v>247</v>
      </c>
      <c r="Q14" s="12">
        <v>214</v>
      </c>
      <c r="R14" s="12">
        <v>120</v>
      </c>
      <c r="S14" s="12">
        <v>88</v>
      </c>
      <c r="T14" s="12">
        <v>111</v>
      </c>
      <c r="U14" s="12">
        <v>84</v>
      </c>
      <c r="V14" s="12">
        <v>258</v>
      </c>
      <c r="W14" s="12">
        <v>134</v>
      </c>
      <c r="X14" s="12">
        <v>105</v>
      </c>
      <c r="Y14" s="12">
        <v>255</v>
      </c>
      <c r="Z14" s="12">
        <v>186</v>
      </c>
      <c r="AA14" s="12">
        <v>184</v>
      </c>
      <c r="AB14" s="12">
        <v>139</v>
      </c>
      <c r="AC14" s="12">
        <v>101</v>
      </c>
      <c r="AD14" s="12">
        <v>163</v>
      </c>
      <c r="AE14" s="12">
        <v>48</v>
      </c>
      <c r="AF14" s="12">
        <v>70</v>
      </c>
    </row>
    <row r="15" spans="1:32" ht="36.950000000000003">
      <c r="A15" s="20"/>
      <c r="B15" s="13" t="s">
        <v>617</v>
      </c>
      <c r="C15" s="14">
        <v>0.16</v>
      </c>
      <c r="D15" s="14">
        <v>0.14000000000000001</v>
      </c>
      <c r="E15" s="14">
        <v>0.22</v>
      </c>
      <c r="F15" s="14">
        <v>0.13</v>
      </c>
      <c r="G15" s="14">
        <v>7.0000000000000007E-2</v>
      </c>
      <c r="H15" s="14">
        <v>0.14000000000000001</v>
      </c>
      <c r="I15" s="14">
        <v>0.14000000000000001</v>
      </c>
      <c r="J15" s="14">
        <v>0.11</v>
      </c>
      <c r="K15" s="14">
        <v>0.18</v>
      </c>
      <c r="L15" s="14">
        <v>0.25</v>
      </c>
      <c r="M15" s="14">
        <v>0.33</v>
      </c>
      <c r="N15" s="14">
        <v>0.16</v>
      </c>
      <c r="O15" s="14">
        <v>0.13</v>
      </c>
      <c r="P15" s="14">
        <v>0.24</v>
      </c>
      <c r="Q15" s="14">
        <v>0.21</v>
      </c>
      <c r="R15" s="14">
        <v>0.24</v>
      </c>
      <c r="S15" s="14">
        <v>0.09</v>
      </c>
      <c r="T15" s="14">
        <v>0.11</v>
      </c>
      <c r="U15" s="14">
        <v>0.17</v>
      </c>
      <c r="V15" s="14">
        <v>0.25</v>
      </c>
      <c r="W15" s="14">
        <v>0.27</v>
      </c>
      <c r="X15" s="14">
        <v>0.1</v>
      </c>
      <c r="Y15" s="14">
        <v>0.25</v>
      </c>
      <c r="Z15" s="14">
        <v>0.18</v>
      </c>
      <c r="AA15" s="14">
        <v>0.17</v>
      </c>
      <c r="AB15" s="14">
        <v>0.13</v>
      </c>
      <c r="AC15" s="14">
        <v>0.1</v>
      </c>
      <c r="AD15" s="14">
        <v>0.16</v>
      </c>
      <c r="AE15" s="14">
        <v>0.05</v>
      </c>
      <c r="AF15" s="14">
        <v>7.0000000000000007E-2</v>
      </c>
    </row>
    <row r="16" spans="1:32" ht="72.95">
      <c r="A16" s="20"/>
      <c r="B16" s="11" t="s">
        <v>618</v>
      </c>
      <c r="C16" s="12">
        <v>8570</v>
      </c>
      <c r="D16" s="12">
        <v>258</v>
      </c>
      <c r="E16" s="12">
        <v>354</v>
      </c>
      <c r="F16" s="12">
        <v>258</v>
      </c>
      <c r="G16" s="12">
        <v>174</v>
      </c>
      <c r="H16" s="12">
        <v>326</v>
      </c>
      <c r="I16" s="12">
        <v>420</v>
      </c>
      <c r="J16" s="12">
        <v>93</v>
      </c>
      <c r="K16" s="12">
        <v>302</v>
      </c>
      <c r="L16" s="12">
        <v>409</v>
      </c>
      <c r="M16" s="12">
        <v>486</v>
      </c>
      <c r="N16" s="12">
        <v>326</v>
      </c>
      <c r="O16" s="12">
        <v>320</v>
      </c>
      <c r="P16" s="12">
        <v>452</v>
      </c>
      <c r="Q16" s="12">
        <v>442</v>
      </c>
      <c r="R16" s="12">
        <v>259</v>
      </c>
      <c r="S16" s="12">
        <v>262</v>
      </c>
      <c r="T16" s="12">
        <v>257</v>
      </c>
      <c r="U16" s="12">
        <v>144</v>
      </c>
      <c r="V16" s="12">
        <v>436</v>
      </c>
      <c r="W16" s="12">
        <v>225</v>
      </c>
      <c r="X16" s="12">
        <v>195</v>
      </c>
      <c r="Y16" s="12">
        <v>325</v>
      </c>
      <c r="Z16" s="12">
        <v>372</v>
      </c>
      <c r="AA16" s="12">
        <v>320</v>
      </c>
      <c r="AB16" s="12">
        <v>332</v>
      </c>
      <c r="AC16" s="12">
        <v>273</v>
      </c>
      <c r="AD16" s="12">
        <v>411</v>
      </c>
      <c r="AE16" s="12">
        <v>214</v>
      </c>
      <c r="AF16" s="12">
        <v>165</v>
      </c>
    </row>
    <row r="17" spans="1:32" ht="48.95">
      <c r="A17" s="20"/>
      <c r="B17" s="13" t="s">
        <v>619</v>
      </c>
      <c r="C17" s="14">
        <v>0.33</v>
      </c>
      <c r="D17" s="14">
        <v>0.26</v>
      </c>
      <c r="E17" s="14">
        <v>0.35</v>
      </c>
      <c r="F17" s="14">
        <v>0.26</v>
      </c>
      <c r="G17" s="14">
        <v>0.17</v>
      </c>
      <c r="H17" s="14">
        <v>0.27</v>
      </c>
      <c r="I17" s="14">
        <v>0.28000000000000003</v>
      </c>
      <c r="J17" s="14">
        <v>0.32</v>
      </c>
      <c r="K17" s="14">
        <v>0.3</v>
      </c>
      <c r="L17" s="14">
        <v>0.41</v>
      </c>
      <c r="M17" s="14">
        <v>0.48</v>
      </c>
      <c r="N17" s="14">
        <v>0.32</v>
      </c>
      <c r="O17" s="14">
        <v>0.32</v>
      </c>
      <c r="P17" s="14">
        <v>0.44</v>
      </c>
      <c r="Q17" s="14">
        <v>0.43</v>
      </c>
      <c r="R17" s="14">
        <v>0.52</v>
      </c>
      <c r="S17" s="14">
        <v>0.26</v>
      </c>
      <c r="T17" s="14">
        <v>0.25</v>
      </c>
      <c r="U17" s="14">
        <v>0.28000000000000003</v>
      </c>
      <c r="V17" s="14">
        <v>0.43</v>
      </c>
      <c r="W17" s="14">
        <v>0.45</v>
      </c>
      <c r="X17" s="14">
        <v>0.19</v>
      </c>
      <c r="Y17" s="14">
        <v>0.32</v>
      </c>
      <c r="Z17" s="14">
        <v>0.37</v>
      </c>
      <c r="AA17" s="14">
        <v>0.3</v>
      </c>
      <c r="AB17" s="14">
        <v>0.32</v>
      </c>
      <c r="AC17" s="14">
        <v>0.27</v>
      </c>
      <c r="AD17" s="14">
        <v>0.41</v>
      </c>
      <c r="AE17" s="14">
        <v>0.21</v>
      </c>
      <c r="AF17" s="14">
        <v>0.16</v>
      </c>
    </row>
    <row r="18" spans="1:32" ht="36.950000000000003">
      <c r="A18" s="20"/>
      <c r="B18" s="11" t="s">
        <v>636</v>
      </c>
      <c r="C18" s="12">
        <v>8055</v>
      </c>
      <c r="D18" s="12">
        <v>294</v>
      </c>
      <c r="E18" s="12">
        <v>310</v>
      </c>
      <c r="F18" s="12">
        <v>209</v>
      </c>
      <c r="G18" s="12">
        <v>263</v>
      </c>
      <c r="H18" s="12">
        <v>458</v>
      </c>
      <c r="I18" s="12">
        <v>562</v>
      </c>
      <c r="J18" s="12">
        <v>104</v>
      </c>
      <c r="K18" s="12">
        <v>295</v>
      </c>
      <c r="L18" s="12">
        <v>320</v>
      </c>
      <c r="M18" s="12">
        <v>334</v>
      </c>
      <c r="N18" s="12">
        <v>242</v>
      </c>
      <c r="O18" s="12">
        <v>274</v>
      </c>
      <c r="P18" s="12">
        <v>377</v>
      </c>
      <c r="Q18" s="12">
        <v>340</v>
      </c>
      <c r="R18" s="12">
        <v>169</v>
      </c>
      <c r="S18" s="12">
        <v>228</v>
      </c>
      <c r="T18" s="12">
        <v>287</v>
      </c>
      <c r="U18" s="12">
        <v>146</v>
      </c>
      <c r="V18" s="12">
        <v>408</v>
      </c>
      <c r="W18" s="12">
        <v>157</v>
      </c>
      <c r="X18" s="12">
        <v>287</v>
      </c>
      <c r="Y18" s="12">
        <v>341</v>
      </c>
      <c r="Z18" s="12">
        <v>285</v>
      </c>
      <c r="AA18" s="12">
        <v>230</v>
      </c>
      <c r="AB18" s="12">
        <v>316</v>
      </c>
      <c r="AC18" s="12">
        <v>253</v>
      </c>
      <c r="AD18" s="12">
        <v>358</v>
      </c>
      <c r="AE18" s="12">
        <v>228</v>
      </c>
      <c r="AF18" s="12">
        <v>369</v>
      </c>
    </row>
    <row r="19" spans="1:32" ht="36.950000000000003">
      <c r="A19" s="20"/>
      <c r="B19" s="13" t="s">
        <v>637</v>
      </c>
      <c r="C19" s="14">
        <v>0.31</v>
      </c>
      <c r="D19" s="14">
        <v>0.28999999999999998</v>
      </c>
      <c r="E19" s="14">
        <v>0.3</v>
      </c>
      <c r="F19" s="14">
        <v>0.21</v>
      </c>
      <c r="G19" s="14">
        <v>0.26</v>
      </c>
      <c r="H19" s="14">
        <v>0.38</v>
      </c>
      <c r="I19" s="14">
        <v>0.37</v>
      </c>
      <c r="J19" s="14">
        <v>0.35</v>
      </c>
      <c r="K19" s="14">
        <v>0.28999999999999998</v>
      </c>
      <c r="L19" s="14">
        <v>0.32</v>
      </c>
      <c r="M19" s="14">
        <v>0.33</v>
      </c>
      <c r="N19" s="14">
        <v>0.24</v>
      </c>
      <c r="O19" s="14">
        <v>0.27</v>
      </c>
      <c r="P19" s="14">
        <v>0.37</v>
      </c>
      <c r="Q19" s="14">
        <v>0.33</v>
      </c>
      <c r="R19" s="14">
        <v>0.34</v>
      </c>
      <c r="S19" s="14">
        <v>0.23</v>
      </c>
      <c r="T19" s="14">
        <v>0.28000000000000003</v>
      </c>
      <c r="U19" s="14">
        <v>0.28999999999999998</v>
      </c>
      <c r="V19" s="14">
        <v>0.4</v>
      </c>
      <c r="W19" s="14">
        <v>0.31</v>
      </c>
      <c r="X19" s="14">
        <v>0.28000000000000003</v>
      </c>
      <c r="Y19" s="14">
        <v>0.34</v>
      </c>
      <c r="Z19" s="14">
        <v>0.28000000000000003</v>
      </c>
      <c r="AA19" s="14">
        <v>0.22</v>
      </c>
      <c r="AB19" s="14">
        <v>0.3</v>
      </c>
      <c r="AC19" s="14">
        <v>0.25</v>
      </c>
      <c r="AD19" s="14">
        <v>0.36</v>
      </c>
      <c r="AE19" s="14">
        <v>0.23</v>
      </c>
      <c r="AF19" s="14">
        <v>0.36</v>
      </c>
    </row>
    <row r="20" spans="1:32" ht="60.95">
      <c r="A20" s="20"/>
      <c r="B20" s="11" t="s">
        <v>622</v>
      </c>
      <c r="C20" s="12">
        <v>11106</v>
      </c>
      <c r="D20" s="12">
        <v>449</v>
      </c>
      <c r="E20" s="12">
        <v>436</v>
      </c>
      <c r="F20" s="12">
        <v>265</v>
      </c>
      <c r="G20" s="12">
        <v>337</v>
      </c>
      <c r="H20" s="12">
        <v>569</v>
      </c>
      <c r="I20" s="12">
        <v>704</v>
      </c>
      <c r="J20" s="12">
        <v>135</v>
      </c>
      <c r="K20" s="12">
        <v>363</v>
      </c>
      <c r="L20" s="12">
        <v>510</v>
      </c>
      <c r="M20" s="12">
        <v>527</v>
      </c>
      <c r="N20" s="12">
        <v>406</v>
      </c>
      <c r="O20" s="12">
        <v>434</v>
      </c>
      <c r="P20" s="12">
        <v>482</v>
      </c>
      <c r="Q20" s="12">
        <v>453</v>
      </c>
      <c r="R20" s="12">
        <v>278</v>
      </c>
      <c r="S20" s="12">
        <v>320</v>
      </c>
      <c r="T20" s="12">
        <v>431</v>
      </c>
      <c r="U20" s="12">
        <v>221</v>
      </c>
      <c r="V20" s="12">
        <v>472</v>
      </c>
      <c r="W20" s="12">
        <v>234</v>
      </c>
      <c r="X20" s="12">
        <v>403</v>
      </c>
      <c r="Y20" s="12">
        <v>456</v>
      </c>
      <c r="Z20" s="12">
        <v>320</v>
      </c>
      <c r="AA20" s="12">
        <v>467</v>
      </c>
      <c r="AB20" s="12">
        <v>420</v>
      </c>
      <c r="AC20" s="12">
        <v>350</v>
      </c>
      <c r="AD20" s="12">
        <v>351</v>
      </c>
      <c r="AE20" s="12">
        <v>427</v>
      </c>
      <c r="AF20" s="12">
        <v>386</v>
      </c>
    </row>
    <row r="21" spans="1:32" ht="36.950000000000003">
      <c r="A21" s="20"/>
      <c r="B21" s="13" t="s">
        <v>623</v>
      </c>
      <c r="C21" s="14">
        <v>0.42</v>
      </c>
      <c r="D21" s="14">
        <v>0.45</v>
      </c>
      <c r="E21" s="14">
        <v>0.43</v>
      </c>
      <c r="F21" s="14">
        <v>0.26</v>
      </c>
      <c r="G21" s="14">
        <v>0.34</v>
      </c>
      <c r="H21" s="14">
        <v>0.47</v>
      </c>
      <c r="I21" s="14">
        <v>0.47</v>
      </c>
      <c r="J21" s="14">
        <v>0.46</v>
      </c>
      <c r="K21" s="14">
        <v>0.36</v>
      </c>
      <c r="L21" s="14">
        <v>0.51</v>
      </c>
      <c r="M21" s="14">
        <v>0.53</v>
      </c>
      <c r="N21" s="14">
        <v>0.4</v>
      </c>
      <c r="O21" s="14">
        <v>0.43</v>
      </c>
      <c r="P21" s="14">
        <v>0.47</v>
      </c>
      <c r="Q21" s="14">
        <v>0.44</v>
      </c>
      <c r="R21" s="14">
        <v>0.56000000000000005</v>
      </c>
      <c r="S21" s="14">
        <v>0.32</v>
      </c>
      <c r="T21" s="14">
        <v>0.43</v>
      </c>
      <c r="U21" s="14">
        <v>0.44</v>
      </c>
      <c r="V21" s="14">
        <v>0.46</v>
      </c>
      <c r="W21" s="14">
        <v>0.47</v>
      </c>
      <c r="X21" s="14">
        <v>0.39</v>
      </c>
      <c r="Y21" s="14">
        <v>0.45</v>
      </c>
      <c r="Z21" s="14">
        <v>0.32</v>
      </c>
      <c r="AA21" s="14">
        <v>0.44</v>
      </c>
      <c r="AB21" s="14">
        <v>0.4</v>
      </c>
      <c r="AC21" s="14">
        <v>0.35</v>
      </c>
      <c r="AD21" s="14">
        <v>0.35</v>
      </c>
      <c r="AE21" s="14">
        <v>0.43</v>
      </c>
      <c r="AF21" s="14">
        <v>0.38</v>
      </c>
    </row>
    <row r="22" spans="1:32" ht="48.95">
      <c r="A22" s="20"/>
      <c r="B22" s="11" t="s">
        <v>624</v>
      </c>
      <c r="C22" s="12">
        <v>6768</v>
      </c>
      <c r="D22" s="12">
        <v>208</v>
      </c>
      <c r="E22" s="12">
        <v>322</v>
      </c>
      <c r="F22" s="12">
        <v>270</v>
      </c>
      <c r="G22" s="12">
        <v>233</v>
      </c>
      <c r="H22" s="12">
        <v>333</v>
      </c>
      <c r="I22" s="12">
        <v>405</v>
      </c>
      <c r="J22" s="12">
        <v>72</v>
      </c>
      <c r="K22" s="12">
        <v>270</v>
      </c>
      <c r="L22" s="12">
        <v>298</v>
      </c>
      <c r="M22" s="12">
        <v>364</v>
      </c>
      <c r="N22" s="12">
        <v>257</v>
      </c>
      <c r="O22" s="12">
        <v>194</v>
      </c>
      <c r="P22" s="12">
        <v>324</v>
      </c>
      <c r="Q22" s="12">
        <v>319</v>
      </c>
      <c r="R22" s="12">
        <v>159</v>
      </c>
      <c r="S22" s="12">
        <v>121</v>
      </c>
      <c r="T22" s="12">
        <v>224</v>
      </c>
      <c r="U22" s="12">
        <v>92</v>
      </c>
      <c r="V22" s="12">
        <v>340</v>
      </c>
      <c r="W22" s="12">
        <v>131</v>
      </c>
      <c r="X22" s="12">
        <v>119</v>
      </c>
      <c r="Y22" s="12">
        <v>340</v>
      </c>
      <c r="Z22" s="12">
        <v>259</v>
      </c>
      <c r="AA22" s="12">
        <v>274</v>
      </c>
      <c r="AB22" s="12">
        <v>323</v>
      </c>
      <c r="AC22" s="12">
        <v>183</v>
      </c>
      <c r="AD22" s="12">
        <v>335</v>
      </c>
      <c r="AE22" s="12">
        <v>125</v>
      </c>
      <c r="AF22" s="12">
        <v>207</v>
      </c>
    </row>
    <row r="23" spans="1:32" ht="36.950000000000003">
      <c r="A23" s="20"/>
      <c r="B23" s="13" t="s">
        <v>625</v>
      </c>
      <c r="C23" s="14">
        <v>0.26</v>
      </c>
      <c r="D23" s="14">
        <v>0.21</v>
      </c>
      <c r="E23" s="14">
        <v>0.32</v>
      </c>
      <c r="F23" s="14">
        <v>0.27</v>
      </c>
      <c r="G23" s="14">
        <v>0.23</v>
      </c>
      <c r="H23" s="14">
        <v>0.27</v>
      </c>
      <c r="I23" s="14">
        <v>0.27</v>
      </c>
      <c r="J23" s="14">
        <v>0.25</v>
      </c>
      <c r="K23" s="14">
        <v>0.27</v>
      </c>
      <c r="L23" s="14">
        <v>0.3</v>
      </c>
      <c r="M23" s="14">
        <v>0.36</v>
      </c>
      <c r="N23" s="14">
        <v>0.26</v>
      </c>
      <c r="O23" s="14">
        <v>0.19</v>
      </c>
      <c r="P23" s="14">
        <v>0.32</v>
      </c>
      <c r="Q23" s="14">
        <v>0.31</v>
      </c>
      <c r="R23" s="14">
        <v>0.32</v>
      </c>
      <c r="S23" s="14">
        <v>0.12</v>
      </c>
      <c r="T23" s="14">
        <v>0.22</v>
      </c>
      <c r="U23" s="14">
        <v>0.18</v>
      </c>
      <c r="V23" s="14">
        <v>0.33</v>
      </c>
      <c r="W23" s="14">
        <v>0.26</v>
      </c>
      <c r="X23" s="14">
        <v>0.12</v>
      </c>
      <c r="Y23" s="14">
        <v>0.34</v>
      </c>
      <c r="Z23" s="14">
        <v>0.26</v>
      </c>
      <c r="AA23" s="14">
        <v>0.26</v>
      </c>
      <c r="AB23" s="14">
        <v>0.31</v>
      </c>
      <c r="AC23" s="14">
        <v>0.18</v>
      </c>
      <c r="AD23" s="14">
        <v>0.33</v>
      </c>
      <c r="AE23" s="14">
        <v>0.12</v>
      </c>
      <c r="AF23" s="14">
        <v>0.2</v>
      </c>
    </row>
    <row r="24" spans="1:32" ht="24.95">
      <c r="A24" s="20"/>
      <c r="B24" s="11" t="s">
        <v>626</v>
      </c>
      <c r="C24" s="12">
        <v>11786</v>
      </c>
      <c r="D24" s="12">
        <v>491</v>
      </c>
      <c r="E24" s="12">
        <v>515</v>
      </c>
      <c r="F24" s="12">
        <v>413</v>
      </c>
      <c r="G24" s="12">
        <v>508</v>
      </c>
      <c r="H24" s="12">
        <v>333</v>
      </c>
      <c r="I24" s="12">
        <v>420</v>
      </c>
      <c r="J24" s="12">
        <v>87</v>
      </c>
      <c r="K24" s="12">
        <v>501</v>
      </c>
      <c r="L24" s="12">
        <v>480</v>
      </c>
      <c r="M24" s="12">
        <v>593</v>
      </c>
      <c r="N24" s="12">
        <v>536</v>
      </c>
      <c r="O24" s="12">
        <v>546</v>
      </c>
      <c r="P24" s="12">
        <v>508</v>
      </c>
      <c r="Q24" s="12">
        <v>510</v>
      </c>
      <c r="R24" s="12">
        <v>243</v>
      </c>
      <c r="S24" s="12">
        <v>338</v>
      </c>
      <c r="T24" s="12">
        <v>444</v>
      </c>
      <c r="U24" s="12">
        <v>223</v>
      </c>
      <c r="V24" s="12">
        <v>510</v>
      </c>
      <c r="W24" s="12">
        <v>142</v>
      </c>
      <c r="X24" s="12">
        <v>578</v>
      </c>
      <c r="Y24" s="12">
        <v>317</v>
      </c>
      <c r="Z24" s="12">
        <v>328</v>
      </c>
      <c r="AA24" s="12">
        <v>617</v>
      </c>
      <c r="AB24" s="12">
        <v>441</v>
      </c>
      <c r="AC24" s="12">
        <v>398</v>
      </c>
      <c r="AD24" s="12">
        <v>520</v>
      </c>
      <c r="AE24" s="12">
        <v>408</v>
      </c>
      <c r="AF24" s="12">
        <v>447</v>
      </c>
    </row>
    <row r="25" spans="1:32" ht="24.95">
      <c r="A25" s="20"/>
      <c r="B25" s="13" t="s">
        <v>627</v>
      </c>
      <c r="C25" s="14">
        <v>0.45</v>
      </c>
      <c r="D25" s="14">
        <v>0.49</v>
      </c>
      <c r="E25" s="14">
        <v>0.51</v>
      </c>
      <c r="F25" s="14">
        <v>0.41</v>
      </c>
      <c r="G25" s="14">
        <v>0.51</v>
      </c>
      <c r="H25" s="14">
        <v>0.27</v>
      </c>
      <c r="I25" s="14">
        <v>0.28000000000000003</v>
      </c>
      <c r="J25" s="14">
        <v>0.3</v>
      </c>
      <c r="K25" s="14">
        <v>0.5</v>
      </c>
      <c r="L25" s="14">
        <v>0.48</v>
      </c>
      <c r="M25" s="14">
        <v>0.59</v>
      </c>
      <c r="N25" s="14">
        <v>0.53</v>
      </c>
      <c r="O25" s="14">
        <v>0.54</v>
      </c>
      <c r="P25" s="14">
        <v>0.5</v>
      </c>
      <c r="Q25" s="14">
        <v>0.5</v>
      </c>
      <c r="R25" s="14">
        <v>0.49</v>
      </c>
      <c r="S25" s="14">
        <v>0.34</v>
      </c>
      <c r="T25" s="14">
        <v>0.44</v>
      </c>
      <c r="U25" s="14">
        <v>0.44</v>
      </c>
      <c r="V25" s="14">
        <v>0.5</v>
      </c>
      <c r="W25" s="14">
        <v>0.28000000000000003</v>
      </c>
      <c r="X25" s="14">
        <v>0.57000000000000006</v>
      </c>
      <c r="Y25" s="14">
        <v>0.31</v>
      </c>
      <c r="Z25" s="14">
        <v>0.33</v>
      </c>
      <c r="AA25" s="14">
        <v>0.59</v>
      </c>
      <c r="AB25" s="14">
        <v>0.42</v>
      </c>
      <c r="AC25" s="14">
        <v>0.39</v>
      </c>
      <c r="AD25" s="14">
        <v>0.52</v>
      </c>
      <c r="AE25" s="14">
        <v>0.41</v>
      </c>
      <c r="AF25" s="14">
        <v>0.44</v>
      </c>
    </row>
    <row r="26" spans="1:32" ht="36.950000000000003">
      <c r="A26" s="20"/>
      <c r="B26" s="11" t="s">
        <v>628</v>
      </c>
      <c r="C26" s="12">
        <v>7525</v>
      </c>
      <c r="D26" s="12">
        <v>240</v>
      </c>
      <c r="E26" s="12">
        <v>383</v>
      </c>
      <c r="F26" s="12">
        <v>233</v>
      </c>
      <c r="G26" s="12">
        <v>209</v>
      </c>
      <c r="H26" s="12">
        <v>349</v>
      </c>
      <c r="I26" s="12">
        <v>442</v>
      </c>
      <c r="J26" s="12">
        <v>93</v>
      </c>
      <c r="K26" s="12">
        <v>356</v>
      </c>
      <c r="L26" s="12">
        <v>466</v>
      </c>
      <c r="M26" s="12">
        <v>476</v>
      </c>
      <c r="N26" s="12">
        <v>290</v>
      </c>
      <c r="O26" s="12">
        <v>249</v>
      </c>
      <c r="P26" s="12">
        <v>387</v>
      </c>
      <c r="Q26" s="12">
        <v>353</v>
      </c>
      <c r="R26" s="12">
        <v>241</v>
      </c>
      <c r="S26" s="12">
        <v>276</v>
      </c>
      <c r="T26" s="12">
        <v>281</v>
      </c>
      <c r="U26" s="12">
        <v>115</v>
      </c>
      <c r="V26" s="12">
        <v>305</v>
      </c>
      <c r="W26" s="12">
        <v>148</v>
      </c>
      <c r="X26" s="12">
        <v>226</v>
      </c>
      <c r="Y26" s="12">
        <v>279</v>
      </c>
      <c r="Z26" s="12">
        <v>165</v>
      </c>
      <c r="AA26" s="12">
        <v>424</v>
      </c>
      <c r="AB26" s="12">
        <v>327</v>
      </c>
      <c r="AC26" s="12">
        <v>216</v>
      </c>
      <c r="AD26" s="12">
        <v>331</v>
      </c>
      <c r="AE26" s="12">
        <v>214</v>
      </c>
      <c r="AF26" s="12">
        <v>264</v>
      </c>
    </row>
    <row r="27" spans="1:32" ht="24.95">
      <c r="A27" s="20"/>
      <c r="B27" s="13" t="s">
        <v>629</v>
      </c>
      <c r="C27" s="14">
        <v>0.28999999999999998</v>
      </c>
      <c r="D27" s="14">
        <v>0.24</v>
      </c>
      <c r="E27" s="14">
        <v>0.38</v>
      </c>
      <c r="F27" s="14">
        <v>0.23</v>
      </c>
      <c r="G27" s="14">
        <v>0.21</v>
      </c>
      <c r="H27" s="14">
        <v>0.28999999999999998</v>
      </c>
      <c r="I27" s="14">
        <v>0.28999999999999998</v>
      </c>
      <c r="J27" s="14">
        <v>0.32</v>
      </c>
      <c r="K27" s="14">
        <v>0.35</v>
      </c>
      <c r="L27" s="14">
        <v>0.46</v>
      </c>
      <c r="M27" s="14">
        <v>0.47</v>
      </c>
      <c r="N27" s="14">
        <v>0.28999999999999998</v>
      </c>
      <c r="O27" s="14">
        <v>0.25</v>
      </c>
      <c r="P27" s="14">
        <v>0.38</v>
      </c>
      <c r="Q27" s="14">
        <v>0.35</v>
      </c>
      <c r="R27" s="14">
        <v>0.48</v>
      </c>
      <c r="S27" s="14">
        <v>0.27</v>
      </c>
      <c r="T27" s="14">
        <v>0.28000000000000003</v>
      </c>
      <c r="U27" s="14">
        <v>0.23</v>
      </c>
      <c r="V27" s="14">
        <v>0.3</v>
      </c>
      <c r="W27" s="14">
        <v>0.28999999999999998</v>
      </c>
      <c r="X27" s="14">
        <v>0.22</v>
      </c>
      <c r="Y27" s="14">
        <v>0.28000000000000003</v>
      </c>
      <c r="Z27" s="14">
        <v>0.16</v>
      </c>
      <c r="AA27" s="14">
        <v>0.4</v>
      </c>
      <c r="AB27" s="14">
        <v>0.31</v>
      </c>
      <c r="AC27" s="14">
        <v>0.21</v>
      </c>
      <c r="AD27" s="14">
        <v>0.33</v>
      </c>
      <c r="AE27" s="14">
        <v>0.21</v>
      </c>
      <c r="AF27" s="14">
        <v>0.26</v>
      </c>
    </row>
    <row r="28" spans="1:32" ht="24.95">
      <c r="A28" s="20"/>
      <c r="B28" s="11" t="s">
        <v>630</v>
      </c>
      <c r="C28" s="12">
        <v>10432</v>
      </c>
      <c r="D28" s="12">
        <v>342</v>
      </c>
      <c r="E28" s="12">
        <v>386</v>
      </c>
      <c r="F28" s="12">
        <v>331</v>
      </c>
      <c r="G28" s="12">
        <v>544</v>
      </c>
      <c r="H28" s="12">
        <v>534</v>
      </c>
      <c r="I28" s="12">
        <v>697</v>
      </c>
      <c r="J28" s="12">
        <v>163</v>
      </c>
      <c r="K28" s="12">
        <v>313</v>
      </c>
      <c r="L28" s="12">
        <v>312</v>
      </c>
      <c r="M28" s="12">
        <v>541</v>
      </c>
      <c r="N28" s="12">
        <v>355</v>
      </c>
      <c r="O28" s="12">
        <v>446</v>
      </c>
      <c r="P28" s="12">
        <v>395</v>
      </c>
      <c r="Q28" s="12">
        <v>377</v>
      </c>
      <c r="R28" s="12">
        <v>224</v>
      </c>
      <c r="S28" s="12">
        <v>165</v>
      </c>
      <c r="T28" s="12">
        <v>247</v>
      </c>
      <c r="U28" s="12">
        <v>205</v>
      </c>
      <c r="V28" s="12">
        <v>333</v>
      </c>
      <c r="W28" s="12">
        <v>127</v>
      </c>
      <c r="X28" s="12">
        <v>552</v>
      </c>
      <c r="Y28" s="12">
        <v>406</v>
      </c>
      <c r="Z28" s="12">
        <v>218</v>
      </c>
      <c r="AA28" s="12">
        <v>451</v>
      </c>
      <c r="AB28" s="12">
        <v>315</v>
      </c>
      <c r="AC28" s="12">
        <v>272</v>
      </c>
      <c r="AD28" s="12">
        <v>386</v>
      </c>
      <c r="AE28" s="12">
        <v>347</v>
      </c>
      <c r="AF28" s="12">
        <v>621</v>
      </c>
    </row>
    <row r="29" spans="1:32" ht="24.95">
      <c r="A29" s="20"/>
      <c r="B29" s="13" t="s">
        <v>631</v>
      </c>
      <c r="C29" s="14">
        <v>0.4</v>
      </c>
      <c r="D29" s="14">
        <v>0.34</v>
      </c>
      <c r="E29" s="14">
        <v>0.38</v>
      </c>
      <c r="F29" s="14">
        <v>0.33</v>
      </c>
      <c r="G29" s="14">
        <v>0.54</v>
      </c>
      <c r="H29" s="14">
        <v>0.44</v>
      </c>
      <c r="I29" s="14">
        <v>0.46</v>
      </c>
      <c r="J29" s="14">
        <v>0.55000000000000004</v>
      </c>
      <c r="K29" s="14">
        <v>0.31</v>
      </c>
      <c r="L29" s="14">
        <v>0.31</v>
      </c>
      <c r="M29" s="14">
        <v>0.54</v>
      </c>
      <c r="N29" s="14">
        <v>0.35</v>
      </c>
      <c r="O29" s="14">
        <v>0.45</v>
      </c>
      <c r="P29" s="14">
        <v>0.39</v>
      </c>
      <c r="Q29" s="14">
        <v>0.37</v>
      </c>
      <c r="R29" s="14">
        <v>0.45</v>
      </c>
      <c r="S29" s="14">
        <v>0.16</v>
      </c>
      <c r="T29" s="14">
        <v>0.24</v>
      </c>
      <c r="U29" s="14">
        <v>0.4</v>
      </c>
      <c r="V29" s="14">
        <v>0.33</v>
      </c>
      <c r="W29" s="14">
        <v>0.25</v>
      </c>
      <c r="X29" s="14">
        <v>0.54</v>
      </c>
      <c r="Y29" s="14">
        <v>0.4</v>
      </c>
      <c r="Z29" s="14">
        <v>0.22</v>
      </c>
      <c r="AA29" s="14">
        <v>0.43</v>
      </c>
      <c r="AB29" s="14">
        <v>0.3</v>
      </c>
      <c r="AC29" s="14">
        <v>0.27</v>
      </c>
      <c r="AD29" s="14">
        <v>0.38</v>
      </c>
      <c r="AE29" s="14">
        <v>0.35</v>
      </c>
      <c r="AF29" s="14">
        <v>0.61</v>
      </c>
    </row>
    <row r="30" spans="1:32" ht="36.950000000000003">
      <c r="A30" s="20"/>
      <c r="B30" s="11" t="s">
        <v>632</v>
      </c>
      <c r="C30" s="12">
        <v>8093</v>
      </c>
      <c r="D30" s="12">
        <v>171</v>
      </c>
      <c r="E30" s="12">
        <v>402</v>
      </c>
      <c r="F30" s="12">
        <v>329</v>
      </c>
      <c r="G30" s="12">
        <v>285</v>
      </c>
      <c r="H30" s="12">
        <v>366</v>
      </c>
      <c r="I30" s="12">
        <v>486</v>
      </c>
      <c r="J30" s="12">
        <v>121</v>
      </c>
      <c r="K30" s="12">
        <v>413</v>
      </c>
      <c r="L30" s="12">
        <v>303</v>
      </c>
      <c r="M30" s="12">
        <v>516</v>
      </c>
      <c r="N30" s="12">
        <v>285</v>
      </c>
      <c r="O30" s="12">
        <v>322</v>
      </c>
      <c r="P30" s="12">
        <v>365</v>
      </c>
      <c r="Q30" s="12">
        <v>284</v>
      </c>
      <c r="R30" s="12">
        <v>223</v>
      </c>
      <c r="S30" s="12">
        <v>276</v>
      </c>
      <c r="T30" s="12">
        <v>361</v>
      </c>
      <c r="U30" s="12">
        <v>124</v>
      </c>
      <c r="V30" s="12">
        <v>335</v>
      </c>
      <c r="W30" s="12">
        <v>165</v>
      </c>
      <c r="X30" s="12">
        <v>269</v>
      </c>
      <c r="Y30" s="12">
        <v>336</v>
      </c>
      <c r="Z30" s="12">
        <v>202</v>
      </c>
      <c r="AA30" s="12">
        <v>469</v>
      </c>
      <c r="AB30" s="12">
        <v>291</v>
      </c>
      <c r="AC30" s="12">
        <v>375</v>
      </c>
      <c r="AD30" s="12">
        <v>547</v>
      </c>
      <c r="AE30" s="12">
        <v>331</v>
      </c>
      <c r="AF30" s="12">
        <v>391</v>
      </c>
    </row>
    <row r="31" spans="1:32" ht="36.950000000000003">
      <c r="A31" s="20"/>
      <c r="B31" s="13" t="s">
        <v>633</v>
      </c>
      <c r="C31" s="14">
        <v>0.31</v>
      </c>
      <c r="D31" s="14">
        <v>0.17</v>
      </c>
      <c r="E31" s="14">
        <v>0.39</v>
      </c>
      <c r="F31" s="14">
        <v>0.33</v>
      </c>
      <c r="G31" s="14">
        <v>0.28000000000000003</v>
      </c>
      <c r="H31" s="14">
        <v>0.3</v>
      </c>
      <c r="I31" s="14">
        <v>0.32</v>
      </c>
      <c r="J31" s="14">
        <v>0.41</v>
      </c>
      <c r="K31" s="14">
        <v>0.41</v>
      </c>
      <c r="L31" s="14">
        <v>0.3</v>
      </c>
      <c r="M31" s="14">
        <v>0.51</v>
      </c>
      <c r="N31" s="14">
        <v>0.28000000000000003</v>
      </c>
      <c r="O31" s="14">
        <v>0.32</v>
      </c>
      <c r="P31" s="14">
        <v>0.36</v>
      </c>
      <c r="Q31" s="14">
        <v>0.28000000000000003</v>
      </c>
      <c r="R31" s="14">
        <v>0.45</v>
      </c>
      <c r="S31" s="14">
        <v>0.27</v>
      </c>
      <c r="T31" s="14">
        <v>0.36</v>
      </c>
      <c r="U31" s="14">
        <v>0.25</v>
      </c>
      <c r="V31" s="14">
        <v>0.33</v>
      </c>
      <c r="W31" s="14">
        <v>0.33</v>
      </c>
      <c r="X31" s="14">
        <v>0.26</v>
      </c>
      <c r="Y31" s="14">
        <v>0.33</v>
      </c>
      <c r="Z31" s="14">
        <v>0.2</v>
      </c>
      <c r="AA31" s="14">
        <v>0.45</v>
      </c>
      <c r="AB31" s="14">
        <v>0.28000000000000003</v>
      </c>
      <c r="AC31" s="14">
        <v>0.37</v>
      </c>
      <c r="AD31" s="14">
        <v>0.54</v>
      </c>
      <c r="AE31" s="14">
        <v>0.33</v>
      </c>
      <c r="AF31" s="14">
        <v>0.38</v>
      </c>
    </row>
    <row r="32" spans="1:32">
      <c r="A32" s="20"/>
      <c r="B32" s="11" t="s">
        <v>519</v>
      </c>
      <c r="C32" s="12">
        <v>110</v>
      </c>
      <c r="D32" s="12">
        <v>2</v>
      </c>
      <c r="E32" s="12">
        <v>0</v>
      </c>
      <c r="F32" s="12">
        <v>3</v>
      </c>
      <c r="G32" s="12">
        <v>8</v>
      </c>
      <c r="H32" s="12">
        <v>17</v>
      </c>
      <c r="I32" s="12">
        <v>17</v>
      </c>
      <c r="J32" s="12">
        <v>1</v>
      </c>
      <c r="K32" s="12">
        <v>20</v>
      </c>
      <c r="L32" s="12">
        <v>2</v>
      </c>
      <c r="M32" s="12">
        <v>0</v>
      </c>
      <c r="N32" s="12">
        <v>0</v>
      </c>
      <c r="O32" s="12">
        <v>0</v>
      </c>
      <c r="P32" s="12">
        <v>0</v>
      </c>
      <c r="Q32" s="12">
        <v>2</v>
      </c>
      <c r="R32" s="12">
        <v>1</v>
      </c>
      <c r="S32" s="12">
        <v>19</v>
      </c>
      <c r="T32" s="12">
        <v>8</v>
      </c>
      <c r="U32" s="12">
        <v>5</v>
      </c>
      <c r="V32" s="12">
        <v>0</v>
      </c>
      <c r="W32" s="12">
        <v>0</v>
      </c>
      <c r="X32" s="12">
        <v>7</v>
      </c>
      <c r="Y32" s="12">
        <v>22</v>
      </c>
      <c r="Z32" s="12">
        <v>1</v>
      </c>
      <c r="AA32" s="12">
        <v>5</v>
      </c>
      <c r="AB32" s="12">
        <v>8</v>
      </c>
      <c r="AC32" s="12">
        <v>6</v>
      </c>
      <c r="AD32" s="12">
        <v>2</v>
      </c>
      <c r="AE32" s="12">
        <v>6</v>
      </c>
      <c r="AF32" s="12">
        <v>1</v>
      </c>
    </row>
    <row r="33" spans="1:32">
      <c r="A33" s="20"/>
      <c r="B33" s="13" t="s">
        <v>520</v>
      </c>
      <c r="C33" s="15" t="s">
        <v>459</v>
      </c>
      <c r="D33" s="15" t="s">
        <v>459</v>
      </c>
      <c r="E33" s="15" t="s">
        <v>459</v>
      </c>
      <c r="F33" s="15" t="s">
        <v>459</v>
      </c>
      <c r="G33" s="14">
        <v>0.01</v>
      </c>
      <c r="H33" s="14">
        <v>0.01</v>
      </c>
      <c r="I33" s="14">
        <v>0.01</v>
      </c>
      <c r="J33" s="15" t="s">
        <v>459</v>
      </c>
      <c r="K33" s="14">
        <v>0.02</v>
      </c>
      <c r="L33" s="15" t="s">
        <v>459</v>
      </c>
      <c r="M33" s="15" t="s">
        <v>459</v>
      </c>
      <c r="N33" s="15" t="s">
        <v>459</v>
      </c>
      <c r="O33" s="15" t="s">
        <v>459</v>
      </c>
      <c r="P33" s="15" t="s">
        <v>459</v>
      </c>
      <c r="Q33" s="15" t="s">
        <v>459</v>
      </c>
      <c r="R33" s="15" t="s">
        <v>459</v>
      </c>
      <c r="S33" s="14">
        <v>0.02</v>
      </c>
      <c r="T33" s="14">
        <v>0.01</v>
      </c>
      <c r="U33" s="14">
        <v>0.01</v>
      </c>
      <c r="V33" s="15" t="s">
        <v>459</v>
      </c>
      <c r="W33" s="15" t="s">
        <v>459</v>
      </c>
      <c r="X33" s="14">
        <v>0.01</v>
      </c>
      <c r="Y33" s="14">
        <v>0.02</v>
      </c>
      <c r="Z33" s="15" t="s">
        <v>459</v>
      </c>
      <c r="AA33" s="15" t="s">
        <v>459</v>
      </c>
      <c r="AB33" s="14">
        <v>0.01</v>
      </c>
      <c r="AC33" s="14">
        <v>0.01</v>
      </c>
      <c r="AD33" s="15" t="s">
        <v>459</v>
      </c>
      <c r="AE33" s="14">
        <v>0.01</v>
      </c>
      <c r="AF33" s="15" t="s">
        <v>459</v>
      </c>
    </row>
    <row r="34" spans="1:32">
      <c r="A34" s="20"/>
      <c r="B34" s="11" t="s">
        <v>521</v>
      </c>
      <c r="C34" s="12">
        <v>419</v>
      </c>
      <c r="D34" s="12">
        <v>13</v>
      </c>
      <c r="E34" s="12">
        <v>8</v>
      </c>
      <c r="F34" s="12">
        <v>43</v>
      </c>
      <c r="G34" s="12">
        <v>17</v>
      </c>
      <c r="H34" s="12">
        <v>35</v>
      </c>
      <c r="I34" s="12">
        <v>37</v>
      </c>
      <c r="J34" s="12">
        <v>2</v>
      </c>
      <c r="K34" s="12">
        <v>16</v>
      </c>
      <c r="L34" s="12">
        <v>4</v>
      </c>
      <c r="M34" s="12">
        <v>5</v>
      </c>
      <c r="N34" s="12">
        <v>14</v>
      </c>
      <c r="O34" s="12">
        <v>12</v>
      </c>
      <c r="P34" s="12">
        <v>3</v>
      </c>
      <c r="Q34" s="12">
        <v>9</v>
      </c>
      <c r="R34" s="12">
        <v>4</v>
      </c>
      <c r="S34" s="12">
        <v>9</v>
      </c>
      <c r="T34" s="12">
        <v>22</v>
      </c>
      <c r="U34" s="12">
        <v>1</v>
      </c>
      <c r="V34" s="12">
        <v>5</v>
      </c>
      <c r="W34" s="12">
        <v>0</v>
      </c>
      <c r="X34" s="12">
        <v>8</v>
      </c>
      <c r="Y34" s="12">
        <v>65</v>
      </c>
      <c r="Z34" s="12">
        <v>22</v>
      </c>
      <c r="AA34" s="12">
        <v>11</v>
      </c>
      <c r="AB34" s="12">
        <v>14</v>
      </c>
      <c r="AC34" s="12">
        <v>20</v>
      </c>
      <c r="AD34" s="12">
        <v>1</v>
      </c>
      <c r="AE34" s="12">
        <v>9</v>
      </c>
      <c r="AF34" s="12">
        <v>7</v>
      </c>
    </row>
    <row r="35" spans="1:32">
      <c r="A35" s="20"/>
      <c r="B35" s="13" t="s">
        <v>522</v>
      </c>
      <c r="C35" s="14">
        <v>0.02</v>
      </c>
      <c r="D35" s="14">
        <v>0.01</v>
      </c>
      <c r="E35" s="14">
        <v>0.01</v>
      </c>
      <c r="F35" s="14">
        <v>0.04</v>
      </c>
      <c r="G35" s="14">
        <v>0.02</v>
      </c>
      <c r="H35" s="14">
        <v>0.03</v>
      </c>
      <c r="I35" s="14">
        <v>0.02</v>
      </c>
      <c r="J35" s="14">
        <v>0.01</v>
      </c>
      <c r="K35" s="14">
        <v>0.02</v>
      </c>
      <c r="L35" s="15" t="s">
        <v>459</v>
      </c>
      <c r="M35" s="15" t="s">
        <v>459</v>
      </c>
      <c r="N35" s="14">
        <v>0.01</v>
      </c>
      <c r="O35" s="14">
        <v>0.01</v>
      </c>
      <c r="P35" s="15" t="s">
        <v>459</v>
      </c>
      <c r="Q35" s="14">
        <v>0.01</v>
      </c>
      <c r="R35" s="14">
        <v>0.01</v>
      </c>
      <c r="S35" s="14">
        <v>0.01</v>
      </c>
      <c r="T35" s="14">
        <v>0.02</v>
      </c>
      <c r="U35" s="15" t="s">
        <v>459</v>
      </c>
      <c r="V35" s="15" t="s">
        <v>459</v>
      </c>
      <c r="W35" s="15" t="s">
        <v>459</v>
      </c>
      <c r="X35" s="14">
        <v>0.01</v>
      </c>
      <c r="Y35" s="14">
        <v>0.06</v>
      </c>
      <c r="Z35" s="14">
        <v>0.02</v>
      </c>
      <c r="AA35" s="14">
        <v>0.01</v>
      </c>
      <c r="AB35" s="14">
        <v>0.01</v>
      </c>
      <c r="AC35" s="14">
        <v>0.02</v>
      </c>
      <c r="AD35" s="15" t="s">
        <v>459</v>
      </c>
      <c r="AE35" s="14">
        <v>0.01</v>
      </c>
      <c r="AF35" s="14">
        <v>0.01</v>
      </c>
    </row>
    <row r="36" spans="1:32">
      <c r="A36" s="20"/>
      <c r="B36" s="11" t="s">
        <v>468</v>
      </c>
      <c r="C36" s="12">
        <v>682</v>
      </c>
      <c r="D36" s="12">
        <v>7</v>
      </c>
      <c r="E36" s="12">
        <v>37</v>
      </c>
      <c r="F36" s="12">
        <v>38</v>
      </c>
      <c r="G36" s="12">
        <v>30</v>
      </c>
      <c r="H36" s="12">
        <v>41</v>
      </c>
      <c r="I36" s="12">
        <v>49</v>
      </c>
      <c r="J36" s="12">
        <v>8</v>
      </c>
      <c r="K36" s="12">
        <v>37</v>
      </c>
      <c r="L36" s="12">
        <v>28</v>
      </c>
      <c r="M36" s="12">
        <v>1</v>
      </c>
      <c r="N36" s="12">
        <v>38</v>
      </c>
      <c r="O36" s="12">
        <v>21</v>
      </c>
      <c r="P36" s="12">
        <v>22</v>
      </c>
      <c r="Q36" s="12">
        <v>12</v>
      </c>
      <c r="R36" s="12">
        <v>26</v>
      </c>
      <c r="S36" s="12">
        <v>76</v>
      </c>
      <c r="T36" s="12">
        <v>68</v>
      </c>
      <c r="U36" s="12">
        <v>7</v>
      </c>
      <c r="V36" s="12">
        <v>15</v>
      </c>
      <c r="W36" s="12">
        <v>1</v>
      </c>
      <c r="X36" s="12">
        <v>10</v>
      </c>
      <c r="Y36" s="12">
        <v>46</v>
      </c>
      <c r="Z36" s="12">
        <v>30</v>
      </c>
      <c r="AA36" s="12">
        <v>49</v>
      </c>
      <c r="AB36" s="12">
        <v>31</v>
      </c>
      <c r="AC36" s="12">
        <v>35</v>
      </c>
      <c r="AD36" s="12">
        <v>9</v>
      </c>
      <c r="AE36" s="12">
        <v>37</v>
      </c>
      <c r="AF36" s="12">
        <v>10</v>
      </c>
    </row>
    <row r="37" spans="1:32">
      <c r="A37" s="20"/>
      <c r="B37" s="13" t="s">
        <v>469</v>
      </c>
      <c r="C37" s="14">
        <v>0.03</v>
      </c>
      <c r="D37" s="14">
        <v>0.01</v>
      </c>
      <c r="E37" s="14">
        <v>0.04</v>
      </c>
      <c r="F37" s="14">
        <v>0.04</v>
      </c>
      <c r="G37" s="14">
        <v>0.03</v>
      </c>
      <c r="H37" s="14">
        <v>0.03</v>
      </c>
      <c r="I37" s="14">
        <v>0.03</v>
      </c>
      <c r="J37" s="14">
        <v>0.03</v>
      </c>
      <c r="K37" s="14">
        <v>0.04</v>
      </c>
      <c r="L37" s="14">
        <v>0.03</v>
      </c>
      <c r="M37" s="15" t="s">
        <v>459</v>
      </c>
      <c r="N37" s="14">
        <v>0.04</v>
      </c>
      <c r="O37" s="14">
        <v>0.02</v>
      </c>
      <c r="P37" s="14">
        <v>0.02</v>
      </c>
      <c r="Q37" s="14">
        <v>0.01</v>
      </c>
      <c r="R37" s="14">
        <v>0.05</v>
      </c>
      <c r="S37" s="14">
        <v>0.08</v>
      </c>
      <c r="T37" s="14">
        <v>7.0000000000000007E-2</v>
      </c>
      <c r="U37" s="14">
        <v>0.01</v>
      </c>
      <c r="V37" s="14">
        <v>0.01</v>
      </c>
      <c r="W37" s="15" t="s">
        <v>459</v>
      </c>
      <c r="X37" s="14">
        <v>0.01</v>
      </c>
      <c r="Y37" s="14">
        <v>0.05</v>
      </c>
      <c r="Z37" s="14">
        <v>0.03</v>
      </c>
      <c r="AA37" s="14">
        <v>0.05</v>
      </c>
      <c r="AB37" s="14">
        <v>0.03</v>
      </c>
      <c r="AC37" s="14">
        <v>0.03</v>
      </c>
      <c r="AD37" s="14">
        <v>0.01</v>
      </c>
      <c r="AE37" s="14">
        <v>0.04</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638</v>
      </c>
      <c r="C3" s="18"/>
      <c r="D3" s="18"/>
      <c r="E3" s="18"/>
      <c r="F3" s="18"/>
      <c r="H3" s="18" t="s">
        <v>639</v>
      </c>
      <c r="I3" s="18"/>
      <c r="J3" s="18"/>
      <c r="K3" s="18"/>
      <c r="L3" s="18"/>
    </row>
    <row r="4" spans="1:32" ht="27" customHeight="1">
      <c r="B4" s="18" t="s">
        <v>640</v>
      </c>
      <c r="C4" s="18"/>
      <c r="D4" s="18"/>
      <c r="E4" s="18"/>
      <c r="F4" s="18"/>
      <c r="H4" s="18" t="s">
        <v>641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10576</v>
      </c>
      <c r="D12" s="12">
        <v>421</v>
      </c>
      <c r="E12" s="12">
        <v>534</v>
      </c>
      <c r="F12" s="12">
        <v>474</v>
      </c>
      <c r="G12" s="12">
        <v>505</v>
      </c>
      <c r="H12" s="12">
        <v>368</v>
      </c>
      <c r="I12" s="12">
        <v>469</v>
      </c>
      <c r="J12" s="12">
        <v>101</v>
      </c>
      <c r="K12" s="12">
        <v>418</v>
      </c>
      <c r="L12" s="12">
        <v>609</v>
      </c>
      <c r="M12" s="12">
        <v>586</v>
      </c>
      <c r="N12" s="12">
        <v>531</v>
      </c>
      <c r="O12" s="12">
        <v>461</v>
      </c>
      <c r="P12" s="12">
        <v>340</v>
      </c>
      <c r="Q12" s="12">
        <v>387</v>
      </c>
      <c r="R12" s="12">
        <v>346</v>
      </c>
      <c r="S12" s="12">
        <v>368</v>
      </c>
      <c r="T12" s="12">
        <v>406</v>
      </c>
      <c r="U12" s="12">
        <v>320</v>
      </c>
      <c r="V12" s="12">
        <v>416</v>
      </c>
      <c r="W12" s="12">
        <v>278</v>
      </c>
      <c r="X12" s="12">
        <v>467</v>
      </c>
      <c r="Y12" s="12">
        <v>326</v>
      </c>
      <c r="Z12" s="12">
        <v>231</v>
      </c>
      <c r="AA12" s="12">
        <v>423</v>
      </c>
      <c r="AB12" s="12">
        <v>273</v>
      </c>
      <c r="AC12" s="12">
        <v>577</v>
      </c>
      <c r="AD12" s="12">
        <v>497</v>
      </c>
      <c r="AE12" s="12">
        <v>492</v>
      </c>
      <c r="AF12" s="12">
        <v>467</v>
      </c>
    </row>
    <row r="13" spans="1:32">
      <c r="A13" s="20"/>
      <c r="B13" s="13" t="s">
        <v>493</v>
      </c>
      <c r="C13" s="14">
        <v>0.4</v>
      </c>
      <c r="D13" s="14">
        <v>0.42</v>
      </c>
      <c r="E13" s="14">
        <v>0.53</v>
      </c>
      <c r="F13" s="14">
        <v>0.47</v>
      </c>
      <c r="G13" s="14">
        <v>0.5</v>
      </c>
      <c r="H13" s="14">
        <v>0.3</v>
      </c>
      <c r="I13" s="14">
        <v>0.31</v>
      </c>
      <c r="J13" s="14">
        <v>0.34</v>
      </c>
      <c r="K13" s="14">
        <v>0.42</v>
      </c>
      <c r="L13" s="14">
        <v>0.6</v>
      </c>
      <c r="M13" s="14">
        <v>0.57999999999999996</v>
      </c>
      <c r="N13" s="14">
        <v>0.53</v>
      </c>
      <c r="O13" s="14">
        <v>0.46</v>
      </c>
      <c r="P13" s="14">
        <v>0.33</v>
      </c>
      <c r="Q13" s="14">
        <v>0.38</v>
      </c>
      <c r="R13" s="14">
        <v>0.69000000000000006</v>
      </c>
      <c r="S13" s="14">
        <v>0.37</v>
      </c>
      <c r="T13" s="14">
        <v>0.4</v>
      </c>
      <c r="U13" s="14">
        <v>0.63</v>
      </c>
      <c r="V13" s="14">
        <v>0.41</v>
      </c>
      <c r="W13" s="14">
        <v>0.55000000000000004</v>
      </c>
      <c r="X13" s="14">
        <v>0.46</v>
      </c>
      <c r="Y13" s="14">
        <v>0.32</v>
      </c>
      <c r="Z13" s="14">
        <v>0.23</v>
      </c>
      <c r="AA13" s="14">
        <v>0.4</v>
      </c>
      <c r="AB13" s="14">
        <v>0.26</v>
      </c>
      <c r="AC13" s="14">
        <v>0.57000000000000006</v>
      </c>
      <c r="AD13" s="14">
        <v>0.49</v>
      </c>
      <c r="AE13" s="14">
        <v>0.49</v>
      </c>
      <c r="AF13" s="14">
        <v>0.46</v>
      </c>
    </row>
    <row r="14" spans="1:32">
      <c r="A14" s="20"/>
      <c r="B14" s="11" t="s">
        <v>643</v>
      </c>
      <c r="C14" s="12">
        <v>12241</v>
      </c>
      <c r="D14" s="12">
        <v>464</v>
      </c>
      <c r="E14" s="12">
        <v>368</v>
      </c>
      <c r="F14" s="12">
        <v>373</v>
      </c>
      <c r="G14" s="12">
        <v>377</v>
      </c>
      <c r="H14" s="12">
        <v>582</v>
      </c>
      <c r="I14" s="12">
        <v>713</v>
      </c>
      <c r="J14" s="12">
        <v>131</v>
      </c>
      <c r="K14" s="12">
        <v>421</v>
      </c>
      <c r="L14" s="12">
        <v>318</v>
      </c>
      <c r="M14" s="12">
        <v>363</v>
      </c>
      <c r="N14" s="12">
        <v>399</v>
      </c>
      <c r="O14" s="12">
        <v>455</v>
      </c>
      <c r="P14" s="12">
        <v>510</v>
      </c>
      <c r="Q14" s="12">
        <v>529</v>
      </c>
      <c r="R14" s="12">
        <v>117</v>
      </c>
      <c r="S14" s="12">
        <v>463</v>
      </c>
      <c r="T14" s="12">
        <v>439</v>
      </c>
      <c r="U14" s="12">
        <v>157</v>
      </c>
      <c r="V14" s="12">
        <v>498</v>
      </c>
      <c r="W14" s="12">
        <v>160</v>
      </c>
      <c r="X14" s="12">
        <v>442</v>
      </c>
      <c r="Y14" s="12">
        <v>424</v>
      </c>
      <c r="Z14" s="12">
        <v>635</v>
      </c>
      <c r="AA14" s="12">
        <v>511</v>
      </c>
      <c r="AB14" s="12">
        <v>515</v>
      </c>
      <c r="AC14" s="12">
        <v>346</v>
      </c>
      <c r="AD14" s="12">
        <v>420</v>
      </c>
      <c r="AE14" s="12">
        <v>422</v>
      </c>
      <c r="AF14" s="12">
        <v>424</v>
      </c>
    </row>
    <row r="15" spans="1:32">
      <c r="A15" s="20"/>
      <c r="B15" s="13" t="s">
        <v>495</v>
      </c>
      <c r="C15" s="14">
        <v>0.47</v>
      </c>
      <c r="D15" s="14">
        <v>0.46</v>
      </c>
      <c r="E15" s="14">
        <v>0.36</v>
      </c>
      <c r="F15" s="14">
        <v>0.37</v>
      </c>
      <c r="G15" s="14">
        <v>0.38</v>
      </c>
      <c r="H15" s="14">
        <v>0.48</v>
      </c>
      <c r="I15" s="14">
        <v>0.47</v>
      </c>
      <c r="J15" s="14">
        <v>0.45</v>
      </c>
      <c r="K15" s="14">
        <v>0.42</v>
      </c>
      <c r="L15" s="14">
        <v>0.32</v>
      </c>
      <c r="M15" s="14">
        <v>0.36</v>
      </c>
      <c r="N15" s="14">
        <v>0.4</v>
      </c>
      <c r="O15" s="14">
        <v>0.45</v>
      </c>
      <c r="P15" s="14">
        <v>0.5</v>
      </c>
      <c r="Q15" s="14">
        <v>0.52</v>
      </c>
      <c r="R15" s="14">
        <v>0.23</v>
      </c>
      <c r="S15" s="14">
        <v>0.46</v>
      </c>
      <c r="T15" s="14">
        <v>0.43</v>
      </c>
      <c r="U15" s="14">
        <v>0.31</v>
      </c>
      <c r="V15" s="14">
        <v>0.49</v>
      </c>
      <c r="W15" s="14">
        <v>0.32</v>
      </c>
      <c r="X15" s="14">
        <v>0.43</v>
      </c>
      <c r="Y15" s="14">
        <v>0.42</v>
      </c>
      <c r="Z15" s="14">
        <v>0.63</v>
      </c>
      <c r="AA15" s="14">
        <v>0.49</v>
      </c>
      <c r="AB15" s="14">
        <v>0.5</v>
      </c>
      <c r="AC15" s="14">
        <v>0.34</v>
      </c>
      <c r="AD15" s="14">
        <v>0.42</v>
      </c>
      <c r="AE15" s="14">
        <v>0.42</v>
      </c>
      <c r="AF15" s="14">
        <v>0.41</v>
      </c>
    </row>
    <row r="16" spans="1:32">
      <c r="A16" s="20"/>
      <c r="B16" s="11" t="s">
        <v>644</v>
      </c>
      <c r="C16" s="12">
        <v>2914</v>
      </c>
      <c r="D16" s="12">
        <v>104</v>
      </c>
      <c r="E16" s="12">
        <v>84</v>
      </c>
      <c r="F16" s="12">
        <v>124</v>
      </c>
      <c r="G16" s="12">
        <v>101</v>
      </c>
      <c r="H16" s="12">
        <v>229</v>
      </c>
      <c r="I16" s="12">
        <v>279</v>
      </c>
      <c r="J16" s="12">
        <v>50</v>
      </c>
      <c r="K16" s="12">
        <v>133</v>
      </c>
      <c r="L16" s="12">
        <v>59</v>
      </c>
      <c r="M16" s="12">
        <v>38</v>
      </c>
      <c r="N16" s="12">
        <v>60</v>
      </c>
      <c r="O16" s="12">
        <v>69</v>
      </c>
      <c r="P16" s="12">
        <v>140</v>
      </c>
      <c r="Q16" s="12">
        <v>90</v>
      </c>
      <c r="R16" s="12">
        <v>29</v>
      </c>
      <c r="S16" s="12">
        <v>144</v>
      </c>
      <c r="T16" s="12">
        <v>138</v>
      </c>
      <c r="U16" s="12">
        <v>21</v>
      </c>
      <c r="V16" s="12">
        <v>97</v>
      </c>
      <c r="W16" s="12">
        <v>59</v>
      </c>
      <c r="X16" s="12">
        <v>100</v>
      </c>
      <c r="Y16" s="12">
        <v>155</v>
      </c>
      <c r="Z16" s="12">
        <v>123</v>
      </c>
      <c r="AA16" s="12">
        <v>99</v>
      </c>
      <c r="AB16" s="12">
        <v>217</v>
      </c>
      <c r="AC16" s="12">
        <v>80</v>
      </c>
      <c r="AD16" s="12">
        <v>77</v>
      </c>
      <c r="AE16" s="12">
        <v>63</v>
      </c>
      <c r="AF16" s="12">
        <v>110</v>
      </c>
    </row>
    <row r="17" spans="1:32">
      <c r="A17" s="20"/>
      <c r="B17" s="13" t="s">
        <v>645</v>
      </c>
      <c r="C17" s="14">
        <v>0.11</v>
      </c>
      <c r="D17" s="14">
        <v>0.11</v>
      </c>
      <c r="E17" s="14">
        <v>0.08</v>
      </c>
      <c r="F17" s="14">
        <v>0.12</v>
      </c>
      <c r="G17" s="14">
        <v>0.1</v>
      </c>
      <c r="H17" s="14">
        <v>0.19</v>
      </c>
      <c r="I17" s="14">
        <v>0.18</v>
      </c>
      <c r="J17" s="14">
        <v>0.17</v>
      </c>
      <c r="K17" s="14">
        <v>0.13</v>
      </c>
      <c r="L17" s="14">
        <v>0.06</v>
      </c>
      <c r="M17" s="14">
        <v>0.04</v>
      </c>
      <c r="N17" s="14">
        <v>0.06</v>
      </c>
      <c r="O17" s="14">
        <v>7.0000000000000007E-2</v>
      </c>
      <c r="P17" s="14">
        <v>0.14000000000000001</v>
      </c>
      <c r="Q17" s="14">
        <v>0.09</v>
      </c>
      <c r="R17" s="14">
        <v>0.06</v>
      </c>
      <c r="S17" s="14">
        <v>0.14000000000000001</v>
      </c>
      <c r="T17" s="14">
        <v>0.14000000000000001</v>
      </c>
      <c r="U17" s="14">
        <v>0.04</v>
      </c>
      <c r="V17" s="14">
        <v>0.09</v>
      </c>
      <c r="W17" s="14">
        <v>0.12</v>
      </c>
      <c r="X17" s="14">
        <v>0.1</v>
      </c>
      <c r="Y17" s="14">
        <v>0.16</v>
      </c>
      <c r="Z17" s="14">
        <v>0.12</v>
      </c>
      <c r="AA17" s="14">
        <v>0.09</v>
      </c>
      <c r="AB17" s="14">
        <v>0.21</v>
      </c>
      <c r="AC17" s="14">
        <v>0.08</v>
      </c>
      <c r="AD17" s="14">
        <v>0.08</v>
      </c>
      <c r="AE17" s="14">
        <v>7.0000000000000007E-2</v>
      </c>
      <c r="AF17" s="14">
        <v>0.11</v>
      </c>
    </row>
    <row r="18" spans="1:32">
      <c r="A18" s="20"/>
      <c r="B18" s="11" t="s">
        <v>646</v>
      </c>
      <c r="C18" s="12">
        <v>492</v>
      </c>
      <c r="D18" s="12">
        <v>13</v>
      </c>
      <c r="E18" s="12">
        <v>22</v>
      </c>
      <c r="F18" s="12">
        <v>30</v>
      </c>
      <c r="G18" s="12">
        <v>12</v>
      </c>
      <c r="H18" s="12">
        <v>32</v>
      </c>
      <c r="I18" s="12">
        <v>42</v>
      </c>
      <c r="J18" s="12">
        <v>10</v>
      </c>
      <c r="K18" s="12">
        <v>22</v>
      </c>
      <c r="L18" s="12">
        <v>14</v>
      </c>
      <c r="M18" s="12">
        <v>16</v>
      </c>
      <c r="N18" s="12">
        <v>10</v>
      </c>
      <c r="O18" s="12">
        <v>16</v>
      </c>
      <c r="P18" s="12">
        <v>30</v>
      </c>
      <c r="Q18" s="12">
        <v>11</v>
      </c>
      <c r="R18" s="12">
        <v>8</v>
      </c>
      <c r="S18" s="12">
        <v>16</v>
      </c>
      <c r="T18" s="12">
        <v>24</v>
      </c>
      <c r="U18" s="12">
        <v>5</v>
      </c>
      <c r="V18" s="12">
        <v>6</v>
      </c>
      <c r="W18" s="12">
        <v>5</v>
      </c>
      <c r="X18" s="12">
        <v>11</v>
      </c>
      <c r="Y18" s="12">
        <v>92</v>
      </c>
      <c r="Z18" s="12">
        <v>16</v>
      </c>
      <c r="AA18" s="12">
        <v>11</v>
      </c>
      <c r="AB18" s="12">
        <v>29</v>
      </c>
      <c r="AC18" s="12">
        <v>6</v>
      </c>
      <c r="AD18" s="12">
        <v>9</v>
      </c>
      <c r="AE18" s="12">
        <v>22</v>
      </c>
      <c r="AF18" s="12">
        <v>17</v>
      </c>
    </row>
    <row r="19" spans="1:32">
      <c r="A19" s="20"/>
      <c r="B19" s="13" t="s">
        <v>499</v>
      </c>
      <c r="C19" s="14">
        <v>0.02</v>
      </c>
      <c r="D19" s="14">
        <v>0.01</v>
      </c>
      <c r="E19" s="14">
        <v>0.02</v>
      </c>
      <c r="F19" s="14">
        <v>0.03</v>
      </c>
      <c r="G19" s="14">
        <v>0.01</v>
      </c>
      <c r="H19" s="14">
        <v>0.03</v>
      </c>
      <c r="I19" s="14">
        <v>0.03</v>
      </c>
      <c r="J19" s="14">
        <v>0.03</v>
      </c>
      <c r="K19" s="14">
        <v>0.02</v>
      </c>
      <c r="L19" s="14">
        <v>0.01</v>
      </c>
      <c r="M19" s="14">
        <v>0.02</v>
      </c>
      <c r="N19" s="14">
        <v>0.01</v>
      </c>
      <c r="O19" s="14">
        <v>0.02</v>
      </c>
      <c r="P19" s="14">
        <v>0.03</v>
      </c>
      <c r="Q19" s="14">
        <v>0.01</v>
      </c>
      <c r="R19" s="14">
        <v>0.02</v>
      </c>
      <c r="S19" s="14">
        <v>0.01</v>
      </c>
      <c r="T19" s="14">
        <v>0.02</v>
      </c>
      <c r="U19" s="14">
        <v>0.01</v>
      </c>
      <c r="V19" s="14">
        <v>0.01</v>
      </c>
      <c r="W19" s="14">
        <v>0.01</v>
      </c>
      <c r="X19" s="14">
        <v>0.01</v>
      </c>
      <c r="Y19" s="14">
        <v>0.09</v>
      </c>
      <c r="Z19" s="14">
        <v>0.02</v>
      </c>
      <c r="AA19" s="14">
        <v>0.01</v>
      </c>
      <c r="AB19" s="14">
        <v>0.03</v>
      </c>
      <c r="AC19" s="14">
        <v>0.01</v>
      </c>
      <c r="AD19" s="14">
        <v>0.01</v>
      </c>
      <c r="AE19" s="14">
        <v>0.02</v>
      </c>
      <c r="AF19" s="14">
        <v>0.02</v>
      </c>
    </row>
    <row r="20" spans="1:32">
      <c r="A20" s="20"/>
      <c r="B20" s="11" t="s">
        <v>468</v>
      </c>
      <c r="C20" s="12">
        <v>95</v>
      </c>
      <c r="D20" s="12">
        <v>0</v>
      </c>
      <c r="E20" s="12">
        <v>10</v>
      </c>
      <c r="F20" s="12">
        <v>4</v>
      </c>
      <c r="G20" s="12">
        <v>9</v>
      </c>
      <c r="H20" s="12">
        <v>6</v>
      </c>
      <c r="I20" s="12">
        <v>7</v>
      </c>
      <c r="J20" s="12">
        <v>2</v>
      </c>
      <c r="K20" s="12">
        <v>11</v>
      </c>
      <c r="L20" s="12">
        <v>6</v>
      </c>
      <c r="M20" s="12">
        <v>0</v>
      </c>
      <c r="N20" s="12">
        <v>3</v>
      </c>
      <c r="O20" s="12">
        <v>2</v>
      </c>
      <c r="P20" s="12">
        <v>1</v>
      </c>
      <c r="Q20" s="12">
        <v>3</v>
      </c>
      <c r="R20" s="12">
        <v>0</v>
      </c>
      <c r="S20" s="12">
        <v>17</v>
      </c>
      <c r="T20" s="12">
        <v>7</v>
      </c>
      <c r="U20" s="12">
        <v>3</v>
      </c>
      <c r="V20" s="12">
        <v>1</v>
      </c>
      <c r="W20" s="12">
        <v>1</v>
      </c>
      <c r="X20" s="12">
        <v>2</v>
      </c>
      <c r="Y20" s="12">
        <v>12</v>
      </c>
      <c r="Z20" s="12">
        <v>4</v>
      </c>
      <c r="AA20" s="12">
        <v>8</v>
      </c>
      <c r="AB20" s="12">
        <v>5</v>
      </c>
      <c r="AC20" s="12">
        <v>1</v>
      </c>
      <c r="AD20" s="12">
        <v>3</v>
      </c>
      <c r="AE20" s="12">
        <v>2</v>
      </c>
      <c r="AF20" s="12">
        <v>2</v>
      </c>
    </row>
    <row r="21" spans="1:32">
      <c r="A21" s="20"/>
      <c r="B21" s="13" t="s">
        <v>469</v>
      </c>
      <c r="C21" s="15" t="s">
        <v>459</v>
      </c>
      <c r="D21" s="15" t="s">
        <v>459</v>
      </c>
      <c r="E21" s="14">
        <v>0.01</v>
      </c>
      <c r="F21" s="14">
        <v>0.01</v>
      </c>
      <c r="G21" s="14">
        <v>0.01</v>
      </c>
      <c r="H21" s="15" t="s">
        <v>459</v>
      </c>
      <c r="I21" s="14">
        <v>0.01</v>
      </c>
      <c r="J21" s="14">
        <v>0.01</v>
      </c>
      <c r="K21" s="14">
        <v>0.01</v>
      </c>
      <c r="L21" s="14">
        <v>0.01</v>
      </c>
      <c r="M21" s="15" t="s">
        <v>459</v>
      </c>
      <c r="N21" s="15" t="s">
        <v>459</v>
      </c>
      <c r="O21" s="15" t="s">
        <v>459</v>
      </c>
      <c r="P21" s="15" t="s">
        <v>459</v>
      </c>
      <c r="Q21" s="15" t="s">
        <v>459</v>
      </c>
      <c r="R21" s="15" t="s">
        <v>459</v>
      </c>
      <c r="S21" s="14">
        <v>0.02</v>
      </c>
      <c r="T21" s="14">
        <v>0.01</v>
      </c>
      <c r="U21" s="14">
        <v>0.01</v>
      </c>
      <c r="V21" s="15" t="s">
        <v>459</v>
      </c>
      <c r="W21" s="15" t="s">
        <v>459</v>
      </c>
      <c r="X21" s="15" t="s">
        <v>459</v>
      </c>
      <c r="Y21" s="14">
        <v>0.01</v>
      </c>
      <c r="Z21" s="15" t="s">
        <v>459</v>
      </c>
      <c r="AA21" s="14">
        <v>0.01</v>
      </c>
      <c r="AB21" s="15" t="s">
        <v>459</v>
      </c>
      <c r="AC21" s="15" t="s">
        <v>459</v>
      </c>
      <c r="AD21" s="15" t="s">
        <v>459</v>
      </c>
      <c r="AE21" s="15" t="s">
        <v>459</v>
      </c>
      <c r="AF21" s="15" t="s">
        <v>459</v>
      </c>
    </row>
    <row r="22" spans="1:32">
      <c r="A22" s="20"/>
      <c r="B22" s="11" t="s">
        <v>500</v>
      </c>
      <c r="C22" s="12">
        <v>22817</v>
      </c>
      <c r="D22" s="12">
        <v>885</v>
      </c>
      <c r="E22" s="12">
        <v>902</v>
      </c>
      <c r="F22" s="12">
        <v>847</v>
      </c>
      <c r="G22" s="12">
        <v>882</v>
      </c>
      <c r="H22" s="12">
        <v>950</v>
      </c>
      <c r="I22" s="12">
        <v>1182</v>
      </c>
      <c r="J22" s="12">
        <v>232</v>
      </c>
      <c r="K22" s="12">
        <v>839</v>
      </c>
      <c r="L22" s="12">
        <v>927</v>
      </c>
      <c r="M22" s="12">
        <v>949</v>
      </c>
      <c r="N22" s="12">
        <v>930</v>
      </c>
      <c r="O22" s="12">
        <v>916</v>
      </c>
      <c r="P22" s="12">
        <v>850</v>
      </c>
      <c r="Q22" s="12">
        <v>916</v>
      </c>
      <c r="R22" s="12">
        <v>463</v>
      </c>
      <c r="S22" s="12">
        <v>831</v>
      </c>
      <c r="T22" s="12">
        <v>845</v>
      </c>
      <c r="U22" s="12">
        <v>477</v>
      </c>
      <c r="V22" s="12">
        <v>914</v>
      </c>
      <c r="W22" s="12">
        <v>438</v>
      </c>
      <c r="X22" s="12">
        <v>909</v>
      </c>
      <c r="Y22" s="12">
        <v>750</v>
      </c>
      <c r="Z22" s="12">
        <v>866</v>
      </c>
      <c r="AA22" s="12">
        <v>934</v>
      </c>
      <c r="AB22" s="12">
        <v>788</v>
      </c>
      <c r="AC22" s="12">
        <v>923</v>
      </c>
      <c r="AD22" s="12">
        <v>917</v>
      </c>
      <c r="AE22" s="12">
        <v>914</v>
      </c>
      <c r="AF22" s="12">
        <v>891</v>
      </c>
    </row>
    <row r="23" spans="1:32">
      <c r="A23" s="20"/>
      <c r="B23" s="13" t="s">
        <v>500</v>
      </c>
      <c r="C23" s="14">
        <v>0.87</v>
      </c>
      <c r="D23" s="14">
        <v>0.88</v>
      </c>
      <c r="E23" s="14">
        <v>0.89</v>
      </c>
      <c r="F23" s="14">
        <v>0.84</v>
      </c>
      <c r="G23" s="14">
        <v>0.88</v>
      </c>
      <c r="H23" s="14">
        <v>0.78</v>
      </c>
      <c r="I23" s="14">
        <v>0.78</v>
      </c>
      <c r="J23" s="14">
        <v>0.79</v>
      </c>
      <c r="K23" s="14">
        <v>0.84</v>
      </c>
      <c r="L23" s="14">
        <v>0.92</v>
      </c>
      <c r="M23" s="14">
        <v>0.94000000000000006</v>
      </c>
      <c r="N23" s="14">
        <v>0.93</v>
      </c>
      <c r="O23" s="14">
        <v>0.91</v>
      </c>
      <c r="P23" s="14">
        <v>0.83000000000000007</v>
      </c>
      <c r="Q23" s="14">
        <v>0.9</v>
      </c>
      <c r="R23" s="14">
        <v>0.92</v>
      </c>
      <c r="S23" s="14">
        <v>0.83000000000000007</v>
      </c>
      <c r="T23" s="14">
        <v>0.83000000000000007</v>
      </c>
      <c r="U23" s="14">
        <v>0.94000000000000006</v>
      </c>
      <c r="V23" s="14">
        <v>0.9</v>
      </c>
      <c r="W23" s="14">
        <v>0.87</v>
      </c>
      <c r="X23" s="14">
        <v>0.89</v>
      </c>
      <c r="Y23" s="14">
        <v>0.74</v>
      </c>
      <c r="Z23" s="14">
        <v>0.86</v>
      </c>
      <c r="AA23" s="14">
        <v>0.89</v>
      </c>
      <c r="AB23" s="14">
        <v>0.76</v>
      </c>
      <c r="AC23" s="14">
        <v>0.91</v>
      </c>
      <c r="AD23" s="14">
        <v>0.91</v>
      </c>
      <c r="AE23" s="14">
        <v>0.91</v>
      </c>
      <c r="AF23" s="14">
        <v>0.87</v>
      </c>
    </row>
    <row r="24" spans="1:32">
      <c r="A24" s="20"/>
      <c r="B24" s="11" t="s">
        <v>501</v>
      </c>
      <c r="C24" s="12">
        <v>3406</v>
      </c>
      <c r="D24" s="12">
        <v>117</v>
      </c>
      <c r="E24" s="12">
        <v>106</v>
      </c>
      <c r="F24" s="12">
        <v>154</v>
      </c>
      <c r="G24" s="12">
        <v>113</v>
      </c>
      <c r="H24" s="12">
        <v>261</v>
      </c>
      <c r="I24" s="12">
        <v>321</v>
      </c>
      <c r="J24" s="12">
        <v>60</v>
      </c>
      <c r="K24" s="12">
        <v>155</v>
      </c>
      <c r="L24" s="12">
        <v>73</v>
      </c>
      <c r="M24" s="12">
        <v>54</v>
      </c>
      <c r="N24" s="12">
        <v>70</v>
      </c>
      <c r="O24" s="12">
        <v>85</v>
      </c>
      <c r="P24" s="12">
        <v>170</v>
      </c>
      <c r="Q24" s="12">
        <v>101</v>
      </c>
      <c r="R24" s="12">
        <v>37</v>
      </c>
      <c r="S24" s="12">
        <v>160</v>
      </c>
      <c r="T24" s="12">
        <v>162</v>
      </c>
      <c r="U24" s="12">
        <v>26</v>
      </c>
      <c r="V24" s="12">
        <v>103</v>
      </c>
      <c r="W24" s="12">
        <v>64</v>
      </c>
      <c r="X24" s="12">
        <v>111</v>
      </c>
      <c r="Y24" s="12">
        <v>247</v>
      </c>
      <c r="Z24" s="12">
        <v>139</v>
      </c>
      <c r="AA24" s="12">
        <v>110</v>
      </c>
      <c r="AB24" s="12">
        <v>246</v>
      </c>
      <c r="AC24" s="12">
        <v>86</v>
      </c>
      <c r="AD24" s="12">
        <v>86</v>
      </c>
      <c r="AE24" s="12">
        <v>85</v>
      </c>
      <c r="AF24" s="12">
        <v>127</v>
      </c>
    </row>
    <row r="25" spans="1:32">
      <c r="A25" s="20"/>
      <c r="B25" s="13" t="s">
        <v>502</v>
      </c>
      <c r="C25" s="14">
        <v>0.13</v>
      </c>
      <c r="D25" s="14">
        <v>0.12</v>
      </c>
      <c r="E25" s="14">
        <v>0.1</v>
      </c>
      <c r="F25" s="14">
        <v>0.15</v>
      </c>
      <c r="G25" s="14">
        <v>0.11</v>
      </c>
      <c r="H25" s="14">
        <v>0.22</v>
      </c>
      <c r="I25" s="14">
        <v>0.21</v>
      </c>
      <c r="J25" s="14">
        <v>0.2</v>
      </c>
      <c r="K25" s="14">
        <v>0.15</v>
      </c>
      <c r="L25" s="14">
        <v>7.0000000000000007E-2</v>
      </c>
      <c r="M25" s="14">
        <v>0.06</v>
      </c>
      <c r="N25" s="14">
        <v>7.0000000000000007E-2</v>
      </c>
      <c r="O25" s="14">
        <v>0.09</v>
      </c>
      <c r="P25" s="14">
        <v>0.17</v>
      </c>
      <c r="Q25" s="14">
        <v>0.1</v>
      </c>
      <c r="R25" s="14">
        <v>0.08</v>
      </c>
      <c r="S25" s="14">
        <v>0.15</v>
      </c>
      <c r="T25" s="14">
        <v>0.16</v>
      </c>
      <c r="U25" s="14">
        <v>0.05</v>
      </c>
      <c r="V25" s="14">
        <v>0.1</v>
      </c>
      <c r="W25" s="14">
        <v>0.13</v>
      </c>
      <c r="X25" s="14">
        <v>0.11</v>
      </c>
      <c r="Y25" s="14">
        <v>0.25</v>
      </c>
      <c r="Z25" s="14">
        <v>0.14000000000000001</v>
      </c>
      <c r="AA25" s="14">
        <v>0.1</v>
      </c>
      <c r="AB25" s="14">
        <v>0.24</v>
      </c>
      <c r="AC25" s="14">
        <v>0.09</v>
      </c>
      <c r="AD25" s="14">
        <v>0.09</v>
      </c>
      <c r="AE25" s="14">
        <v>0.09</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647</v>
      </c>
      <c r="C3" s="18"/>
      <c r="D3" s="18"/>
      <c r="E3" s="18"/>
      <c r="F3" s="18"/>
      <c r="H3" s="18" t="s">
        <v>648</v>
      </c>
      <c r="I3" s="18"/>
      <c r="J3" s="18"/>
      <c r="K3" s="18"/>
      <c r="L3" s="18"/>
    </row>
    <row r="4" spans="1:32" ht="27" customHeight="1">
      <c r="B4" s="18" t="s">
        <v>649</v>
      </c>
      <c r="C4" s="18"/>
      <c r="D4" s="18"/>
      <c r="E4" s="18"/>
      <c r="F4" s="18"/>
      <c r="H4" s="18" t="s">
        <v>650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10543</v>
      </c>
      <c r="D12" s="12">
        <v>371</v>
      </c>
      <c r="E12" s="12">
        <v>543</v>
      </c>
      <c r="F12" s="12">
        <v>368</v>
      </c>
      <c r="G12" s="12">
        <v>480</v>
      </c>
      <c r="H12" s="12">
        <v>346</v>
      </c>
      <c r="I12" s="12">
        <v>448</v>
      </c>
      <c r="J12" s="12">
        <v>102</v>
      </c>
      <c r="K12" s="12">
        <v>330</v>
      </c>
      <c r="L12" s="12">
        <v>627</v>
      </c>
      <c r="M12" s="12">
        <v>572</v>
      </c>
      <c r="N12" s="12">
        <v>535</v>
      </c>
      <c r="O12" s="12">
        <v>403</v>
      </c>
      <c r="P12" s="12">
        <v>405</v>
      </c>
      <c r="Q12" s="12">
        <v>446</v>
      </c>
      <c r="R12" s="12">
        <v>354</v>
      </c>
      <c r="S12" s="12">
        <v>294</v>
      </c>
      <c r="T12" s="12">
        <v>354</v>
      </c>
      <c r="U12" s="12">
        <v>270</v>
      </c>
      <c r="V12" s="12">
        <v>476</v>
      </c>
      <c r="W12" s="12">
        <v>274</v>
      </c>
      <c r="X12" s="12">
        <v>448</v>
      </c>
      <c r="Y12" s="12">
        <v>399</v>
      </c>
      <c r="Z12" s="12">
        <v>260</v>
      </c>
      <c r="AA12" s="12">
        <v>455</v>
      </c>
      <c r="AB12" s="12">
        <v>320</v>
      </c>
      <c r="AC12" s="12">
        <v>558</v>
      </c>
      <c r="AD12" s="12">
        <v>483</v>
      </c>
      <c r="AE12" s="12">
        <v>390</v>
      </c>
      <c r="AF12" s="12">
        <v>503</v>
      </c>
    </row>
    <row r="13" spans="1:32">
      <c r="A13" s="20"/>
      <c r="B13" s="13" t="s">
        <v>493</v>
      </c>
      <c r="C13" s="14">
        <v>0.4</v>
      </c>
      <c r="D13" s="14">
        <v>0.37</v>
      </c>
      <c r="E13" s="14">
        <v>0.53</v>
      </c>
      <c r="F13" s="14">
        <v>0.37</v>
      </c>
      <c r="G13" s="14">
        <v>0.48</v>
      </c>
      <c r="H13" s="14">
        <v>0.28000000000000003</v>
      </c>
      <c r="I13" s="14">
        <v>0.3</v>
      </c>
      <c r="J13" s="14">
        <v>0.35</v>
      </c>
      <c r="K13" s="14">
        <v>0.33</v>
      </c>
      <c r="L13" s="14">
        <v>0.62</v>
      </c>
      <c r="M13" s="14">
        <v>0.57000000000000006</v>
      </c>
      <c r="N13" s="14">
        <v>0.53</v>
      </c>
      <c r="O13" s="14">
        <v>0.4</v>
      </c>
      <c r="P13" s="14">
        <v>0.4</v>
      </c>
      <c r="Q13" s="14">
        <v>0.44</v>
      </c>
      <c r="R13" s="14">
        <v>0.71</v>
      </c>
      <c r="S13" s="14">
        <v>0.28999999999999998</v>
      </c>
      <c r="T13" s="14">
        <v>0.35</v>
      </c>
      <c r="U13" s="14">
        <v>0.53</v>
      </c>
      <c r="V13" s="14">
        <v>0.47</v>
      </c>
      <c r="W13" s="14">
        <v>0.55000000000000004</v>
      </c>
      <c r="X13" s="14">
        <v>0.44</v>
      </c>
      <c r="Y13" s="14">
        <v>0.39</v>
      </c>
      <c r="Z13" s="14">
        <v>0.26</v>
      </c>
      <c r="AA13" s="14">
        <v>0.43</v>
      </c>
      <c r="AB13" s="14">
        <v>0.31</v>
      </c>
      <c r="AC13" s="14">
        <v>0.55000000000000004</v>
      </c>
      <c r="AD13" s="14">
        <v>0.48</v>
      </c>
      <c r="AE13" s="14">
        <v>0.39</v>
      </c>
      <c r="AF13" s="14">
        <v>0.49</v>
      </c>
    </row>
    <row r="14" spans="1:32">
      <c r="A14" s="20"/>
      <c r="B14" s="11" t="s">
        <v>643</v>
      </c>
      <c r="C14" s="12">
        <v>12455</v>
      </c>
      <c r="D14" s="12">
        <v>517</v>
      </c>
      <c r="E14" s="12">
        <v>343</v>
      </c>
      <c r="F14" s="12">
        <v>439</v>
      </c>
      <c r="G14" s="12">
        <v>388</v>
      </c>
      <c r="H14" s="12">
        <v>645</v>
      </c>
      <c r="I14" s="12">
        <v>786</v>
      </c>
      <c r="J14" s="12">
        <v>140</v>
      </c>
      <c r="K14" s="12">
        <v>537</v>
      </c>
      <c r="L14" s="12">
        <v>329</v>
      </c>
      <c r="M14" s="12">
        <v>377</v>
      </c>
      <c r="N14" s="12">
        <v>404</v>
      </c>
      <c r="O14" s="12">
        <v>463</v>
      </c>
      <c r="P14" s="12">
        <v>505</v>
      </c>
      <c r="Q14" s="12">
        <v>490</v>
      </c>
      <c r="R14" s="12">
        <v>105</v>
      </c>
      <c r="S14" s="12">
        <v>546</v>
      </c>
      <c r="T14" s="12">
        <v>486</v>
      </c>
      <c r="U14" s="12">
        <v>198</v>
      </c>
      <c r="V14" s="12">
        <v>459</v>
      </c>
      <c r="W14" s="12">
        <v>189</v>
      </c>
      <c r="X14" s="12">
        <v>463</v>
      </c>
      <c r="Y14" s="12">
        <v>410</v>
      </c>
      <c r="Z14" s="12">
        <v>603</v>
      </c>
      <c r="AA14" s="12">
        <v>515</v>
      </c>
      <c r="AB14" s="12">
        <v>500</v>
      </c>
      <c r="AC14" s="12">
        <v>385</v>
      </c>
      <c r="AD14" s="12">
        <v>422</v>
      </c>
      <c r="AE14" s="12">
        <v>510</v>
      </c>
      <c r="AF14" s="12">
        <v>435</v>
      </c>
    </row>
    <row r="15" spans="1:32">
      <c r="A15" s="20"/>
      <c r="B15" s="13" t="s">
        <v>495</v>
      </c>
      <c r="C15" s="14">
        <v>0.47</v>
      </c>
      <c r="D15" s="14">
        <v>0.52</v>
      </c>
      <c r="E15" s="14">
        <v>0.34</v>
      </c>
      <c r="F15" s="14">
        <v>0.44</v>
      </c>
      <c r="G15" s="14">
        <v>0.39</v>
      </c>
      <c r="H15" s="14">
        <v>0.53</v>
      </c>
      <c r="I15" s="14">
        <v>0.52</v>
      </c>
      <c r="J15" s="14">
        <v>0.48</v>
      </c>
      <c r="K15" s="14">
        <v>0.53</v>
      </c>
      <c r="L15" s="14">
        <v>0.33</v>
      </c>
      <c r="M15" s="14">
        <v>0.37</v>
      </c>
      <c r="N15" s="14">
        <v>0.4</v>
      </c>
      <c r="O15" s="14">
        <v>0.46</v>
      </c>
      <c r="P15" s="14">
        <v>0.49</v>
      </c>
      <c r="Q15" s="14">
        <v>0.48</v>
      </c>
      <c r="R15" s="14">
        <v>0.21</v>
      </c>
      <c r="S15" s="14">
        <v>0.54</v>
      </c>
      <c r="T15" s="14">
        <v>0.48</v>
      </c>
      <c r="U15" s="14">
        <v>0.39</v>
      </c>
      <c r="V15" s="14">
        <v>0.45</v>
      </c>
      <c r="W15" s="14">
        <v>0.38</v>
      </c>
      <c r="X15" s="14">
        <v>0.45</v>
      </c>
      <c r="Y15" s="14">
        <v>0.41</v>
      </c>
      <c r="Z15" s="14">
        <v>0.6</v>
      </c>
      <c r="AA15" s="14">
        <v>0.49</v>
      </c>
      <c r="AB15" s="14">
        <v>0.48</v>
      </c>
      <c r="AC15" s="14">
        <v>0.38</v>
      </c>
      <c r="AD15" s="14">
        <v>0.42</v>
      </c>
      <c r="AE15" s="14">
        <v>0.51</v>
      </c>
      <c r="AF15" s="14">
        <v>0.43</v>
      </c>
    </row>
    <row r="16" spans="1:32">
      <c r="A16" s="20"/>
      <c r="B16" s="11" t="s">
        <v>644</v>
      </c>
      <c r="C16" s="12">
        <v>2482</v>
      </c>
      <c r="D16" s="12">
        <v>101</v>
      </c>
      <c r="E16" s="12">
        <v>85</v>
      </c>
      <c r="F16" s="12">
        <v>134</v>
      </c>
      <c r="G16" s="12">
        <v>105</v>
      </c>
      <c r="H16" s="12">
        <v>188</v>
      </c>
      <c r="I16" s="12">
        <v>220</v>
      </c>
      <c r="J16" s="12">
        <v>32</v>
      </c>
      <c r="K16" s="12">
        <v>90</v>
      </c>
      <c r="L16" s="12">
        <v>30</v>
      </c>
      <c r="M16" s="12">
        <v>37</v>
      </c>
      <c r="N16" s="12">
        <v>51</v>
      </c>
      <c r="O16" s="12">
        <v>87</v>
      </c>
      <c r="P16" s="12">
        <v>88</v>
      </c>
      <c r="Q16" s="12">
        <v>72</v>
      </c>
      <c r="R16" s="12">
        <v>28</v>
      </c>
      <c r="S16" s="12">
        <v>92</v>
      </c>
      <c r="T16" s="12">
        <v>86</v>
      </c>
      <c r="U16" s="12">
        <v>27</v>
      </c>
      <c r="V16" s="12">
        <v>58</v>
      </c>
      <c r="W16" s="12">
        <v>30</v>
      </c>
      <c r="X16" s="12">
        <v>100</v>
      </c>
      <c r="Y16" s="12">
        <v>113</v>
      </c>
      <c r="Z16" s="12">
        <v>108</v>
      </c>
      <c r="AA16" s="12">
        <v>53</v>
      </c>
      <c r="AB16" s="12">
        <v>162</v>
      </c>
      <c r="AC16" s="12">
        <v>51</v>
      </c>
      <c r="AD16" s="12">
        <v>68</v>
      </c>
      <c r="AE16" s="12">
        <v>70</v>
      </c>
      <c r="AF16" s="12">
        <v>68</v>
      </c>
    </row>
    <row r="17" spans="1:32">
      <c r="A17" s="20"/>
      <c r="B17" s="13" t="s">
        <v>645</v>
      </c>
      <c r="C17" s="14">
        <v>0.1</v>
      </c>
      <c r="D17" s="14">
        <v>0.1</v>
      </c>
      <c r="E17" s="14">
        <v>0.08</v>
      </c>
      <c r="F17" s="14">
        <v>0.13</v>
      </c>
      <c r="G17" s="14">
        <v>0.1</v>
      </c>
      <c r="H17" s="14">
        <v>0.16</v>
      </c>
      <c r="I17" s="14">
        <v>0.14000000000000001</v>
      </c>
      <c r="J17" s="14">
        <v>0.11</v>
      </c>
      <c r="K17" s="14">
        <v>0.09</v>
      </c>
      <c r="L17" s="14">
        <v>0.03</v>
      </c>
      <c r="M17" s="14">
        <v>0.04</v>
      </c>
      <c r="N17" s="14">
        <v>0.05</v>
      </c>
      <c r="O17" s="14">
        <v>0.09</v>
      </c>
      <c r="P17" s="14">
        <v>0.09</v>
      </c>
      <c r="Q17" s="14">
        <v>7.0000000000000007E-2</v>
      </c>
      <c r="R17" s="14">
        <v>0.06</v>
      </c>
      <c r="S17" s="14">
        <v>0.09</v>
      </c>
      <c r="T17" s="14">
        <v>0.09</v>
      </c>
      <c r="U17" s="14">
        <v>0.05</v>
      </c>
      <c r="V17" s="14">
        <v>0.06</v>
      </c>
      <c r="W17" s="14">
        <v>0.06</v>
      </c>
      <c r="X17" s="14">
        <v>0.1</v>
      </c>
      <c r="Y17" s="14">
        <v>0.11</v>
      </c>
      <c r="Z17" s="14">
        <v>0.11</v>
      </c>
      <c r="AA17" s="14">
        <v>0.05</v>
      </c>
      <c r="AB17" s="14">
        <v>0.15</v>
      </c>
      <c r="AC17" s="14">
        <v>0.05</v>
      </c>
      <c r="AD17" s="14">
        <v>7.0000000000000007E-2</v>
      </c>
      <c r="AE17" s="14">
        <v>7.0000000000000007E-2</v>
      </c>
      <c r="AF17" s="14">
        <v>7.0000000000000007E-2</v>
      </c>
    </row>
    <row r="18" spans="1:32">
      <c r="A18" s="20"/>
      <c r="B18" s="11" t="s">
        <v>646</v>
      </c>
      <c r="C18" s="12">
        <v>369</v>
      </c>
      <c r="D18" s="12">
        <v>9</v>
      </c>
      <c r="E18" s="12">
        <v>29</v>
      </c>
      <c r="F18" s="12">
        <v>27</v>
      </c>
      <c r="G18" s="12">
        <v>6</v>
      </c>
      <c r="H18" s="12">
        <v>17</v>
      </c>
      <c r="I18" s="12">
        <v>30</v>
      </c>
      <c r="J18" s="12">
        <v>13</v>
      </c>
      <c r="K18" s="12">
        <v>10</v>
      </c>
      <c r="L18" s="12">
        <v>6</v>
      </c>
      <c r="M18" s="12">
        <v>9</v>
      </c>
      <c r="N18" s="12">
        <v>7</v>
      </c>
      <c r="O18" s="12">
        <v>17</v>
      </c>
      <c r="P18" s="12">
        <v>19</v>
      </c>
      <c r="Q18" s="12">
        <v>6</v>
      </c>
      <c r="R18" s="12">
        <v>3</v>
      </c>
      <c r="S18" s="12">
        <v>7</v>
      </c>
      <c r="T18" s="12">
        <v>15</v>
      </c>
      <c r="U18" s="12">
        <v>2</v>
      </c>
      <c r="V18" s="12">
        <v>7</v>
      </c>
      <c r="W18" s="12">
        <v>3</v>
      </c>
      <c r="X18" s="12">
        <v>7</v>
      </c>
      <c r="Y18" s="12">
        <v>59</v>
      </c>
      <c r="Z18" s="12">
        <v>14</v>
      </c>
      <c r="AA18" s="12">
        <v>3</v>
      </c>
      <c r="AB18" s="12">
        <v>28</v>
      </c>
      <c r="AC18" s="12">
        <v>10</v>
      </c>
      <c r="AD18" s="12">
        <v>8</v>
      </c>
      <c r="AE18" s="12">
        <v>8</v>
      </c>
      <c r="AF18" s="12">
        <v>5</v>
      </c>
    </row>
    <row r="19" spans="1:32">
      <c r="A19" s="20"/>
      <c r="B19" s="13" t="s">
        <v>499</v>
      </c>
      <c r="C19" s="14">
        <v>0.01</v>
      </c>
      <c r="D19" s="14">
        <v>0.01</v>
      </c>
      <c r="E19" s="14">
        <v>0.03</v>
      </c>
      <c r="F19" s="14">
        <v>0.03</v>
      </c>
      <c r="G19" s="14">
        <v>0.01</v>
      </c>
      <c r="H19" s="14">
        <v>0.01</v>
      </c>
      <c r="I19" s="14">
        <v>0.02</v>
      </c>
      <c r="J19" s="14">
        <v>0.04</v>
      </c>
      <c r="K19" s="14">
        <v>0.01</v>
      </c>
      <c r="L19" s="14">
        <v>0.01</v>
      </c>
      <c r="M19" s="14">
        <v>0.01</v>
      </c>
      <c r="N19" s="14">
        <v>0.01</v>
      </c>
      <c r="O19" s="14">
        <v>0.02</v>
      </c>
      <c r="P19" s="14">
        <v>0.02</v>
      </c>
      <c r="Q19" s="14">
        <v>0.01</v>
      </c>
      <c r="R19" s="15" t="s">
        <v>459</v>
      </c>
      <c r="S19" s="14">
        <v>0.01</v>
      </c>
      <c r="T19" s="14">
        <v>0.01</v>
      </c>
      <c r="U19" s="14">
        <v>0.01</v>
      </c>
      <c r="V19" s="14">
        <v>0.01</v>
      </c>
      <c r="W19" s="15" t="s">
        <v>459</v>
      </c>
      <c r="X19" s="14">
        <v>0.01</v>
      </c>
      <c r="Y19" s="14">
        <v>0.06</v>
      </c>
      <c r="Z19" s="14">
        <v>0.01</v>
      </c>
      <c r="AA19" s="15" t="s">
        <v>459</v>
      </c>
      <c r="AB19" s="14">
        <v>0.03</v>
      </c>
      <c r="AC19" s="14">
        <v>0.01</v>
      </c>
      <c r="AD19" s="14">
        <v>0.01</v>
      </c>
      <c r="AE19" s="14">
        <v>0.01</v>
      </c>
      <c r="AF19" s="15" t="s">
        <v>459</v>
      </c>
    </row>
    <row r="20" spans="1:32">
      <c r="A20" s="20"/>
      <c r="B20" s="11" t="s">
        <v>468</v>
      </c>
      <c r="C20" s="12">
        <v>470</v>
      </c>
      <c r="D20" s="12">
        <v>5</v>
      </c>
      <c r="E20" s="12">
        <v>18</v>
      </c>
      <c r="F20" s="12">
        <v>36</v>
      </c>
      <c r="G20" s="12">
        <v>26</v>
      </c>
      <c r="H20" s="12">
        <v>21</v>
      </c>
      <c r="I20" s="12">
        <v>27</v>
      </c>
      <c r="J20" s="12">
        <v>6</v>
      </c>
      <c r="K20" s="12">
        <v>40</v>
      </c>
      <c r="L20" s="12">
        <v>15</v>
      </c>
      <c r="M20" s="12">
        <v>9</v>
      </c>
      <c r="N20" s="12">
        <v>8</v>
      </c>
      <c r="O20" s="12">
        <v>32</v>
      </c>
      <c r="P20" s="12">
        <v>4</v>
      </c>
      <c r="Q20" s="12">
        <v>4</v>
      </c>
      <c r="R20" s="12">
        <v>10</v>
      </c>
      <c r="S20" s="12">
        <v>69</v>
      </c>
      <c r="T20" s="12">
        <v>73</v>
      </c>
      <c r="U20" s="12">
        <v>10</v>
      </c>
      <c r="V20" s="12">
        <v>16</v>
      </c>
      <c r="W20" s="12">
        <v>7</v>
      </c>
      <c r="X20" s="12">
        <v>2</v>
      </c>
      <c r="Y20" s="12">
        <v>27</v>
      </c>
      <c r="Z20" s="12">
        <v>24</v>
      </c>
      <c r="AA20" s="12">
        <v>26</v>
      </c>
      <c r="AB20" s="12">
        <v>29</v>
      </c>
      <c r="AC20" s="12">
        <v>6</v>
      </c>
      <c r="AD20" s="12">
        <v>25</v>
      </c>
      <c r="AE20" s="12">
        <v>22</v>
      </c>
      <c r="AF20" s="12">
        <v>10</v>
      </c>
    </row>
    <row r="21" spans="1:32">
      <c r="A21" s="20"/>
      <c r="B21" s="13" t="s">
        <v>469</v>
      </c>
      <c r="C21" s="14">
        <v>0.02</v>
      </c>
      <c r="D21" s="15" t="s">
        <v>459</v>
      </c>
      <c r="E21" s="14">
        <v>0.02</v>
      </c>
      <c r="F21" s="14">
        <v>0.03</v>
      </c>
      <c r="G21" s="14">
        <v>0.02</v>
      </c>
      <c r="H21" s="14">
        <v>0.02</v>
      </c>
      <c r="I21" s="14">
        <v>0.02</v>
      </c>
      <c r="J21" s="14">
        <v>0.02</v>
      </c>
      <c r="K21" s="14">
        <v>0.04</v>
      </c>
      <c r="L21" s="14">
        <v>0.01</v>
      </c>
      <c r="M21" s="14">
        <v>0.01</v>
      </c>
      <c r="N21" s="14">
        <v>0.01</v>
      </c>
      <c r="O21" s="14">
        <v>0.03</v>
      </c>
      <c r="P21" s="15" t="s">
        <v>459</v>
      </c>
      <c r="Q21" s="15" t="s">
        <v>459</v>
      </c>
      <c r="R21" s="14">
        <v>0.02</v>
      </c>
      <c r="S21" s="14">
        <v>7.0000000000000007E-2</v>
      </c>
      <c r="T21" s="14">
        <v>7.0000000000000007E-2</v>
      </c>
      <c r="U21" s="14">
        <v>0.02</v>
      </c>
      <c r="V21" s="14">
        <v>0.01</v>
      </c>
      <c r="W21" s="14">
        <v>0.01</v>
      </c>
      <c r="X21" s="15" t="s">
        <v>459</v>
      </c>
      <c r="Y21" s="14">
        <v>0.03</v>
      </c>
      <c r="Z21" s="14">
        <v>0.02</v>
      </c>
      <c r="AA21" s="14">
        <v>0.03</v>
      </c>
      <c r="AB21" s="14">
        <v>0.03</v>
      </c>
      <c r="AC21" s="14">
        <v>0.01</v>
      </c>
      <c r="AD21" s="14">
        <v>0.02</v>
      </c>
      <c r="AE21" s="14">
        <v>0.02</v>
      </c>
      <c r="AF21" s="14">
        <v>0.01</v>
      </c>
    </row>
    <row r="22" spans="1:32">
      <c r="A22" s="20"/>
      <c r="B22" s="11" t="s">
        <v>500</v>
      </c>
      <c r="C22" s="12">
        <v>22998</v>
      </c>
      <c r="D22" s="12">
        <v>888</v>
      </c>
      <c r="E22" s="12">
        <v>886</v>
      </c>
      <c r="F22" s="12">
        <v>807</v>
      </c>
      <c r="G22" s="12">
        <v>868</v>
      </c>
      <c r="H22" s="12">
        <v>991</v>
      </c>
      <c r="I22" s="12">
        <v>1234</v>
      </c>
      <c r="J22" s="12">
        <v>242</v>
      </c>
      <c r="K22" s="12">
        <v>867</v>
      </c>
      <c r="L22" s="12">
        <v>956</v>
      </c>
      <c r="M22" s="12">
        <v>949</v>
      </c>
      <c r="N22" s="12">
        <v>939</v>
      </c>
      <c r="O22" s="12">
        <v>866</v>
      </c>
      <c r="P22" s="12">
        <v>910</v>
      </c>
      <c r="Q22" s="12">
        <v>936</v>
      </c>
      <c r="R22" s="12">
        <v>459</v>
      </c>
      <c r="S22" s="12">
        <v>840</v>
      </c>
      <c r="T22" s="12">
        <v>840</v>
      </c>
      <c r="U22" s="12">
        <v>468</v>
      </c>
      <c r="V22" s="12">
        <v>935</v>
      </c>
      <c r="W22" s="12">
        <v>463</v>
      </c>
      <c r="X22" s="12">
        <v>911</v>
      </c>
      <c r="Y22" s="12">
        <v>809</v>
      </c>
      <c r="Z22" s="12">
        <v>863</v>
      </c>
      <c r="AA22" s="12">
        <v>970</v>
      </c>
      <c r="AB22" s="12">
        <v>820</v>
      </c>
      <c r="AC22" s="12">
        <v>943</v>
      </c>
      <c r="AD22" s="12">
        <v>905</v>
      </c>
      <c r="AE22" s="12">
        <v>900</v>
      </c>
      <c r="AF22" s="12">
        <v>938</v>
      </c>
    </row>
    <row r="23" spans="1:32">
      <c r="A23" s="20"/>
      <c r="B23" s="13" t="s">
        <v>500</v>
      </c>
      <c r="C23" s="14">
        <v>0.87</v>
      </c>
      <c r="D23" s="14">
        <v>0.89</v>
      </c>
      <c r="E23" s="14">
        <v>0.87</v>
      </c>
      <c r="F23" s="14">
        <v>0.81</v>
      </c>
      <c r="G23" s="14">
        <v>0.87</v>
      </c>
      <c r="H23" s="14">
        <v>0.81</v>
      </c>
      <c r="I23" s="14">
        <v>0.82000000000000006</v>
      </c>
      <c r="J23" s="14">
        <v>0.83000000000000007</v>
      </c>
      <c r="K23" s="14">
        <v>0.86</v>
      </c>
      <c r="L23" s="14">
        <v>0.95000000000000007</v>
      </c>
      <c r="M23" s="14">
        <v>0.94000000000000006</v>
      </c>
      <c r="N23" s="14">
        <v>0.93</v>
      </c>
      <c r="O23" s="14">
        <v>0.86</v>
      </c>
      <c r="P23" s="14">
        <v>0.89</v>
      </c>
      <c r="Q23" s="14">
        <v>0.92</v>
      </c>
      <c r="R23" s="14">
        <v>0.92</v>
      </c>
      <c r="S23" s="14">
        <v>0.83000000000000007</v>
      </c>
      <c r="T23" s="14">
        <v>0.83000000000000007</v>
      </c>
      <c r="U23" s="14">
        <v>0.92</v>
      </c>
      <c r="V23" s="14">
        <v>0.92</v>
      </c>
      <c r="W23" s="14">
        <v>0.93</v>
      </c>
      <c r="X23" s="14">
        <v>0.89</v>
      </c>
      <c r="Y23" s="14">
        <v>0.8</v>
      </c>
      <c r="Z23" s="14">
        <v>0.86</v>
      </c>
      <c r="AA23" s="14">
        <v>0.92</v>
      </c>
      <c r="AB23" s="14">
        <v>0.79</v>
      </c>
      <c r="AC23" s="14">
        <v>0.93</v>
      </c>
      <c r="AD23" s="14">
        <v>0.9</v>
      </c>
      <c r="AE23" s="14">
        <v>0.9</v>
      </c>
      <c r="AF23" s="14">
        <v>0.92</v>
      </c>
    </row>
    <row r="24" spans="1:32">
      <c r="A24" s="20"/>
      <c r="B24" s="11" t="s">
        <v>501</v>
      </c>
      <c r="C24" s="12">
        <v>2851</v>
      </c>
      <c r="D24" s="12">
        <v>110</v>
      </c>
      <c r="E24" s="12">
        <v>114</v>
      </c>
      <c r="F24" s="12">
        <v>161</v>
      </c>
      <c r="G24" s="12">
        <v>111</v>
      </c>
      <c r="H24" s="12">
        <v>205</v>
      </c>
      <c r="I24" s="12">
        <v>250</v>
      </c>
      <c r="J24" s="12">
        <v>45</v>
      </c>
      <c r="K24" s="12">
        <v>100</v>
      </c>
      <c r="L24" s="12">
        <v>36</v>
      </c>
      <c r="M24" s="12">
        <v>46</v>
      </c>
      <c r="N24" s="12">
        <v>58</v>
      </c>
      <c r="O24" s="12">
        <v>104</v>
      </c>
      <c r="P24" s="12">
        <v>107</v>
      </c>
      <c r="Q24" s="12">
        <v>78</v>
      </c>
      <c r="R24" s="12">
        <v>31</v>
      </c>
      <c r="S24" s="12">
        <v>99</v>
      </c>
      <c r="T24" s="12">
        <v>101</v>
      </c>
      <c r="U24" s="12">
        <v>29</v>
      </c>
      <c r="V24" s="12">
        <v>65</v>
      </c>
      <c r="W24" s="12">
        <v>33</v>
      </c>
      <c r="X24" s="12">
        <v>107</v>
      </c>
      <c r="Y24" s="12">
        <v>172</v>
      </c>
      <c r="Z24" s="12">
        <v>122</v>
      </c>
      <c r="AA24" s="12">
        <v>56</v>
      </c>
      <c r="AB24" s="12">
        <v>190</v>
      </c>
      <c r="AC24" s="12">
        <v>61</v>
      </c>
      <c r="AD24" s="12">
        <v>76</v>
      </c>
      <c r="AE24" s="12">
        <v>78</v>
      </c>
      <c r="AF24" s="12">
        <v>73</v>
      </c>
    </row>
    <row r="25" spans="1:32">
      <c r="A25" s="20"/>
      <c r="B25" s="13" t="s">
        <v>502</v>
      </c>
      <c r="C25" s="14">
        <v>0.11</v>
      </c>
      <c r="D25" s="14">
        <v>0.11</v>
      </c>
      <c r="E25" s="14">
        <v>0.11</v>
      </c>
      <c r="F25" s="14">
        <v>0.16</v>
      </c>
      <c r="G25" s="14">
        <v>0.11</v>
      </c>
      <c r="H25" s="14">
        <v>0.17</v>
      </c>
      <c r="I25" s="14">
        <v>0.16</v>
      </c>
      <c r="J25" s="14">
        <v>0.15</v>
      </c>
      <c r="K25" s="14">
        <v>0.1</v>
      </c>
      <c r="L25" s="14">
        <v>0.04</v>
      </c>
      <c r="M25" s="14">
        <v>0.05</v>
      </c>
      <c r="N25" s="14">
        <v>0.06</v>
      </c>
      <c r="O25" s="14">
        <v>0.11</v>
      </c>
      <c r="P25" s="14">
        <v>0.11</v>
      </c>
      <c r="Q25" s="14">
        <v>0.08</v>
      </c>
      <c r="R25" s="14">
        <v>0.06</v>
      </c>
      <c r="S25" s="14">
        <v>0.1</v>
      </c>
      <c r="T25" s="14">
        <v>0.1</v>
      </c>
      <c r="U25" s="14">
        <v>0.06</v>
      </c>
      <c r="V25" s="14">
        <v>7.0000000000000007E-2</v>
      </c>
      <c r="W25" s="14">
        <v>0.06</v>
      </c>
      <c r="X25" s="14">
        <v>0.11</v>
      </c>
      <c r="Y25" s="14">
        <v>0.17</v>
      </c>
      <c r="Z25" s="14">
        <v>0.12</v>
      </c>
      <c r="AA25" s="14">
        <v>0.05</v>
      </c>
      <c r="AB25" s="14">
        <v>0.18</v>
      </c>
      <c r="AC25" s="14">
        <v>0.06</v>
      </c>
      <c r="AD25" s="14">
        <v>0.08</v>
      </c>
      <c r="AE25" s="14">
        <v>0.08</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651</v>
      </c>
      <c r="C3" s="18"/>
      <c r="D3" s="18"/>
      <c r="E3" s="18"/>
      <c r="F3" s="18"/>
      <c r="H3" s="18" t="s">
        <v>652</v>
      </c>
      <c r="I3" s="18"/>
      <c r="J3" s="18"/>
      <c r="K3" s="18"/>
      <c r="L3" s="18"/>
    </row>
    <row r="4" spans="1:32" ht="27" customHeight="1">
      <c r="B4" s="18" t="s">
        <v>653</v>
      </c>
      <c r="C4" s="18"/>
      <c r="D4" s="18"/>
      <c r="E4" s="18"/>
      <c r="F4" s="18"/>
      <c r="H4" s="18" t="s">
        <v>654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11426</v>
      </c>
      <c r="D12" s="12">
        <v>388</v>
      </c>
      <c r="E12" s="12">
        <v>553</v>
      </c>
      <c r="F12" s="12">
        <v>449</v>
      </c>
      <c r="G12" s="12">
        <v>479</v>
      </c>
      <c r="H12" s="12">
        <v>392</v>
      </c>
      <c r="I12" s="12">
        <v>509</v>
      </c>
      <c r="J12" s="12">
        <v>116</v>
      </c>
      <c r="K12" s="12">
        <v>337</v>
      </c>
      <c r="L12" s="12">
        <v>662</v>
      </c>
      <c r="M12" s="12">
        <v>598</v>
      </c>
      <c r="N12" s="12">
        <v>571</v>
      </c>
      <c r="O12" s="12">
        <v>455</v>
      </c>
      <c r="P12" s="12">
        <v>431</v>
      </c>
      <c r="Q12" s="12">
        <v>502</v>
      </c>
      <c r="R12" s="12">
        <v>352</v>
      </c>
      <c r="S12" s="12">
        <v>348</v>
      </c>
      <c r="T12" s="12">
        <v>371</v>
      </c>
      <c r="U12" s="12">
        <v>274</v>
      </c>
      <c r="V12" s="12">
        <v>468</v>
      </c>
      <c r="W12" s="12">
        <v>273</v>
      </c>
      <c r="X12" s="12">
        <v>442</v>
      </c>
      <c r="Y12" s="12">
        <v>412</v>
      </c>
      <c r="Z12" s="12">
        <v>271</v>
      </c>
      <c r="AA12" s="12">
        <v>535</v>
      </c>
      <c r="AB12" s="12">
        <v>313</v>
      </c>
      <c r="AC12" s="12">
        <v>568</v>
      </c>
      <c r="AD12" s="12">
        <v>544</v>
      </c>
      <c r="AE12" s="12">
        <v>395</v>
      </c>
      <c r="AF12" s="12">
        <v>495</v>
      </c>
    </row>
    <row r="13" spans="1:32">
      <c r="A13" s="20"/>
      <c r="B13" s="13" t="s">
        <v>493</v>
      </c>
      <c r="C13" s="14">
        <v>0.43</v>
      </c>
      <c r="D13" s="14">
        <v>0.39</v>
      </c>
      <c r="E13" s="14">
        <v>0.54</v>
      </c>
      <c r="F13" s="14">
        <v>0.45</v>
      </c>
      <c r="G13" s="14">
        <v>0.48</v>
      </c>
      <c r="H13" s="14">
        <v>0.32</v>
      </c>
      <c r="I13" s="14">
        <v>0.34</v>
      </c>
      <c r="J13" s="14">
        <v>0.4</v>
      </c>
      <c r="K13" s="14">
        <v>0.34</v>
      </c>
      <c r="L13" s="14">
        <v>0.66</v>
      </c>
      <c r="M13" s="14">
        <v>0.59</v>
      </c>
      <c r="N13" s="14">
        <v>0.57000000000000006</v>
      </c>
      <c r="O13" s="14">
        <v>0.46</v>
      </c>
      <c r="P13" s="14">
        <v>0.42</v>
      </c>
      <c r="Q13" s="14">
        <v>0.49</v>
      </c>
      <c r="R13" s="14">
        <v>0.70000000000000007</v>
      </c>
      <c r="S13" s="14">
        <v>0.35</v>
      </c>
      <c r="T13" s="14">
        <v>0.37</v>
      </c>
      <c r="U13" s="14">
        <v>0.54</v>
      </c>
      <c r="V13" s="14">
        <v>0.46</v>
      </c>
      <c r="W13" s="14">
        <v>0.54</v>
      </c>
      <c r="X13" s="14">
        <v>0.43</v>
      </c>
      <c r="Y13" s="14">
        <v>0.41</v>
      </c>
      <c r="Z13" s="14">
        <v>0.27</v>
      </c>
      <c r="AA13" s="14">
        <v>0.51</v>
      </c>
      <c r="AB13" s="14">
        <v>0.3</v>
      </c>
      <c r="AC13" s="14">
        <v>0.56000000000000005</v>
      </c>
      <c r="AD13" s="14">
        <v>0.54</v>
      </c>
      <c r="AE13" s="14">
        <v>0.39</v>
      </c>
      <c r="AF13" s="14">
        <v>0.48</v>
      </c>
    </row>
    <row r="14" spans="1:32">
      <c r="A14" s="20"/>
      <c r="B14" s="11" t="s">
        <v>643</v>
      </c>
      <c r="C14" s="12">
        <v>12205</v>
      </c>
      <c r="D14" s="12">
        <v>484</v>
      </c>
      <c r="E14" s="12">
        <v>337</v>
      </c>
      <c r="F14" s="12">
        <v>415</v>
      </c>
      <c r="G14" s="12">
        <v>397</v>
      </c>
      <c r="H14" s="12">
        <v>661</v>
      </c>
      <c r="I14" s="12">
        <v>796</v>
      </c>
      <c r="J14" s="12">
        <v>135</v>
      </c>
      <c r="K14" s="12">
        <v>540</v>
      </c>
      <c r="L14" s="12">
        <v>295</v>
      </c>
      <c r="M14" s="12">
        <v>340</v>
      </c>
      <c r="N14" s="12">
        <v>378</v>
      </c>
      <c r="O14" s="12">
        <v>453</v>
      </c>
      <c r="P14" s="12">
        <v>489</v>
      </c>
      <c r="Q14" s="12">
        <v>455</v>
      </c>
      <c r="R14" s="12">
        <v>104</v>
      </c>
      <c r="S14" s="12">
        <v>540</v>
      </c>
      <c r="T14" s="12">
        <v>517</v>
      </c>
      <c r="U14" s="12">
        <v>199</v>
      </c>
      <c r="V14" s="12">
        <v>463</v>
      </c>
      <c r="W14" s="12">
        <v>170</v>
      </c>
      <c r="X14" s="12">
        <v>490</v>
      </c>
      <c r="Y14" s="12">
        <v>428</v>
      </c>
      <c r="Z14" s="12">
        <v>607</v>
      </c>
      <c r="AA14" s="12">
        <v>459</v>
      </c>
      <c r="AB14" s="12">
        <v>510</v>
      </c>
      <c r="AC14" s="12">
        <v>382</v>
      </c>
      <c r="AD14" s="12">
        <v>388</v>
      </c>
      <c r="AE14" s="12">
        <v>496</v>
      </c>
      <c r="AF14" s="12">
        <v>457</v>
      </c>
    </row>
    <row r="15" spans="1:32">
      <c r="A15" s="20"/>
      <c r="B15" s="13" t="s">
        <v>495</v>
      </c>
      <c r="C15" s="14">
        <v>0.46</v>
      </c>
      <c r="D15" s="14">
        <v>0.48</v>
      </c>
      <c r="E15" s="14">
        <v>0.33</v>
      </c>
      <c r="F15" s="14">
        <v>0.41</v>
      </c>
      <c r="G15" s="14">
        <v>0.39</v>
      </c>
      <c r="H15" s="14">
        <v>0.54</v>
      </c>
      <c r="I15" s="14">
        <v>0.53</v>
      </c>
      <c r="J15" s="14">
        <v>0.46</v>
      </c>
      <c r="K15" s="14">
        <v>0.54</v>
      </c>
      <c r="L15" s="14">
        <v>0.28999999999999998</v>
      </c>
      <c r="M15" s="14">
        <v>0.34</v>
      </c>
      <c r="N15" s="14">
        <v>0.38</v>
      </c>
      <c r="O15" s="14">
        <v>0.45</v>
      </c>
      <c r="P15" s="14">
        <v>0.48</v>
      </c>
      <c r="Q15" s="14">
        <v>0.45</v>
      </c>
      <c r="R15" s="14">
        <v>0.21</v>
      </c>
      <c r="S15" s="14">
        <v>0.53</v>
      </c>
      <c r="T15" s="14">
        <v>0.51</v>
      </c>
      <c r="U15" s="14">
        <v>0.39</v>
      </c>
      <c r="V15" s="14">
        <v>0.45</v>
      </c>
      <c r="W15" s="14">
        <v>0.34</v>
      </c>
      <c r="X15" s="14">
        <v>0.48</v>
      </c>
      <c r="Y15" s="14">
        <v>0.42</v>
      </c>
      <c r="Z15" s="14">
        <v>0.6</v>
      </c>
      <c r="AA15" s="14">
        <v>0.44</v>
      </c>
      <c r="AB15" s="14">
        <v>0.49</v>
      </c>
      <c r="AC15" s="14">
        <v>0.38</v>
      </c>
      <c r="AD15" s="14">
        <v>0.39</v>
      </c>
      <c r="AE15" s="14">
        <v>0.5</v>
      </c>
      <c r="AF15" s="14">
        <v>0.45</v>
      </c>
    </row>
    <row r="16" spans="1:32">
      <c r="A16" s="20"/>
      <c r="B16" s="11" t="s">
        <v>644</v>
      </c>
      <c r="C16" s="12">
        <v>1971</v>
      </c>
      <c r="D16" s="12">
        <v>115</v>
      </c>
      <c r="E16" s="12">
        <v>78</v>
      </c>
      <c r="F16" s="12">
        <v>97</v>
      </c>
      <c r="G16" s="12">
        <v>77</v>
      </c>
      <c r="H16" s="12">
        <v>127</v>
      </c>
      <c r="I16" s="12">
        <v>155</v>
      </c>
      <c r="J16" s="12">
        <v>28</v>
      </c>
      <c r="K16" s="12">
        <v>85</v>
      </c>
      <c r="L16" s="12">
        <v>27</v>
      </c>
      <c r="M16" s="12">
        <v>47</v>
      </c>
      <c r="N16" s="12">
        <v>43</v>
      </c>
      <c r="O16" s="12">
        <v>63</v>
      </c>
      <c r="P16" s="12">
        <v>80</v>
      </c>
      <c r="Q16" s="12">
        <v>52</v>
      </c>
      <c r="R16" s="12">
        <v>30</v>
      </c>
      <c r="S16" s="12">
        <v>70</v>
      </c>
      <c r="T16" s="12">
        <v>48</v>
      </c>
      <c r="U16" s="12">
        <v>28</v>
      </c>
      <c r="V16" s="12">
        <v>58</v>
      </c>
      <c r="W16" s="12">
        <v>29</v>
      </c>
      <c r="X16" s="12">
        <v>80</v>
      </c>
      <c r="Y16" s="12">
        <v>88</v>
      </c>
      <c r="Z16" s="12">
        <v>101</v>
      </c>
      <c r="AA16" s="12">
        <v>38</v>
      </c>
      <c r="AB16" s="12">
        <v>154</v>
      </c>
      <c r="AC16" s="12">
        <v>47</v>
      </c>
      <c r="AD16" s="12">
        <v>48</v>
      </c>
      <c r="AE16" s="12">
        <v>74</v>
      </c>
      <c r="AF16" s="12">
        <v>48</v>
      </c>
    </row>
    <row r="17" spans="1:32">
      <c r="A17" s="20"/>
      <c r="B17" s="13" t="s">
        <v>645</v>
      </c>
      <c r="C17" s="14">
        <v>0.08</v>
      </c>
      <c r="D17" s="14">
        <v>0.12</v>
      </c>
      <c r="E17" s="14">
        <v>0.08</v>
      </c>
      <c r="F17" s="14">
        <v>0.1</v>
      </c>
      <c r="G17" s="14">
        <v>0.08</v>
      </c>
      <c r="H17" s="14">
        <v>0.11</v>
      </c>
      <c r="I17" s="14">
        <v>0.1</v>
      </c>
      <c r="J17" s="14">
        <v>0.09</v>
      </c>
      <c r="K17" s="14">
        <v>0.08</v>
      </c>
      <c r="L17" s="14">
        <v>0.03</v>
      </c>
      <c r="M17" s="14">
        <v>0.05</v>
      </c>
      <c r="N17" s="14">
        <v>0.04</v>
      </c>
      <c r="O17" s="14">
        <v>0.06</v>
      </c>
      <c r="P17" s="14">
        <v>0.08</v>
      </c>
      <c r="Q17" s="14">
        <v>0.05</v>
      </c>
      <c r="R17" s="14">
        <v>0.06</v>
      </c>
      <c r="S17" s="14">
        <v>7.0000000000000007E-2</v>
      </c>
      <c r="T17" s="14">
        <v>0.05</v>
      </c>
      <c r="U17" s="14">
        <v>0.06</v>
      </c>
      <c r="V17" s="14">
        <v>0.06</v>
      </c>
      <c r="W17" s="14">
        <v>0.06</v>
      </c>
      <c r="X17" s="14">
        <v>0.08</v>
      </c>
      <c r="Y17" s="14">
        <v>0.09</v>
      </c>
      <c r="Z17" s="14">
        <v>0.1</v>
      </c>
      <c r="AA17" s="14">
        <v>0.04</v>
      </c>
      <c r="AB17" s="14">
        <v>0.15</v>
      </c>
      <c r="AC17" s="14">
        <v>0.05</v>
      </c>
      <c r="AD17" s="14">
        <v>0.05</v>
      </c>
      <c r="AE17" s="14">
        <v>7.0000000000000007E-2</v>
      </c>
      <c r="AF17" s="14">
        <v>0.05</v>
      </c>
    </row>
    <row r="18" spans="1:32">
      <c r="A18" s="20"/>
      <c r="B18" s="11" t="s">
        <v>646</v>
      </c>
      <c r="C18" s="12">
        <v>321</v>
      </c>
      <c r="D18" s="12">
        <v>12</v>
      </c>
      <c r="E18" s="12">
        <v>33</v>
      </c>
      <c r="F18" s="12">
        <v>21</v>
      </c>
      <c r="G18" s="12">
        <v>23</v>
      </c>
      <c r="H18" s="12">
        <v>10</v>
      </c>
      <c r="I18" s="12">
        <v>20</v>
      </c>
      <c r="J18" s="12">
        <v>10</v>
      </c>
      <c r="K18" s="12">
        <v>15</v>
      </c>
      <c r="L18" s="12">
        <v>7</v>
      </c>
      <c r="M18" s="12">
        <v>10</v>
      </c>
      <c r="N18" s="12">
        <v>4</v>
      </c>
      <c r="O18" s="12">
        <v>14</v>
      </c>
      <c r="P18" s="12">
        <v>20</v>
      </c>
      <c r="Q18" s="12">
        <v>7</v>
      </c>
      <c r="R18" s="12">
        <v>3</v>
      </c>
      <c r="S18" s="12">
        <v>3</v>
      </c>
      <c r="T18" s="12">
        <v>5</v>
      </c>
      <c r="U18" s="12">
        <v>0</v>
      </c>
      <c r="V18" s="12">
        <v>6</v>
      </c>
      <c r="W18" s="12">
        <v>25</v>
      </c>
      <c r="X18" s="12">
        <v>7</v>
      </c>
      <c r="Y18" s="12">
        <v>55</v>
      </c>
      <c r="Z18" s="12">
        <v>11</v>
      </c>
      <c r="AA18" s="12">
        <v>5</v>
      </c>
      <c r="AB18" s="12">
        <v>28</v>
      </c>
      <c r="AC18" s="12">
        <v>6</v>
      </c>
      <c r="AD18" s="12">
        <v>5</v>
      </c>
      <c r="AE18" s="12">
        <v>9</v>
      </c>
      <c r="AF18" s="12">
        <v>9</v>
      </c>
    </row>
    <row r="19" spans="1:32">
      <c r="A19" s="20"/>
      <c r="B19" s="13" t="s">
        <v>499</v>
      </c>
      <c r="C19" s="14">
        <v>0.01</v>
      </c>
      <c r="D19" s="14">
        <v>0.01</v>
      </c>
      <c r="E19" s="14">
        <v>0.03</v>
      </c>
      <c r="F19" s="14">
        <v>0.02</v>
      </c>
      <c r="G19" s="14">
        <v>0.02</v>
      </c>
      <c r="H19" s="14">
        <v>0.01</v>
      </c>
      <c r="I19" s="14">
        <v>0.01</v>
      </c>
      <c r="J19" s="14">
        <v>0.04</v>
      </c>
      <c r="K19" s="14">
        <v>0.01</v>
      </c>
      <c r="L19" s="14">
        <v>0.01</v>
      </c>
      <c r="M19" s="14">
        <v>0.01</v>
      </c>
      <c r="N19" s="15" t="s">
        <v>459</v>
      </c>
      <c r="O19" s="14">
        <v>0.01</v>
      </c>
      <c r="P19" s="14">
        <v>0.02</v>
      </c>
      <c r="Q19" s="14">
        <v>0.01</v>
      </c>
      <c r="R19" s="14">
        <v>0.01</v>
      </c>
      <c r="S19" s="15" t="s">
        <v>459</v>
      </c>
      <c r="T19" s="15" t="s">
        <v>459</v>
      </c>
      <c r="U19" s="15" t="s">
        <v>459</v>
      </c>
      <c r="V19" s="14">
        <v>0.01</v>
      </c>
      <c r="W19" s="14">
        <v>0.05</v>
      </c>
      <c r="X19" s="14">
        <v>0.01</v>
      </c>
      <c r="Y19" s="14">
        <v>0.05</v>
      </c>
      <c r="Z19" s="14">
        <v>0.01</v>
      </c>
      <c r="AA19" s="15" t="s">
        <v>459</v>
      </c>
      <c r="AB19" s="14">
        <v>0.03</v>
      </c>
      <c r="AC19" s="15" t="s">
        <v>459</v>
      </c>
      <c r="AD19" s="15" t="s">
        <v>459</v>
      </c>
      <c r="AE19" s="14">
        <v>0.01</v>
      </c>
      <c r="AF19" s="14">
        <v>0.01</v>
      </c>
    </row>
    <row r="20" spans="1:32">
      <c r="A20" s="20"/>
      <c r="B20" s="11" t="s">
        <v>468</v>
      </c>
      <c r="C20" s="12">
        <v>396</v>
      </c>
      <c r="D20" s="12">
        <v>4</v>
      </c>
      <c r="E20" s="12">
        <v>17</v>
      </c>
      <c r="F20" s="12">
        <v>24</v>
      </c>
      <c r="G20" s="12">
        <v>28</v>
      </c>
      <c r="H20" s="12">
        <v>26</v>
      </c>
      <c r="I20" s="12">
        <v>30</v>
      </c>
      <c r="J20" s="12">
        <v>4</v>
      </c>
      <c r="K20" s="12">
        <v>29</v>
      </c>
      <c r="L20" s="12">
        <v>16</v>
      </c>
      <c r="M20" s="12">
        <v>8</v>
      </c>
      <c r="N20" s="12">
        <v>7</v>
      </c>
      <c r="O20" s="12">
        <v>17</v>
      </c>
      <c r="P20" s="12">
        <v>2</v>
      </c>
      <c r="Q20" s="12">
        <v>3</v>
      </c>
      <c r="R20" s="12">
        <v>11</v>
      </c>
      <c r="S20" s="12">
        <v>46</v>
      </c>
      <c r="T20" s="12">
        <v>72</v>
      </c>
      <c r="U20" s="12">
        <v>5</v>
      </c>
      <c r="V20" s="12">
        <v>22</v>
      </c>
      <c r="W20" s="12">
        <v>7</v>
      </c>
      <c r="X20" s="12">
        <v>2</v>
      </c>
      <c r="Y20" s="12">
        <v>25</v>
      </c>
      <c r="Z20" s="12">
        <v>18</v>
      </c>
      <c r="AA20" s="12">
        <v>16</v>
      </c>
      <c r="AB20" s="12">
        <v>34</v>
      </c>
      <c r="AC20" s="12">
        <v>8</v>
      </c>
      <c r="AD20" s="12">
        <v>20</v>
      </c>
      <c r="AE20" s="12">
        <v>27</v>
      </c>
      <c r="AF20" s="12">
        <v>10</v>
      </c>
    </row>
    <row r="21" spans="1:32">
      <c r="A21" s="20"/>
      <c r="B21" s="13" t="s">
        <v>469</v>
      </c>
      <c r="C21" s="14">
        <v>0.02</v>
      </c>
      <c r="D21" s="15" t="s">
        <v>459</v>
      </c>
      <c r="E21" s="14">
        <v>0.02</v>
      </c>
      <c r="F21" s="14">
        <v>0.02</v>
      </c>
      <c r="G21" s="14">
        <v>0.03</v>
      </c>
      <c r="H21" s="14">
        <v>0.02</v>
      </c>
      <c r="I21" s="14">
        <v>0.02</v>
      </c>
      <c r="J21" s="14">
        <v>0.01</v>
      </c>
      <c r="K21" s="14">
        <v>0.03</v>
      </c>
      <c r="L21" s="14">
        <v>0.01</v>
      </c>
      <c r="M21" s="14">
        <v>0.01</v>
      </c>
      <c r="N21" s="14">
        <v>0.01</v>
      </c>
      <c r="O21" s="14">
        <v>0.02</v>
      </c>
      <c r="P21" s="15" t="s">
        <v>459</v>
      </c>
      <c r="Q21" s="15" t="s">
        <v>459</v>
      </c>
      <c r="R21" s="14">
        <v>0.02</v>
      </c>
      <c r="S21" s="14">
        <v>0.05</v>
      </c>
      <c r="T21" s="14">
        <v>7.0000000000000007E-2</v>
      </c>
      <c r="U21" s="14">
        <v>0.01</v>
      </c>
      <c r="V21" s="14">
        <v>0.02</v>
      </c>
      <c r="W21" s="14">
        <v>0.01</v>
      </c>
      <c r="X21" s="15" t="s">
        <v>459</v>
      </c>
      <c r="Y21" s="14">
        <v>0.03</v>
      </c>
      <c r="Z21" s="14">
        <v>0.02</v>
      </c>
      <c r="AA21" s="14">
        <v>0.01</v>
      </c>
      <c r="AB21" s="14">
        <v>0.03</v>
      </c>
      <c r="AC21" s="14">
        <v>0.01</v>
      </c>
      <c r="AD21" s="14">
        <v>0.02</v>
      </c>
      <c r="AE21" s="14">
        <v>0.03</v>
      </c>
      <c r="AF21" s="14">
        <v>0.01</v>
      </c>
    </row>
    <row r="22" spans="1:32">
      <c r="A22" s="20"/>
      <c r="B22" s="11" t="s">
        <v>500</v>
      </c>
      <c r="C22" s="12">
        <v>23631</v>
      </c>
      <c r="D22" s="12">
        <v>872</v>
      </c>
      <c r="E22" s="12">
        <v>890</v>
      </c>
      <c r="F22" s="12">
        <v>864</v>
      </c>
      <c r="G22" s="12">
        <v>876</v>
      </c>
      <c r="H22" s="12">
        <v>1053</v>
      </c>
      <c r="I22" s="12">
        <v>1305</v>
      </c>
      <c r="J22" s="12">
        <v>251</v>
      </c>
      <c r="K22" s="12">
        <v>877</v>
      </c>
      <c r="L22" s="12">
        <v>957</v>
      </c>
      <c r="M22" s="12">
        <v>938</v>
      </c>
      <c r="N22" s="12">
        <v>949</v>
      </c>
      <c r="O22" s="12">
        <v>908</v>
      </c>
      <c r="P22" s="12">
        <v>920</v>
      </c>
      <c r="Q22" s="12">
        <v>957</v>
      </c>
      <c r="R22" s="12">
        <v>456</v>
      </c>
      <c r="S22" s="12">
        <v>888</v>
      </c>
      <c r="T22" s="12">
        <v>888</v>
      </c>
      <c r="U22" s="12">
        <v>473</v>
      </c>
      <c r="V22" s="12">
        <v>931</v>
      </c>
      <c r="W22" s="12">
        <v>443</v>
      </c>
      <c r="X22" s="12">
        <v>932</v>
      </c>
      <c r="Y22" s="12">
        <v>840</v>
      </c>
      <c r="Z22" s="12">
        <v>878</v>
      </c>
      <c r="AA22" s="12">
        <v>994</v>
      </c>
      <c r="AB22" s="12">
        <v>823</v>
      </c>
      <c r="AC22" s="12">
        <v>950</v>
      </c>
      <c r="AD22" s="12">
        <v>932</v>
      </c>
      <c r="AE22" s="12">
        <v>891</v>
      </c>
      <c r="AF22" s="12">
        <v>952</v>
      </c>
    </row>
    <row r="23" spans="1:32">
      <c r="A23" s="20"/>
      <c r="B23" s="13" t="s">
        <v>500</v>
      </c>
      <c r="C23" s="14">
        <v>0.89</v>
      </c>
      <c r="D23" s="14">
        <v>0.87</v>
      </c>
      <c r="E23" s="14">
        <v>0.87</v>
      </c>
      <c r="F23" s="14">
        <v>0.86</v>
      </c>
      <c r="G23" s="14">
        <v>0.87</v>
      </c>
      <c r="H23" s="14">
        <v>0.86</v>
      </c>
      <c r="I23" s="14">
        <v>0.87</v>
      </c>
      <c r="J23" s="14">
        <v>0.86</v>
      </c>
      <c r="K23" s="14">
        <v>0.88</v>
      </c>
      <c r="L23" s="14">
        <v>0.95000000000000007</v>
      </c>
      <c r="M23" s="14">
        <v>0.93</v>
      </c>
      <c r="N23" s="14">
        <v>0.95000000000000007</v>
      </c>
      <c r="O23" s="14">
        <v>0.91</v>
      </c>
      <c r="P23" s="14">
        <v>0.9</v>
      </c>
      <c r="Q23" s="14">
        <v>0.94000000000000006</v>
      </c>
      <c r="R23" s="14">
        <v>0.91</v>
      </c>
      <c r="S23" s="14">
        <v>0.88</v>
      </c>
      <c r="T23" s="14">
        <v>0.88</v>
      </c>
      <c r="U23" s="14">
        <v>0.93</v>
      </c>
      <c r="V23" s="14">
        <v>0.91</v>
      </c>
      <c r="W23" s="14">
        <v>0.88</v>
      </c>
      <c r="X23" s="14">
        <v>0.91</v>
      </c>
      <c r="Y23" s="14">
        <v>0.83000000000000007</v>
      </c>
      <c r="Z23" s="14">
        <v>0.87</v>
      </c>
      <c r="AA23" s="14">
        <v>0.95000000000000007</v>
      </c>
      <c r="AB23" s="14">
        <v>0.79</v>
      </c>
      <c r="AC23" s="14">
        <v>0.94000000000000006</v>
      </c>
      <c r="AD23" s="14">
        <v>0.93</v>
      </c>
      <c r="AE23" s="14">
        <v>0.89</v>
      </c>
      <c r="AF23" s="14">
        <v>0.93</v>
      </c>
    </row>
    <row r="24" spans="1:32">
      <c r="A24" s="20"/>
      <c r="B24" s="11" t="s">
        <v>501</v>
      </c>
      <c r="C24" s="12">
        <v>2292</v>
      </c>
      <c r="D24" s="12">
        <v>127</v>
      </c>
      <c r="E24" s="12">
        <v>111</v>
      </c>
      <c r="F24" s="12">
        <v>118</v>
      </c>
      <c r="G24" s="12">
        <v>100</v>
      </c>
      <c r="H24" s="12">
        <v>137</v>
      </c>
      <c r="I24" s="12">
        <v>175</v>
      </c>
      <c r="J24" s="12">
        <v>38</v>
      </c>
      <c r="K24" s="12">
        <v>100</v>
      </c>
      <c r="L24" s="12">
        <v>34</v>
      </c>
      <c r="M24" s="12">
        <v>57</v>
      </c>
      <c r="N24" s="12">
        <v>47</v>
      </c>
      <c r="O24" s="12">
        <v>77</v>
      </c>
      <c r="P24" s="12">
        <v>100</v>
      </c>
      <c r="Q24" s="12">
        <v>59</v>
      </c>
      <c r="R24" s="12">
        <v>33</v>
      </c>
      <c r="S24" s="12">
        <v>73</v>
      </c>
      <c r="T24" s="12">
        <v>53</v>
      </c>
      <c r="U24" s="12">
        <v>28</v>
      </c>
      <c r="V24" s="12">
        <v>64</v>
      </c>
      <c r="W24" s="12">
        <v>54</v>
      </c>
      <c r="X24" s="12">
        <v>87</v>
      </c>
      <c r="Y24" s="12">
        <v>143</v>
      </c>
      <c r="Z24" s="12">
        <v>112</v>
      </c>
      <c r="AA24" s="12">
        <v>43</v>
      </c>
      <c r="AB24" s="12">
        <v>182</v>
      </c>
      <c r="AC24" s="12">
        <v>53</v>
      </c>
      <c r="AD24" s="12">
        <v>53</v>
      </c>
      <c r="AE24" s="12">
        <v>83</v>
      </c>
      <c r="AF24" s="12">
        <v>57</v>
      </c>
    </row>
    <row r="25" spans="1:32">
      <c r="A25" s="20"/>
      <c r="B25" s="13" t="s">
        <v>502</v>
      </c>
      <c r="C25" s="14">
        <v>0.09</v>
      </c>
      <c r="D25" s="14">
        <v>0.13</v>
      </c>
      <c r="E25" s="14">
        <v>0.11</v>
      </c>
      <c r="F25" s="14">
        <v>0.12</v>
      </c>
      <c r="G25" s="14">
        <v>0.1</v>
      </c>
      <c r="H25" s="14">
        <v>0.12</v>
      </c>
      <c r="I25" s="14">
        <v>0.11</v>
      </c>
      <c r="J25" s="14">
        <v>0.13</v>
      </c>
      <c r="K25" s="14">
        <v>0.09</v>
      </c>
      <c r="L25" s="14">
        <v>0.04</v>
      </c>
      <c r="M25" s="14">
        <v>0.06</v>
      </c>
      <c r="N25" s="14">
        <v>0.04</v>
      </c>
      <c r="O25" s="14">
        <v>7.0000000000000007E-2</v>
      </c>
      <c r="P25" s="14">
        <v>0.1</v>
      </c>
      <c r="Q25" s="14">
        <v>0.06</v>
      </c>
      <c r="R25" s="14">
        <v>7.0000000000000007E-2</v>
      </c>
      <c r="S25" s="14">
        <v>7.0000000000000007E-2</v>
      </c>
      <c r="T25" s="14">
        <v>0.05</v>
      </c>
      <c r="U25" s="14">
        <v>0.06</v>
      </c>
      <c r="V25" s="14">
        <v>7.0000000000000007E-2</v>
      </c>
      <c r="W25" s="14">
        <v>0.11</v>
      </c>
      <c r="X25" s="14">
        <v>0.09</v>
      </c>
      <c r="Y25" s="14">
        <v>0.14000000000000001</v>
      </c>
      <c r="Z25" s="14">
        <v>0.11</v>
      </c>
      <c r="AA25" s="14">
        <v>0.04</v>
      </c>
      <c r="AB25" s="14">
        <v>0.18</v>
      </c>
      <c r="AC25" s="14">
        <v>0.05</v>
      </c>
      <c r="AD25" s="14">
        <v>0.05</v>
      </c>
      <c r="AE25" s="14">
        <v>0.08</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655</v>
      </c>
      <c r="C3" s="18"/>
      <c r="D3" s="18"/>
      <c r="E3" s="18"/>
      <c r="F3" s="18"/>
      <c r="H3" s="18" t="s">
        <v>656</v>
      </c>
      <c r="I3" s="18"/>
      <c r="J3" s="18"/>
      <c r="K3" s="18"/>
      <c r="L3" s="18"/>
    </row>
    <row r="4" spans="1:32" ht="27" customHeight="1">
      <c r="B4" s="18" t="s">
        <v>657</v>
      </c>
      <c r="C4" s="18"/>
      <c r="D4" s="18"/>
      <c r="E4" s="18"/>
      <c r="F4" s="18"/>
      <c r="H4" s="18" t="s">
        <v>658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14022</v>
      </c>
      <c r="D12" s="12">
        <v>456</v>
      </c>
      <c r="E12" s="12">
        <v>680</v>
      </c>
      <c r="F12" s="12">
        <v>543</v>
      </c>
      <c r="G12" s="12">
        <v>672</v>
      </c>
      <c r="H12" s="12">
        <v>513</v>
      </c>
      <c r="I12" s="12">
        <v>658</v>
      </c>
      <c r="J12" s="12">
        <v>145</v>
      </c>
      <c r="K12" s="12">
        <v>537</v>
      </c>
      <c r="L12" s="12">
        <v>719</v>
      </c>
      <c r="M12" s="12">
        <v>724</v>
      </c>
      <c r="N12" s="12">
        <v>621</v>
      </c>
      <c r="O12" s="12">
        <v>568</v>
      </c>
      <c r="P12" s="12">
        <v>477</v>
      </c>
      <c r="Q12" s="12">
        <v>592</v>
      </c>
      <c r="R12" s="12">
        <v>391</v>
      </c>
      <c r="S12" s="12">
        <v>525</v>
      </c>
      <c r="T12" s="12">
        <v>539</v>
      </c>
      <c r="U12" s="12">
        <v>333</v>
      </c>
      <c r="V12" s="12">
        <v>538</v>
      </c>
      <c r="W12" s="12">
        <v>382</v>
      </c>
      <c r="X12" s="12">
        <v>587</v>
      </c>
      <c r="Y12" s="12">
        <v>516</v>
      </c>
      <c r="Z12" s="12">
        <v>369</v>
      </c>
      <c r="AA12" s="12">
        <v>644</v>
      </c>
      <c r="AB12" s="12">
        <v>392</v>
      </c>
      <c r="AC12" s="12">
        <v>649</v>
      </c>
      <c r="AD12" s="12">
        <v>621</v>
      </c>
      <c r="AE12" s="12">
        <v>662</v>
      </c>
      <c r="AF12" s="12">
        <v>644</v>
      </c>
    </row>
    <row r="13" spans="1:32">
      <c r="A13" s="20"/>
      <c r="B13" s="13" t="s">
        <v>493</v>
      </c>
      <c r="C13" s="14">
        <v>0.53</v>
      </c>
      <c r="D13" s="14">
        <v>0.46</v>
      </c>
      <c r="E13" s="14">
        <v>0.67</v>
      </c>
      <c r="F13" s="14">
        <v>0.54</v>
      </c>
      <c r="G13" s="14">
        <v>0.67</v>
      </c>
      <c r="H13" s="14">
        <v>0.42</v>
      </c>
      <c r="I13" s="14">
        <v>0.43</v>
      </c>
      <c r="J13" s="14">
        <v>0.49</v>
      </c>
      <c r="K13" s="14">
        <v>0.53</v>
      </c>
      <c r="L13" s="14">
        <v>0.71</v>
      </c>
      <c r="M13" s="14">
        <v>0.72</v>
      </c>
      <c r="N13" s="14">
        <v>0.62</v>
      </c>
      <c r="O13" s="14">
        <v>0.57000000000000006</v>
      </c>
      <c r="P13" s="14">
        <v>0.47</v>
      </c>
      <c r="Q13" s="14">
        <v>0.57999999999999996</v>
      </c>
      <c r="R13" s="14">
        <v>0.78</v>
      </c>
      <c r="S13" s="14">
        <v>0.52</v>
      </c>
      <c r="T13" s="14">
        <v>0.53</v>
      </c>
      <c r="U13" s="14">
        <v>0.65</v>
      </c>
      <c r="V13" s="14">
        <v>0.53</v>
      </c>
      <c r="W13" s="14">
        <v>0.76</v>
      </c>
      <c r="X13" s="14">
        <v>0.57000000000000006</v>
      </c>
      <c r="Y13" s="14">
        <v>0.51</v>
      </c>
      <c r="Z13" s="14">
        <v>0.37</v>
      </c>
      <c r="AA13" s="14">
        <v>0.61</v>
      </c>
      <c r="AB13" s="14">
        <v>0.38</v>
      </c>
      <c r="AC13" s="14">
        <v>0.64</v>
      </c>
      <c r="AD13" s="14">
        <v>0.62</v>
      </c>
      <c r="AE13" s="14">
        <v>0.66</v>
      </c>
      <c r="AF13" s="14">
        <v>0.63</v>
      </c>
    </row>
    <row r="14" spans="1:32">
      <c r="A14" s="20"/>
      <c r="B14" s="11" t="s">
        <v>643</v>
      </c>
      <c r="C14" s="12">
        <v>10168</v>
      </c>
      <c r="D14" s="12">
        <v>455</v>
      </c>
      <c r="E14" s="12">
        <v>272</v>
      </c>
      <c r="F14" s="12">
        <v>347</v>
      </c>
      <c r="G14" s="12">
        <v>288</v>
      </c>
      <c r="H14" s="12">
        <v>580</v>
      </c>
      <c r="I14" s="12">
        <v>704</v>
      </c>
      <c r="J14" s="12">
        <v>125</v>
      </c>
      <c r="K14" s="12">
        <v>404</v>
      </c>
      <c r="L14" s="12">
        <v>265</v>
      </c>
      <c r="M14" s="12">
        <v>254</v>
      </c>
      <c r="N14" s="12">
        <v>332</v>
      </c>
      <c r="O14" s="12">
        <v>363</v>
      </c>
      <c r="P14" s="12">
        <v>473</v>
      </c>
      <c r="Q14" s="12">
        <v>362</v>
      </c>
      <c r="R14" s="12">
        <v>75</v>
      </c>
      <c r="S14" s="12">
        <v>417</v>
      </c>
      <c r="T14" s="12">
        <v>418</v>
      </c>
      <c r="U14" s="12">
        <v>156</v>
      </c>
      <c r="V14" s="12">
        <v>393</v>
      </c>
      <c r="W14" s="12">
        <v>82</v>
      </c>
      <c r="X14" s="12">
        <v>384</v>
      </c>
      <c r="Y14" s="12">
        <v>360</v>
      </c>
      <c r="Z14" s="12">
        <v>523</v>
      </c>
      <c r="AA14" s="12">
        <v>362</v>
      </c>
      <c r="AB14" s="12">
        <v>406</v>
      </c>
      <c r="AC14" s="12">
        <v>318</v>
      </c>
      <c r="AD14" s="12">
        <v>333</v>
      </c>
      <c r="AE14" s="12">
        <v>309</v>
      </c>
      <c r="AF14" s="12">
        <v>335</v>
      </c>
    </row>
    <row r="15" spans="1:32">
      <c r="A15" s="20"/>
      <c r="B15" s="13" t="s">
        <v>495</v>
      </c>
      <c r="C15" s="14">
        <v>0.39</v>
      </c>
      <c r="D15" s="14">
        <v>0.45</v>
      </c>
      <c r="E15" s="14">
        <v>0.27</v>
      </c>
      <c r="F15" s="14">
        <v>0.34</v>
      </c>
      <c r="G15" s="14">
        <v>0.28999999999999998</v>
      </c>
      <c r="H15" s="14">
        <v>0.48</v>
      </c>
      <c r="I15" s="14">
        <v>0.47</v>
      </c>
      <c r="J15" s="14">
        <v>0.42</v>
      </c>
      <c r="K15" s="14">
        <v>0.4</v>
      </c>
      <c r="L15" s="14">
        <v>0.26</v>
      </c>
      <c r="M15" s="14">
        <v>0.25</v>
      </c>
      <c r="N15" s="14">
        <v>0.33</v>
      </c>
      <c r="O15" s="14">
        <v>0.36</v>
      </c>
      <c r="P15" s="14">
        <v>0.46</v>
      </c>
      <c r="Q15" s="14">
        <v>0.36</v>
      </c>
      <c r="R15" s="14">
        <v>0.15</v>
      </c>
      <c r="S15" s="14">
        <v>0.41</v>
      </c>
      <c r="T15" s="14">
        <v>0.41</v>
      </c>
      <c r="U15" s="14">
        <v>0.31</v>
      </c>
      <c r="V15" s="14">
        <v>0.38</v>
      </c>
      <c r="W15" s="14">
        <v>0.16</v>
      </c>
      <c r="X15" s="14">
        <v>0.38</v>
      </c>
      <c r="Y15" s="14">
        <v>0.36</v>
      </c>
      <c r="Z15" s="14">
        <v>0.52</v>
      </c>
      <c r="AA15" s="14">
        <v>0.35</v>
      </c>
      <c r="AB15" s="14">
        <v>0.39</v>
      </c>
      <c r="AC15" s="14">
        <v>0.32</v>
      </c>
      <c r="AD15" s="14">
        <v>0.33</v>
      </c>
      <c r="AE15" s="14">
        <v>0.31</v>
      </c>
      <c r="AF15" s="14">
        <v>0.33</v>
      </c>
    </row>
    <row r="16" spans="1:32">
      <c r="A16" s="20"/>
      <c r="B16" s="11" t="s">
        <v>644</v>
      </c>
      <c r="C16" s="12">
        <v>1511</v>
      </c>
      <c r="D16" s="12">
        <v>80</v>
      </c>
      <c r="E16" s="12">
        <v>34</v>
      </c>
      <c r="F16" s="12">
        <v>76</v>
      </c>
      <c r="G16" s="12">
        <v>21</v>
      </c>
      <c r="H16" s="12">
        <v>89</v>
      </c>
      <c r="I16" s="12">
        <v>108</v>
      </c>
      <c r="J16" s="12">
        <v>19</v>
      </c>
      <c r="K16" s="12">
        <v>45</v>
      </c>
      <c r="L16" s="12">
        <v>9</v>
      </c>
      <c r="M16" s="12">
        <v>17</v>
      </c>
      <c r="N16" s="12">
        <v>30</v>
      </c>
      <c r="O16" s="12">
        <v>52</v>
      </c>
      <c r="P16" s="12">
        <v>53</v>
      </c>
      <c r="Q16" s="12">
        <v>54</v>
      </c>
      <c r="R16" s="12">
        <v>19</v>
      </c>
      <c r="S16" s="12">
        <v>36</v>
      </c>
      <c r="T16" s="12">
        <v>21</v>
      </c>
      <c r="U16" s="12">
        <v>10</v>
      </c>
      <c r="V16" s="12">
        <v>71</v>
      </c>
      <c r="W16" s="12">
        <v>25</v>
      </c>
      <c r="X16" s="12">
        <v>46</v>
      </c>
      <c r="Y16" s="12">
        <v>63</v>
      </c>
      <c r="Z16" s="12">
        <v>83</v>
      </c>
      <c r="AA16" s="12">
        <v>34</v>
      </c>
      <c r="AB16" s="12">
        <v>160</v>
      </c>
      <c r="AC16" s="12">
        <v>32</v>
      </c>
      <c r="AD16" s="12">
        <v>26</v>
      </c>
      <c r="AE16" s="12">
        <v>22</v>
      </c>
      <c r="AF16" s="12">
        <v>28</v>
      </c>
    </row>
    <row r="17" spans="1:32">
      <c r="A17" s="20"/>
      <c r="B17" s="13" t="s">
        <v>645</v>
      </c>
      <c r="C17" s="14">
        <v>0.06</v>
      </c>
      <c r="D17" s="14">
        <v>0.08</v>
      </c>
      <c r="E17" s="14">
        <v>0.03</v>
      </c>
      <c r="F17" s="14">
        <v>0.08</v>
      </c>
      <c r="G17" s="14">
        <v>0.02</v>
      </c>
      <c r="H17" s="14">
        <v>7.0000000000000007E-2</v>
      </c>
      <c r="I17" s="14">
        <v>7.0000000000000007E-2</v>
      </c>
      <c r="J17" s="14">
        <v>7.0000000000000007E-2</v>
      </c>
      <c r="K17" s="14">
        <v>0.05</v>
      </c>
      <c r="L17" s="14">
        <v>0.01</v>
      </c>
      <c r="M17" s="14">
        <v>0.02</v>
      </c>
      <c r="N17" s="14">
        <v>0.03</v>
      </c>
      <c r="O17" s="14">
        <v>0.05</v>
      </c>
      <c r="P17" s="14">
        <v>0.05</v>
      </c>
      <c r="Q17" s="14">
        <v>0.05</v>
      </c>
      <c r="R17" s="14">
        <v>0.04</v>
      </c>
      <c r="S17" s="14">
        <v>0.04</v>
      </c>
      <c r="T17" s="14">
        <v>0.02</v>
      </c>
      <c r="U17" s="14">
        <v>0.02</v>
      </c>
      <c r="V17" s="14">
        <v>7.0000000000000007E-2</v>
      </c>
      <c r="W17" s="14">
        <v>0.05</v>
      </c>
      <c r="X17" s="14">
        <v>0.05</v>
      </c>
      <c r="Y17" s="14">
        <v>0.06</v>
      </c>
      <c r="Z17" s="14">
        <v>0.08</v>
      </c>
      <c r="AA17" s="14">
        <v>0.03</v>
      </c>
      <c r="AB17" s="14">
        <v>0.15</v>
      </c>
      <c r="AC17" s="14">
        <v>0.03</v>
      </c>
      <c r="AD17" s="14">
        <v>0.03</v>
      </c>
      <c r="AE17" s="14">
        <v>0.02</v>
      </c>
      <c r="AF17" s="14">
        <v>0.03</v>
      </c>
    </row>
    <row r="18" spans="1:32">
      <c r="A18" s="20"/>
      <c r="B18" s="11" t="s">
        <v>646</v>
      </c>
      <c r="C18" s="12">
        <v>320</v>
      </c>
      <c r="D18" s="12">
        <v>8</v>
      </c>
      <c r="E18" s="12">
        <v>13</v>
      </c>
      <c r="F18" s="12">
        <v>18</v>
      </c>
      <c r="G18" s="12">
        <v>3</v>
      </c>
      <c r="H18" s="12">
        <v>12</v>
      </c>
      <c r="I18" s="12">
        <v>14</v>
      </c>
      <c r="J18" s="12">
        <v>2</v>
      </c>
      <c r="K18" s="12">
        <v>14</v>
      </c>
      <c r="L18" s="12">
        <v>7</v>
      </c>
      <c r="M18" s="12">
        <v>7</v>
      </c>
      <c r="N18" s="12">
        <v>10</v>
      </c>
      <c r="O18" s="12">
        <v>11</v>
      </c>
      <c r="P18" s="12">
        <v>13</v>
      </c>
      <c r="Q18" s="12">
        <v>9</v>
      </c>
      <c r="R18" s="12">
        <v>4</v>
      </c>
      <c r="S18" s="12">
        <v>5</v>
      </c>
      <c r="T18" s="12">
        <v>0</v>
      </c>
      <c r="U18" s="12">
        <v>0</v>
      </c>
      <c r="V18" s="12">
        <v>7</v>
      </c>
      <c r="W18" s="12">
        <v>11</v>
      </c>
      <c r="X18" s="12">
        <v>2</v>
      </c>
      <c r="Y18" s="12">
        <v>54</v>
      </c>
      <c r="Z18" s="12">
        <v>20</v>
      </c>
      <c r="AA18" s="12">
        <v>2</v>
      </c>
      <c r="AB18" s="12">
        <v>48</v>
      </c>
      <c r="AC18" s="12">
        <v>4</v>
      </c>
      <c r="AD18" s="12">
        <v>2</v>
      </c>
      <c r="AE18" s="12">
        <v>3</v>
      </c>
      <c r="AF18" s="12">
        <v>6</v>
      </c>
    </row>
    <row r="19" spans="1:32">
      <c r="A19" s="20"/>
      <c r="B19" s="13" t="s">
        <v>499</v>
      </c>
      <c r="C19" s="14">
        <v>0.01</v>
      </c>
      <c r="D19" s="14">
        <v>0.01</v>
      </c>
      <c r="E19" s="14">
        <v>0.01</v>
      </c>
      <c r="F19" s="14">
        <v>0.02</v>
      </c>
      <c r="G19" s="15" t="s">
        <v>459</v>
      </c>
      <c r="H19" s="14">
        <v>0.01</v>
      </c>
      <c r="I19" s="14">
        <v>0.01</v>
      </c>
      <c r="J19" s="14">
        <v>0.01</v>
      </c>
      <c r="K19" s="14">
        <v>0.01</v>
      </c>
      <c r="L19" s="14">
        <v>0.01</v>
      </c>
      <c r="M19" s="14">
        <v>0.01</v>
      </c>
      <c r="N19" s="14">
        <v>0.01</v>
      </c>
      <c r="O19" s="14">
        <v>0.01</v>
      </c>
      <c r="P19" s="14">
        <v>0.01</v>
      </c>
      <c r="Q19" s="14">
        <v>0.01</v>
      </c>
      <c r="R19" s="14">
        <v>0.01</v>
      </c>
      <c r="S19" s="14">
        <v>0.01</v>
      </c>
      <c r="T19" s="15" t="s">
        <v>459</v>
      </c>
      <c r="U19" s="15" t="s">
        <v>459</v>
      </c>
      <c r="V19" s="14">
        <v>0.01</v>
      </c>
      <c r="W19" s="14">
        <v>0.02</v>
      </c>
      <c r="X19" s="15" t="s">
        <v>459</v>
      </c>
      <c r="Y19" s="14">
        <v>0.05</v>
      </c>
      <c r="Z19" s="14">
        <v>0.02</v>
      </c>
      <c r="AA19" s="15" t="s">
        <v>459</v>
      </c>
      <c r="AB19" s="14">
        <v>0.05</v>
      </c>
      <c r="AC19" s="15" t="s">
        <v>459</v>
      </c>
      <c r="AD19" s="15" t="s">
        <v>459</v>
      </c>
      <c r="AE19" s="15" t="s">
        <v>459</v>
      </c>
      <c r="AF19" s="15" t="s">
        <v>459</v>
      </c>
    </row>
    <row r="20" spans="1:32">
      <c r="A20" s="20"/>
      <c r="B20" s="11" t="s">
        <v>468</v>
      </c>
      <c r="C20" s="12">
        <v>298</v>
      </c>
      <c r="D20" s="12">
        <v>4</v>
      </c>
      <c r="E20" s="12">
        <v>19</v>
      </c>
      <c r="F20" s="12">
        <v>21</v>
      </c>
      <c r="G20" s="12">
        <v>19</v>
      </c>
      <c r="H20" s="12">
        <v>23</v>
      </c>
      <c r="I20" s="12">
        <v>26</v>
      </c>
      <c r="J20" s="12">
        <v>3</v>
      </c>
      <c r="K20" s="12">
        <v>6</v>
      </c>
      <c r="L20" s="12">
        <v>8</v>
      </c>
      <c r="M20" s="12">
        <v>2</v>
      </c>
      <c r="N20" s="12">
        <v>11</v>
      </c>
      <c r="O20" s="12">
        <v>8</v>
      </c>
      <c r="P20" s="12">
        <v>6</v>
      </c>
      <c r="Q20" s="12">
        <v>2</v>
      </c>
      <c r="R20" s="12">
        <v>12</v>
      </c>
      <c r="S20" s="12">
        <v>25</v>
      </c>
      <c r="T20" s="12">
        <v>36</v>
      </c>
      <c r="U20" s="12">
        <v>9</v>
      </c>
      <c r="V20" s="12">
        <v>9</v>
      </c>
      <c r="W20" s="12">
        <v>3</v>
      </c>
      <c r="X20" s="12">
        <v>2</v>
      </c>
      <c r="Y20" s="12">
        <v>15</v>
      </c>
      <c r="Z20" s="12">
        <v>12</v>
      </c>
      <c r="AA20" s="12">
        <v>10</v>
      </c>
      <c r="AB20" s="12">
        <v>33</v>
      </c>
      <c r="AC20" s="12">
        <v>7</v>
      </c>
      <c r="AD20" s="12">
        <v>24</v>
      </c>
      <c r="AE20" s="12">
        <v>5</v>
      </c>
      <c r="AF20" s="12">
        <v>7</v>
      </c>
    </row>
    <row r="21" spans="1:32">
      <c r="A21" s="20"/>
      <c r="B21" s="13" t="s">
        <v>469</v>
      </c>
      <c r="C21" s="14">
        <v>0.01</v>
      </c>
      <c r="D21" s="15" t="s">
        <v>459</v>
      </c>
      <c r="E21" s="14">
        <v>0.02</v>
      </c>
      <c r="F21" s="14">
        <v>0.02</v>
      </c>
      <c r="G21" s="14">
        <v>0.02</v>
      </c>
      <c r="H21" s="14">
        <v>0.02</v>
      </c>
      <c r="I21" s="14">
        <v>0.02</v>
      </c>
      <c r="J21" s="14">
        <v>0.01</v>
      </c>
      <c r="K21" s="14">
        <v>0.01</v>
      </c>
      <c r="L21" s="14">
        <v>0.01</v>
      </c>
      <c r="M21" s="15" t="s">
        <v>459</v>
      </c>
      <c r="N21" s="14">
        <v>0.01</v>
      </c>
      <c r="O21" s="14">
        <v>0.01</v>
      </c>
      <c r="P21" s="14">
        <v>0.01</v>
      </c>
      <c r="Q21" s="15" t="s">
        <v>459</v>
      </c>
      <c r="R21" s="14">
        <v>0.02</v>
      </c>
      <c r="S21" s="14">
        <v>0.02</v>
      </c>
      <c r="T21" s="14">
        <v>0.04</v>
      </c>
      <c r="U21" s="14">
        <v>0.02</v>
      </c>
      <c r="V21" s="14">
        <v>0.01</v>
      </c>
      <c r="W21" s="14">
        <v>0.01</v>
      </c>
      <c r="X21" s="15" t="s">
        <v>459</v>
      </c>
      <c r="Y21" s="14">
        <v>0.02</v>
      </c>
      <c r="Z21" s="14">
        <v>0.01</v>
      </c>
      <c r="AA21" s="14">
        <v>0.01</v>
      </c>
      <c r="AB21" s="14">
        <v>0.03</v>
      </c>
      <c r="AC21" s="14">
        <v>0.01</v>
      </c>
      <c r="AD21" s="14">
        <v>0.02</v>
      </c>
      <c r="AE21" s="14">
        <v>0.01</v>
      </c>
      <c r="AF21" s="14">
        <v>0.01</v>
      </c>
    </row>
    <row r="22" spans="1:32">
      <c r="A22" s="20"/>
      <c r="B22" s="11" t="s">
        <v>500</v>
      </c>
      <c r="C22" s="12">
        <v>24190</v>
      </c>
      <c r="D22" s="12">
        <v>911</v>
      </c>
      <c r="E22" s="12">
        <v>952</v>
      </c>
      <c r="F22" s="12">
        <v>890</v>
      </c>
      <c r="G22" s="12">
        <v>960</v>
      </c>
      <c r="H22" s="12">
        <v>1093</v>
      </c>
      <c r="I22" s="12">
        <v>1362</v>
      </c>
      <c r="J22" s="12">
        <v>270</v>
      </c>
      <c r="K22" s="12">
        <v>941</v>
      </c>
      <c r="L22" s="12">
        <v>984</v>
      </c>
      <c r="M22" s="12">
        <v>978</v>
      </c>
      <c r="N22" s="12">
        <v>953</v>
      </c>
      <c r="O22" s="12">
        <v>931</v>
      </c>
      <c r="P22" s="12">
        <v>950</v>
      </c>
      <c r="Q22" s="12">
        <v>954</v>
      </c>
      <c r="R22" s="12">
        <v>466</v>
      </c>
      <c r="S22" s="12">
        <v>942</v>
      </c>
      <c r="T22" s="12">
        <v>957</v>
      </c>
      <c r="U22" s="12">
        <v>489</v>
      </c>
      <c r="V22" s="12">
        <v>931</v>
      </c>
      <c r="W22" s="12">
        <v>464</v>
      </c>
      <c r="X22" s="12">
        <v>971</v>
      </c>
      <c r="Y22" s="12">
        <v>876</v>
      </c>
      <c r="Z22" s="12">
        <v>892</v>
      </c>
      <c r="AA22" s="12">
        <v>1006</v>
      </c>
      <c r="AB22" s="12">
        <v>798</v>
      </c>
      <c r="AC22" s="12">
        <v>967</v>
      </c>
      <c r="AD22" s="12">
        <v>954</v>
      </c>
      <c r="AE22" s="12">
        <v>971</v>
      </c>
      <c r="AF22" s="12">
        <v>979</v>
      </c>
    </row>
    <row r="23" spans="1:32">
      <c r="A23" s="20"/>
      <c r="B23" s="13" t="s">
        <v>500</v>
      </c>
      <c r="C23" s="14">
        <v>0.92</v>
      </c>
      <c r="D23" s="14">
        <v>0.91</v>
      </c>
      <c r="E23" s="14">
        <v>0.94000000000000006</v>
      </c>
      <c r="F23" s="14">
        <v>0.88</v>
      </c>
      <c r="G23" s="14">
        <v>0.96</v>
      </c>
      <c r="H23" s="14">
        <v>0.9</v>
      </c>
      <c r="I23" s="14">
        <v>0.9</v>
      </c>
      <c r="J23" s="14">
        <v>0.91</v>
      </c>
      <c r="K23" s="14">
        <v>0.93</v>
      </c>
      <c r="L23" s="14">
        <v>0.97</v>
      </c>
      <c r="M23" s="14">
        <v>0.97</v>
      </c>
      <c r="N23" s="14">
        <v>0.95000000000000007</v>
      </c>
      <c r="O23" s="14">
        <v>0.93</v>
      </c>
      <c r="P23" s="14">
        <v>0.93</v>
      </c>
      <c r="Q23" s="14">
        <v>0.94000000000000006</v>
      </c>
      <c r="R23" s="14">
        <v>0.93</v>
      </c>
      <c r="S23" s="14">
        <v>0.93</v>
      </c>
      <c r="T23" s="14">
        <v>0.94000000000000006</v>
      </c>
      <c r="U23" s="14">
        <v>0.96</v>
      </c>
      <c r="V23" s="14">
        <v>0.91</v>
      </c>
      <c r="W23" s="14">
        <v>0.92</v>
      </c>
      <c r="X23" s="14">
        <v>0.95000000000000007</v>
      </c>
      <c r="Y23" s="14">
        <v>0.87</v>
      </c>
      <c r="Z23" s="14">
        <v>0.89</v>
      </c>
      <c r="AA23" s="14">
        <v>0.96</v>
      </c>
      <c r="AB23" s="14">
        <v>0.77</v>
      </c>
      <c r="AC23" s="14">
        <v>0.96</v>
      </c>
      <c r="AD23" s="14">
        <v>0.95000000000000007</v>
      </c>
      <c r="AE23" s="14">
        <v>0.97</v>
      </c>
      <c r="AF23" s="14">
        <v>0.96</v>
      </c>
    </row>
    <row r="24" spans="1:32">
      <c r="A24" s="20"/>
      <c r="B24" s="11" t="s">
        <v>501</v>
      </c>
      <c r="C24" s="12">
        <v>1831</v>
      </c>
      <c r="D24" s="12">
        <v>88</v>
      </c>
      <c r="E24" s="12">
        <v>47</v>
      </c>
      <c r="F24" s="12">
        <v>94</v>
      </c>
      <c r="G24" s="12">
        <v>24</v>
      </c>
      <c r="H24" s="12">
        <v>101</v>
      </c>
      <c r="I24" s="12">
        <v>122</v>
      </c>
      <c r="J24" s="12">
        <v>21</v>
      </c>
      <c r="K24" s="12">
        <v>59</v>
      </c>
      <c r="L24" s="12">
        <v>16</v>
      </c>
      <c r="M24" s="12">
        <v>24</v>
      </c>
      <c r="N24" s="12">
        <v>40</v>
      </c>
      <c r="O24" s="12">
        <v>63</v>
      </c>
      <c r="P24" s="12">
        <v>66</v>
      </c>
      <c r="Q24" s="12">
        <v>63</v>
      </c>
      <c r="R24" s="12">
        <v>23</v>
      </c>
      <c r="S24" s="12">
        <v>41</v>
      </c>
      <c r="T24" s="12">
        <v>21</v>
      </c>
      <c r="U24" s="12">
        <v>10</v>
      </c>
      <c r="V24" s="12">
        <v>78</v>
      </c>
      <c r="W24" s="12">
        <v>36</v>
      </c>
      <c r="X24" s="12">
        <v>48</v>
      </c>
      <c r="Y24" s="12">
        <v>117</v>
      </c>
      <c r="Z24" s="12">
        <v>103</v>
      </c>
      <c r="AA24" s="12">
        <v>36</v>
      </c>
      <c r="AB24" s="12">
        <v>208</v>
      </c>
      <c r="AC24" s="12">
        <v>36</v>
      </c>
      <c r="AD24" s="12">
        <v>28</v>
      </c>
      <c r="AE24" s="12">
        <v>25</v>
      </c>
      <c r="AF24" s="12">
        <v>34</v>
      </c>
    </row>
    <row r="25" spans="1:32">
      <c r="A25" s="20"/>
      <c r="B25" s="13" t="s">
        <v>502</v>
      </c>
      <c r="C25" s="14">
        <v>7.0000000000000007E-2</v>
      </c>
      <c r="D25" s="14">
        <v>0.09</v>
      </c>
      <c r="E25" s="14">
        <v>0.04</v>
      </c>
      <c r="F25" s="14">
        <v>0.1</v>
      </c>
      <c r="G25" s="14">
        <v>0.02</v>
      </c>
      <c r="H25" s="14">
        <v>0.08</v>
      </c>
      <c r="I25" s="14">
        <v>0.08</v>
      </c>
      <c r="J25" s="14">
        <v>0.08</v>
      </c>
      <c r="K25" s="14">
        <v>0.06</v>
      </c>
      <c r="L25" s="14">
        <v>0.02</v>
      </c>
      <c r="M25" s="14">
        <v>0.03</v>
      </c>
      <c r="N25" s="14">
        <v>0.04</v>
      </c>
      <c r="O25" s="14">
        <v>0.06</v>
      </c>
      <c r="P25" s="14">
        <v>0.06</v>
      </c>
      <c r="Q25" s="14">
        <v>0.06</v>
      </c>
      <c r="R25" s="14">
        <v>0.05</v>
      </c>
      <c r="S25" s="14">
        <v>0.05</v>
      </c>
      <c r="T25" s="14">
        <v>0.02</v>
      </c>
      <c r="U25" s="14">
        <v>0.02</v>
      </c>
      <c r="V25" s="14">
        <v>0.08</v>
      </c>
      <c r="W25" s="14">
        <v>7.0000000000000007E-2</v>
      </c>
      <c r="X25" s="14">
        <v>0.05</v>
      </c>
      <c r="Y25" s="14">
        <v>0.11</v>
      </c>
      <c r="Z25" s="14">
        <v>0.1</v>
      </c>
      <c r="AA25" s="14">
        <v>0.03</v>
      </c>
      <c r="AB25" s="14">
        <v>0.2</v>
      </c>
      <c r="AC25" s="14">
        <v>0.03</v>
      </c>
      <c r="AD25" s="14">
        <v>0.03</v>
      </c>
      <c r="AE25" s="14">
        <v>0.02</v>
      </c>
      <c r="AF25" s="14">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659</v>
      </c>
      <c r="C3" s="18"/>
      <c r="D3" s="18"/>
      <c r="E3" s="18"/>
      <c r="F3" s="18"/>
      <c r="H3" s="18" t="s">
        <v>660</v>
      </c>
      <c r="I3" s="18"/>
      <c r="J3" s="18"/>
      <c r="K3" s="18"/>
      <c r="L3" s="18"/>
    </row>
    <row r="4" spans="1:32" ht="27" customHeight="1">
      <c r="B4" s="18" t="s">
        <v>661</v>
      </c>
      <c r="C4" s="18"/>
      <c r="D4" s="18"/>
      <c r="E4" s="18"/>
      <c r="F4" s="18"/>
      <c r="H4" s="18" t="s">
        <v>662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11591</v>
      </c>
      <c r="D12" s="12">
        <v>418</v>
      </c>
      <c r="E12" s="12">
        <v>582</v>
      </c>
      <c r="F12" s="12">
        <v>450</v>
      </c>
      <c r="G12" s="12">
        <v>515</v>
      </c>
      <c r="H12" s="12">
        <v>456</v>
      </c>
      <c r="I12" s="12">
        <v>566</v>
      </c>
      <c r="J12" s="12">
        <v>110</v>
      </c>
      <c r="K12" s="12">
        <v>311</v>
      </c>
      <c r="L12" s="12">
        <v>638</v>
      </c>
      <c r="M12" s="12">
        <v>540</v>
      </c>
      <c r="N12" s="12">
        <v>574</v>
      </c>
      <c r="O12" s="12">
        <v>436</v>
      </c>
      <c r="P12" s="12">
        <v>405</v>
      </c>
      <c r="Q12" s="12">
        <v>489</v>
      </c>
      <c r="R12" s="12">
        <v>362</v>
      </c>
      <c r="S12" s="12">
        <v>332</v>
      </c>
      <c r="T12" s="12">
        <v>451</v>
      </c>
      <c r="U12" s="12">
        <v>310</v>
      </c>
      <c r="V12" s="12">
        <v>405</v>
      </c>
      <c r="W12" s="12">
        <v>318</v>
      </c>
      <c r="X12" s="12">
        <v>480</v>
      </c>
      <c r="Y12" s="12">
        <v>428</v>
      </c>
      <c r="Z12" s="12">
        <v>277</v>
      </c>
      <c r="AA12" s="12">
        <v>558</v>
      </c>
      <c r="AB12" s="12">
        <v>327</v>
      </c>
      <c r="AC12" s="12">
        <v>560</v>
      </c>
      <c r="AD12" s="12">
        <v>500</v>
      </c>
      <c r="AE12" s="12">
        <v>422</v>
      </c>
      <c r="AF12" s="12">
        <v>542</v>
      </c>
    </row>
    <row r="13" spans="1:32">
      <c r="A13" s="20"/>
      <c r="B13" s="13" t="s">
        <v>493</v>
      </c>
      <c r="C13" s="14">
        <v>0.44</v>
      </c>
      <c r="D13" s="14">
        <v>0.42</v>
      </c>
      <c r="E13" s="14">
        <v>0.57000000000000006</v>
      </c>
      <c r="F13" s="14">
        <v>0.45</v>
      </c>
      <c r="G13" s="14">
        <v>0.51</v>
      </c>
      <c r="H13" s="14">
        <v>0.37</v>
      </c>
      <c r="I13" s="14">
        <v>0.37</v>
      </c>
      <c r="J13" s="14">
        <v>0.37</v>
      </c>
      <c r="K13" s="14">
        <v>0.31</v>
      </c>
      <c r="L13" s="14">
        <v>0.63</v>
      </c>
      <c r="M13" s="14">
        <v>0.54</v>
      </c>
      <c r="N13" s="14">
        <v>0.57000000000000006</v>
      </c>
      <c r="O13" s="14">
        <v>0.43</v>
      </c>
      <c r="P13" s="14">
        <v>0.4</v>
      </c>
      <c r="Q13" s="14">
        <v>0.48</v>
      </c>
      <c r="R13" s="14">
        <v>0.72</v>
      </c>
      <c r="S13" s="14">
        <v>0.33</v>
      </c>
      <c r="T13" s="14">
        <v>0.44</v>
      </c>
      <c r="U13" s="14">
        <v>0.61</v>
      </c>
      <c r="V13" s="14">
        <v>0.4</v>
      </c>
      <c r="W13" s="14">
        <v>0.63</v>
      </c>
      <c r="X13" s="14">
        <v>0.47</v>
      </c>
      <c r="Y13" s="14">
        <v>0.43</v>
      </c>
      <c r="Z13" s="14">
        <v>0.27</v>
      </c>
      <c r="AA13" s="14">
        <v>0.53</v>
      </c>
      <c r="AB13" s="14">
        <v>0.31</v>
      </c>
      <c r="AC13" s="14">
        <v>0.55000000000000004</v>
      </c>
      <c r="AD13" s="14">
        <v>0.5</v>
      </c>
      <c r="AE13" s="14">
        <v>0.42</v>
      </c>
      <c r="AF13" s="14">
        <v>0.53</v>
      </c>
    </row>
    <row r="14" spans="1:32">
      <c r="A14" s="20"/>
      <c r="B14" s="11" t="s">
        <v>643</v>
      </c>
      <c r="C14" s="12">
        <v>11136</v>
      </c>
      <c r="D14" s="12">
        <v>462</v>
      </c>
      <c r="E14" s="12">
        <v>295</v>
      </c>
      <c r="F14" s="12">
        <v>371</v>
      </c>
      <c r="G14" s="12">
        <v>366</v>
      </c>
      <c r="H14" s="12">
        <v>568</v>
      </c>
      <c r="I14" s="12">
        <v>705</v>
      </c>
      <c r="J14" s="12">
        <v>136</v>
      </c>
      <c r="K14" s="12">
        <v>429</v>
      </c>
      <c r="L14" s="12">
        <v>296</v>
      </c>
      <c r="M14" s="12">
        <v>381</v>
      </c>
      <c r="N14" s="12">
        <v>348</v>
      </c>
      <c r="O14" s="12">
        <v>386</v>
      </c>
      <c r="P14" s="12">
        <v>505</v>
      </c>
      <c r="Q14" s="12">
        <v>445</v>
      </c>
      <c r="R14" s="12">
        <v>92</v>
      </c>
      <c r="S14" s="12">
        <v>471</v>
      </c>
      <c r="T14" s="12">
        <v>437</v>
      </c>
      <c r="U14" s="12">
        <v>172</v>
      </c>
      <c r="V14" s="12">
        <v>457</v>
      </c>
      <c r="W14" s="12">
        <v>108</v>
      </c>
      <c r="X14" s="12">
        <v>419</v>
      </c>
      <c r="Y14" s="12">
        <v>372</v>
      </c>
      <c r="Z14" s="12">
        <v>595</v>
      </c>
      <c r="AA14" s="12">
        <v>410</v>
      </c>
      <c r="AB14" s="12">
        <v>433</v>
      </c>
      <c r="AC14" s="12">
        <v>368</v>
      </c>
      <c r="AD14" s="12">
        <v>397</v>
      </c>
      <c r="AE14" s="12">
        <v>443</v>
      </c>
      <c r="AF14" s="12">
        <v>371</v>
      </c>
    </row>
    <row r="15" spans="1:32">
      <c r="A15" s="20"/>
      <c r="B15" s="13" t="s">
        <v>495</v>
      </c>
      <c r="C15" s="14">
        <v>0.42</v>
      </c>
      <c r="D15" s="14">
        <v>0.46</v>
      </c>
      <c r="E15" s="14">
        <v>0.28999999999999998</v>
      </c>
      <c r="F15" s="14">
        <v>0.37</v>
      </c>
      <c r="G15" s="14">
        <v>0.37</v>
      </c>
      <c r="H15" s="14">
        <v>0.47</v>
      </c>
      <c r="I15" s="14">
        <v>0.47</v>
      </c>
      <c r="J15" s="14">
        <v>0.47</v>
      </c>
      <c r="K15" s="14">
        <v>0.43</v>
      </c>
      <c r="L15" s="14">
        <v>0.28999999999999998</v>
      </c>
      <c r="M15" s="14">
        <v>0.38</v>
      </c>
      <c r="N15" s="14">
        <v>0.35</v>
      </c>
      <c r="O15" s="14">
        <v>0.39</v>
      </c>
      <c r="P15" s="14">
        <v>0.49</v>
      </c>
      <c r="Q15" s="14">
        <v>0.44</v>
      </c>
      <c r="R15" s="14">
        <v>0.18</v>
      </c>
      <c r="S15" s="14">
        <v>0.47</v>
      </c>
      <c r="T15" s="14">
        <v>0.43</v>
      </c>
      <c r="U15" s="14">
        <v>0.34</v>
      </c>
      <c r="V15" s="14">
        <v>0.45</v>
      </c>
      <c r="W15" s="14">
        <v>0.22</v>
      </c>
      <c r="X15" s="14">
        <v>0.41</v>
      </c>
      <c r="Y15" s="14">
        <v>0.37</v>
      </c>
      <c r="Z15" s="14">
        <v>0.59</v>
      </c>
      <c r="AA15" s="14">
        <v>0.39</v>
      </c>
      <c r="AB15" s="14">
        <v>0.42</v>
      </c>
      <c r="AC15" s="14">
        <v>0.37</v>
      </c>
      <c r="AD15" s="14">
        <v>0.39</v>
      </c>
      <c r="AE15" s="14">
        <v>0.44</v>
      </c>
      <c r="AF15" s="14">
        <v>0.36</v>
      </c>
    </row>
    <row r="16" spans="1:32">
      <c r="A16" s="20"/>
      <c r="B16" s="11" t="s">
        <v>644</v>
      </c>
      <c r="C16" s="12">
        <v>2151</v>
      </c>
      <c r="D16" s="12">
        <v>91</v>
      </c>
      <c r="E16" s="12">
        <v>52</v>
      </c>
      <c r="F16" s="12">
        <v>101</v>
      </c>
      <c r="G16" s="12">
        <v>74</v>
      </c>
      <c r="H16" s="12">
        <v>133</v>
      </c>
      <c r="I16" s="12">
        <v>164</v>
      </c>
      <c r="J16" s="12">
        <v>32</v>
      </c>
      <c r="K16" s="12">
        <v>132</v>
      </c>
      <c r="L16" s="12">
        <v>32</v>
      </c>
      <c r="M16" s="12">
        <v>45</v>
      </c>
      <c r="N16" s="12">
        <v>36</v>
      </c>
      <c r="O16" s="12">
        <v>94</v>
      </c>
      <c r="P16" s="12">
        <v>71</v>
      </c>
      <c r="Q16" s="12">
        <v>59</v>
      </c>
      <c r="R16" s="12">
        <v>29</v>
      </c>
      <c r="S16" s="12">
        <v>96</v>
      </c>
      <c r="T16" s="12">
        <v>31</v>
      </c>
      <c r="U16" s="12">
        <v>12</v>
      </c>
      <c r="V16" s="12">
        <v>91</v>
      </c>
      <c r="W16" s="12">
        <v>47</v>
      </c>
      <c r="X16" s="12">
        <v>94</v>
      </c>
      <c r="Y16" s="12">
        <v>93</v>
      </c>
      <c r="Z16" s="12">
        <v>88</v>
      </c>
      <c r="AA16" s="12">
        <v>56</v>
      </c>
      <c r="AB16" s="12">
        <v>170</v>
      </c>
      <c r="AC16" s="12">
        <v>53</v>
      </c>
      <c r="AD16" s="12">
        <v>50</v>
      </c>
      <c r="AE16" s="12">
        <v>68</v>
      </c>
      <c r="AF16" s="12">
        <v>69</v>
      </c>
    </row>
    <row r="17" spans="1:32">
      <c r="A17" s="20"/>
      <c r="B17" s="13" t="s">
        <v>645</v>
      </c>
      <c r="C17" s="14">
        <v>0.08</v>
      </c>
      <c r="D17" s="14">
        <v>0.09</v>
      </c>
      <c r="E17" s="14">
        <v>0.05</v>
      </c>
      <c r="F17" s="14">
        <v>0.1</v>
      </c>
      <c r="G17" s="14">
        <v>7.0000000000000007E-2</v>
      </c>
      <c r="H17" s="14">
        <v>0.11</v>
      </c>
      <c r="I17" s="14">
        <v>0.11</v>
      </c>
      <c r="J17" s="14">
        <v>0.11</v>
      </c>
      <c r="K17" s="14">
        <v>0.13</v>
      </c>
      <c r="L17" s="14">
        <v>0.03</v>
      </c>
      <c r="M17" s="14">
        <v>0.05</v>
      </c>
      <c r="N17" s="14">
        <v>0.04</v>
      </c>
      <c r="O17" s="14">
        <v>0.09</v>
      </c>
      <c r="P17" s="14">
        <v>7.0000000000000007E-2</v>
      </c>
      <c r="Q17" s="14">
        <v>0.06</v>
      </c>
      <c r="R17" s="14">
        <v>0.06</v>
      </c>
      <c r="S17" s="14">
        <v>0.09</v>
      </c>
      <c r="T17" s="14">
        <v>0.03</v>
      </c>
      <c r="U17" s="14">
        <v>0.02</v>
      </c>
      <c r="V17" s="14">
        <v>0.09</v>
      </c>
      <c r="W17" s="14">
        <v>0.09</v>
      </c>
      <c r="X17" s="14">
        <v>0.09</v>
      </c>
      <c r="Y17" s="14">
        <v>0.09</v>
      </c>
      <c r="Z17" s="14">
        <v>0.09</v>
      </c>
      <c r="AA17" s="14">
        <v>0.05</v>
      </c>
      <c r="AB17" s="14">
        <v>0.16</v>
      </c>
      <c r="AC17" s="14">
        <v>0.05</v>
      </c>
      <c r="AD17" s="14">
        <v>0.05</v>
      </c>
      <c r="AE17" s="14">
        <v>7.0000000000000007E-2</v>
      </c>
      <c r="AF17" s="14">
        <v>7.0000000000000007E-2</v>
      </c>
    </row>
    <row r="18" spans="1:32">
      <c r="A18" s="20"/>
      <c r="B18" s="11" t="s">
        <v>646</v>
      </c>
      <c r="C18" s="12">
        <v>561</v>
      </c>
      <c r="D18" s="12">
        <v>26</v>
      </c>
      <c r="E18" s="12">
        <v>23</v>
      </c>
      <c r="F18" s="12">
        <v>42</v>
      </c>
      <c r="G18" s="12">
        <v>9</v>
      </c>
      <c r="H18" s="12">
        <v>16</v>
      </c>
      <c r="I18" s="12">
        <v>22</v>
      </c>
      <c r="J18" s="12">
        <v>6</v>
      </c>
      <c r="K18" s="12">
        <v>37</v>
      </c>
      <c r="L18" s="12">
        <v>14</v>
      </c>
      <c r="M18" s="12">
        <v>14</v>
      </c>
      <c r="N18" s="12">
        <v>11</v>
      </c>
      <c r="O18" s="12">
        <v>36</v>
      </c>
      <c r="P18" s="12">
        <v>18</v>
      </c>
      <c r="Q18" s="12">
        <v>13</v>
      </c>
      <c r="R18" s="12">
        <v>6</v>
      </c>
      <c r="S18" s="12">
        <v>20</v>
      </c>
      <c r="T18" s="12">
        <v>8</v>
      </c>
      <c r="U18" s="12">
        <v>2</v>
      </c>
      <c r="V18" s="12">
        <v>23</v>
      </c>
      <c r="W18" s="12">
        <v>12</v>
      </c>
      <c r="X18" s="12">
        <v>24</v>
      </c>
      <c r="Y18" s="12">
        <v>75</v>
      </c>
      <c r="Z18" s="12">
        <v>17</v>
      </c>
      <c r="AA18" s="12">
        <v>4</v>
      </c>
      <c r="AB18" s="12">
        <v>51</v>
      </c>
      <c r="AC18" s="12">
        <v>13</v>
      </c>
      <c r="AD18" s="12">
        <v>17</v>
      </c>
      <c r="AE18" s="12">
        <v>14</v>
      </c>
      <c r="AF18" s="12">
        <v>20</v>
      </c>
    </row>
    <row r="19" spans="1:32">
      <c r="A19" s="20"/>
      <c r="B19" s="13" t="s">
        <v>499</v>
      </c>
      <c r="C19" s="14">
        <v>0.02</v>
      </c>
      <c r="D19" s="14">
        <v>0.02</v>
      </c>
      <c r="E19" s="14">
        <v>0.02</v>
      </c>
      <c r="F19" s="14">
        <v>0.04</v>
      </c>
      <c r="G19" s="14">
        <v>0.01</v>
      </c>
      <c r="H19" s="14">
        <v>0.01</v>
      </c>
      <c r="I19" s="14">
        <v>0.01</v>
      </c>
      <c r="J19" s="14">
        <v>0.02</v>
      </c>
      <c r="K19" s="14">
        <v>0.04</v>
      </c>
      <c r="L19" s="14">
        <v>0.02</v>
      </c>
      <c r="M19" s="14">
        <v>0.01</v>
      </c>
      <c r="N19" s="14">
        <v>0.01</v>
      </c>
      <c r="O19" s="14">
        <v>0.04</v>
      </c>
      <c r="P19" s="14">
        <v>0.02</v>
      </c>
      <c r="Q19" s="14">
        <v>0.01</v>
      </c>
      <c r="R19" s="14">
        <v>0.01</v>
      </c>
      <c r="S19" s="14">
        <v>0.02</v>
      </c>
      <c r="T19" s="14">
        <v>0.01</v>
      </c>
      <c r="U19" s="14">
        <v>0.01</v>
      </c>
      <c r="V19" s="14">
        <v>0.02</v>
      </c>
      <c r="W19" s="14">
        <v>0.02</v>
      </c>
      <c r="X19" s="14">
        <v>0.02</v>
      </c>
      <c r="Y19" s="14">
        <v>7.0000000000000007E-2</v>
      </c>
      <c r="Z19" s="14">
        <v>0.02</v>
      </c>
      <c r="AA19" s="14">
        <v>0.01</v>
      </c>
      <c r="AB19" s="14">
        <v>0.05</v>
      </c>
      <c r="AC19" s="14">
        <v>0.01</v>
      </c>
      <c r="AD19" s="14">
        <v>0.02</v>
      </c>
      <c r="AE19" s="14">
        <v>0.02</v>
      </c>
      <c r="AF19" s="14">
        <v>0.02</v>
      </c>
    </row>
    <row r="20" spans="1:32">
      <c r="A20" s="20"/>
      <c r="B20" s="11" t="s">
        <v>468</v>
      </c>
      <c r="C20" s="12">
        <v>881</v>
      </c>
      <c r="D20" s="12">
        <v>7</v>
      </c>
      <c r="E20" s="12">
        <v>67</v>
      </c>
      <c r="F20" s="12">
        <v>41</v>
      </c>
      <c r="G20" s="12">
        <v>39</v>
      </c>
      <c r="H20" s="12">
        <v>43</v>
      </c>
      <c r="I20" s="12">
        <v>53</v>
      </c>
      <c r="J20" s="12">
        <v>10</v>
      </c>
      <c r="K20" s="12">
        <v>97</v>
      </c>
      <c r="L20" s="12">
        <v>27</v>
      </c>
      <c r="M20" s="12">
        <v>23</v>
      </c>
      <c r="N20" s="12">
        <v>33</v>
      </c>
      <c r="O20" s="12">
        <v>52</v>
      </c>
      <c r="P20" s="12">
        <v>23</v>
      </c>
      <c r="Q20" s="12">
        <v>13</v>
      </c>
      <c r="R20" s="12">
        <v>12</v>
      </c>
      <c r="S20" s="12">
        <v>89</v>
      </c>
      <c r="T20" s="12">
        <v>87</v>
      </c>
      <c r="U20" s="12">
        <v>10</v>
      </c>
      <c r="V20" s="12">
        <v>40</v>
      </c>
      <c r="W20" s="12">
        <v>18</v>
      </c>
      <c r="X20" s="12">
        <v>5</v>
      </c>
      <c r="Y20" s="12">
        <v>40</v>
      </c>
      <c r="Z20" s="12">
        <v>31</v>
      </c>
      <c r="AA20" s="12">
        <v>24</v>
      </c>
      <c r="AB20" s="12">
        <v>58</v>
      </c>
      <c r="AC20" s="12">
        <v>16</v>
      </c>
      <c r="AD20" s="12">
        <v>41</v>
      </c>
      <c r="AE20" s="12">
        <v>53</v>
      </c>
      <c r="AF20" s="12">
        <v>18</v>
      </c>
    </row>
    <row r="21" spans="1:32">
      <c r="A21" s="20"/>
      <c r="B21" s="13" t="s">
        <v>469</v>
      </c>
      <c r="C21" s="14">
        <v>0.04</v>
      </c>
      <c r="D21" s="14">
        <v>0.01</v>
      </c>
      <c r="E21" s="14">
        <v>7.0000000000000007E-2</v>
      </c>
      <c r="F21" s="14">
        <v>0.04</v>
      </c>
      <c r="G21" s="14">
        <v>0.04</v>
      </c>
      <c r="H21" s="14">
        <v>0.04</v>
      </c>
      <c r="I21" s="14">
        <v>0.04</v>
      </c>
      <c r="J21" s="14">
        <v>0.03</v>
      </c>
      <c r="K21" s="14">
        <v>0.09</v>
      </c>
      <c r="L21" s="14">
        <v>0.03</v>
      </c>
      <c r="M21" s="14">
        <v>0.02</v>
      </c>
      <c r="N21" s="14">
        <v>0.03</v>
      </c>
      <c r="O21" s="14">
        <v>0.05</v>
      </c>
      <c r="P21" s="14">
        <v>0.02</v>
      </c>
      <c r="Q21" s="14">
        <v>0.01</v>
      </c>
      <c r="R21" s="14">
        <v>0.03</v>
      </c>
      <c r="S21" s="14">
        <v>0.09</v>
      </c>
      <c r="T21" s="14">
        <v>0.09</v>
      </c>
      <c r="U21" s="14">
        <v>0.02</v>
      </c>
      <c r="V21" s="14">
        <v>0.04</v>
      </c>
      <c r="W21" s="14">
        <v>0.04</v>
      </c>
      <c r="X21" s="14">
        <v>0.01</v>
      </c>
      <c r="Y21" s="14">
        <v>0.04</v>
      </c>
      <c r="Z21" s="14">
        <v>0.03</v>
      </c>
      <c r="AA21" s="14">
        <v>0.02</v>
      </c>
      <c r="AB21" s="14">
        <v>0.06</v>
      </c>
      <c r="AC21" s="14">
        <v>0.02</v>
      </c>
      <c r="AD21" s="14">
        <v>0.04</v>
      </c>
      <c r="AE21" s="14">
        <v>0.05</v>
      </c>
      <c r="AF21" s="14">
        <v>0.02</v>
      </c>
    </row>
    <row r="22" spans="1:32">
      <c r="A22" s="20"/>
      <c r="B22" s="11" t="s">
        <v>500</v>
      </c>
      <c r="C22" s="12">
        <v>22727</v>
      </c>
      <c r="D22" s="12">
        <v>880</v>
      </c>
      <c r="E22" s="12">
        <v>877</v>
      </c>
      <c r="F22" s="12">
        <v>821</v>
      </c>
      <c r="G22" s="12">
        <v>881</v>
      </c>
      <c r="H22" s="12">
        <v>1024</v>
      </c>
      <c r="I22" s="12">
        <v>1271</v>
      </c>
      <c r="J22" s="12">
        <v>246</v>
      </c>
      <c r="K22" s="12">
        <v>740</v>
      </c>
      <c r="L22" s="12">
        <v>934</v>
      </c>
      <c r="M22" s="12">
        <v>921</v>
      </c>
      <c r="N22" s="12">
        <v>922</v>
      </c>
      <c r="O22" s="12">
        <v>822</v>
      </c>
      <c r="P22" s="12">
        <v>910</v>
      </c>
      <c r="Q22" s="12">
        <v>934</v>
      </c>
      <c r="R22" s="12">
        <v>454</v>
      </c>
      <c r="S22" s="12">
        <v>803</v>
      </c>
      <c r="T22" s="12">
        <v>888</v>
      </c>
      <c r="U22" s="12">
        <v>482</v>
      </c>
      <c r="V22" s="12">
        <v>862</v>
      </c>
      <c r="W22" s="12">
        <v>426</v>
      </c>
      <c r="X22" s="12">
        <v>899</v>
      </c>
      <c r="Y22" s="12">
        <v>800</v>
      </c>
      <c r="Z22" s="12">
        <v>872</v>
      </c>
      <c r="AA22" s="12">
        <v>968</v>
      </c>
      <c r="AB22" s="12">
        <v>760</v>
      </c>
      <c r="AC22" s="12">
        <v>928</v>
      </c>
      <c r="AD22" s="12">
        <v>897</v>
      </c>
      <c r="AE22" s="12">
        <v>865</v>
      </c>
      <c r="AF22" s="12">
        <v>913</v>
      </c>
    </row>
    <row r="23" spans="1:32">
      <c r="A23" s="20"/>
      <c r="B23" s="13" t="s">
        <v>500</v>
      </c>
      <c r="C23" s="14">
        <v>0.86</v>
      </c>
      <c r="D23" s="14">
        <v>0.88</v>
      </c>
      <c r="E23" s="14">
        <v>0.86</v>
      </c>
      <c r="F23" s="14">
        <v>0.82000000000000006</v>
      </c>
      <c r="G23" s="14">
        <v>0.88</v>
      </c>
      <c r="H23" s="14">
        <v>0.84</v>
      </c>
      <c r="I23" s="14">
        <v>0.84</v>
      </c>
      <c r="J23" s="14">
        <v>0.84</v>
      </c>
      <c r="K23" s="14">
        <v>0.74</v>
      </c>
      <c r="L23" s="14">
        <v>0.92</v>
      </c>
      <c r="M23" s="14">
        <v>0.92</v>
      </c>
      <c r="N23" s="14">
        <v>0.92</v>
      </c>
      <c r="O23" s="14">
        <v>0.82000000000000006</v>
      </c>
      <c r="P23" s="14">
        <v>0.89</v>
      </c>
      <c r="Q23" s="14">
        <v>0.92</v>
      </c>
      <c r="R23" s="14">
        <v>0.9</v>
      </c>
      <c r="S23" s="14">
        <v>0.8</v>
      </c>
      <c r="T23" s="14">
        <v>0.87</v>
      </c>
      <c r="U23" s="14">
        <v>0.95000000000000007</v>
      </c>
      <c r="V23" s="14">
        <v>0.85</v>
      </c>
      <c r="W23" s="14">
        <v>0.85</v>
      </c>
      <c r="X23" s="14">
        <v>0.88</v>
      </c>
      <c r="Y23" s="14">
        <v>0.8</v>
      </c>
      <c r="Z23" s="14">
        <v>0.86</v>
      </c>
      <c r="AA23" s="14">
        <v>0.92</v>
      </c>
      <c r="AB23" s="14">
        <v>0.73</v>
      </c>
      <c r="AC23" s="14">
        <v>0.92</v>
      </c>
      <c r="AD23" s="14">
        <v>0.89</v>
      </c>
      <c r="AE23" s="14">
        <v>0.86</v>
      </c>
      <c r="AF23" s="14">
        <v>0.89</v>
      </c>
    </row>
    <row r="24" spans="1:32">
      <c r="A24" s="20"/>
      <c r="B24" s="11" t="s">
        <v>501</v>
      </c>
      <c r="C24" s="12">
        <v>2712</v>
      </c>
      <c r="D24" s="12">
        <v>117</v>
      </c>
      <c r="E24" s="12">
        <v>75</v>
      </c>
      <c r="F24" s="12">
        <v>143</v>
      </c>
      <c r="G24" s="12">
        <v>83</v>
      </c>
      <c r="H24" s="12">
        <v>149</v>
      </c>
      <c r="I24" s="12">
        <v>186</v>
      </c>
      <c r="J24" s="12">
        <v>38</v>
      </c>
      <c r="K24" s="12">
        <v>169</v>
      </c>
      <c r="L24" s="12">
        <v>46</v>
      </c>
      <c r="M24" s="12">
        <v>59</v>
      </c>
      <c r="N24" s="12">
        <v>47</v>
      </c>
      <c r="O24" s="12">
        <v>130</v>
      </c>
      <c r="P24" s="12">
        <v>89</v>
      </c>
      <c r="Q24" s="12">
        <v>72</v>
      </c>
      <c r="R24" s="12">
        <v>35</v>
      </c>
      <c r="S24" s="12">
        <v>116</v>
      </c>
      <c r="T24" s="12">
        <v>39</v>
      </c>
      <c r="U24" s="12">
        <v>14</v>
      </c>
      <c r="V24" s="12">
        <v>114</v>
      </c>
      <c r="W24" s="12">
        <v>59</v>
      </c>
      <c r="X24" s="12">
        <v>118</v>
      </c>
      <c r="Y24" s="12">
        <v>168</v>
      </c>
      <c r="Z24" s="12">
        <v>105</v>
      </c>
      <c r="AA24" s="12">
        <v>60</v>
      </c>
      <c r="AB24" s="12">
        <v>221</v>
      </c>
      <c r="AC24" s="12">
        <v>66</v>
      </c>
      <c r="AD24" s="12">
        <v>67</v>
      </c>
      <c r="AE24" s="12">
        <v>82</v>
      </c>
      <c r="AF24" s="12">
        <v>89</v>
      </c>
    </row>
    <row r="25" spans="1:32">
      <c r="A25" s="20"/>
      <c r="B25" s="13" t="s">
        <v>502</v>
      </c>
      <c r="C25" s="14">
        <v>0.1</v>
      </c>
      <c r="D25" s="14">
        <v>0.11</v>
      </c>
      <c r="E25" s="14">
        <v>7.0000000000000007E-2</v>
      </c>
      <c r="F25" s="14">
        <v>0.14000000000000001</v>
      </c>
      <c r="G25" s="14">
        <v>0.08</v>
      </c>
      <c r="H25" s="14">
        <v>0.12</v>
      </c>
      <c r="I25" s="14">
        <v>0.12</v>
      </c>
      <c r="J25" s="14">
        <v>0.13</v>
      </c>
      <c r="K25" s="14">
        <v>0.17</v>
      </c>
      <c r="L25" s="14">
        <v>0.05</v>
      </c>
      <c r="M25" s="14">
        <v>0.06</v>
      </c>
      <c r="N25" s="14">
        <v>0.05</v>
      </c>
      <c r="O25" s="14">
        <v>0.13</v>
      </c>
      <c r="P25" s="14">
        <v>0.09</v>
      </c>
      <c r="Q25" s="14">
        <v>7.0000000000000007E-2</v>
      </c>
      <c r="R25" s="14">
        <v>7.0000000000000007E-2</v>
      </c>
      <c r="S25" s="14">
        <v>0.11</v>
      </c>
      <c r="T25" s="14">
        <v>0.04</v>
      </c>
      <c r="U25" s="14">
        <v>0.03</v>
      </c>
      <c r="V25" s="14">
        <v>0.11</v>
      </c>
      <c r="W25" s="14">
        <v>0.11</v>
      </c>
      <c r="X25" s="14">
        <v>0.11</v>
      </c>
      <c r="Y25" s="14">
        <v>0.16</v>
      </c>
      <c r="Z25" s="14">
        <v>0.11</v>
      </c>
      <c r="AA25" s="14">
        <v>0.06</v>
      </c>
      <c r="AB25" s="14">
        <v>0.21</v>
      </c>
      <c r="AC25" s="14">
        <v>0.06</v>
      </c>
      <c r="AD25" s="14">
        <v>7.0000000000000007E-2</v>
      </c>
      <c r="AE25" s="14">
        <v>0.09</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663</v>
      </c>
      <c r="C3" s="18"/>
      <c r="D3" s="18"/>
      <c r="E3" s="18"/>
      <c r="F3" s="18"/>
      <c r="H3" s="18" t="s">
        <v>664</v>
      </c>
      <c r="I3" s="18"/>
      <c r="J3" s="18"/>
      <c r="K3" s="18"/>
      <c r="L3" s="18"/>
    </row>
    <row r="4" spans="1:32" ht="27" customHeight="1">
      <c r="B4" s="18" t="s">
        <v>665</v>
      </c>
      <c r="C4" s="18"/>
      <c r="D4" s="18"/>
      <c r="E4" s="18"/>
      <c r="F4" s="18"/>
      <c r="H4" s="18" t="s">
        <v>666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7384</v>
      </c>
      <c r="D12" s="12">
        <v>191</v>
      </c>
      <c r="E12" s="12">
        <v>366</v>
      </c>
      <c r="F12" s="12">
        <v>280</v>
      </c>
      <c r="G12" s="12">
        <v>219</v>
      </c>
      <c r="H12" s="12">
        <v>329</v>
      </c>
      <c r="I12" s="12">
        <v>411</v>
      </c>
      <c r="J12" s="12">
        <v>82</v>
      </c>
      <c r="K12" s="12">
        <v>186</v>
      </c>
      <c r="L12" s="12">
        <v>501</v>
      </c>
      <c r="M12" s="12">
        <v>339</v>
      </c>
      <c r="N12" s="12">
        <v>392</v>
      </c>
      <c r="O12" s="12">
        <v>238</v>
      </c>
      <c r="P12" s="12">
        <v>315</v>
      </c>
      <c r="Q12" s="12">
        <v>323</v>
      </c>
      <c r="R12" s="12">
        <v>213</v>
      </c>
      <c r="S12" s="12">
        <v>301</v>
      </c>
      <c r="T12" s="12">
        <v>239</v>
      </c>
      <c r="U12" s="12">
        <v>166</v>
      </c>
      <c r="V12" s="12">
        <v>333</v>
      </c>
      <c r="W12" s="12">
        <v>187</v>
      </c>
      <c r="X12" s="12">
        <v>202</v>
      </c>
      <c r="Y12" s="12">
        <v>229</v>
      </c>
      <c r="Z12" s="12">
        <v>183</v>
      </c>
      <c r="AA12" s="12">
        <v>333</v>
      </c>
      <c r="AB12" s="12">
        <v>261</v>
      </c>
      <c r="AC12" s="12">
        <v>343</v>
      </c>
      <c r="AD12" s="12">
        <v>363</v>
      </c>
      <c r="AE12" s="12">
        <v>234</v>
      </c>
      <c r="AF12" s="12">
        <v>292</v>
      </c>
    </row>
    <row r="13" spans="1:32">
      <c r="A13" s="20"/>
      <c r="B13" s="13" t="s">
        <v>559</v>
      </c>
      <c r="C13" s="14">
        <v>0.28000000000000003</v>
      </c>
      <c r="D13" s="14">
        <v>0.19</v>
      </c>
      <c r="E13" s="14">
        <v>0.36</v>
      </c>
      <c r="F13" s="14">
        <v>0.28000000000000003</v>
      </c>
      <c r="G13" s="14">
        <v>0.22</v>
      </c>
      <c r="H13" s="14">
        <v>0.27</v>
      </c>
      <c r="I13" s="14">
        <v>0.27</v>
      </c>
      <c r="J13" s="14">
        <v>0.28000000000000003</v>
      </c>
      <c r="K13" s="14">
        <v>0.18</v>
      </c>
      <c r="L13" s="14">
        <v>0.5</v>
      </c>
      <c r="M13" s="14">
        <v>0.34</v>
      </c>
      <c r="N13" s="14">
        <v>0.39</v>
      </c>
      <c r="O13" s="14">
        <v>0.24</v>
      </c>
      <c r="P13" s="14">
        <v>0.31</v>
      </c>
      <c r="Q13" s="14">
        <v>0.32</v>
      </c>
      <c r="R13" s="14">
        <v>0.43</v>
      </c>
      <c r="S13" s="14">
        <v>0.3</v>
      </c>
      <c r="T13" s="14">
        <v>0.24</v>
      </c>
      <c r="U13" s="14">
        <v>0.33</v>
      </c>
      <c r="V13" s="14">
        <v>0.33</v>
      </c>
      <c r="W13" s="14">
        <v>0.37</v>
      </c>
      <c r="X13" s="14">
        <v>0.2</v>
      </c>
      <c r="Y13" s="14">
        <v>0.23</v>
      </c>
      <c r="Z13" s="14">
        <v>0.18</v>
      </c>
      <c r="AA13" s="14">
        <v>0.32</v>
      </c>
      <c r="AB13" s="14">
        <v>0.25</v>
      </c>
      <c r="AC13" s="14">
        <v>0.34</v>
      </c>
      <c r="AD13" s="14">
        <v>0.36</v>
      </c>
      <c r="AE13" s="14">
        <v>0.23</v>
      </c>
      <c r="AF13" s="14">
        <v>0.28999999999999998</v>
      </c>
    </row>
    <row r="14" spans="1:32">
      <c r="A14" s="20"/>
      <c r="B14" s="11" t="s">
        <v>668</v>
      </c>
      <c r="C14" s="12">
        <v>14190</v>
      </c>
      <c r="D14" s="12">
        <v>574</v>
      </c>
      <c r="E14" s="12">
        <v>444</v>
      </c>
      <c r="F14" s="12">
        <v>528</v>
      </c>
      <c r="G14" s="12">
        <v>521</v>
      </c>
      <c r="H14" s="12">
        <v>671</v>
      </c>
      <c r="I14" s="12">
        <v>837</v>
      </c>
      <c r="J14" s="12">
        <v>166</v>
      </c>
      <c r="K14" s="12">
        <v>529</v>
      </c>
      <c r="L14" s="12">
        <v>399</v>
      </c>
      <c r="M14" s="12">
        <v>524</v>
      </c>
      <c r="N14" s="12">
        <v>433</v>
      </c>
      <c r="O14" s="12">
        <v>516</v>
      </c>
      <c r="P14" s="12">
        <v>553</v>
      </c>
      <c r="Q14" s="12">
        <v>581</v>
      </c>
      <c r="R14" s="12">
        <v>206</v>
      </c>
      <c r="S14" s="12">
        <v>482</v>
      </c>
      <c r="T14" s="12">
        <v>511</v>
      </c>
      <c r="U14" s="12">
        <v>256</v>
      </c>
      <c r="V14" s="12">
        <v>552</v>
      </c>
      <c r="W14" s="12">
        <v>217</v>
      </c>
      <c r="X14" s="12">
        <v>571</v>
      </c>
      <c r="Y14" s="12">
        <v>525</v>
      </c>
      <c r="Z14" s="12">
        <v>664</v>
      </c>
      <c r="AA14" s="12">
        <v>645</v>
      </c>
      <c r="AB14" s="12">
        <v>589</v>
      </c>
      <c r="AC14" s="12">
        <v>464</v>
      </c>
      <c r="AD14" s="12">
        <v>508</v>
      </c>
      <c r="AE14" s="12">
        <v>559</v>
      </c>
      <c r="AF14" s="12">
        <v>550</v>
      </c>
    </row>
    <row r="15" spans="1:32">
      <c r="A15" s="20"/>
      <c r="B15" s="13" t="s">
        <v>561</v>
      </c>
      <c r="C15" s="14">
        <v>0.54</v>
      </c>
      <c r="D15" s="14">
        <v>0.57000000000000006</v>
      </c>
      <c r="E15" s="14">
        <v>0.43</v>
      </c>
      <c r="F15" s="14">
        <v>0.53</v>
      </c>
      <c r="G15" s="14">
        <v>0.52</v>
      </c>
      <c r="H15" s="14">
        <v>0.55000000000000004</v>
      </c>
      <c r="I15" s="14">
        <v>0.56000000000000005</v>
      </c>
      <c r="J15" s="14">
        <v>0.56000000000000005</v>
      </c>
      <c r="K15" s="14">
        <v>0.53</v>
      </c>
      <c r="L15" s="14">
        <v>0.39</v>
      </c>
      <c r="M15" s="14">
        <v>0.52</v>
      </c>
      <c r="N15" s="14">
        <v>0.43</v>
      </c>
      <c r="O15" s="14">
        <v>0.51</v>
      </c>
      <c r="P15" s="14">
        <v>0.54</v>
      </c>
      <c r="Q15" s="14">
        <v>0.57000000000000006</v>
      </c>
      <c r="R15" s="14">
        <v>0.41</v>
      </c>
      <c r="S15" s="14">
        <v>0.48</v>
      </c>
      <c r="T15" s="14">
        <v>0.5</v>
      </c>
      <c r="U15" s="14">
        <v>0.51</v>
      </c>
      <c r="V15" s="14">
        <v>0.54</v>
      </c>
      <c r="W15" s="14">
        <v>0.43</v>
      </c>
      <c r="X15" s="14">
        <v>0.56000000000000005</v>
      </c>
      <c r="Y15" s="14">
        <v>0.52</v>
      </c>
      <c r="Z15" s="14">
        <v>0.66</v>
      </c>
      <c r="AA15" s="14">
        <v>0.61</v>
      </c>
      <c r="AB15" s="14">
        <v>0.57000000000000006</v>
      </c>
      <c r="AC15" s="14">
        <v>0.46</v>
      </c>
      <c r="AD15" s="14">
        <v>0.51</v>
      </c>
      <c r="AE15" s="14">
        <v>0.56000000000000005</v>
      </c>
      <c r="AF15" s="14">
        <v>0.54</v>
      </c>
    </row>
    <row r="16" spans="1:32">
      <c r="A16" s="20"/>
      <c r="B16" s="11" t="s">
        <v>669</v>
      </c>
      <c r="C16" s="12">
        <v>3179</v>
      </c>
      <c r="D16" s="12">
        <v>195</v>
      </c>
      <c r="E16" s="12">
        <v>130</v>
      </c>
      <c r="F16" s="12">
        <v>124</v>
      </c>
      <c r="G16" s="12">
        <v>150</v>
      </c>
      <c r="H16" s="12">
        <v>139</v>
      </c>
      <c r="I16" s="12">
        <v>171</v>
      </c>
      <c r="J16" s="12">
        <v>32</v>
      </c>
      <c r="K16" s="12">
        <v>198</v>
      </c>
      <c r="L16" s="12">
        <v>52</v>
      </c>
      <c r="M16" s="12">
        <v>80</v>
      </c>
      <c r="N16" s="12">
        <v>110</v>
      </c>
      <c r="O16" s="12">
        <v>162</v>
      </c>
      <c r="P16" s="12">
        <v>117</v>
      </c>
      <c r="Q16" s="12">
        <v>85</v>
      </c>
      <c r="R16" s="12">
        <v>62</v>
      </c>
      <c r="S16" s="12">
        <v>110</v>
      </c>
      <c r="T16" s="12">
        <v>158</v>
      </c>
      <c r="U16" s="12">
        <v>56</v>
      </c>
      <c r="V16" s="12">
        <v>103</v>
      </c>
      <c r="W16" s="12">
        <v>90</v>
      </c>
      <c r="X16" s="12">
        <v>200</v>
      </c>
      <c r="Y16" s="12">
        <v>132</v>
      </c>
      <c r="Z16" s="12">
        <v>116</v>
      </c>
      <c r="AA16" s="12">
        <v>47</v>
      </c>
      <c r="AB16" s="12">
        <v>139</v>
      </c>
      <c r="AC16" s="12">
        <v>158</v>
      </c>
      <c r="AD16" s="12">
        <v>95</v>
      </c>
      <c r="AE16" s="12">
        <v>140</v>
      </c>
      <c r="AF16" s="12">
        <v>99</v>
      </c>
    </row>
    <row r="17" spans="1:32">
      <c r="A17" s="20"/>
      <c r="B17" s="13" t="s">
        <v>563</v>
      </c>
      <c r="C17" s="14">
        <v>0.12</v>
      </c>
      <c r="D17" s="14">
        <v>0.19</v>
      </c>
      <c r="E17" s="14">
        <v>0.13</v>
      </c>
      <c r="F17" s="14">
        <v>0.12</v>
      </c>
      <c r="G17" s="14">
        <v>0.15</v>
      </c>
      <c r="H17" s="14">
        <v>0.12</v>
      </c>
      <c r="I17" s="14">
        <v>0.11</v>
      </c>
      <c r="J17" s="14">
        <v>0.11</v>
      </c>
      <c r="K17" s="14">
        <v>0.2</v>
      </c>
      <c r="L17" s="14">
        <v>0.05</v>
      </c>
      <c r="M17" s="14">
        <v>0.08</v>
      </c>
      <c r="N17" s="14">
        <v>0.11</v>
      </c>
      <c r="O17" s="14">
        <v>0.16</v>
      </c>
      <c r="P17" s="14">
        <v>0.11</v>
      </c>
      <c r="Q17" s="14">
        <v>0.08</v>
      </c>
      <c r="R17" s="14">
        <v>0.12</v>
      </c>
      <c r="S17" s="14">
        <v>0.11</v>
      </c>
      <c r="T17" s="14">
        <v>0.16</v>
      </c>
      <c r="U17" s="14">
        <v>0.11</v>
      </c>
      <c r="V17" s="14">
        <v>0.1</v>
      </c>
      <c r="W17" s="14">
        <v>0.18</v>
      </c>
      <c r="X17" s="14">
        <v>0.2</v>
      </c>
      <c r="Y17" s="14">
        <v>0.13</v>
      </c>
      <c r="Z17" s="14">
        <v>0.12</v>
      </c>
      <c r="AA17" s="14">
        <v>0.05</v>
      </c>
      <c r="AB17" s="14">
        <v>0.13</v>
      </c>
      <c r="AC17" s="14">
        <v>0.15</v>
      </c>
      <c r="AD17" s="14">
        <v>0.09</v>
      </c>
      <c r="AE17" s="14">
        <v>0.14000000000000001</v>
      </c>
      <c r="AF17" s="14">
        <v>0.1</v>
      </c>
    </row>
    <row r="18" spans="1:32">
      <c r="A18" s="20"/>
      <c r="B18" s="11" t="s">
        <v>670</v>
      </c>
      <c r="C18" s="12">
        <v>727</v>
      </c>
      <c r="D18" s="12">
        <v>26</v>
      </c>
      <c r="E18" s="12">
        <v>37</v>
      </c>
      <c r="F18" s="12">
        <v>29</v>
      </c>
      <c r="G18" s="12">
        <v>47</v>
      </c>
      <c r="H18" s="12">
        <v>25</v>
      </c>
      <c r="I18" s="12">
        <v>33</v>
      </c>
      <c r="J18" s="12">
        <v>8</v>
      </c>
      <c r="K18" s="12">
        <v>40</v>
      </c>
      <c r="L18" s="12">
        <v>8</v>
      </c>
      <c r="M18" s="12">
        <v>38</v>
      </c>
      <c r="N18" s="12">
        <v>43</v>
      </c>
      <c r="O18" s="12">
        <v>45</v>
      </c>
      <c r="P18" s="12">
        <v>19</v>
      </c>
      <c r="Q18" s="12">
        <v>14</v>
      </c>
      <c r="R18" s="12">
        <v>3</v>
      </c>
      <c r="S18" s="12">
        <v>30</v>
      </c>
      <c r="T18" s="12">
        <v>40</v>
      </c>
      <c r="U18" s="12">
        <v>12</v>
      </c>
      <c r="V18" s="12">
        <v>9</v>
      </c>
      <c r="W18" s="12">
        <v>8</v>
      </c>
      <c r="X18" s="12">
        <v>25</v>
      </c>
      <c r="Y18" s="12">
        <v>69</v>
      </c>
      <c r="Z18" s="12">
        <v>11</v>
      </c>
      <c r="AA18" s="12">
        <v>5</v>
      </c>
      <c r="AB18" s="12">
        <v>18</v>
      </c>
      <c r="AC18" s="12">
        <v>27</v>
      </c>
      <c r="AD18" s="12">
        <v>18</v>
      </c>
      <c r="AE18" s="12">
        <v>23</v>
      </c>
      <c r="AF18" s="12">
        <v>44</v>
      </c>
    </row>
    <row r="19" spans="1:32">
      <c r="A19" s="20"/>
      <c r="B19" s="13" t="s">
        <v>565</v>
      </c>
      <c r="C19" s="14">
        <v>0.03</v>
      </c>
      <c r="D19" s="14">
        <v>0.03</v>
      </c>
      <c r="E19" s="14">
        <v>0.04</v>
      </c>
      <c r="F19" s="14">
        <v>0.03</v>
      </c>
      <c r="G19" s="14">
        <v>0.05</v>
      </c>
      <c r="H19" s="14">
        <v>0.02</v>
      </c>
      <c r="I19" s="14">
        <v>0.02</v>
      </c>
      <c r="J19" s="14">
        <v>0.03</v>
      </c>
      <c r="K19" s="14">
        <v>0.04</v>
      </c>
      <c r="L19" s="14">
        <v>0.01</v>
      </c>
      <c r="M19" s="14">
        <v>0.04</v>
      </c>
      <c r="N19" s="14">
        <v>0.04</v>
      </c>
      <c r="O19" s="14">
        <v>0.05</v>
      </c>
      <c r="P19" s="14">
        <v>0.02</v>
      </c>
      <c r="Q19" s="14">
        <v>0.01</v>
      </c>
      <c r="R19" s="14">
        <v>0.01</v>
      </c>
      <c r="S19" s="14">
        <v>0.03</v>
      </c>
      <c r="T19" s="14">
        <v>0.04</v>
      </c>
      <c r="U19" s="14">
        <v>0.02</v>
      </c>
      <c r="V19" s="14">
        <v>0.01</v>
      </c>
      <c r="W19" s="14">
        <v>0.02</v>
      </c>
      <c r="X19" s="14">
        <v>0.02</v>
      </c>
      <c r="Y19" s="14">
        <v>7.0000000000000007E-2</v>
      </c>
      <c r="Z19" s="14">
        <v>0.01</v>
      </c>
      <c r="AA19" s="15" t="s">
        <v>459</v>
      </c>
      <c r="AB19" s="14">
        <v>0.02</v>
      </c>
      <c r="AC19" s="14">
        <v>0.03</v>
      </c>
      <c r="AD19" s="14">
        <v>0.02</v>
      </c>
      <c r="AE19" s="14">
        <v>0.02</v>
      </c>
      <c r="AF19" s="14">
        <v>0.04</v>
      </c>
    </row>
    <row r="20" spans="1:32">
      <c r="A20" s="20"/>
      <c r="B20" s="11" t="s">
        <v>468</v>
      </c>
      <c r="C20" s="12">
        <v>840</v>
      </c>
      <c r="D20" s="12">
        <v>18</v>
      </c>
      <c r="E20" s="12">
        <v>40</v>
      </c>
      <c r="F20" s="12">
        <v>43</v>
      </c>
      <c r="G20" s="12">
        <v>66</v>
      </c>
      <c r="H20" s="12">
        <v>52</v>
      </c>
      <c r="I20" s="12">
        <v>57</v>
      </c>
      <c r="J20" s="12">
        <v>6</v>
      </c>
      <c r="K20" s="12">
        <v>54</v>
      </c>
      <c r="L20" s="12">
        <v>47</v>
      </c>
      <c r="M20" s="12">
        <v>22</v>
      </c>
      <c r="N20" s="12">
        <v>26</v>
      </c>
      <c r="O20" s="12">
        <v>41</v>
      </c>
      <c r="P20" s="12">
        <v>18</v>
      </c>
      <c r="Q20" s="12">
        <v>15</v>
      </c>
      <c r="R20" s="12">
        <v>16</v>
      </c>
      <c r="S20" s="12">
        <v>84</v>
      </c>
      <c r="T20" s="12">
        <v>65</v>
      </c>
      <c r="U20" s="12">
        <v>17</v>
      </c>
      <c r="V20" s="12">
        <v>21</v>
      </c>
      <c r="W20" s="12">
        <v>1</v>
      </c>
      <c r="X20" s="12">
        <v>24</v>
      </c>
      <c r="Y20" s="12">
        <v>54</v>
      </c>
      <c r="Z20" s="12">
        <v>34</v>
      </c>
      <c r="AA20" s="12">
        <v>23</v>
      </c>
      <c r="AB20" s="12">
        <v>32</v>
      </c>
      <c r="AC20" s="12">
        <v>17</v>
      </c>
      <c r="AD20" s="12">
        <v>22</v>
      </c>
      <c r="AE20" s="12">
        <v>46</v>
      </c>
      <c r="AF20" s="12">
        <v>35</v>
      </c>
    </row>
    <row r="21" spans="1:32">
      <c r="A21" s="20"/>
      <c r="B21" s="13" t="s">
        <v>469</v>
      </c>
      <c r="C21" s="14">
        <v>0.03</v>
      </c>
      <c r="D21" s="14">
        <v>0.02</v>
      </c>
      <c r="E21" s="14">
        <v>0.04</v>
      </c>
      <c r="F21" s="14">
        <v>0.04</v>
      </c>
      <c r="G21" s="14">
        <v>0.06</v>
      </c>
      <c r="H21" s="14">
        <v>0.04</v>
      </c>
      <c r="I21" s="14">
        <v>0.04</v>
      </c>
      <c r="J21" s="14">
        <v>0.02</v>
      </c>
      <c r="K21" s="14">
        <v>0.05</v>
      </c>
      <c r="L21" s="14">
        <v>0.05</v>
      </c>
      <c r="M21" s="14">
        <v>0.02</v>
      </c>
      <c r="N21" s="14">
        <v>0.03</v>
      </c>
      <c r="O21" s="14">
        <v>0.04</v>
      </c>
      <c r="P21" s="14">
        <v>0.02</v>
      </c>
      <c r="Q21" s="14">
        <v>0.02</v>
      </c>
      <c r="R21" s="14">
        <v>0.03</v>
      </c>
      <c r="S21" s="14">
        <v>0.08</v>
      </c>
      <c r="T21" s="14">
        <v>0.06</v>
      </c>
      <c r="U21" s="14">
        <v>0.03</v>
      </c>
      <c r="V21" s="14">
        <v>0.02</v>
      </c>
      <c r="W21" s="15" t="s">
        <v>459</v>
      </c>
      <c r="X21" s="14">
        <v>0.02</v>
      </c>
      <c r="Y21" s="14">
        <v>0.05</v>
      </c>
      <c r="Z21" s="14">
        <v>0.03</v>
      </c>
      <c r="AA21" s="14">
        <v>0.02</v>
      </c>
      <c r="AB21" s="14">
        <v>0.03</v>
      </c>
      <c r="AC21" s="14">
        <v>0.02</v>
      </c>
      <c r="AD21" s="14">
        <v>0.02</v>
      </c>
      <c r="AE21" s="14">
        <v>0.05</v>
      </c>
      <c r="AF21" s="14">
        <v>0.03</v>
      </c>
    </row>
    <row r="22" spans="1:32">
      <c r="A22" s="20"/>
      <c r="B22" s="11" t="s">
        <v>566</v>
      </c>
      <c r="C22" s="12">
        <v>21574</v>
      </c>
      <c r="D22" s="12">
        <v>765</v>
      </c>
      <c r="E22" s="12">
        <v>810</v>
      </c>
      <c r="F22" s="12">
        <v>808</v>
      </c>
      <c r="G22" s="12">
        <v>740</v>
      </c>
      <c r="H22" s="12">
        <v>1000</v>
      </c>
      <c r="I22" s="12">
        <v>1248</v>
      </c>
      <c r="J22" s="12">
        <v>248</v>
      </c>
      <c r="K22" s="12">
        <v>715</v>
      </c>
      <c r="L22" s="12">
        <v>900</v>
      </c>
      <c r="M22" s="12">
        <v>863</v>
      </c>
      <c r="N22" s="12">
        <v>825</v>
      </c>
      <c r="O22" s="12">
        <v>754</v>
      </c>
      <c r="P22" s="12">
        <v>868</v>
      </c>
      <c r="Q22" s="12">
        <v>904</v>
      </c>
      <c r="R22" s="12">
        <v>419</v>
      </c>
      <c r="S22" s="12">
        <v>783</v>
      </c>
      <c r="T22" s="12">
        <v>750</v>
      </c>
      <c r="U22" s="12">
        <v>422</v>
      </c>
      <c r="V22" s="12">
        <v>885</v>
      </c>
      <c r="W22" s="12">
        <v>404</v>
      </c>
      <c r="X22" s="12">
        <v>773</v>
      </c>
      <c r="Y22" s="12">
        <v>754</v>
      </c>
      <c r="Z22" s="12">
        <v>847</v>
      </c>
      <c r="AA22" s="12">
        <v>978</v>
      </c>
      <c r="AB22" s="12">
        <v>850</v>
      </c>
      <c r="AC22" s="12">
        <v>807</v>
      </c>
      <c r="AD22" s="12">
        <v>871</v>
      </c>
      <c r="AE22" s="12">
        <v>793</v>
      </c>
      <c r="AF22" s="12">
        <v>842</v>
      </c>
    </row>
    <row r="23" spans="1:32">
      <c r="A23" s="20"/>
      <c r="B23" s="13" t="s">
        <v>567</v>
      </c>
      <c r="C23" s="14">
        <v>0.82000000000000006</v>
      </c>
      <c r="D23" s="14">
        <v>0.76</v>
      </c>
      <c r="E23" s="14">
        <v>0.79</v>
      </c>
      <c r="F23" s="14">
        <v>0.81</v>
      </c>
      <c r="G23" s="14">
        <v>0.74</v>
      </c>
      <c r="H23" s="14">
        <v>0.82000000000000006</v>
      </c>
      <c r="I23" s="14">
        <v>0.83000000000000007</v>
      </c>
      <c r="J23" s="14">
        <v>0.84</v>
      </c>
      <c r="K23" s="14">
        <v>0.71</v>
      </c>
      <c r="L23" s="14">
        <v>0.89</v>
      </c>
      <c r="M23" s="14">
        <v>0.86</v>
      </c>
      <c r="N23" s="14">
        <v>0.82000000000000006</v>
      </c>
      <c r="O23" s="14">
        <v>0.75</v>
      </c>
      <c r="P23" s="14">
        <v>0.85</v>
      </c>
      <c r="Q23" s="14">
        <v>0.89</v>
      </c>
      <c r="R23" s="14">
        <v>0.84</v>
      </c>
      <c r="S23" s="14">
        <v>0.78</v>
      </c>
      <c r="T23" s="14">
        <v>0.74</v>
      </c>
      <c r="U23" s="14">
        <v>0.84</v>
      </c>
      <c r="V23" s="14">
        <v>0.87</v>
      </c>
      <c r="W23" s="14">
        <v>0.8</v>
      </c>
      <c r="X23" s="14">
        <v>0.76</v>
      </c>
      <c r="Y23" s="14">
        <v>0.75</v>
      </c>
      <c r="Z23" s="14">
        <v>0.84</v>
      </c>
      <c r="AA23" s="14">
        <v>0.93</v>
      </c>
      <c r="AB23" s="14">
        <v>0.82000000000000006</v>
      </c>
      <c r="AC23" s="14">
        <v>0.8</v>
      </c>
      <c r="AD23" s="14">
        <v>0.87</v>
      </c>
      <c r="AE23" s="14">
        <v>0.79</v>
      </c>
      <c r="AF23" s="14">
        <v>0.83000000000000007</v>
      </c>
    </row>
    <row r="24" spans="1:32">
      <c r="A24" s="20"/>
      <c r="B24" s="11" t="s">
        <v>568</v>
      </c>
      <c r="C24" s="12">
        <v>3906</v>
      </c>
      <c r="D24" s="12">
        <v>221</v>
      </c>
      <c r="E24" s="12">
        <v>167</v>
      </c>
      <c r="F24" s="12">
        <v>153</v>
      </c>
      <c r="G24" s="12">
        <v>197</v>
      </c>
      <c r="H24" s="12">
        <v>164</v>
      </c>
      <c r="I24" s="12">
        <v>204</v>
      </c>
      <c r="J24" s="12">
        <v>40</v>
      </c>
      <c r="K24" s="12">
        <v>238</v>
      </c>
      <c r="L24" s="12">
        <v>60</v>
      </c>
      <c r="M24" s="12">
        <v>118</v>
      </c>
      <c r="N24" s="12">
        <v>153</v>
      </c>
      <c r="O24" s="12">
        <v>207</v>
      </c>
      <c r="P24" s="12">
        <v>136</v>
      </c>
      <c r="Q24" s="12">
        <v>99</v>
      </c>
      <c r="R24" s="12">
        <v>65</v>
      </c>
      <c r="S24" s="12">
        <v>140</v>
      </c>
      <c r="T24" s="12">
        <v>198</v>
      </c>
      <c r="U24" s="12">
        <v>68</v>
      </c>
      <c r="V24" s="12">
        <v>112</v>
      </c>
      <c r="W24" s="12">
        <v>98</v>
      </c>
      <c r="X24" s="12">
        <v>225</v>
      </c>
      <c r="Y24" s="12">
        <v>201</v>
      </c>
      <c r="Z24" s="12">
        <v>127</v>
      </c>
      <c r="AA24" s="12">
        <v>52</v>
      </c>
      <c r="AB24" s="12">
        <v>157</v>
      </c>
      <c r="AC24" s="12">
        <v>185</v>
      </c>
      <c r="AD24" s="12">
        <v>113</v>
      </c>
      <c r="AE24" s="12">
        <v>163</v>
      </c>
      <c r="AF24" s="12">
        <v>143</v>
      </c>
    </row>
    <row r="25" spans="1:32">
      <c r="A25" s="20"/>
      <c r="B25" s="13" t="s">
        <v>569</v>
      </c>
      <c r="C25" s="14">
        <v>0.15</v>
      </c>
      <c r="D25" s="14">
        <v>0.22</v>
      </c>
      <c r="E25" s="14">
        <v>0.17</v>
      </c>
      <c r="F25" s="14">
        <v>0.15</v>
      </c>
      <c r="G25" s="14">
        <v>0.2</v>
      </c>
      <c r="H25" s="14">
        <v>0.14000000000000001</v>
      </c>
      <c r="I25" s="14">
        <v>0.13</v>
      </c>
      <c r="J25" s="14">
        <v>0.14000000000000001</v>
      </c>
      <c r="K25" s="14">
        <v>0.24</v>
      </c>
      <c r="L25" s="14">
        <v>0.06</v>
      </c>
      <c r="M25" s="14">
        <v>0.12</v>
      </c>
      <c r="N25" s="14">
        <v>0.15</v>
      </c>
      <c r="O25" s="14">
        <v>0.21</v>
      </c>
      <c r="P25" s="14">
        <v>0.13</v>
      </c>
      <c r="Q25" s="14">
        <v>0.09</v>
      </c>
      <c r="R25" s="14">
        <v>0.13</v>
      </c>
      <c r="S25" s="14">
        <v>0.14000000000000001</v>
      </c>
      <c r="T25" s="14">
        <v>0.2</v>
      </c>
      <c r="U25" s="14">
        <v>0.13</v>
      </c>
      <c r="V25" s="14">
        <v>0.11</v>
      </c>
      <c r="W25" s="14">
        <v>0.2</v>
      </c>
      <c r="X25" s="14">
        <v>0.22</v>
      </c>
      <c r="Y25" s="14">
        <v>0.2</v>
      </c>
      <c r="Z25" s="14">
        <v>0.13</v>
      </c>
      <c r="AA25" s="14">
        <v>0.05</v>
      </c>
      <c r="AB25" s="14">
        <v>0.15</v>
      </c>
      <c r="AC25" s="14">
        <v>0.18</v>
      </c>
      <c r="AD25" s="14">
        <v>0.11</v>
      </c>
      <c r="AE25" s="14">
        <v>0.16</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671</v>
      </c>
      <c r="C3" s="18"/>
      <c r="D3" s="18"/>
      <c r="E3" s="18"/>
      <c r="F3" s="18"/>
      <c r="H3" s="18" t="s">
        <v>672</v>
      </c>
      <c r="I3" s="18"/>
      <c r="J3" s="18"/>
      <c r="K3" s="18"/>
      <c r="L3" s="18"/>
    </row>
    <row r="4" spans="1:32" ht="27" customHeight="1">
      <c r="B4" s="18" t="s">
        <v>673</v>
      </c>
      <c r="C4" s="18"/>
      <c r="D4" s="18"/>
      <c r="E4" s="18"/>
      <c r="F4" s="18"/>
      <c r="H4" s="18" t="s">
        <v>674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7309</v>
      </c>
      <c r="D12" s="12">
        <v>215</v>
      </c>
      <c r="E12" s="12">
        <v>310</v>
      </c>
      <c r="F12" s="12">
        <v>259</v>
      </c>
      <c r="G12" s="12">
        <v>328</v>
      </c>
      <c r="H12" s="12">
        <v>306</v>
      </c>
      <c r="I12" s="12">
        <v>378</v>
      </c>
      <c r="J12" s="12">
        <v>72</v>
      </c>
      <c r="K12" s="12">
        <v>195</v>
      </c>
      <c r="L12" s="12">
        <v>474</v>
      </c>
      <c r="M12" s="12">
        <v>284</v>
      </c>
      <c r="N12" s="12">
        <v>389</v>
      </c>
      <c r="O12" s="12">
        <v>215</v>
      </c>
      <c r="P12" s="12">
        <v>297</v>
      </c>
      <c r="Q12" s="12">
        <v>342</v>
      </c>
      <c r="R12" s="12">
        <v>168</v>
      </c>
      <c r="S12" s="12">
        <v>271</v>
      </c>
      <c r="T12" s="12">
        <v>236</v>
      </c>
      <c r="U12" s="12">
        <v>175</v>
      </c>
      <c r="V12" s="12">
        <v>325</v>
      </c>
      <c r="W12" s="12">
        <v>166</v>
      </c>
      <c r="X12" s="12">
        <v>200</v>
      </c>
      <c r="Y12" s="12">
        <v>307</v>
      </c>
      <c r="Z12" s="12">
        <v>214</v>
      </c>
      <c r="AA12" s="12">
        <v>337</v>
      </c>
      <c r="AB12" s="12">
        <v>233</v>
      </c>
      <c r="AC12" s="12">
        <v>286</v>
      </c>
      <c r="AD12" s="12">
        <v>316</v>
      </c>
      <c r="AE12" s="12">
        <v>278</v>
      </c>
      <c r="AF12" s="12">
        <v>349</v>
      </c>
    </row>
    <row r="13" spans="1:32">
      <c r="A13" s="20"/>
      <c r="B13" s="13" t="s">
        <v>559</v>
      </c>
      <c r="C13" s="14">
        <v>0.28000000000000003</v>
      </c>
      <c r="D13" s="14">
        <v>0.21</v>
      </c>
      <c r="E13" s="14">
        <v>0.31</v>
      </c>
      <c r="F13" s="14">
        <v>0.26</v>
      </c>
      <c r="G13" s="14">
        <v>0.33</v>
      </c>
      <c r="H13" s="14">
        <v>0.25</v>
      </c>
      <c r="I13" s="14">
        <v>0.25</v>
      </c>
      <c r="J13" s="14">
        <v>0.24</v>
      </c>
      <c r="K13" s="14">
        <v>0.19</v>
      </c>
      <c r="L13" s="14">
        <v>0.47</v>
      </c>
      <c r="M13" s="14">
        <v>0.28999999999999998</v>
      </c>
      <c r="N13" s="14">
        <v>0.39</v>
      </c>
      <c r="O13" s="14">
        <v>0.21</v>
      </c>
      <c r="P13" s="14">
        <v>0.28999999999999998</v>
      </c>
      <c r="Q13" s="14">
        <v>0.33</v>
      </c>
      <c r="R13" s="14">
        <v>0.34</v>
      </c>
      <c r="S13" s="14">
        <v>0.27</v>
      </c>
      <c r="T13" s="14">
        <v>0.23</v>
      </c>
      <c r="U13" s="14">
        <v>0.34</v>
      </c>
      <c r="V13" s="14">
        <v>0.32</v>
      </c>
      <c r="W13" s="14">
        <v>0.33</v>
      </c>
      <c r="X13" s="14">
        <v>0.2</v>
      </c>
      <c r="Y13" s="14">
        <v>0.31</v>
      </c>
      <c r="Z13" s="14">
        <v>0.21</v>
      </c>
      <c r="AA13" s="14">
        <v>0.32</v>
      </c>
      <c r="AB13" s="14">
        <v>0.23</v>
      </c>
      <c r="AC13" s="14">
        <v>0.28000000000000003</v>
      </c>
      <c r="AD13" s="14">
        <v>0.31</v>
      </c>
      <c r="AE13" s="14">
        <v>0.28000000000000003</v>
      </c>
      <c r="AF13" s="14">
        <v>0.34</v>
      </c>
    </row>
    <row r="14" spans="1:32">
      <c r="A14" s="20"/>
      <c r="B14" s="11" t="s">
        <v>668</v>
      </c>
      <c r="C14" s="12">
        <v>13384</v>
      </c>
      <c r="D14" s="12">
        <v>548</v>
      </c>
      <c r="E14" s="12">
        <v>447</v>
      </c>
      <c r="F14" s="12">
        <v>513</v>
      </c>
      <c r="G14" s="12">
        <v>482</v>
      </c>
      <c r="H14" s="12">
        <v>667</v>
      </c>
      <c r="I14" s="12">
        <v>821</v>
      </c>
      <c r="J14" s="12">
        <v>154</v>
      </c>
      <c r="K14" s="12">
        <v>473</v>
      </c>
      <c r="L14" s="12">
        <v>418</v>
      </c>
      <c r="M14" s="12">
        <v>513</v>
      </c>
      <c r="N14" s="12">
        <v>425</v>
      </c>
      <c r="O14" s="12">
        <v>449</v>
      </c>
      <c r="P14" s="12">
        <v>517</v>
      </c>
      <c r="Q14" s="12">
        <v>546</v>
      </c>
      <c r="R14" s="12">
        <v>212</v>
      </c>
      <c r="S14" s="12">
        <v>466</v>
      </c>
      <c r="T14" s="12">
        <v>477</v>
      </c>
      <c r="U14" s="12">
        <v>243</v>
      </c>
      <c r="V14" s="12">
        <v>511</v>
      </c>
      <c r="W14" s="12">
        <v>223</v>
      </c>
      <c r="X14" s="12">
        <v>513</v>
      </c>
      <c r="Y14" s="12">
        <v>427</v>
      </c>
      <c r="Z14" s="12">
        <v>641</v>
      </c>
      <c r="AA14" s="12">
        <v>603</v>
      </c>
      <c r="AB14" s="12">
        <v>541</v>
      </c>
      <c r="AC14" s="12">
        <v>498</v>
      </c>
      <c r="AD14" s="12">
        <v>528</v>
      </c>
      <c r="AE14" s="12">
        <v>512</v>
      </c>
      <c r="AF14" s="12">
        <v>511</v>
      </c>
    </row>
    <row r="15" spans="1:32">
      <c r="A15" s="20"/>
      <c r="B15" s="13" t="s">
        <v>561</v>
      </c>
      <c r="C15" s="14">
        <v>0.51</v>
      </c>
      <c r="D15" s="14">
        <v>0.55000000000000004</v>
      </c>
      <c r="E15" s="14">
        <v>0.44</v>
      </c>
      <c r="F15" s="14">
        <v>0.51</v>
      </c>
      <c r="G15" s="14">
        <v>0.48</v>
      </c>
      <c r="H15" s="14">
        <v>0.55000000000000004</v>
      </c>
      <c r="I15" s="14">
        <v>0.55000000000000004</v>
      </c>
      <c r="J15" s="14">
        <v>0.53</v>
      </c>
      <c r="K15" s="14">
        <v>0.47</v>
      </c>
      <c r="L15" s="14">
        <v>0.42</v>
      </c>
      <c r="M15" s="14">
        <v>0.51</v>
      </c>
      <c r="N15" s="14">
        <v>0.42</v>
      </c>
      <c r="O15" s="14">
        <v>0.45</v>
      </c>
      <c r="P15" s="14">
        <v>0.51</v>
      </c>
      <c r="Q15" s="14">
        <v>0.54</v>
      </c>
      <c r="R15" s="14">
        <v>0.42</v>
      </c>
      <c r="S15" s="14">
        <v>0.46</v>
      </c>
      <c r="T15" s="14">
        <v>0.47</v>
      </c>
      <c r="U15" s="14">
        <v>0.48</v>
      </c>
      <c r="V15" s="14">
        <v>0.5</v>
      </c>
      <c r="W15" s="14">
        <v>0.44</v>
      </c>
      <c r="X15" s="14">
        <v>0.5</v>
      </c>
      <c r="Y15" s="14">
        <v>0.42</v>
      </c>
      <c r="Z15" s="14">
        <v>0.64</v>
      </c>
      <c r="AA15" s="14">
        <v>0.57000000000000006</v>
      </c>
      <c r="AB15" s="14">
        <v>0.52</v>
      </c>
      <c r="AC15" s="14">
        <v>0.49</v>
      </c>
      <c r="AD15" s="14">
        <v>0.53</v>
      </c>
      <c r="AE15" s="14">
        <v>0.51</v>
      </c>
      <c r="AF15" s="14">
        <v>0.5</v>
      </c>
    </row>
    <row r="16" spans="1:32">
      <c r="A16" s="20"/>
      <c r="B16" s="11" t="s">
        <v>669</v>
      </c>
      <c r="C16" s="12">
        <v>3691</v>
      </c>
      <c r="D16" s="12">
        <v>201</v>
      </c>
      <c r="E16" s="12">
        <v>146</v>
      </c>
      <c r="F16" s="12">
        <v>151</v>
      </c>
      <c r="G16" s="12">
        <v>112</v>
      </c>
      <c r="H16" s="12">
        <v>166</v>
      </c>
      <c r="I16" s="12">
        <v>216</v>
      </c>
      <c r="J16" s="12">
        <v>50</v>
      </c>
      <c r="K16" s="12">
        <v>198</v>
      </c>
      <c r="L16" s="12">
        <v>65</v>
      </c>
      <c r="M16" s="12">
        <v>131</v>
      </c>
      <c r="N16" s="12">
        <v>113</v>
      </c>
      <c r="O16" s="12">
        <v>200</v>
      </c>
      <c r="P16" s="12">
        <v>165</v>
      </c>
      <c r="Q16" s="12">
        <v>89</v>
      </c>
      <c r="R16" s="12">
        <v>87</v>
      </c>
      <c r="S16" s="12">
        <v>133</v>
      </c>
      <c r="T16" s="12">
        <v>173</v>
      </c>
      <c r="U16" s="12">
        <v>57</v>
      </c>
      <c r="V16" s="12">
        <v>143</v>
      </c>
      <c r="W16" s="12">
        <v>97</v>
      </c>
      <c r="X16" s="12">
        <v>237</v>
      </c>
      <c r="Y16" s="12">
        <v>144</v>
      </c>
      <c r="Z16" s="12">
        <v>109</v>
      </c>
      <c r="AA16" s="12">
        <v>77</v>
      </c>
      <c r="AB16" s="12">
        <v>190</v>
      </c>
      <c r="AC16" s="12">
        <v>148</v>
      </c>
      <c r="AD16" s="12">
        <v>101</v>
      </c>
      <c r="AE16" s="12">
        <v>145</v>
      </c>
      <c r="AF16" s="12">
        <v>96</v>
      </c>
    </row>
    <row r="17" spans="1:32">
      <c r="A17" s="20"/>
      <c r="B17" s="13" t="s">
        <v>563</v>
      </c>
      <c r="C17" s="14">
        <v>0.14000000000000001</v>
      </c>
      <c r="D17" s="14">
        <v>0.2</v>
      </c>
      <c r="E17" s="14">
        <v>0.14000000000000001</v>
      </c>
      <c r="F17" s="14">
        <v>0.15</v>
      </c>
      <c r="G17" s="14">
        <v>0.11</v>
      </c>
      <c r="H17" s="14">
        <v>0.14000000000000001</v>
      </c>
      <c r="I17" s="14">
        <v>0.14000000000000001</v>
      </c>
      <c r="J17" s="14">
        <v>0.17</v>
      </c>
      <c r="K17" s="14">
        <v>0.2</v>
      </c>
      <c r="L17" s="14">
        <v>0.06</v>
      </c>
      <c r="M17" s="14">
        <v>0.13</v>
      </c>
      <c r="N17" s="14">
        <v>0.11</v>
      </c>
      <c r="O17" s="14">
        <v>0.2</v>
      </c>
      <c r="P17" s="14">
        <v>0.16</v>
      </c>
      <c r="Q17" s="14">
        <v>0.09</v>
      </c>
      <c r="R17" s="14">
        <v>0.17</v>
      </c>
      <c r="S17" s="14">
        <v>0.13</v>
      </c>
      <c r="T17" s="14">
        <v>0.17</v>
      </c>
      <c r="U17" s="14">
        <v>0.11</v>
      </c>
      <c r="V17" s="14">
        <v>0.14000000000000001</v>
      </c>
      <c r="W17" s="14">
        <v>0.19</v>
      </c>
      <c r="X17" s="14">
        <v>0.23</v>
      </c>
      <c r="Y17" s="14">
        <v>0.14000000000000001</v>
      </c>
      <c r="Z17" s="14">
        <v>0.11</v>
      </c>
      <c r="AA17" s="14">
        <v>7.0000000000000007E-2</v>
      </c>
      <c r="AB17" s="14">
        <v>0.18</v>
      </c>
      <c r="AC17" s="14">
        <v>0.15</v>
      </c>
      <c r="AD17" s="14">
        <v>0.1</v>
      </c>
      <c r="AE17" s="14">
        <v>0.14000000000000001</v>
      </c>
      <c r="AF17" s="14">
        <v>0.1</v>
      </c>
    </row>
    <row r="18" spans="1:32">
      <c r="A18" s="20"/>
      <c r="B18" s="11" t="s">
        <v>670</v>
      </c>
      <c r="C18" s="12">
        <v>994</v>
      </c>
      <c r="D18" s="12">
        <v>29</v>
      </c>
      <c r="E18" s="12">
        <v>61</v>
      </c>
      <c r="F18" s="12">
        <v>32</v>
      </c>
      <c r="G18" s="12">
        <v>27</v>
      </c>
      <c r="H18" s="12">
        <v>26</v>
      </c>
      <c r="I18" s="12">
        <v>34</v>
      </c>
      <c r="J18" s="12">
        <v>8</v>
      </c>
      <c r="K18" s="12">
        <v>67</v>
      </c>
      <c r="L18" s="12">
        <v>17</v>
      </c>
      <c r="M18" s="12">
        <v>52</v>
      </c>
      <c r="N18" s="12">
        <v>39</v>
      </c>
      <c r="O18" s="12">
        <v>85</v>
      </c>
      <c r="P18" s="12">
        <v>26</v>
      </c>
      <c r="Q18" s="12">
        <v>25</v>
      </c>
      <c r="R18" s="12">
        <v>18</v>
      </c>
      <c r="S18" s="12">
        <v>45</v>
      </c>
      <c r="T18" s="12">
        <v>42</v>
      </c>
      <c r="U18" s="12">
        <v>14</v>
      </c>
      <c r="V18" s="12">
        <v>17</v>
      </c>
      <c r="W18" s="12">
        <v>15</v>
      </c>
      <c r="X18" s="12">
        <v>51</v>
      </c>
      <c r="Y18" s="12">
        <v>79</v>
      </c>
      <c r="Z18" s="12">
        <v>14</v>
      </c>
      <c r="AA18" s="12">
        <v>4</v>
      </c>
      <c r="AB18" s="12">
        <v>41</v>
      </c>
      <c r="AC18" s="12">
        <v>46</v>
      </c>
      <c r="AD18" s="12">
        <v>28</v>
      </c>
      <c r="AE18" s="12">
        <v>19</v>
      </c>
      <c r="AF18" s="12">
        <v>34</v>
      </c>
    </row>
    <row r="19" spans="1:32">
      <c r="A19" s="20"/>
      <c r="B19" s="13" t="s">
        <v>565</v>
      </c>
      <c r="C19" s="14">
        <v>0.04</v>
      </c>
      <c r="D19" s="14">
        <v>0.03</v>
      </c>
      <c r="E19" s="14">
        <v>0.06</v>
      </c>
      <c r="F19" s="14">
        <v>0.03</v>
      </c>
      <c r="G19" s="14">
        <v>0.03</v>
      </c>
      <c r="H19" s="14">
        <v>0.02</v>
      </c>
      <c r="I19" s="14">
        <v>0.02</v>
      </c>
      <c r="J19" s="14">
        <v>0.03</v>
      </c>
      <c r="K19" s="14">
        <v>7.0000000000000007E-2</v>
      </c>
      <c r="L19" s="14">
        <v>0.02</v>
      </c>
      <c r="M19" s="14">
        <v>0.05</v>
      </c>
      <c r="N19" s="14">
        <v>0.04</v>
      </c>
      <c r="O19" s="14">
        <v>0.09</v>
      </c>
      <c r="P19" s="14">
        <v>0.02</v>
      </c>
      <c r="Q19" s="14">
        <v>0.02</v>
      </c>
      <c r="R19" s="14">
        <v>0.04</v>
      </c>
      <c r="S19" s="14">
        <v>0.05</v>
      </c>
      <c r="T19" s="14">
        <v>0.04</v>
      </c>
      <c r="U19" s="14">
        <v>0.03</v>
      </c>
      <c r="V19" s="14">
        <v>0.02</v>
      </c>
      <c r="W19" s="14">
        <v>0.03</v>
      </c>
      <c r="X19" s="14">
        <v>0.05</v>
      </c>
      <c r="Y19" s="14">
        <v>0.08</v>
      </c>
      <c r="Z19" s="14">
        <v>0.01</v>
      </c>
      <c r="AA19" s="14">
        <v>0.01</v>
      </c>
      <c r="AB19" s="14">
        <v>0.04</v>
      </c>
      <c r="AC19" s="14">
        <v>0.05</v>
      </c>
      <c r="AD19" s="14">
        <v>0.03</v>
      </c>
      <c r="AE19" s="14">
        <v>0.02</v>
      </c>
      <c r="AF19" s="14">
        <v>0.03</v>
      </c>
    </row>
    <row r="20" spans="1:32">
      <c r="A20" s="20"/>
      <c r="B20" s="11" t="s">
        <v>468</v>
      </c>
      <c r="C20" s="12">
        <v>940</v>
      </c>
      <c r="D20" s="12">
        <v>10</v>
      </c>
      <c r="E20" s="12">
        <v>54</v>
      </c>
      <c r="F20" s="12">
        <v>50</v>
      </c>
      <c r="G20" s="12">
        <v>55</v>
      </c>
      <c r="H20" s="12">
        <v>51</v>
      </c>
      <c r="I20" s="12">
        <v>61</v>
      </c>
      <c r="J20" s="12">
        <v>10</v>
      </c>
      <c r="K20" s="12">
        <v>73</v>
      </c>
      <c r="L20" s="12">
        <v>33</v>
      </c>
      <c r="M20" s="12">
        <v>22</v>
      </c>
      <c r="N20" s="12">
        <v>37</v>
      </c>
      <c r="O20" s="12">
        <v>54</v>
      </c>
      <c r="P20" s="12">
        <v>17</v>
      </c>
      <c r="Q20" s="12">
        <v>18</v>
      </c>
      <c r="R20" s="12">
        <v>15</v>
      </c>
      <c r="S20" s="12">
        <v>93</v>
      </c>
      <c r="T20" s="12">
        <v>85</v>
      </c>
      <c r="U20" s="12">
        <v>19</v>
      </c>
      <c r="V20" s="12">
        <v>21</v>
      </c>
      <c r="W20" s="12">
        <v>2</v>
      </c>
      <c r="X20" s="12">
        <v>19</v>
      </c>
      <c r="Y20" s="12">
        <v>51</v>
      </c>
      <c r="Z20" s="12">
        <v>30</v>
      </c>
      <c r="AA20" s="12">
        <v>32</v>
      </c>
      <c r="AB20" s="12">
        <v>33</v>
      </c>
      <c r="AC20" s="12">
        <v>32</v>
      </c>
      <c r="AD20" s="12">
        <v>34</v>
      </c>
      <c r="AE20" s="12">
        <v>47</v>
      </c>
      <c r="AF20" s="12">
        <v>30</v>
      </c>
    </row>
    <row r="21" spans="1:32">
      <c r="A21" s="20"/>
      <c r="B21" s="13" t="s">
        <v>469</v>
      </c>
      <c r="C21" s="14">
        <v>0.03</v>
      </c>
      <c r="D21" s="14">
        <v>0.01</v>
      </c>
      <c r="E21" s="14">
        <v>0.05</v>
      </c>
      <c r="F21" s="14">
        <v>0.05</v>
      </c>
      <c r="G21" s="14">
        <v>0.05</v>
      </c>
      <c r="H21" s="14">
        <v>0.04</v>
      </c>
      <c r="I21" s="14">
        <v>0.04</v>
      </c>
      <c r="J21" s="14">
        <v>0.03</v>
      </c>
      <c r="K21" s="14">
        <v>7.0000000000000007E-2</v>
      </c>
      <c r="L21" s="14">
        <v>0.03</v>
      </c>
      <c r="M21" s="14">
        <v>0.02</v>
      </c>
      <c r="N21" s="14">
        <v>0.04</v>
      </c>
      <c r="O21" s="14">
        <v>0.05</v>
      </c>
      <c r="P21" s="14">
        <v>0.02</v>
      </c>
      <c r="Q21" s="14">
        <v>0.02</v>
      </c>
      <c r="R21" s="14">
        <v>0.03</v>
      </c>
      <c r="S21" s="14">
        <v>0.09</v>
      </c>
      <c r="T21" s="14">
        <v>0.09</v>
      </c>
      <c r="U21" s="14">
        <v>0.04</v>
      </c>
      <c r="V21" s="14">
        <v>0.02</v>
      </c>
      <c r="W21" s="14">
        <v>0.01</v>
      </c>
      <c r="X21" s="14">
        <v>0.02</v>
      </c>
      <c r="Y21" s="14">
        <v>0.05</v>
      </c>
      <c r="Z21" s="14">
        <v>0.03</v>
      </c>
      <c r="AA21" s="14">
        <v>0.03</v>
      </c>
      <c r="AB21" s="14">
        <v>0.03</v>
      </c>
      <c r="AC21" s="14">
        <v>0.03</v>
      </c>
      <c r="AD21" s="14">
        <v>0.03</v>
      </c>
      <c r="AE21" s="14">
        <v>0.05</v>
      </c>
      <c r="AF21" s="14">
        <v>0.03</v>
      </c>
    </row>
    <row r="22" spans="1:32">
      <c r="A22" s="20"/>
      <c r="B22" s="11" t="s">
        <v>566</v>
      </c>
      <c r="C22" s="12">
        <v>20693</v>
      </c>
      <c r="D22" s="12">
        <v>763</v>
      </c>
      <c r="E22" s="12">
        <v>757</v>
      </c>
      <c r="F22" s="12">
        <v>772</v>
      </c>
      <c r="G22" s="12">
        <v>810</v>
      </c>
      <c r="H22" s="12">
        <v>973</v>
      </c>
      <c r="I22" s="12">
        <v>1199</v>
      </c>
      <c r="J22" s="12">
        <v>226</v>
      </c>
      <c r="K22" s="12">
        <v>668</v>
      </c>
      <c r="L22" s="12">
        <v>892</v>
      </c>
      <c r="M22" s="12">
        <v>797</v>
      </c>
      <c r="N22" s="12">
        <v>814</v>
      </c>
      <c r="O22" s="12">
        <v>664</v>
      </c>
      <c r="P22" s="12">
        <v>814</v>
      </c>
      <c r="Q22" s="12">
        <v>888</v>
      </c>
      <c r="R22" s="12">
        <v>380</v>
      </c>
      <c r="S22" s="12">
        <v>737</v>
      </c>
      <c r="T22" s="12">
        <v>713</v>
      </c>
      <c r="U22" s="12">
        <v>418</v>
      </c>
      <c r="V22" s="12">
        <v>836</v>
      </c>
      <c r="W22" s="12">
        <v>389</v>
      </c>
      <c r="X22" s="12">
        <v>713</v>
      </c>
      <c r="Y22" s="12">
        <v>734</v>
      </c>
      <c r="Z22" s="12">
        <v>855</v>
      </c>
      <c r="AA22" s="12">
        <v>940</v>
      </c>
      <c r="AB22" s="12">
        <v>774</v>
      </c>
      <c r="AC22" s="12">
        <v>784</v>
      </c>
      <c r="AD22" s="12">
        <v>844</v>
      </c>
      <c r="AE22" s="12">
        <v>790</v>
      </c>
      <c r="AF22" s="12">
        <v>860</v>
      </c>
    </row>
    <row r="23" spans="1:32">
      <c r="A23" s="20"/>
      <c r="B23" s="13" t="s">
        <v>567</v>
      </c>
      <c r="C23" s="14">
        <v>0.79</v>
      </c>
      <c r="D23" s="14">
        <v>0.76</v>
      </c>
      <c r="E23" s="14">
        <v>0.75</v>
      </c>
      <c r="F23" s="14">
        <v>0.77</v>
      </c>
      <c r="G23" s="14">
        <v>0.81</v>
      </c>
      <c r="H23" s="14">
        <v>0.8</v>
      </c>
      <c r="I23" s="14">
        <v>0.8</v>
      </c>
      <c r="J23" s="14">
        <v>0.77</v>
      </c>
      <c r="K23" s="14">
        <v>0.66</v>
      </c>
      <c r="L23" s="14">
        <v>0.89</v>
      </c>
      <c r="M23" s="14">
        <v>0.8</v>
      </c>
      <c r="N23" s="14">
        <v>0.81</v>
      </c>
      <c r="O23" s="14">
        <v>0.66</v>
      </c>
      <c r="P23" s="14">
        <v>0.8</v>
      </c>
      <c r="Q23" s="14">
        <v>0.87</v>
      </c>
      <c r="R23" s="14">
        <v>0.76</v>
      </c>
      <c r="S23" s="14">
        <v>0.73</v>
      </c>
      <c r="T23" s="14">
        <v>0.70000000000000007</v>
      </c>
      <c r="U23" s="14">
        <v>0.82000000000000006</v>
      </c>
      <c r="V23" s="14">
        <v>0.82000000000000006</v>
      </c>
      <c r="W23" s="14">
        <v>0.77</v>
      </c>
      <c r="X23" s="14">
        <v>0.70000000000000007</v>
      </c>
      <c r="Y23" s="14">
        <v>0.73</v>
      </c>
      <c r="Z23" s="14">
        <v>0.85</v>
      </c>
      <c r="AA23" s="14">
        <v>0.89</v>
      </c>
      <c r="AB23" s="14">
        <v>0.75</v>
      </c>
      <c r="AC23" s="14">
        <v>0.77</v>
      </c>
      <c r="AD23" s="14">
        <v>0.84</v>
      </c>
      <c r="AE23" s="14">
        <v>0.79</v>
      </c>
      <c r="AF23" s="14">
        <v>0.84</v>
      </c>
    </row>
    <row r="24" spans="1:32">
      <c r="A24" s="20"/>
      <c r="B24" s="11" t="s">
        <v>568</v>
      </c>
      <c r="C24" s="12">
        <v>4685</v>
      </c>
      <c r="D24" s="12">
        <v>230</v>
      </c>
      <c r="E24" s="12">
        <v>207</v>
      </c>
      <c r="F24" s="12">
        <v>183</v>
      </c>
      <c r="G24" s="12">
        <v>139</v>
      </c>
      <c r="H24" s="12">
        <v>192</v>
      </c>
      <c r="I24" s="12">
        <v>250</v>
      </c>
      <c r="J24" s="12">
        <v>58</v>
      </c>
      <c r="K24" s="12">
        <v>265</v>
      </c>
      <c r="L24" s="12">
        <v>82</v>
      </c>
      <c r="M24" s="12">
        <v>183</v>
      </c>
      <c r="N24" s="12">
        <v>152</v>
      </c>
      <c r="O24" s="12">
        <v>285</v>
      </c>
      <c r="P24" s="12">
        <v>191</v>
      </c>
      <c r="Q24" s="12">
        <v>114</v>
      </c>
      <c r="R24" s="12">
        <v>105</v>
      </c>
      <c r="S24" s="12">
        <v>178</v>
      </c>
      <c r="T24" s="12">
        <v>215</v>
      </c>
      <c r="U24" s="12">
        <v>71</v>
      </c>
      <c r="V24" s="12">
        <v>160</v>
      </c>
      <c r="W24" s="12">
        <v>112</v>
      </c>
      <c r="X24" s="12">
        <v>288</v>
      </c>
      <c r="Y24" s="12">
        <v>223</v>
      </c>
      <c r="Z24" s="12">
        <v>123</v>
      </c>
      <c r="AA24" s="12">
        <v>81</v>
      </c>
      <c r="AB24" s="12">
        <v>231</v>
      </c>
      <c r="AC24" s="12">
        <v>194</v>
      </c>
      <c r="AD24" s="12">
        <v>129</v>
      </c>
      <c r="AE24" s="12">
        <v>164</v>
      </c>
      <c r="AF24" s="12">
        <v>130</v>
      </c>
    </row>
    <row r="25" spans="1:32">
      <c r="A25" s="20"/>
      <c r="B25" s="13" t="s">
        <v>569</v>
      </c>
      <c r="C25" s="14">
        <v>0.18</v>
      </c>
      <c r="D25" s="14">
        <v>0.23</v>
      </c>
      <c r="E25" s="14">
        <v>0.2</v>
      </c>
      <c r="F25" s="14">
        <v>0.18</v>
      </c>
      <c r="G25" s="14">
        <v>0.14000000000000001</v>
      </c>
      <c r="H25" s="14">
        <v>0.16</v>
      </c>
      <c r="I25" s="14">
        <v>0.16</v>
      </c>
      <c r="J25" s="14">
        <v>0.2</v>
      </c>
      <c r="K25" s="14">
        <v>0.27</v>
      </c>
      <c r="L25" s="14">
        <v>0.08</v>
      </c>
      <c r="M25" s="14">
        <v>0.18</v>
      </c>
      <c r="N25" s="14">
        <v>0.15</v>
      </c>
      <c r="O25" s="14">
        <v>0.28999999999999998</v>
      </c>
      <c r="P25" s="14">
        <v>0.18</v>
      </c>
      <c r="Q25" s="14">
        <v>0.11</v>
      </c>
      <c r="R25" s="14">
        <v>0.21</v>
      </c>
      <c r="S25" s="14">
        <v>0.18</v>
      </c>
      <c r="T25" s="14">
        <v>0.21</v>
      </c>
      <c r="U25" s="14">
        <v>0.14000000000000001</v>
      </c>
      <c r="V25" s="14">
        <v>0.16</v>
      </c>
      <c r="W25" s="14">
        <v>0.22</v>
      </c>
      <c r="X25" s="14">
        <v>0.28000000000000003</v>
      </c>
      <c r="Y25" s="14">
        <v>0.22</v>
      </c>
      <c r="Z25" s="14">
        <v>0.12</v>
      </c>
      <c r="AA25" s="14">
        <v>0.08</v>
      </c>
      <c r="AB25" s="14">
        <v>0.22</v>
      </c>
      <c r="AC25" s="14">
        <v>0.2</v>
      </c>
      <c r="AD25" s="14">
        <v>0.13</v>
      </c>
      <c r="AE25" s="14">
        <v>0.16</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675</v>
      </c>
      <c r="C3" s="18"/>
      <c r="D3" s="18"/>
      <c r="E3" s="18"/>
      <c r="F3" s="18"/>
      <c r="H3" s="18" t="s">
        <v>676</v>
      </c>
      <c r="I3" s="18"/>
      <c r="J3" s="18"/>
      <c r="K3" s="18"/>
      <c r="L3" s="18"/>
    </row>
    <row r="4" spans="1:32" ht="27" customHeight="1">
      <c r="B4" s="18" t="s">
        <v>677</v>
      </c>
      <c r="C4" s="18"/>
      <c r="D4" s="18"/>
      <c r="E4" s="18"/>
      <c r="F4" s="18"/>
      <c r="H4" s="18" t="s">
        <v>678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9058</v>
      </c>
      <c r="D12" s="12">
        <v>296</v>
      </c>
      <c r="E12" s="12">
        <v>389</v>
      </c>
      <c r="F12" s="12">
        <v>276</v>
      </c>
      <c r="G12" s="12">
        <v>299</v>
      </c>
      <c r="H12" s="12">
        <v>470</v>
      </c>
      <c r="I12" s="12">
        <v>580</v>
      </c>
      <c r="J12" s="12">
        <v>110</v>
      </c>
      <c r="K12" s="12">
        <v>297</v>
      </c>
      <c r="L12" s="12">
        <v>545</v>
      </c>
      <c r="M12" s="12">
        <v>390</v>
      </c>
      <c r="N12" s="12">
        <v>463</v>
      </c>
      <c r="O12" s="12">
        <v>298</v>
      </c>
      <c r="P12" s="12">
        <v>302</v>
      </c>
      <c r="Q12" s="12">
        <v>338</v>
      </c>
      <c r="R12" s="12">
        <v>304</v>
      </c>
      <c r="S12" s="12">
        <v>395</v>
      </c>
      <c r="T12" s="12">
        <v>343</v>
      </c>
      <c r="U12" s="12">
        <v>228</v>
      </c>
      <c r="V12" s="12">
        <v>403</v>
      </c>
      <c r="W12" s="12">
        <v>308</v>
      </c>
      <c r="X12" s="12">
        <v>299</v>
      </c>
      <c r="Y12" s="12">
        <v>327</v>
      </c>
      <c r="Z12" s="12">
        <v>216</v>
      </c>
      <c r="AA12" s="12">
        <v>315</v>
      </c>
      <c r="AB12" s="12">
        <v>325</v>
      </c>
      <c r="AC12" s="12">
        <v>390</v>
      </c>
      <c r="AD12" s="12">
        <v>418</v>
      </c>
      <c r="AE12" s="12">
        <v>399</v>
      </c>
      <c r="AF12" s="12">
        <v>347</v>
      </c>
    </row>
    <row r="13" spans="1:32">
      <c r="A13" s="20"/>
      <c r="B13" s="13" t="s">
        <v>559</v>
      </c>
      <c r="C13" s="14">
        <v>0.34</v>
      </c>
      <c r="D13" s="14">
        <v>0.28999999999999998</v>
      </c>
      <c r="E13" s="14">
        <v>0.38</v>
      </c>
      <c r="F13" s="14">
        <v>0.27</v>
      </c>
      <c r="G13" s="14">
        <v>0.3</v>
      </c>
      <c r="H13" s="14">
        <v>0.39</v>
      </c>
      <c r="I13" s="14">
        <v>0.38</v>
      </c>
      <c r="J13" s="14">
        <v>0.38</v>
      </c>
      <c r="K13" s="14">
        <v>0.28999999999999998</v>
      </c>
      <c r="L13" s="14">
        <v>0.54</v>
      </c>
      <c r="M13" s="14">
        <v>0.39</v>
      </c>
      <c r="N13" s="14">
        <v>0.46</v>
      </c>
      <c r="O13" s="14">
        <v>0.3</v>
      </c>
      <c r="P13" s="14">
        <v>0.28999999999999998</v>
      </c>
      <c r="Q13" s="14">
        <v>0.33</v>
      </c>
      <c r="R13" s="14">
        <v>0.61</v>
      </c>
      <c r="S13" s="14">
        <v>0.39</v>
      </c>
      <c r="T13" s="14">
        <v>0.34</v>
      </c>
      <c r="U13" s="14">
        <v>0.45</v>
      </c>
      <c r="V13" s="14">
        <v>0.4</v>
      </c>
      <c r="W13" s="14">
        <v>0.61</v>
      </c>
      <c r="X13" s="14">
        <v>0.28999999999999998</v>
      </c>
      <c r="Y13" s="14">
        <v>0.32</v>
      </c>
      <c r="Z13" s="14">
        <v>0.21</v>
      </c>
      <c r="AA13" s="14">
        <v>0.3</v>
      </c>
      <c r="AB13" s="14">
        <v>0.31</v>
      </c>
      <c r="AC13" s="14">
        <v>0.39</v>
      </c>
      <c r="AD13" s="14">
        <v>0.42</v>
      </c>
      <c r="AE13" s="14">
        <v>0.4</v>
      </c>
      <c r="AF13" s="14">
        <v>0.34</v>
      </c>
    </row>
    <row r="14" spans="1:32">
      <c r="A14" s="20"/>
      <c r="B14" s="11" t="s">
        <v>668</v>
      </c>
      <c r="C14" s="12">
        <v>13935</v>
      </c>
      <c r="D14" s="12">
        <v>545</v>
      </c>
      <c r="E14" s="12">
        <v>510</v>
      </c>
      <c r="F14" s="12">
        <v>548</v>
      </c>
      <c r="G14" s="12">
        <v>518</v>
      </c>
      <c r="H14" s="12">
        <v>607</v>
      </c>
      <c r="I14" s="12">
        <v>749</v>
      </c>
      <c r="J14" s="12">
        <v>142</v>
      </c>
      <c r="K14" s="12">
        <v>553</v>
      </c>
      <c r="L14" s="12">
        <v>396</v>
      </c>
      <c r="M14" s="12">
        <v>533</v>
      </c>
      <c r="N14" s="12">
        <v>449</v>
      </c>
      <c r="O14" s="12">
        <v>535</v>
      </c>
      <c r="P14" s="12">
        <v>622</v>
      </c>
      <c r="Q14" s="12">
        <v>594</v>
      </c>
      <c r="R14" s="12">
        <v>150</v>
      </c>
      <c r="S14" s="12">
        <v>478</v>
      </c>
      <c r="T14" s="12">
        <v>526</v>
      </c>
      <c r="U14" s="12">
        <v>239</v>
      </c>
      <c r="V14" s="12">
        <v>546</v>
      </c>
      <c r="W14" s="12">
        <v>165</v>
      </c>
      <c r="X14" s="12">
        <v>503</v>
      </c>
      <c r="Y14" s="12">
        <v>489</v>
      </c>
      <c r="Z14" s="12">
        <v>674</v>
      </c>
      <c r="AA14" s="12">
        <v>657</v>
      </c>
      <c r="AB14" s="12">
        <v>570</v>
      </c>
      <c r="AC14" s="12">
        <v>487</v>
      </c>
      <c r="AD14" s="12">
        <v>486</v>
      </c>
      <c r="AE14" s="12">
        <v>465</v>
      </c>
      <c r="AF14" s="12">
        <v>488</v>
      </c>
    </row>
    <row r="15" spans="1:32">
      <c r="A15" s="20"/>
      <c r="B15" s="13" t="s">
        <v>561</v>
      </c>
      <c r="C15" s="14">
        <v>0.53</v>
      </c>
      <c r="D15" s="14">
        <v>0.54</v>
      </c>
      <c r="E15" s="14">
        <v>0.5</v>
      </c>
      <c r="F15" s="14">
        <v>0.55000000000000004</v>
      </c>
      <c r="G15" s="14">
        <v>0.51</v>
      </c>
      <c r="H15" s="14">
        <v>0.5</v>
      </c>
      <c r="I15" s="14">
        <v>0.5</v>
      </c>
      <c r="J15" s="14">
        <v>0.48</v>
      </c>
      <c r="K15" s="14">
        <v>0.55000000000000004</v>
      </c>
      <c r="L15" s="14">
        <v>0.39</v>
      </c>
      <c r="M15" s="14">
        <v>0.53</v>
      </c>
      <c r="N15" s="14">
        <v>0.45</v>
      </c>
      <c r="O15" s="14">
        <v>0.53</v>
      </c>
      <c r="P15" s="14">
        <v>0.61</v>
      </c>
      <c r="Q15" s="14">
        <v>0.57999999999999996</v>
      </c>
      <c r="R15" s="14">
        <v>0.3</v>
      </c>
      <c r="S15" s="14">
        <v>0.47</v>
      </c>
      <c r="T15" s="14">
        <v>0.52</v>
      </c>
      <c r="U15" s="14">
        <v>0.47</v>
      </c>
      <c r="V15" s="14">
        <v>0.54</v>
      </c>
      <c r="W15" s="14">
        <v>0.33</v>
      </c>
      <c r="X15" s="14">
        <v>0.49</v>
      </c>
      <c r="Y15" s="14">
        <v>0.49</v>
      </c>
      <c r="Z15" s="14">
        <v>0.67</v>
      </c>
      <c r="AA15" s="14">
        <v>0.63</v>
      </c>
      <c r="AB15" s="14">
        <v>0.55000000000000004</v>
      </c>
      <c r="AC15" s="14">
        <v>0.48</v>
      </c>
      <c r="AD15" s="14">
        <v>0.48</v>
      </c>
      <c r="AE15" s="14">
        <v>0.47</v>
      </c>
      <c r="AF15" s="14">
        <v>0.48</v>
      </c>
    </row>
    <row r="16" spans="1:32">
      <c r="A16" s="20"/>
      <c r="B16" s="11" t="s">
        <v>669</v>
      </c>
      <c r="C16" s="12">
        <v>2243</v>
      </c>
      <c r="D16" s="12">
        <v>137</v>
      </c>
      <c r="E16" s="12">
        <v>57</v>
      </c>
      <c r="F16" s="12">
        <v>129</v>
      </c>
      <c r="G16" s="12">
        <v>122</v>
      </c>
      <c r="H16" s="12">
        <v>86</v>
      </c>
      <c r="I16" s="12">
        <v>110</v>
      </c>
      <c r="J16" s="12">
        <v>24</v>
      </c>
      <c r="K16" s="12">
        <v>93</v>
      </c>
      <c r="L16" s="12">
        <v>37</v>
      </c>
      <c r="M16" s="12">
        <v>50</v>
      </c>
      <c r="N16" s="12">
        <v>62</v>
      </c>
      <c r="O16" s="12">
        <v>109</v>
      </c>
      <c r="P16" s="12">
        <v>73</v>
      </c>
      <c r="Q16" s="12">
        <v>66</v>
      </c>
      <c r="R16" s="12">
        <v>31</v>
      </c>
      <c r="S16" s="12">
        <v>65</v>
      </c>
      <c r="T16" s="12">
        <v>84</v>
      </c>
      <c r="U16" s="12">
        <v>25</v>
      </c>
      <c r="V16" s="12">
        <v>57</v>
      </c>
      <c r="W16" s="12">
        <v>25</v>
      </c>
      <c r="X16" s="12">
        <v>167</v>
      </c>
      <c r="Y16" s="12">
        <v>107</v>
      </c>
      <c r="Z16" s="12">
        <v>82</v>
      </c>
      <c r="AA16" s="12">
        <v>24</v>
      </c>
      <c r="AB16" s="12">
        <v>112</v>
      </c>
      <c r="AC16" s="12">
        <v>97</v>
      </c>
      <c r="AD16" s="12">
        <v>71</v>
      </c>
      <c r="AE16" s="12">
        <v>94</v>
      </c>
      <c r="AF16" s="12">
        <v>151</v>
      </c>
    </row>
    <row r="17" spans="1:32">
      <c r="A17" s="20"/>
      <c r="B17" s="13" t="s">
        <v>563</v>
      </c>
      <c r="C17" s="14">
        <v>0.09</v>
      </c>
      <c r="D17" s="14">
        <v>0.14000000000000001</v>
      </c>
      <c r="E17" s="14">
        <v>0.06</v>
      </c>
      <c r="F17" s="14">
        <v>0.13</v>
      </c>
      <c r="G17" s="14">
        <v>0.12</v>
      </c>
      <c r="H17" s="14">
        <v>7.0000000000000007E-2</v>
      </c>
      <c r="I17" s="14">
        <v>7.0000000000000007E-2</v>
      </c>
      <c r="J17" s="14">
        <v>0.08</v>
      </c>
      <c r="K17" s="14">
        <v>0.09</v>
      </c>
      <c r="L17" s="14">
        <v>0.04</v>
      </c>
      <c r="M17" s="14">
        <v>0.05</v>
      </c>
      <c r="N17" s="14">
        <v>0.06</v>
      </c>
      <c r="O17" s="14">
        <v>0.11</v>
      </c>
      <c r="P17" s="14">
        <v>7.0000000000000007E-2</v>
      </c>
      <c r="Q17" s="14">
        <v>7.0000000000000007E-2</v>
      </c>
      <c r="R17" s="14">
        <v>0.06</v>
      </c>
      <c r="S17" s="14">
        <v>7.0000000000000007E-2</v>
      </c>
      <c r="T17" s="14">
        <v>0.08</v>
      </c>
      <c r="U17" s="14">
        <v>0.05</v>
      </c>
      <c r="V17" s="14">
        <v>0.05</v>
      </c>
      <c r="W17" s="14">
        <v>0.05</v>
      </c>
      <c r="X17" s="14">
        <v>0.16</v>
      </c>
      <c r="Y17" s="14">
        <v>0.11</v>
      </c>
      <c r="Z17" s="14">
        <v>0.08</v>
      </c>
      <c r="AA17" s="14">
        <v>0.02</v>
      </c>
      <c r="AB17" s="14">
        <v>0.11</v>
      </c>
      <c r="AC17" s="14">
        <v>0.1</v>
      </c>
      <c r="AD17" s="14">
        <v>7.0000000000000007E-2</v>
      </c>
      <c r="AE17" s="14">
        <v>0.09</v>
      </c>
      <c r="AF17" s="14">
        <v>0.15</v>
      </c>
    </row>
    <row r="18" spans="1:32">
      <c r="A18" s="20"/>
      <c r="B18" s="11" t="s">
        <v>670</v>
      </c>
      <c r="C18" s="12">
        <v>434</v>
      </c>
      <c r="D18" s="12">
        <v>16</v>
      </c>
      <c r="E18" s="12">
        <v>22</v>
      </c>
      <c r="F18" s="12">
        <v>17</v>
      </c>
      <c r="G18" s="12">
        <v>27</v>
      </c>
      <c r="H18" s="12">
        <v>14</v>
      </c>
      <c r="I18" s="12">
        <v>23</v>
      </c>
      <c r="J18" s="12">
        <v>8</v>
      </c>
      <c r="K18" s="12">
        <v>26</v>
      </c>
      <c r="L18" s="12">
        <v>10</v>
      </c>
      <c r="M18" s="12">
        <v>16</v>
      </c>
      <c r="N18" s="12">
        <v>12</v>
      </c>
      <c r="O18" s="12">
        <v>26</v>
      </c>
      <c r="P18" s="12">
        <v>8</v>
      </c>
      <c r="Q18" s="12">
        <v>9</v>
      </c>
      <c r="R18" s="12">
        <v>6</v>
      </c>
      <c r="S18" s="12">
        <v>21</v>
      </c>
      <c r="T18" s="12">
        <v>15</v>
      </c>
      <c r="U18" s="12">
        <v>11</v>
      </c>
      <c r="V18" s="12">
        <v>7</v>
      </c>
      <c r="W18" s="12">
        <v>3</v>
      </c>
      <c r="X18" s="12">
        <v>38</v>
      </c>
      <c r="Y18" s="12">
        <v>65</v>
      </c>
      <c r="Z18" s="12">
        <v>5</v>
      </c>
      <c r="AA18" s="12">
        <v>3</v>
      </c>
      <c r="AB18" s="12">
        <v>17</v>
      </c>
      <c r="AC18" s="12">
        <v>23</v>
      </c>
      <c r="AD18" s="12">
        <v>14</v>
      </c>
      <c r="AE18" s="12">
        <v>14</v>
      </c>
      <c r="AF18" s="12">
        <v>27</v>
      </c>
    </row>
    <row r="19" spans="1:32">
      <c r="A19" s="20"/>
      <c r="B19" s="13" t="s">
        <v>565</v>
      </c>
      <c r="C19" s="14">
        <v>0.02</v>
      </c>
      <c r="D19" s="14">
        <v>0.02</v>
      </c>
      <c r="E19" s="14">
        <v>0.02</v>
      </c>
      <c r="F19" s="14">
        <v>0.02</v>
      </c>
      <c r="G19" s="14">
        <v>0.03</v>
      </c>
      <c r="H19" s="14">
        <v>0.01</v>
      </c>
      <c r="I19" s="14">
        <v>0.02</v>
      </c>
      <c r="J19" s="14">
        <v>0.03</v>
      </c>
      <c r="K19" s="14">
        <v>0.03</v>
      </c>
      <c r="L19" s="14">
        <v>0.01</v>
      </c>
      <c r="M19" s="14">
        <v>0.02</v>
      </c>
      <c r="N19" s="14">
        <v>0.01</v>
      </c>
      <c r="O19" s="14">
        <v>0.02</v>
      </c>
      <c r="P19" s="14">
        <v>0.01</v>
      </c>
      <c r="Q19" s="14">
        <v>0.01</v>
      </c>
      <c r="R19" s="14">
        <v>0.01</v>
      </c>
      <c r="S19" s="14">
        <v>0.02</v>
      </c>
      <c r="T19" s="14">
        <v>0.01</v>
      </c>
      <c r="U19" s="14">
        <v>0.02</v>
      </c>
      <c r="V19" s="14">
        <v>0.01</v>
      </c>
      <c r="W19" s="14">
        <v>0.01</v>
      </c>
      <c r="X19" s="14">
        <v>0.04</v>
      </c>
      <c r="Y19" s="14">
        <v>0.06</v>
      </c>
      <c r="Z19" s="14">
        <v>0.01</v>
      </c>
      <c r="AA19" s="15" t="s">
        <v>459</v>
      </c>
      <c r="AB19" s="14">
        <v>0.02</v>
      </c>
      <c r="AC19" s="14">
        <v>0.02</v>
      </c>
      <c r="AD19" s="14">
        <v>0.01</v>
      </c>
      <c r="AE19" s="14">
        <v>0.01</v>
      </c>
      <c r="AF19" s="14">
        <v>0.02</v>
      </c>
    </row>
    <row r="20" spans="1:32">
      <c r="A20" s="20"/>
      <c r="B20" s="11" t="s">
        <v>468</v>
      </c>
      <c r="C20" s="12">
        <v>649</v>
      </c>
      <c r="D20" s="12">
        <v>9</v>
      </c>
      <c r="E20" s="12">
        <v>39</v>
      </c>
      <c r="F20" s="12">
        <v>35</v>
      </c>
      <c r="G20" s="12">
        <v>38</v>
      </c>
      <c r="H20" s="12">
        <v>39</v>
      </c>
      <c r="I20" s="12">
        <v>48</v>
      </c>
      <c r="J20" s="12">
        <v>9</v>
      </c>
      <c r="K20" s="12">
        <v>37</v>
      </c>
      <c r="L20" s="12">
        <v>20</v>
      </c>
      <c r="M20" s="12">
        <v>14</v>
      </c>
      <c r="N20" s="12">
        <v>19</v>
      </c>
      <c r="O20" s="12">
        <v>36</v>
      </c>
      <c r="P20" s="12">
        <v>16</v>
      </c>
      <c r="Q20" s="12">
        <v>12</v>
      </c>
      <c r="R20" s="12">
        <v>8</v>
      </c>
      <c r="S20" s="12">
        <v>48</v>
      </c>
      <c r="T20" s="12">
        <v>47</v>
      </c>
      <c r="U20" s="12">
        <v>4</v>
      </c>
      <c r="V20" s="12">
        <v>5</v>
      </c>
      <c r="W20" s="12">
        <v>2</v>
      </c>
      <c r="X20" s="12">
        <v>14</v>
      </c>
      <c r="Y20" s="12">
        <v>21</v>
      </c>
      <c r="Z20" s="12">
        <v>31</v>
      </c>
      <c r="AA20" s="12">
        <v>55</v>
      </c>
      <c r="AB20" s="12">
        <v>15</v>
      </c>
      <c r="AC20" s="12">
        <v>13</v>
      </c>
      <c r="AD20" s="12">
        <v>17</v>
      </c>
      <c r="AE20" s="12">
        <v>29</v>
      </c>
      <c r="AF20" s="12">
        <v>7</v>
      </c>
    </row>
    <row r="21" spans="1:32">
      <c r="A21" s="20"/>
      <c r="B21" s="13" t="s">
        <v>469</v>
      </c>
      <c r="C21" s="14">
        <v>0.02</v>
      </c>
      <c r="D21" s="14">
        <v>0.01</v>
      </c>
      <c r="E21" s="14">
        <v>0.04</v>
      </c>
      <c r="F21" s="14">
        <v>0.03</v>
      </c>
      <c r="G21" s="14">
        <v>0.04</v>
      </c>
      <c r="H21" s="14">
        <v>0.03</v>
      </c>
      <c r="I21" s="14">
        <v>0.03</v>
      </c>
      <c r="J21" s="14">
        <v>0.03</v>
      </c>
      <c r="K21" s="14">
        <v>0.04</v>
      </c>
      <c r="L21" s="14">
        <v>0.02</v>
      </c>
      <c r="M21" s="14">
        <v>0.01</v>
      </c>
      <c r="N21" s="14">
        <v>0.02</v>
      </c>
      <c r="O21" s="14">
        <v>0.04</v>
      </c>
      <c r="P21" s="14">
        <v>0.02</v>
      </c>
      <c r="Q21" s="14">
        <v>0.01</v>
      </c>
      <c r="R21" s="14">
        <v>0.02</v>
      </c>
      <c r="S21" s="14">
        <v>0.05</v>
      </c>
      <c r="T21" s="14">
        <v>0.05</v>
      </c>
      <c r="U21" s="14">
        <v>0.01</v>
      </c>
      <c r="V21" s="15" t="s">
        <v>459</v>
      </c>
      <c r="W21" s="15" t="s">
        <v>459</v>
      </c>
      <c r="X21" s="14">
        <v>0.02</v>
      </c>
      <c r="Y21" s="14">
        <v>0.02</v>
      </c>
      <c r="Z21" s="14">
        <v>0.03</v>
      </c>
      <c r="AA21" s="14">
        <v>0.05</v>
      </c>
      <c r="AB21" s="14">
        <v>0.01</v>
      </c>
      <c r="AC21" s="14">
        <v>0.01</v>
      </c>
      <c r="AD21" s="14">
        <v>0.02</v>
      </c>
      <c r="AE21" s="14">
        <v>0.03</v>
      </c>
      <c r="AF21" s="14">
        <v>0.01</v>
      </c>
    </row>
    <row r="22" spans="1:32">
      <c r="A22" s="20"/>
      <c r="B22" s="11" t="s">
        <v>566</v>
      </c>
      <c r="C22" s="12">
        <v>22993</v>
      </c>
      <c r="D22" s="12">
        <v>841</v>
      </c>
      <c r="E22" s="12">
        <v>899</v>
      </c>
      <c r="F22" s="12">
        <v>824</v>
      </c>
      <c r="G22" s="12">
        <v>817</v>
      </c>
      <c r="H22" s="12">
        <v>1077</v>
      </c>
      <c r="I22" s="12">
        <v>1329</v>
      </c>
      <c r="J22" s="12">
        <v>252</v>
      </c>
      <c r="K22" s="12">
        <v>850</v>
      </c>
      <c r="L22" s="12">
        <v>941</v>
      </c>
      <c r="M22" s="12">
        <v>923</v>
      </c>
      <c r="N22" s="12">
        <v>912</v>
      </c>
      <c r="O22" s="12">
        <v>833</v>
      </c>
      <c r="P22" s="12">
        <v>924</v>
      </c>
      <c r="Q22" s="12">
        <v>932</v>
      </c>
      <c r="R22" s="12">
        <v>454</v>
      </c>
      <c r="S22" s="12">
        <v>873</v>
      </c>
      <c r="T22" s="12">
        <v>869</v>
      </c>
      <c r="U22" s="12">
        <v>467</v>
      </c>
      <c r="V22" s="12">
        <v>949</v>
      </c>
      <c r="W22" s="12">
        <v>473</v>
      </c>
      <c r="X22" s="12">
        <v>802</v>
      </c>
      <c r="Y22" s="12">
        <v>816</v>
      </c>
      <c r="Z22" s="12">
        <v>890</v>
      </c>
      <c r="AA22" s="12">
        <v>972</v>
      </c>
      <c r="AB22" s="12">
        <v>895</v>
      </c>
      <c r="AC22" s="12">
        <v>877</v>
      </c>
      <c r="AD22" s="12">
        <v>904</v>
      </c>
      <c r="AE22" s="12">
        <v>864</v>
      </c>
      <c r="AF22" s="12">
        <v>835</v>
      </c>
    </row>
    <row r="23" spans="1:32">
      <c r="A23" s="20"/>
      <c r="B23" s="13" t="s">
        <v>567</v>
      </c>
      <c r="C23" s="14">
        <v>0.87</v>
      </c>
      <c r="D23" s="14">
        <v>0.83000000000000007</v>
      </c>
      <c r="E23" s="14">
        <v>0.88</v>
      </c>
      <c r="F23" s="14">
        <v>0.82000000000000006</v>
      </c>
      <c r="G23" s="14">
        <v>0.81</v>
      </c>
      <c r="H23" s="14">
        <v>0.89</v>
      </c>
      <c r="I23" s="14">
        <v>0.88</v>
      </c>
      <c r="J23" s="14">
        <v>0.86</v>
      </c>
      <c r="K23" s="14">
        <v>0.84</v>
      </c>
      <c r="L23" s="14">
        <v>0.93</v>
      </c>
      <c r="M23" s="14">
        <v>0.92</v>
      </c>
      <c r="N23" s="14">
        <v>0.91</v>
      </c>
      <c r="O23" s="14">
        <v>0.83000000000000007</v>
      </c>
      <c r="P23" s="14">
        <v>0.9</v>
      </c>
      <c r="Q23" s="14">
        <v>0.91</v>
      </c>
      <c r="R23" s="14">
        <v>0.91</v>
      </c>
      <c r="S23" s="14">
        <v>0.86</v>
      </c>
      <c r="T23" s="14">
        <v>0.86</v>
      </c>
      <c r="U23" s="14">
        <v>0.92</v>
      </c>
      <c r="V23" s="14">
        <v>0.94000000000000006</v>
      </c>
      <c r="W23" s="14">
        <v>0.94000000000000006</v>
      </c>
      <c r="X23" s="14">
        <v>0.78</v>
      </c>
      <c r="Y23" s="14">
        <v>0.81</v>
      </c>
      <c r="Z23" s="14">
        <v>0.88</v>
      </c>
      <c r="AA23" s="14">
        <v>0.93</v>
      </c>
      <c r="AB23" s="14">
        <v>0.86</v>
      </c>
      <c r="AC23" s="14">
        <v>0.87</v>
      </c>
      <c r="AD23" s="14">
        <v>0.9</v>
      </c>
      <c r="AE23" s="14">
        <v>0.87</v>
      </c>
      <c r="AF23" s="14">
        <v>0.82000000000000006</v>
      </c>
    </row>
    <row r="24" spans="1:32">
      <c r="A24" s="20"/>
      <c r="B24" s="11" t="s">
        <v>568</v>
      </c>
      <c r="C24" s="12">
        <v>2677</v>
      </c>
      <c r="D24" s="12">
        <v>153</v>
      </c>
      <c r="E24" s="12">
        <v>79</v>
      </c>
      <c r="F24" s="12">
        <v>146</v>
      </c>
      <c r="G24" s="12">
        <v>149</v>
      </c>
      <c r="H24" s="12">
        <v>100</v>
      </c>
      <c r="I24" s="12">
        <v>133</v>
      </c>
      <c r="J24" s="12">
        <v>32</v>
      </c>
      <c r="K24" s="12">
        <v>119</v>
      </c>
      <c r="L24" s="12">
        <v>47</v>
      </c>
      <c r="M24" s="12">
        <v>66</v>
      </c>
      <c r="N24" s="12">
        <v>74</v>
      </c>
      <c r="O24" s="12">
        <v>135</v>
      </c>
      <c r="P24" s="12">
        <v>81</v>
      </c>
      <c r="Q24" s="12">
        <v>75</v>
      </c>
      <c r="R24" s="12">
        <v>37</v>
      </c>
      <c r="S24" s="12">
        <v>86</v>
      </c>
      <c r="T24" s="12">
        <v>99</v>
      </c>
      <c r="U24" s="12">
        <v>36</v>
      </c>
      <c r="V24" s="12">
        <v>64</v>
      </c>
      <c r="W24" s="12">
        <v>28</v>
      </c>
      <c r="X24" s="12">
        <v>205</v>
      </c>
      <c r="Y24" s="12">
        <v>172</v>
      </c>
      <c r="Z24" s="12">
        <v>87</v>
      </c>
      <c r="AA24" s="12">
        <v>27</v>
      </c>
      <c r="AB24" s="12">
        <v>129</v>
      </c>
      <c r="AC24" s="12">
        <v>120</v>
      </c>
      <c r="AD24" s="12">
        <v>85</v>
      </c>
      <c r="AE24" s="12">
        <v>108</v>
      </c>
      <c r="AF24" s="12">
        <v>178</v>
      </c>
    </row>
    <row r="25" spans="1:32">
      <c r="A25" s="20"/>
      <c r="B25" s="13" t="s">
        <v>569</v>
      </c>
      <c r="C25" s="14">
        <v>0.11</v>
      </c>
      <c r="D25" s="14">
        <v>0.16</v>
      </c>
      <c r="E25" s="14">
        <v>0.08</v>
      </c>
      <c r="F25" s="14">
        <v>0.15</v>
      </c>
      <c r="G25" s="14">
        <v>0.15</v>
      </c>
      <c r="H25" s="14">
        <v>0.08</v>
      </c>
      <c r="I25" s="14">
        <v>0.09</v>
      </c>
      <c r="J25" s="14">
        <v>0.11</v>
      </c>
      <c r="K25" s="14">
        <v>0.12</v>
      </c>
      <c r="L25" s="14">
        <v>0.05</v>
      </c>
      <c r="M25" s="14">
        <v>7.0000000000000007E-2</v>
      </c>
      <c r="N25" s="14">
        <v>7.0000000000000007E-2</v>
      </c>
      <c r="O25" s="14">
        <v>0.13</v>
      </c>
      <c r="P25" s="14">
        <v>0.08</v>
      </c>
      <c r="Q25" s="14">
        <v>0.08</v>
      </c>
      <c r="R25" s="14">
        <v>7.0000000000000007E-2</v>
      </c>
      <c r="S25" s="14">
        <v>0.09</v>
      </c>
      <c r="T25" s="14">
        <v>0.09</v>
      </c>
      <c r="U25" s="14">
        <v>7.0000000000000007E-2</v>
      </c>
      <c r="V25" s="14">
        <v>0.06</v>
      </c>
      <c r="W25" s="14">
        <v>0.06</v>
      </c>
      <c r="X25" s="14">
        <v>0.2</v>
      </c>
      <c r="Y25" s="14">
        <v>0.17</v>
      </c>
      <c r="Z25" s="14">
        <v>0.09</v>
      </c>
      <c r="AA25" s="14">
        <v>0.02</v>
      </c>
      <c r="AB25" s="14">
        <v>0.13</v>
      </c>
      <c r="AC25" s="14">
        <v>0.12</v>
      </c>
      <c r="AD25" s="14">
        <v>0.08</v>
      </c>
      <c r="AE25" s="14">
        <v>0.1</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679</v>
      </c>
      <c r="C3" s="18"/>
      <c r="D3" s="18"/>
      <c r="E3" s="18"/>
      <c r="F3" s="18"/>
      <c r="H3" s="18" t="s">
        <v>680</v>
      </c>
      <c r="I3" s="18"/>
      <c r="J3" s="18"/>
      <c r="K3" s="18"/>
      <c r="L3" s="18"/>
    </row>
    <row r="4" spans="1:32" ht="27" customHeight="1">
      <c r="B4" s="18" t="s">
        <v>681</v>
      </c>
      <c r="C4" s="18"/>
      <c r="D4" s="18"/>
      <c r="E4" s="18"/>
      <c r="F4" s="18"/>
      <c r="H4" s="18" t="s">
        <v>682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9626</v>
      </c>
      <c r="D12" s="12">
        <v>352</v>
      </c>
      <c r="E12" s="12">
        <v>321</v>
      </c>
      <c r="F12" s="12">
        <v>278</v>
      </c>
      <c r="G12" s="12">
        <v>470</v>
      </c>
      <c r="H12" s="12">
        <v>445</v>
      </c>
      <c r="I12" s="12">
        <v>556</v>
      </c>
      <c r="J12" s="12">
        <v>110</v>
      </c>
      <c r="K12" s="12">
        <v>323</v>
      </c>
      <c r="L12" s="12">
        <v>541</v>
      </c>
      <c r="M12" s="12">
        <v>354</v>
      </c>
      <c r="N12" s="12">
        <v>477</v>
      </c>
      <c r="O12" s="12">
        <v>376</v>
      </c>
      <c r="P12" s="12">
        <v>269</v>
      </c>
      <c r="Q12" s="12">
        <v>320</v>
      </c>
      <c r="R12" s="12">
        <v>258</v>
      </c>
      <c r="S12" s="12">
        <v>388</v>
      </c>
      <c r="T12" s="12">
        <v>355</v>
      </c>
      <c r="U12" s="12">
        <v>259</v>
      </c>
      <c r="V12" s="12">
        <v>373</v>
      </c>
      <c r="W12" s="12">
        <v>285</v>
      </c>
      <c r="X12" s="12">
        <v>473</v>
      </c>
      <c r="Y12" s="12">
        <v>398</v>
      </c>
      <c r="Z12" s="12">
        <v>192</v>
      </c>
      <c r="AA12" s="12">
        <v>343</v>
      </c>
      <c r="AB12" s="12">
        <v>254</v>
      </c>
      <c r="AC12" s="12">
        <v>408</v>
      </c>
      <c r="AD12" s="12">
        <v>378</v>
      </c>
      <c r="AE12" s="12">
        <v>512</v>
      </c>
      <c r="AF12" s="12">
        <v>697</v>
      </c>
    </row>
    <row r="13" spans="1:32">
      <c r="A13" s="20"/>
      <c r="B13" s="13" t="s">
        <v>559</v>
      </c>
      <c r="C13" s="14">
        <v>0.37</v>
      </c>
      <c r="D13" s="14">
        <v>0.35</v>
      </c>
      <c r="E13" s="14">
        <v>0.32</v>
      </c>
      <c r="F13" s="14">
        <v>0.28000000000000003</v>
      </c>
      <c r="G13" s="14">
        <v>0.47</v>
      </c>
      <c r="H13" s="14">
        <v>0.37</v>
      </c>
      <c r="I13" s="14">
        <v>0.37</v>
      </c>
      <c r="J13" s="14">
        <v>0.38</v>
      </c>
      <c r="K13" s="14">
        <v>0.32</v>
      </c>
      <c r="L13" s="14">
        <v>0.54</v>
      </c>
      <c r="M13" s="14">
        <v>0.35</v>
      </c>
      <c r="N13" s="14">
        <v>0.47</v>
      </c>
      <c r="O13" s="14">
        <v>0.37</v>
      </c>
      <c r="P13" s="14">
        <v>0.26</v>
      </c>
      <c r="Q13" s="14">
        <v>0.32</v>
      </c>
      <c r="R13" s="14">
        <v>0.52</v>
      </c>
      <c r="S13" s="14">
        <v>0.39</v>
      </c>
      <c r="T13" s="14">
        <v>0.35</v>
      </c>
      <c r="U13" s="14">
        <v>0.51</v>
      </c>
      <c r="V13" s="14">
        <v>0.37</v>
      </c>
      <c r="W13" s="14">
        <v>0.57000000000000006</v>
      </c>
      <c r="X13" s="14">
        <v>0.47</v>
      </c>
      <c r="Y13" s="14">
        <v>0.4</v>
      </c>
      <c r="Z13" s="14">
        <v>0.19</v>
      </c>
      <c r="AA13" s="14">
        <v>0.33</v>
      </c>
      <c r="AB13" s="14">
        <v>0.24</v>
      </c>
      <c r="AC13" s="14">
        <v>0.41</v>
      </c>
      <c r="AD13" s="14">
        <v>0.38</v>
      </c>
      <c r="AE13" s="14">
        <v>0.51</v>
      </c>
      <c r="AF13" s="14">
        <v>0.68</v>
      </c>
    </row>
    <row r="14" spans="1:32">
      <c r="A14" s="20"/>
      <c r="B14" s="11" t="s">
        <v>668</v>
      </c>
      <c r="C14" s="12">
        <v>13149</v>
      </c>
      <c r="D14" s="12">
        <v>470</v>
      </c>
      <c r="E14" s="12">
        <v>504</v>
      </c>
      <c r="F14" s="12">
        <v>503</v>
      </c>
      <c r="G14" s="12">
        <v>412</v>
      </c>
      <c r="H14" s="12">
        <v>621</v>
      </c>
      <c r="I14" s="12">
        <v>750</v>
      </c>
      <c r="J14" s="12">
        <v>129</v>
      </c>
      <c r="K14" s="12">
        <v>518</v>
      </c>
      <c r="L14" s="12">
        <v>388</v>
      </c>
      <c r="M14" s="12">
        <v>523</v>
      </c>
      <c r="N14" s="12">
        <v>432</v>
      </c>
      <c r="O14" s="12">
        <v>473</v>
      </c>
      <c r="P14" s="12">
        <v>615</v>
      </c>
      <c r="Q14" s="12">
        <v>595</v>
      </c>
      <c r="R14" s="12">
        <v>171</v>
      </c>
      <c r="S14" s="12">
        <v>458</v>
      </c>
      <c r="T14" s="12">
        <v>486</v>
      </c>
      <c r="U14" s="12">
        <v>205</v>
      </c>
      <c r="V14" s="12">
        <v>529</v>
      </c>
      <c r="W14" s="12">
        <v>161</v>
      </c>
      <c r="X14" s="12">
        <v>432</v>
      </c>
      <c r="Y14" s="12">
        <v>408</v>
      </c>
      <c r="Z14" s="12">
        <v>645</v>
      </c>
      <c r="AA14" s="12">
        <v>594</v>
      </c>
      <c r="AB14" s="12">
        <v>568</v>
      </c>
      <c r="AC14" s="12">
        <v>457</v>
      </c>
      <c r="AD14" s="12">
        <v>530</v>
      </c>
      <c r="AE14" s="12">
        <v>370</v>
      </c>
      <c r="AF14" s="12">
        <v>287</v>
      </c>
    </row>
    <row r="15" spans="1:32">
      <c r="A15" s="20"/>
      <c r="B15" s="13" t="s">
        <v>561</v>
      </c>
      <c r="C15" s="14">
        <v>0.5</v>
      </c>
      <c r="D15" s="14">
        <v>0.47</v>
      </c>
      <c r="E15" s="14">
        <v>0.5</v>
      </c>
      <c r="F15" s="14">
        <v>0.5</v>
      </c>
      <c r="G15" s="14">
        <v>0.41</v>
      </c>
      <c r="H15" s="14">
        <v>0.51</v>
      </c>
      <c r="I15" s="14">
        <v>0.5</v>
      </c>
      <c r="J15" s="14">
        <v>0.44</v>
      </c>
      <c r="K15" s="14">
        <v>0.52</v>
      </c>
      <c r="L15" s="14">
        <v>0.39</v>
      </c>
      <c r="M15" s="14">
        <v>0.52</v>
      </c>
      <c r="N15" s="14">
        <v>0.43</v>
      </c>
      <c r="O15" s="14">
        <v>0.47</v>
      </c>
      <c r="P15" s="14">
        <v>0.6</v>
      </c>
      <c r="Q15" s="14">
        <v>0.57999999999999996</v>
      </c>
      <c r="R15" s="14">
        <v>0.34</v>
      </c>
      <c r="S15" s="14">
        <v>0.45</v>
      </c>
      <c r="T15" s="14">
        <v>0.48</v>
      </c>
      <c r="U15" s="14">
        <v>0.4</v>
      </c>
      <c r="V15" s="14">
        <v>0.52</v>
      </c>
      <c r="W15" s="14">
        <v>0.32</v>
      </c>
      <c r="X15" s="14">
        <v>0.42</v>
      </c>
      <c r="Y15" s="14">
        <v>0.41</v>
      </c>
      <c r="Z15" s="14">
        <v>0.64</v>
      </c>
      <c r="AA15" s="14">
        <v>0.56000000000000005</v>
      </c>
      <c r="AB15" s="14">
        <v>0.55000000000000004</v>
      </c>
      <c r="AC15" s="14">
        <v>0.45</v>
      </c>
      <c r="AD15" s="14">
        <v>0.53</v>
      </c>
      <c r="AE15" s="14">
        <v>0.37</v>
      </c>
      <c r="AF15" s="14">
        <v>0.28000000000000003</v>
      </c>
    </row>
    <row r="16" spans="1:32">
      <c r="A16" s="20"/>
      <c r="B16" s="11" t="s">
        <v>669</v>
      </c>
      <c r="C16" s="12">
        <v>2503</v>
      </c>
      <c r="D16" s="12">
        <v>139</v>
      </c>
      <c r="E16" s="12">
        <v>95</v>
      </c>
      <c r="F16" s="12">
        <v>159</v>
      </c>
      <c r="G16" s="12">
        <v>71</v>
      </c>
      <c r="H16" s="12">
        <v>102</v>
      </c>
      <c r="I16" s="12">
        <v>139</v>
      </c>
      <c r="J16" s="12">
        <v>38</v>
      </c>
      <c r="K16" s="12">
        <v>113</v>
      </c>
      <c r="L16" s="12">
        <v>42</v>
      </c>
      <c r="M16" s="12">
        <v>81</v>
      </c>
      <c r="N16" s="12">
        <v>60</v>
      </c>
      <c r="O16" s="12">
        <v>109</v>
      </c>
      <c r="P16" s="12">
        <v>101</v>
      </c>
      <c r="Q16" s="12">
        <v>89</v>
      </c>
      <c r="R16" s="12">
        <v>40</v>
      </c>
      <c r="S16" s="12">
        <v>77</v>
      </c>
      <c r="T16" s="12">
        <v>103</v>
      </c>
      <c r="U16" s="12">
        <v>26</v>
      </c>
      <c r="V16" s="12">
        <v>88</v>
      </c>
      <c r="W16" s="12">
        <v>43</v>
      </c>
      <c r="X16" s="12">
        <v>91</v>
      </c>
      <c r="Y16" s="12">
        <v>113</v>
      </c>
      <c r="Z16" s="12">
        <v>128</v>
      </c>
      <c r="AA16" s="12">
        <v>43</v>
      </c>
      <c r="AB16" s="12">
        <v>179</v>
      </c>
      <c r="AC16" s="12">
        <v>105</v>
      </c>
      <c r="AD16" s="12">
        <v>64</v>
      </c>
      <c r="AE16" s="12">
        <v>68</v>
      </c>
      <c r="AF16" s="12">
        <v>25</v>
      </c>
    </row>
    <row r="17" spans="1:32">
      <c r="A17" s="20"/>
      <c r="B17" s="13" t="s">
        <v>563</v>
      </c>
      <c r="C17" s="14">
        <v>0.1</v>
      </c>
      <c r="D17" s="14">
        <v>0.14000000000000001</v>
      </c>
      <c r="E17" s="14">
        <v>0.09</v>
      </c>
      <c r="F17" s="14">
        <v>0.16</v>
      </c>
      <c r="G17" s="14">
        <v>7.0000000000000007E-2</v>
      </c>
      <c r="H17" s="14">
        <v>0.08</v>
      </c>
      <c r="I17" s="14">
        <v>0.09</v>
      </c>
      <c r="J17" s="14">
        <v>0.13</v>
      </c>
      <c r="K17" s="14">
        <v>0.11</v>
      </c>
      <c r="L17" s="14">
        <v>0.04</v>
      </c>
      <c r="M17" s="14">
        <v>0.08</v>
      </c>
      <c r="N17" s="14">
        <v>0.06</v>
      </c>
      <c r="O17" s="14">
        <v>0.11</v>
      </c>
      <c r="P17" s="14">
        <v>0.1</v>
      </c>
      <c r="Q17" s="14">
        <v>0.09</v>
      </c>
      <c r="R17" s="14">
        <v>0.08</v>
      </c>
      <c r="S17" s="14">
        <v>0.08</v>
      </c>
      <c r="T17" s="14">
        <v>0.1</v>
      </c>
      <c r="U17" s="14">
        <v>0.05</v>
      </c>
      <c r="V17" s="14">
        <v>0.09</v>
      </c>
      <c r="W17" s="14">
        <v>0.08</v>
      </c>
      <c r="X17" s="14">
        <v>0.09</v>
      </c>
      <c r="Y17" s="14">
        <v>0.11</v>
      </c>
      <c r="Z17" s="14">
        <v>0.13</v>
      </c>
      <c r="AA17" s="14">
        <v>0.04</v>
      </c>
      <c r="AB17" s="14">
        <v>0.17</v>
      </c>
      <c r="AC17" s="14">
        <v>0.1</v>
      </c>
      <c r="AD17" s="14">
        <v>0.06</v>
      </c>
      <c r="AE17" s="14">
        <v>7.0000000000000007E-2</v>
      </c>
      <c r="AF17" s="14">
        <v>0.03</v>
      </c>
    </row>
    <row r="18" spans="1:32">
      <c r="A18" s="20"/>
      <c r="B18" s="11" t="s">
        <v>670</v>
      </c>
      <c r="C18" s="12">
        <v>385</v>
      </c>
      <c r="D18" s="12">
        <v>35</v>
      </c>
      <c r="E18" s="12">
        <v>34</v>
      </c>
      <c r="F18" s="12">
        <v>32</v>
      </c>
      <c r="G18" s="12">
        <v>22</v>
      </c>
      <c r="H18" s="12">
        <v>13</v>
      </c>
      <c r="I18" s="12">
        <v>25</v>
      </c>
      <c r="J18" s="12">
        <v>12</v>
      </c>
      <c r="K18" s="12">
        <v>25</v>
      </c>
      <c r="L18" s="12">
        <v>14</v>
      </c>
      <c r="M18" s="12">
        <v>17</v>
      </c>
      <c r="N18" s="12">
        <v>6</v>
      </c>
      <c r="O18" s="12">
        <v>18</v>
      </c>
      <c r="P18" s="12">
        <v>12</v>
      </c>
      <c r="Q18" s="12">
        <v>2</v>
      </c>
      <c r="R18" s="12">
        <v>11</v>
      </c>
      <c r="S18" s="12">
        <v>22</v>
      </c>
      <c r="T18" s="12">
        <v>20</v>
      </c>
      <c r="U18" s="12">
        <v>10</v>
      </c>
      <c r="V18" s="12">
        <v>13</v>
      </c>
      <c r="W18" s="12">
        <v>8</v>
      </c>
      <c r="X18" s="12">
        <v>12</v>
      </c>
      <c r="Y18" s="12">
        <v>63</v>
      </c>
      <c r="Z18" s="12">
        <v>13</v>
      </c>
      <c r="AA18" s="12">
        <v>0</v>
      </c>
      <c r="AB18" s="12">
        <v>19</v>
      </c>
      <c r="AC18" s="12">
        <v>24</v>
      </c>
      <c r="AD18" s="12">
        <v>13</v>
      </c>
      <c r="AE18" s="12">
        <v>19</v>
      </c>
      <c r="AF18" s="12">
        <v>8</v>
      </c>
    </row>
    <row r="19" spans="1:32">
      <c r="A19" s="20"/>
      <c r="B19" s="13" t="s">
        <v>565</v>
      </c>
      <c r="C19" s="14">
        <v>0.01</v>
      </c>
      <c r="D19" s="14">
        <v>0.03</v>
      </c>
      <c r="E19" s="14">
        <v>0.03</v>
      </c>
      <c r="F19" s="14">
        <v>0.03</v>
      </c>
      <c r="G19" s="14">
        <v>0.02</v>
      </c>
      <c r="H19" s="14">
        <v>0.01</v>
      </c>
      <c r="I19" s="14">
        <v>0.02</v>
      </c>
      <c r="J19" s="14">
        <v>0.04</v>
      </c>
      <c r="K19" s="14">
        <v>0.02</v>
      </c>
      <c r="L19" s="14">
        <v>0.01</v>
      </c>
      <c r="M19" s="14">
        <v>0.02</v>
      </c>
      <c r="N19" s="14">
        <v>0.01</v>
      </c>
      <c r="O19" s="14">
        <v>0.02</v>
      </c>
      <c r="P19" s="14">
        <v>0.01</v>
      </c>
      <c r="Q19" s="15" t="s">
        <v>459</v>
      </c>
      <c r="R19" s="14">
        <v>0.02</v>
      </c>
      <c r="S19" s="14">
        <v>0.02</v>
      </c>
      <c r="T19" s="14">
        <v>0.02</v>
      </c>
      <c r="U19" s="14">
        <v>0.02</v>
      </c>
      <c r="V19" s="14">
        <v>0.01</v>
      </c>
      <c r="W19" s="14">
        <v>0.02</v>
      </c>
      <c r="X19" s="14">
        <v>0.01</v>
      </c>
      <c r="Y19" s="14">
        <v>0.06</v>
      </c>
      <c r="Z19" s="14">
        <v>0.01</v>
      </c>
      <c r="AA19" s="15" t="s">
        <v>459</v>
      </c>
      <c r="AB19" s="14">
        <v>0.02</v>
      </c>
      <c r="AC19" s="14">
        <v>0.02</v>
      </c>
      <c r="AD19" s="14">
        <v>0.01</v>
      </c>
      <c r="AE19" s="14">
        <v>0.02</v>
      </c>
      <c r="AF19" s="14">
        <v>0.01</v>
      </c>
    </row>
    <row r="20" spans="1:32">
      <c r="A20" s="20"/>
      <c r="B20" s="11" t="s">
        <v>468</v>
      </c>
      <c r="C20" s="12">
        <v>656</v>
      </c>
      <c r="D20" s="12">
        <v>7</v>
      </c>
      <c r="E20" s="12">
        <v>64</v>
      </c>
      <c r="F20" s="12">
        <v>33</v>
      </c>
      <c r="G20" s="12">
        <v>29</v>
      </c>
      <c r="H20" s="12">
        <v>35</v>
      </c>
      <c r="I20" s="12">
        <v>40</v>
      </c>
      <c r="J20" s="12">
        <v>4</v>
      </c>
      <c r="K20" s="12">
        <v>26</v>
      </c>
      <c r="L20" s="12">
        <v>23</v>
      </c>
      <c r="M20" s="12">
        <v>28</v>
      </c>
      <c r="N20" s="12">
        <v>29</v>
      </c>
      <c r="O20" s="12">
        <v>27</v>
      </c>
      <c r="P20" s="12">
        <v>25</v>
      </c>
      <c r="Q20" s="12">
        <v>13</v>
      </c>
      <c r="R20" s="12">
        <v>20</v>
      </c>
      <c r="S20" s="12">
        <v>62</v>
      </c>
      <c r="T20" s="12">
        <v>50</v>
      </c>
      <c r="U20" s="12">
        <v>7</v>
      </c>
      <c r="V20" s="12">
        <v>15</v>
      </c>
      <c r="W20" s="12">
        <v>7</v>
      </c>
      <c r="X20" s="12">
        <v>11</v>
      </c>
      <c r="Y20" s="12">
        <v>24</v>
      </c>
      <c r="Z20" s="12">
        <v>30</v>
      </c>
      <c r="AA20" s="12">
        <v>73</v>
      </c>
      <c r="AB20" s="12">
        <v>19</v>
      </c>
      <c r="AC20" s="12">
        <v>16</v>
      </c>
      <c r="AD20" s="12">
        <v>21</v>
      </c>
      <c r="AE20" s="12">
        <v>32</v>
      </c>
      <c r="AF20" s="12">
        <v>4</v>
      </c>
    </row>
    <row r="21" spans="1:32">
      <c r="A21" s="20"/>
      <c r="B21" s="13" t="s">
        <v>469</v>
      </c>
      <c r="C21" s="14">
        <v>0.02</v>
      </c>
      <c r="D21" s="14">
        <v>0.01</v>
      </c>
      <c r="E21" s="14">
        <v>0.06</v>
      </c>
      <c r="F21" s="14">
        <v>0.03</v>
      </c>
      <c r="G21" s="14">
        <v>0.03</v>
      </c>
      <c r="H21" s="14">
        <v>0.03</v>
      </c>
      <c r="I21" s="14">
        <v>0.02</v>
      </c>
      <c r="J21" s="14">
        <v>0.01</v>
      </c>
      <c r="K21" s="14">
        <v>0.03</v>
      </c>
      <c r="L21" s="14">
        <v>0.02</v>
      </c>
      <c r="M21" s="14">
        <v>0.03</v>
      </c>
      <c r="N21" s="14">
        <v>0.03</v>
      </c>
      <c r="O21" s="14">
        <v>0.03</v>
      </c>
      <c r="P21" s="14">
        <v>0.03</v>
      </c>
      <c r="Q21" s="14">
        <v>0.01</v>
      </c>
      <c r="R21" s="14">
        <v>0.04</v>
      </c>
      <c r="S21" s="14">
        <v>0.06</v>
      </c>
      <c r="T21" s="14">
        <v>0.05</v>
      </c>
      <c r="U21" s="14">
        <v>0.02</v>
      </c>
      <c r="V21" s="14">
        <v>0.01</v>
      </c>
      <c r="W21" s="14">
        <v>0.01</v>
      </c>
      <c r="X21" s="14">
        <v>0.01</v>
      </c>
      <c r="Y21" s="14">
        <v>0.02</v>
      </c>
      <c r="Z21" s="14">
        <v>0.03</v>
      </c>
      <c r="AA21" s="14">
        <v>7.0000000000000007E-2</v>
      </c>
      <c r="AB21" s="14">
        <v>0.02</v>
      </c>
      <c r="AC21" s="14">
        <v>0.02</v>
      </c>
      <c r="AD21" s="14">
        <v>0.02</v>
      </c>
      <c r="AE21" s="14">
        <v>0.03</v>
      </c>
      <c r="AF21" s="15" t="s">
        <v>459</v>
      </c>
    </row>
    <row r="22" spans="1:32">
      <c r="A22" s="20"/>
      <c r="B22" s="11" t="s">
        <v>566</v>
      </c>
      <c r="C22" s="12">
        <v>22775</v>
      </c>
      <c r="D22" s="12">
        <v>822</v>
      </c>
      <c r="E22" s="12">
        <v>825</v>
      </c>
      <c r="F22" s="12">
        <v>781</v>
      </c>
      <c r="G22" s="12">
        <v>882</v>
      </c>
      <c r="H22" s="12">
        <v>1066</v>
      </c>
      <c r="I22" s="12">
        <v>1306</v>
      </c>
      <c r="J22" s="12">
        <v>239</v>
      </c>
      <c r="K22" s="12">
        <v>841</v>
      </c>
      <c r="L22" s="12">
        <v>929</v>
      </c>
      <c r="M22" s="12">
        <v>877</v>
      </c>
      <c r="N22" s="12">
        <v>909</v>
      </c>
      <c r="O22" s="12">
        <v>849</v>
      </c>
      <c r="P22" s="12">
        <v>884</v>
      </c>
      <c r="Q22" s="12">
        <v>915</v>
      </c>
      <c r="R22" s="12">
        <v>429</v>
      </c>
      <c r="S22" s="12">
        <v>846</v>
      </c>
      <c r="T22" s="12">
        <v>841</v>
      </c>
      <c r="U22" s="12">
        <v>464</v>
      </c>
      <c r="V22" s="12">
        <v>902</v>
      </c>
      <c r="W22" s="12">
        <v>446</v>
      </c>
      <c r="X22" s="12">
        <v>905</v>
      </c>
      <c r="Y22" s="12">
        <v>806</v>
      </c>
      <c r="Z22" s="12">
        <v>837</v>
      </c>
      <c r="AA22" s="12">
        <v>937</v>
      </c>
      <c r="AB22" s="12">
        <v>822</v>
      </c>
      <c r="AC22" s="12">
        <v>865</v>
      </c>
      <c r="AD22" s="12">
        <v>908</v>
      </c>
      <c r="AE22" s="12">
        <v>882</v>
      </c>
      <c r="AF22" s="12">
        <v>984</v>
      </c>
    </row>
    <row r="23" spans="1:32">
      <c r="A23" s="20"/>
      <c r="B23" s="13" t="s">
        <v>567</v>
      </c>
      <c r="C23" s="14">
        <v>0.87</v>
      </c>
      <c r="D23" s="14">
        <v>0.82000000000000006</v>
      </c>
      <c r="E23" s="14">
        <v>0.82000000000000006</v>
      </c>
      <c r="F23" s="14">
        <v>0.78</v>
      </c>
      <c r="G23" s="14">
        <v>0.88</v>
      </c>
      <c r="H23" s="14">
        <v>0.88</v>
      </c>
      <c r="I23" s="14">
        <v>0.87</v>
      </c>
      <c r="J23" s="14">
        <v>0.82000000000000006</v>
      </c>
      <c r="K23" s="14">
        <v>0.84</v>
      </c>
      <c r="L23" s="14">
        <v>0.93</v>
      </c>
      <c r="M23" s="14">
        <v>0.87</v>
      </c>
      <c r="N23" s="14">
        <v>0.9</v>
      </c>
      <c r="O23" s="14">
        <v>0.84</v>
      </c>
      <c r="P23" s="14">
        <v>0.86</v>
      </c>
      <c r="Q23" s="14">
        <v>0.9</v>
      </c>
      <c r="R23" s="14">
        <v>0.86</v>
      </c>
      <c r="S23" s="14">
        <v>0.84</v>
      </c>
      <c r="T23" s="14">
        <v>0.83000000000000007</v>
      </c>
      <c r="U23" s="14">
        <v>0.91</v>
      </c>
      <c r="V23" s="14">
        <v>0.89</v>
      </c>
      <c r="W23" s="14">
        <v>0.89</v>
      </c>
      <c r="X23" s="14">
        <v>0.89</v>
      </c>
      <c r="Y23" s="14">
        <v>0.81</v>
      </c>
      <c r="Z23" s="14">
        <v>0.83000000000000007</v>
      </c>
      <c r="AA23" s="14">
        <v>0.89</v>
      </c>
      <c r="AB23" s="14">
        <v>0.79</v>
      </c>
      <c r="AC23" s="14">
        <v>0.86</v>
      </c>
      <c r="AD23" s="14">
        <v>0.91</v>
      </c>
      <c r="AE23" s="14">
        <v>0.88</v>
      </c>
      <c r="AF23" s="14">
        <v>0.96</v>
      </c>
    </row>
    <row r="24" spans="1:32">
      <c r="A24" s="20"/>
      <c r="B24" s="11" t="s">
        <v>568</v>
      </c>
      <c r="C24" s="12">
        <v>2888</v>
      </c>
      <c r="D24" s="12">
        <v>174</v>
      </c>
      <c r="E24" s="12">
        <v>129</v>
      </c>
      <c r="F24" s="12">
        <v>191</v>
      </c>
      <c r="G24" s="12">
        <v>93</v>
      </c>
      <c r="H24" s="12">
        <v>115</v>
      </c>
      <c r="I24" s="12">
        <v>164</v>
      </c>
      <c r="J24" s="12">
        <v>50</v>
      </c>
      <c r="K24" s="12">
        <v>138</v>
      </c>
      <c r="L24" s="12">
        <v>56</v>
      </c>
      <c r="M24" s="12">
        <v>98</v>
      </c>
      <c r="N24" s="12">
        <v>66</v>
      </c>
      <c r="O24" s="12">
        <v>127</v>
      </c>
      <c r="P24" s="12">
        <v>113</v>
      </c>
      <c r="Q24" s="12">
        <v>91</v>
      </c>
      <c r="R24" s="12">
        <v>51</v>
      </c>
      <c r="S24" s="12">
        <v>99</v>
      </c>
      <c r="T24" s="12">
        <v>123</v>
      </c>
      <c r="U24" s="12">
        <v>36</v>
      </c>
      <c r="V24" s="12">
        <v>101</v>
      </c>
      <c r="W24" s="12">
        <v>51</v>
      </c>
      <c r="X24" s="12">
        <v>103</v>
      </c>
      <c r="Y24" s="12">
        <v>176</v>
      </c>
      <c r="Z24" s="12">
        <v>141</v>
      </c>
      <c r="AA24" s="12">
        <v>43</v>
      </c>
      <c r="AB24" s="12">
        <v>198</v>
      </c>
      <c r="AC24" s="12">
        <v>129</v>
      </c>
      <c r="AD24" s="12">
        <v>77</v>
      </c>
      <c r="AE24" s="12">
        <v>87</v>
      </c>
      <c r="AF24" s="12">
        <v>33</v>
      </c>
    </row>
    <row r="25" spans="1:32">
      <c r="A25" s="20"/>
      <c r="B25" s="13" t="s">
        <v>569</v>
      </c>
      <c r="C25" s="14">
        <v>0.11</v>
      </c>
      <c r="D25" s="14">
        <v>0.17</v>
      </c>
      <c r="E25" s="14">
        <v>0.12</v>
      </c>
      <c r="F25" s="14">
        <v>0.19</v>
      </c>
      <c r="G25" s="14">
        <v>0.09</v>
      </c>
      <c r="H25" s="14">
        <v>0.09</v>
      </c>
      <c r="I25" s="14">
        <v>0.11</v>
      </c>
      <c r="J25" s="14">
        <v>0.17</v>
      </c>
      <c r="K25" s="14">
        <v>0.13</v>
      </c>
      <c r="L25" s="14">
        <v>0.05</v>
      </c>
      <c r="M25" s="14">
        <v>0.1</v>
      </c>
      <c r="N25" s="14">
        <v>7.0000000000000007E-2</v>
      </c>
      <c r="O25" s="14">
        <v>0.13</v>
      </c>
      <c r="P25" s="14">
        <v>0.11</v>
      </c>
      <c r="Q25" s="14">
        <v>0.09</v>
      </c>
      <c r="R25" s="14">
        <v>0.1</v>
      </c>
      <c r="S25" s="14">
        <v>0.1</v>
      </c>
      <c r="T25" s="14">
        <v>0.12</v>
      </c>
      <c r="U25" s="14">
        <v>7.0000000000000007E-2</v>
      </c>
      <c r="V25" s="14">
        <v>0.1</v>
      </c>
      <c r="W25" s="14">
        <v>0.1</v>
      </c>
      <c r="X25" s="14">
        <v>0.1</v>
      </c>
      <c r="Y25" s="14">
        <v>0.17</v>
      </c>
      <c r="Z25" s="14">
        <v>0.14000000000000001</v>
      </c>
      <c r="AA25" s="14">
        <v>0.04</v>
      </c>
      <c r="AB25" s="14">
        <v>0.19</v>
      </c>
      <c r="AC25" s="14">
        <v>0.12</v>
      </c>
      <c r="AD25" s="14">
        <v>7.0000000000000007E-2</v>
      </c>
      <c r="AE25" s="14">
        <v>0.09</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683</v>
      </c>
      <c r="C3" s="18"/>
      <c r="D3" s="18"/>
      <c r="E3" s="18"/>
      <c r="F3" s="18"/>
      <c r="H3" s="18" t="s">
        <v>684</v>
      </c>
      <c r="I3" s="18"/>
      <c r="J3" s="18"/>
      <c r="K3" s="18"/>
      <c r="L3" s="18"/>
    </row>
    <row r="4" spans="1:32" ht="27" customHeight="1">
      <c r="B4" s="18" t="s">
        <v>685</v>
      </c>
      <c r="C4" s="18"/>
      <c r="D4" s="18"/>
      <c r="E4" s="18"/>
      <c r="F4" s="18"/>
      <c r="H4" s="18" t="s">
        <v>686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HYPERLINK("#Content!A39","&lt;&lt;Back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8569</v>
      </c>
      <c r="D12" s="12">
        <v>269</v>
      </c>
      <c r="E12" s="12">
        <v>366</v>
      </c>
      <c r="F12" s="12">
        <v>265</v>
      </c>
      <c r="G12" s="12">
        <v>408</v>
      </c>
      <c r="H12" s="12">
        <v>405</v>
      </c>
      <c r="I12" s="12">
        <v>503</v>
      </c>
      <c r="J12" s="12">
        <v>98</v>
      </c>
      <c r="K12" s="12">
        <v>322</v>
      </c>
      <c r="L12" s="12">
        <v>503</v>
      </c>
      <c r="M12" s="12">
        <v>319</v>
      </c>
      <c r="N12" s="12">
        <v>452</v>
      </c>
      <c r="O12" s="12">
        <v>317</v>
      </c>
      <c r="P12" s="12">
        <v>270</v>
      </c>
      <c r="Q12" s="12">
        <v>295</v>
      </c>
      <c r="R12" s="12">
        <v>263</v>
      </c>
      <c r="S12" s="12">
        <v>414</v>
      </c>
      <c r="T12" s="12">
        <v>339</v>
      </c>
      <c r="U12" s="12">
        <v>231</v>
      </c>
      <c r="V12" s="12">
        <v>399</v>
      </c>
      <c r="W12" s="12">
        <v>260</v>
      </c>
      <c r="X12" s="12">
        <v>280</v>
      </c>
      <c r="Y12" s="12">
        <v>323</v>
      </c>
      <c r="Z12" s="12">
        <v>212</v>
      </c>
      <c r="AA12" s="12">
        <v>330</v>
      </c>
      <c r="AB12" s="12">
        <v>272</v>
      </c>
      <c r="AC12" s="12">
        <v>366</v>
      </c>
      <c r="AD12" s="12">
        <v>365</v>
      </c>
      <c r="AE12" s="12">
        <v>357</v>
      </c>
      <c r="AF12" s="12">
        <v>421</v>
      </c>
    </row>
    <row r="13" spans="1:32">
      <c r="A13" s="20"/>
      <c r="B13" s="13" t="s">
        <v>559</v>
      </c>
      <c r="C13" s="14">
        <v>0.32</v>
      </c>
      <c r="D13" s="14">
        <v>0.27</v>
      </c>
      <c r="E13" s="14">
        <v>0.36</v>
      </c>
      <c r="F13" s="14">
        <v>0.27</v>
      </c>
      <c r="G13" s="14">
        <v>0.41</v>
      </c>
      <c r="H13" s="14">
        <v>0.33</v>
      </c>
      <c r="I13" s="14">
        <v>0.33</v>
      </c>
      <c r="J13" s="14">
        <v>0.33</v>
      </c>
      <c r="K13" s="14">
        <v>0.32</v>
      </c>
      <c r="L13" s="14">
        <v>0.5</v>
      </c>
      <c r="M13" s="14">
        <v>0.32</v>
      </c>
      <c r="N13" s="14">
        <v>0.45</v>
      </c>
      <c r="O13" s="14">
        <v>0.32</v>
      </c>
      <c r="P13" s="14">
        <v>0.27</v>
      </c>
      <c r="Q13" s="14">
        <v>0.28999999999999998</v>
      </c>
      <c r="R13" s="14">
        <v>0.53</v>
      </c>
      <c r="S13" s="14">
        <v>0.41</v>
      </c>
      <c r="T13" s="14">
        <v>0.33</v>
      </c>
      <c r="U13" s="14">
        <v>0.46</v>
      </c>
      <c r="V13" s="14">
        <v>0.39</v>
      </c>
      <c r="W13" s="14">
        <v>0.52</v>
      </c>
      <c r="X13" s="14">
        <v>0.27</v>
      </c>
      <c r="Y13" s="14">
        <v>0.32</v>
      </c>
      <c r="Z13" s="14">
        <v>0.21</v>
      </c>
      <c r="AA13" s="14">
        <v>0.31</v>
      </c>
      <c r="AB13" s="14">
        <v>0.26</v>
      </c>
      <c r="AC13" s="14">
        <v>0.36</v>
      </c>
      <c r="AD13" s="14">
        <v>0.36</v>
      </c>
      <c r="AE13" s="14">
        <v>0.36</v>
      </c>
      <c r="AF13" s="14">
        <v>0.41</v>
      </c>
    </row>
    <row r="14" spans="1:32">
      <c r="A14" s="20"/>
      <c r="B14" s="11" t="s">
        <v>668</v>
      </c>
      <c r="C14" s="12">
        <v>13695</v>
      </c>
      <c r="D14" s="12">
        <v>515</v>
      </c>
      <c r="E14" s="12">
        <v>475</v>
      </c>
      <c r="F14" s="12">
        <v>526</v>
      </c>
      <c r="G14" s="12">
        <v>416</v>
      </c>
      <c r="H14" s="12">
        <v>638</v>
      </c>
      <c r="I14" s="12">
        <v>778</v>
      </c>
      <c r="J14" s="12">
        <v>140</v>
      </c>
      <c r="K14" s="12">
        <v>518</v>
      </c>
      <c r="L14" s="12">
        <v>414</v>
      </c>
      <c r="M14" s="12">
        <v>564</v>
      </c>
      <c r="N14" s="12">
        <v>450</v>
      </c>
      <c r="O14" s="12">
        <v>491</v>
      </c>
      <c r="P14" s="12">
        <v>625</v>
      </c>
      <c r="Q14" s="12">
        <v>612</v>
      </c>
      <c r="R14" s="12">
        <v>177</v>
      </c>
      <c r="S14" s="12">
        <v>482</v>
      </c>
      <c r="T14" s="12">
        <v>518</v>
      </c>
      <c r="U14" s="12">
        <v>228</v>
      </c>
      <c r="V14" s="12">
        <v>488</v>
      </c>
      <c r="W14" s="12">
        <v>185</v>
      </c>
      <c r="X14" s="12">
        <v>517</v>
      </c>
      <c r="Y14" s="12">
        <v>463</v>
      </c>
      <c r="Z14" s="12">
        <v>633</v>
      </c>
      <c r="AA14" s="12">
        <v>597</v>
      </c>
      <c r="AB14" s="12">
        <v>549</v>
      </c>
      <c r="AC14" s="12">
        <v>482</v>
      </c>
      <c r="AD14" s="12">
        <v>544</v>
      </c>
      <c r="AE14" s="12">
        <v>465</v>
      </c>
      <c r="AF14" s="12">
        <v>456</v>
      </c>
    </row>
    <row r="15" spans="1:32">
      <c r="A15" s="20"/>
      <c r="B15" s="13" t="s">
        <v>561</v>
      </c>
      <c r="C15" s="14">
        <v>0.52</v>
      </c>
      <c r="D15" s="14">
        <v>0.51</v>
      </c>
      <c r="E15" s="14">
        <v>0.47</v>
      </c>
      <c r="F15" s="14">
        <v>0.52</v>
      </c>
      <c r="G15" s="14">
        <v>0.41</v>
      </c>
      <c r="H15" s="14">
        <v>0.52</v>
      </c>
      <c r="I15" s="14">
        <v>0.51</v>
      </c>
      <c r="J15" s="14">
        <v>0.48</v>
      </c>
      <c r="K15" s="14">
        <v>0.51</v>
      </c>
      <c r="L15" s="14">
        <v>0.41</v>
      </c>
      <c r="M15" s="14">
        <v>0.56000000000000005</v>
      </c>
      <c r="N15" s="14">
        <v>0.45</v>
      </c>
      <c r="O15" s="14">
        <v>0.49</v>
      </c>
      <c r="P15" s="14">
        <v>0.61</v>
      </c>
      <c r="Q15" s="14">
        <v>0.6</v>
      </c>
      <c r="R15" s="14">
        <v>0.35</v>
      </c>
      <c r="S15" s="14">
        <v>0.48</v>
      </c>
      <c r="T15" s="14">
        <v>0.51</v>
      </c>
      <c r="U15" s="14">
        <v>0.45</v>
      </c>
      <c r="V15" s="14">
        <v>0.48</v>
      </c>
      <c r="W15" s="14">
        <v>0.37</v>
      </c>
      <c r="X15" s="14">
        <v>0.51</v>
      </c>
      <c r="Y15" s="14">
        <v>0.46</v>
      </c>
      <c r="Z15" s="14">
        <v>0.63</v>
      </c>
      <c r="AA15" s="14">
        <v>0.57000000000000006</v>
      </c>
      <c r="AB15" s="14">
        <v>0.53</v>
      </c>
      <c r="AC15" s="14">
        <v>0.48</v>
      </c>
      <c r="AD15" s="14">
        <v>0.54</v>
      </c>
      <c r="AE15" s="14">
        <v>0.46</v>
      </c>
      <c r="AF15" s="14">
        <v>0.45</v>
      </c>
    </row>
    <row r="16" spans="1:32">
      <c r="A16" s="20"/>
      <c r="B16" s="11" t="s">
        <v>669</v>
      </c>
      <c r="C16" s="12">
        <v>2552</v>
      </c>
      <c r="D16" s="12">
        <v>175</v>
      </c>
      <c r="E16" s="12">
        <v>89</v>
      </c>
      <c r="F16" s="12">
        <v>140</v>
      </c>
      <c r="G16" s="12">
        <v>115</v>
      </c>
      <c r="H16" s="12">
        <v>106</v>
      </c>
      <c r="I16" s="12">
        <v>144</v>
      </c>
      <c r="J16" s="12">
        <v>38</v>
      </c>
      <c r="K16" s="12">
        <v>111</v>
      </c>
      <c r="L16" s="12">
        <v>44</v>
      </c>
      <c r="M16" s="12">
        <v>75</v>
      </c>
      <c r="N16" s="12">
        <v>48</v>
      </c>
      <c r="O16" s="12">
        <v>106</v>
      </c>
      <c r="P16" s="12">
        <v>94</v>
      </c>
      <c r="Q16" s="12">
        <v>84</v>
      </c>
      <c r="R16" s="12">
        <v>36</v>
      </c>
      <c r="S16" s="12">
        <v>54</v>
      </c>
      <c r="T16" s="12">
        <v>72</v>
      </c>
      <c r="U16" s="12">
        <v>28</v>
      </c>
      <c r="V16" s="12">
        <v>104</v>
      </c>
      <c r="W16" s="12">
        <v>38</v>
      </c>
      <c r="X16" s="12">
        <v>158</v>
      </c>
      <c r="Y16" s="12">
        <v>127</v>
      </c>
      <c r="Z16" s="12">
        <v>106</v>
      </c>
      <c r="AA16" s="12">
        <v>49</v>
      </c>
      <c r="AB16" s="12">
        <v>162</v>
      </c>
      <c r="AC16" s="12">
        <v>126</v>
      </c>
      <c r="AD16" s="12">
        <v>48</v>
      </c>
      <c r="AE16" s="12">
        <v>121</v>
      </c>
      <c r="AF16" s="12">
        <v>104</v>
      </c>
    </row>
    <row r="17" spans="1:32">
      <c r="A17" s="20"/>
      <c r="B17" s="13" t="s">
        <v>563</v>
      </c>
      <c r="C17" s="14">
        <v>0.1</v>
      </c>
      <c r="D17" s="14">
        <v>0.18</v>
      </c>
      <c r="E17" s="14">
        <v>0.09</v>
      </c>
      <c r="F17" s="14">
        <v>0.14000000000000001</v>
      </c>
      <c r="G17" s="14">
        <v>0.11</v>
      </c>
      <c r="H17" s="14">
        <v>0.09</v>
      </c>
      <c r="I17" s="14">
        <v>0.1</v>
      </c>
      <c r="J17" s="14">
        <v>0.13</v>
      </c>
      <c r="K17" s="14">
        <v>0.11</v>
      </c>
      <c r="L17" s="14">
        <v>0.04</v>
      </c>
      <c r="M17" s="14">
        <v>0.08</v>
      </c>
      <c r="N17" s="14">
        <v>0.05</v>
      </c>
      <c r="O17" s="14">
        <v>0.1</v>
      </c>
      <c r="P17" s="14">
        <v>0.09</v>
      </c>
      <c r="Q17" s="14">
        <v>0.08</v>
      </c>
      <c r="R17" s="14">
        <v>7.0000000000000007E-2</v>
      </c>
      <c r="S17" s="14">
        <v>0.05</v>
      </c>
      <c r="T17" s="14">
        <v>7.0000000000000007E-2</v>
      </c>
      <c r="U17" s="14">
        <v>0.05</v>
      </c>
      <c r="V17" s="14">
        <v>0.1</v>
      </c>
      <c r="W17" s="14">
        <v>7.0000000000000007E-2</v>
      </c>
      <c r="X17" s="14">
        <v>0.16</v>
      </c>
      <c r="Y17" s="14">
        <v>0.13</v>
      </c>
      <c r="Z17" s="14">
        <v>0.1</v>
      </c>
      <c r="AA17" s="14">
        <v>0.05</v>
      </c>
      <c r="AB17" s="14">
        <v>0.15</v>
      </c>
      <c r="AC17" s="14">
        <v>0.12</v>
      </c>
      <c r="AD17" s="14">
        <v>0.05</v>
      </c>
      <c r="AE17" s="14">
        <v>0.12</v>
      </c>
      <c r="AF17" s="14">
        <v>0.1</v>
      </c>
    </row>
    <row r="18" spans="1:32">
      <c r="A18" s="20"/>
      <c r="B18" s="11" t="s">
        <v>670</v>
      </c>
      <c r="C18" s="12">
        <v>524</v>
      </c>
      <c r="D18" s="12">
        <v>30</v>
      </c>
      <c r="E18" s="12">
        <v>22</v>
      </c>
      <c r="F18" s="12">
        <v>31</v>
      </c>
      <c r="G18" s="12">
        <v>20</v>
      </c>
      <c r="H18" s="12">
        <v>21</v>
      </c>
      <c r="I18" s="12">
        <v>29</v>
      </c>
      <c r="J18" s="12">
        <v>8</v>
      </c>
      <c r="K18" s="12">
        <v>26</v>
      </c>
      <c r="L18" s="12">
        <v>15</v>
      </c>
      <c r="M18" s="12">
        <v>20</v>
      </c>
      <c r="N18" s="12">
        <v>6</v>
      </c>
      <c r="O18" s="12">
        <v>26</v>
      </c>
      <c r="P18" s="12">
        <v>12</v>
      </c>
      <c r="Q18" s="12">
        <v>7</v>
      </c>
      <c r="R18" s="12">
        <v>10</v>
      </c>
      <c r="S18" s="12">
        <v>14</v>
      </c>
      <c r="T18" s="12">
        <v>16</v>
      </c>
      <c r="U18" s="12">
        <v>11</v>
      </c>
      <c r="V18" s="12">
        <v>10</v>
      </c>
      <c r="W18" s="12">
        <v>17</v>
      </c>
      <c r="X18" s="12">
        <v>42</v>
      </c>
      <c r="Y18" s="12">
        <v>61</v>
      </c>
      <c r="Z18" s="12">
        <v>26</v>
      </c>
      <c r="AA18" s="12">
        <v>3</v>
      </c>
      <c r="AB18" s="12">
        <v>37</v>
      </c>
      <c r="AC18" s="12">
        <v>18</v>
      </c>
      <c r="AD18" s="12">
        <v>19</v>
      </c>
      <c r="AE18" s="12">
        <v>11</v>
      </c>
      <c r="AF18" s="12">
        <v>27</v>
      </c>
    </row>
    <row r="19" spans="1:32">
      <c r="A19" s="20"/>
      <c r="B19" s="13" t="s">
        <v>565</v>
      </c>
      <c r="C19" s="14">
        <v>0.02</v>
      </c>
      <c r="D19" s="14">
        <v>0.03</v>
      </c>
      <c r="E19" s="14">
        <v>0.02</v>
      </c>
      <c r="F19" s="14">
        <v>0.03</v>
      </c>
      <c r="G19" s="14">
        <v>0.02</v>
      </c>
      <c r="H19" s="14">
        <v>0.02</v>
      </c>
      <c r="I19" s="14">
        <v>0.02</v>
      </c>
      <c r="J19" s="14">
        <v>0.03</v>
      </c>
      <c r="K19" s="14">
        <v>0.03</v>
      </c>
      <c r="L19" s="14">
        <v>0.02</v>
      </c>
      <c r="M19" s="14">
        <v>0.02</v>
      </c>
      <c r="N19" s="15" t="s">
        <v>459</v>
      </c>
      <c r="O19" s="14">
        <v>0.03</v>
      </c>
      <c r="P19" s="14">
        <v>0.01</v>
      </c>
      <c r="Q19" s="14">
        <v>0.01</v>
      </c>
      <c r="R19" s="14">
        <v>0.02</v>
      </c>
      <c r="S19" s="14">
        <v>0.02</v>
      </c>
      <c r="T19" s="14">
        <v>0.02</v>
      </c>
      <c r="U19" s="14">
        <v>0.02</v>
      </c>
      <c r="V19" s="14">
        <v>0.01</v>
      </c>
      <c r="W19" s="14">
        <v>0.03</v>
      </c>
      <c r="X19" s="14">
        <v>0.04</v>
      </c>
      <c r="Y19" s="14">
        <v>0.06</v>
      </c>
      <c r="Z19" s="14">
        <v>0.03</v>
      </c>
      <c r="AA19" s="15" t="s">
        <v>459</v>
      </c>
      <c r="AB19" s="14">
        <v>0.04</v>
      </c>
      <c r="AC19" s="14">
        <v>0.02</v>
      </c>
      <c r="AD19" s="14">
        <v>0.02</v>
      </c>
      <c r="AE19" s="14">
        <v>0.01</v>
      </c>
      <c r="AF19" s="14">
        <v>0.03</v>
      </c>
    </row>
    <row r="20" spans="1:32">
      <c r="A20" s="20"/>
      <c r="B20" s="11" t="s">
        <v>468</v>
      </c>
      <c r="C20" s="12">
        <v>979</v>
      </c>
      <c r="D20" s="12">
        <v>14</v>
      </c>
      <c r="E20" s="12">
        <v>67</v>
      </c>
      <c r="F20" s="12">
        <v>42</v>
      </c>
      <c r="G20" s="12">
        <v>45</v>
      </c>
      <c r="H20" s="12">
        <v>46</v>
      </c>
      <c r="I20" s="12">
        <v>56</v>
      </c>
      <c r="J20" s="12">
        <v>10</v>
      </c>
      <c r="K20" s="12">
        <v>29</v>
      </c>
      <c r="L20" s="12">
        <v>31</v>
      </c>
      <c r="M20" s="12">
        <v>24</v>
      </c>
      <c r="N20" s="12">
        <v>48</v>
      </c>
      <c r="O20" s="12">
        <v>62</v>
      </c>
      <c r="P20" s="12">
        <v>21</v>
      </c>
      <c r="Q20" s="12">
        <v>21</v>
      </c>
      <c r="R20" s="12">
        <v>14</v>
      </c>
      <c r="S20" s="12">
        <v>44</v>
      </c>
      <c r="T20" s="12">
        <v>69</v>
      </c>
      <c r="U20" s="12">
        <v>10</v>
      </c>
      <c r="V20" s="12">
        <v>16</v>
      </c>
      <c r="W20" s="12">
        <v>4</v>
      </c>
      <c r="X20" s="12">
        <v>23</v>
      </c>
      <c r="Y20" s="12">
        <v>33</v>
      </c>
      <c r="Z20" s="12">
        <v>32</v>
      </c>
      <c r="AA20" s="12">
        <v>74</v>
      </c>
      <c r="AB20" s="12">
        <v>19</v>
      </c>
      <c r="AC20" s="12">
        <v>18</v>
      </c>
      <c r="AD20" s="12">
        <v>31</v>
      </c>
      <c r="AE20" s="12">
        <v>48</v>
      </c>
      <c r="AF20" s="12">
        <v>12</v>
      </c>
    </row>
    <row r="21" spans="1:32">
      <c r="A21" s="20"/>
      <c r="B21" s="13" t="s">
        <v>469</v>
      </c>
      <c r="C21" s="14">
        <v>0.04</v>
      </c>
      <c r="D21" s="14">
        <v>0.01</v>
      </c>
      <c r="E21" s="14">
        <v>0.06</v>
      </c>
      <c r="F21" s="14">
        <v>0.04</v>
      </c>
      <c r="G21" s="14">
        <v>0.05</v>
      </c>
      <c r="H21" s="14">
        <v>0.04</v>
      </c>
      <c r="I21" s="14">
        <v>0.04</v>
      </c>
      <c r="J21" s="14">
        <v>0.03</v>
      </c>
      <c r="K21" s="14">
        <v>0.03</v>
      </c>
      <c r="L21" s="14">
        <v>0.03</v>
      </c>
      <c r="M21" s="14">
        <v>0.02</v>
      </c>
      <c r="N21" s="14">
        <v>0.05</v>
      </c>
      <c r="O21" s="14">
        <v>0.06</v>
      </c>
      <c r="P21" s="14">
        <v>0.02</v>
      </c>
      <c r="Q21" s="14">
        <v>0.02</v>
      </c>
      <c r="R21" s="14">
        <v>0.03</v>
      </c>
      <c r="S21" s="14">
        <v>0.04</v>
      </c>
      <c r="T21" s="14">
        <v>7.0000000000000007E-2</v>
      </c>
      <c r="U21" s="14">
        <v>0.02</v>
      </c>
      <c r="V21" s="14">
        <v>0.02</v>
      </c>
      <c r="W21" s="14">
        <v>0.01</v>
      </c>
      <c r="X21" s="14">
        <v>0.02</v>
      </c>
      <c r="Y21" s="14">
        <v>0.03</v>
      </c>
      <c r="Z21" s="14">
        <v>0.03</v>
      </c>
      <c r="AA21" s="14">
        <v>7.0000000000000007E-2</v>
      </c>
      <c r="AB21" s="14">
        <v>0.02</v>
      </c>
      <c r="AC21" s="14">
        <v>0.02</v>
      </c>
      <c r="AD21" s="14">
        <v>0.03</v>
      </c>
      <c r="AE21" s="14">
        <v>0.05</v>
      </c>
      <c r="AF21" s="14">
        <v>0.01</v>
      </c>
    </row>
    <row r="22" spans="1:32">
      <c r="A22" s="20"/>
      <c r="B22" s="11" t="s">
        <v>566</v>
      </c>
      <c r="C22" s="12">
        <v>22264</v>
      </c>
      <c r="D22" s="12">
        <v>784</v>
      </c>
      <c r="E22" s="12">
        <v>841</v>
      </c>
      <c r="F22" s="12">
        <v>791</v>
      </c>
      <c r="G22" s="12">
        <v>824</v>
      </c>
      <c r="H22" s="12">
        <v>1043</v>
      </c>
      <c r="I22" s="12">
        <v>1281</v>
      </c>
      <c r="J22" s="12">
        <v>238</v>
      </c>
      <c r="K22" s="12">
        <v>840</v>
      </c>
      <c r="L22" s="12">
        <v>917</v>
      </c>
      <c r="M22" s="12">
        <v>883</v>
      </c>
      <c r="N22" s="12">
        <v>902</v>
      </c>
      <c r="O22" s="12">
        <v>808</v>
      </c>
      <c r="P22" s="12">
        <v>895</v>
      </c>
      <c r="Q22" s="12">
        <v>907</v>
      </c>
      <c r="R22" s="12">
        <v>440</v>
      </c>
      <c r="S22" s="12">
        <v>896</v>
      </c>
      <c r="T22" s="12">
        <v>857</v>
      </c>
      <c r="U22" s="12">
        <v>459</v>
      </c>
      <c r="V22" s="12">
        <v>887</v>
      </c>
      <c r="W22" s="12">
        <v>445</v>
      </c>
      <c r="X22" s="12">
        <v>797</v>
      </c>
      <c r="Y22" s="12">
        <v>786</v>
      </c>
      <c r="Z22" s="12">
        <v>845</v>
      </c>
      <c r="AA22" s="12">
        <v>927</v>
      </c>
      <c r="AB22" s="12">
        <v>821</v>
      </c>
      <c r="AC22" s="12">
        <v>848</v>
      </c>
      <c r="AD22" s="12">
        <v>909</v>
      </c>
      <c r="AE22" s="12">
        <v>822</v>
      </c>
      <c r="AF22" s="12">
        <v>877</v>
      </c>
    </row>
    <row r="23" spans="1:32">
      <c r="A23" s="20"/>
      <c r="B23" s="13" t="s">
        <v>567</v>
      </c>
      <c r="C23" s="14">
        <v>0.84</v>
      </c>
      <c r="D23" s="14">
        <v>0.78</v>
      </c>
      <c r="E23" s="14">
        <v>0.83000000000000007</v>
      </c>
      <c r="F23" s="14">
        <v>0.79</v>
      </c>
      <c r="G23" s="14">
        <v>0.82000000000000006</v>
      </c>
      <c r="H23" s="14">
        <v>0.85</v>
      </c>
      <c r="I23" s="14">
        <v>0.84</v>
      </c>
      <c r="J23" s="14">
        <v>0.81</v>
      </c>
      <c r="K23" s="14">
        <v>0.83000000000000007</v>
      </c>
      <c r="L23" s="14">
        <v>0.91</v>
      </c>
      <c r="M23" s="14">
        <v>0.88</v>
      </c>
      <c r="N23" s="14">
        <v>0.9</v>
      </c>
      <c r="O23" s="14">
        <v>0.81</v>
      </c>
      <c r="P23" s="14">
        <v>0.88</v>
      </c>
      <c r="Q23" s="14">
        <v>0.89</v>
      </c>
      <c r="R23" s="14">
        <v>0.88</v>
      </c>
      <c r="S23" s="14">
        <v>0.89</v>
      </c>
      <c r="T23" s="14">
        <v>0.84</v>
      </c>
      <c r="U23" s="14">
        <v>0.91</v>
      </c>
      <c r="V23" s="14">
        <v>0.87</v>
      </c>
      <c r="W23" s="14">
        <v>0.89</v>
      </c>
      <c r="X23" s="14">
        <v>0.78</v>
      </c>
      <c r="Y23" s="14">
        <v>0.78</v>
      </c>
      <c r="Z23" s="14">
        <v>0.84</v>
      </c>
      <c r="AA23" s="14">
        <v>0.88</v>
      </c>
      <c r="AB23" s="14">
        <v>0.79</v>
      </c>
      <c r="AC23" s="14">
        <v>0.84</v>
      </c>
      <c r="AD23" s="14">
        <v>0.9</v>
      </c>
      <c r="AE23" s="14">
        <v>0.82000000000000006</v>
      </c>
      <c r="AF23" s="14">
        <v>0.86</v>
      </c>
    </row>
    <row r="24" spans="1:32">
      <c r="A24" s="20"/>
      <c r="B24" s="11" t="s">
        <v>568</v>
      </c>
      <c r="C24" s="12">
        <v>3076</v>
      </c>
      <c r="D24" s="12">
        <v>205</v>
      </c>
      <c r="E24" s="12">
        <v>111</v>
      </c>
      <c r="F24" s="12">
        <v>171</v>
      </c>
      <c r="G24" s="12">
        <v>135</v>
      </c>
      <c r="H24" s="12">
        <v>127</v>
      </c>
      <c r="I24" s="12">
        <v>173</v>
      </c>
      <c r="J24" s="12">
        <v>46</v>
      </c>
      <c r="K24" s="12">
        <v>137</v>
      </c>
      <c r="L24" s="12">
        <v>59</v>
      </c>
      <c r="M24" s="12">
        <v>95</v>
      </c>
      <c r="N24" s="12">
        <v>54</v>
      </c>
      <c r="O24" s="12">
        <v>132</v>
      </c>
      <c r="P24" s="12">
        <v>106</v>
      </c>
      <c r="Q24" s="12">
        <v>91</v>
      </c>
      <c r="R24" s="12">
        <v>46</v>
      </c>
      <c r="S24" s="12">
        <v>68</v>
      </c>
      <c r="T24" s="12">
        <v>88</v>
      </c>
      <c r="U24" s="12">
        <v>39</v>
      </c>
      <c r="V24" s="12">
        <v>114</v>
      </c>
      <c r="W24" s="12">
        <v>55</v>
      </c>
      <c r="X24" s="12">
        <v>200</v>
      </c>
      <c r="Y24" s="12">
        <v>188</v>
      </c>
      <c r="Z24" s="12">
        <v>132</v>
      </c>
      <c r="AA24" s="12">
        <v>52</v>
      </c>
      <c r="AB24" s="12">
        <v>199</v>
      </c>
      <c r="AC24" s="12">
        <v>144</v>
      </c>
      <c r="AD24" s="12">
        <v>67</v>
      </c>
      <c r="AE24" s="12">
        <v>132</v>
      </c>
      <c r="AF24" s="12">
        <v>131</v>
      </c>
    </row>
    <row r="25" spans="1:32">
      <c r="A25" s="20"/>
      <c r="B25" s="13" t="s">
        <v>569</v>
      </c>
      <c r="C25" s="14">
        <v>0.12</v>
      </c>
      <c r="D25" s="14">
        <v>0.21</v>
      </c>
      <c r="E25" s="14">
        <v>0.11</v>
      </c>
      <c r="F25" s="14">
        <v>0.17</v>
      </c>
      <c r="G25" s="14">
        <v>0.13</v>
      </c>
      <c r="H25" s="14">
        <v>0.11</v>
      </c>
      <c r="I25" s="14">
        <v>0.12</v>
      </c>
      <c r="J25" s="14">
        <v>0.16</v>
      </c>
      <c r="K25" s="14">
        <v>0.14000000000000001</v>
      </c>
      <c r="L25" s="14">
        <v>0.06</v>
      </c>
      <c r="M25" s="14">
        <v>0.1</v>
      </c>
      <c r="N25" s="14">
        <v>0.05</v>
      </c>
      <c r="O25" s="14">
        <v>0.13</v>
      </c>
      <c r="P25" s="14">
        <v>0.1</v>
      </c>
      <c r="Q25" s="14">
        <v>0.09</v>
      </c>
      <c r="R25" s="14">
        <v>0.09</v>
      </c>
      <c r="S25" s="14">
        <v>7.0000000000000007E-2</v>
      </c>
      <c r="T25" s="14">
        <v>0.09</v>
      </c>
      <c r="U25" s="14">
        <v>7.0000000000000007E-2</v>
      </c>
      <c r="V25" s="14">
        <v>0.11</v>
      </c>
      <c r="W25" s="14">
        <v>0.1</v>
      </c>
      <c r="X25" s="14">
        <v>0.2</v>
      </c>
      <c r="Y25" s="14">
        <v>0.19</v>
      </c>
      <c r="Z25" s="14">
        <v>0.13</v>
      </c>
      <c r="AA25" s="14">
        <v>0.05</v>
      </c>
      <c r="AB25" s="14">
        <v>0.19</v>
      </c>
      <c r="AC25" s="14">
        <v>0.14000000000000001</v>
      </c>
      <c r="AD25" s="14">
        <v>7.0000000000000007E-2</v>
      </c>
      <c r="AE25" s="14">
        <v>0.13</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4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77</v>
      </c>
      <c r="C3" s="18"/>
      <c r="D3" s="18"/>
      <c r="E3" s="18"/>
      <c r="F3" s="18"/>
      <c r="H3" s="18" t="s">
        <v>78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687</v>
      </c>
      <c r="C12" s="12">
        <v>6398</v>
      </c>
      <c r="D12" s="12">
        <v>232</v>
      </c>
      <c r="E12" s="12">
        <v>248</v>
      </c>
      <c r="F12" s="12">
        <v>312</v>
      </c>
      <c r="G12" s="12">
        <v>356</v>
      </c>
      <c r="H12" s="12">
        <v>208</v>
      </c>
      <c r="I12" s="12">
        <v>274</v>
      </c>
      <c r="J12" s="12">
        <v>67</v>
      </c>
      <c r="K12" s="12">
        <v>258</v>
      </c>
      <c r="L12" s="12">
        <v>256</v>
      </c>
      <c r="M12" s="12">
        <v>326</v>
      </c>
      <c r="N12" s="12">
        <v>259</v>
      </c>
      <c r="O12" s="12">
        <v>303</v>
      </c>
      <c r="P12" s="12">
        <v>201</v>
      </c>
      <c r="Q12" s="12">
        <v>232</v>
      </c>
      <c r="R12" s="12">
        <v>88</v>
      </c>
      <c r="S12" s="12">
        <v>221</v>
      </c>
      <c r="T12" s="12">
        <v>246</v>
      </c>
      <c r="U12" s="12">
        <v>149</v>
      </c>
      <c r="V12" s="12">
        <v>300</v>
      </c>
      <c r="W12" s="12">
        <v>121</v>
      </c>
      <c r="X12" s="12">
        <v>285</v>
      </c>
      <c r="Y12" s="12">
        <v>293</v>
      </c>
      <c r="Z12" s="12">
        <v>202</v>
      </c>
      <c r="AA12" s="12">
        <v>242</v>
      </c>
      <c r="AB12" s="12">
        <v>154</v>
      </c>
      <c r="AC12" s="12">
        <v>238</v>
      </c>
      <c r="AD12" s="12">
        <v>261</v>
      </c>
      <c r="AE12" s="12">
        <v>311</v>
      </c>
      <c r="AF12" s="12">
        <v>348</v>
      </c>
    </row>
    <row r="13" spans="1:32">
      <c r="A13" s="20"/>
      <c r="B13" s="13" t="s">
        <v>688</v>
      </c>
      <c r="C13" s="14">
        <v>0.24</v>
      </c>
      <c r="D13" s="14">
        <v>0.23</v>
      </c>
      <c r="E13" s="14">
        <v>0.24</v>
      </c>
      <c r="F13" s="14">
        <v>0.31</v>
      </c>
      <c r="G13" s="14">
        <v>0.35</v>
      </c>
      <c r="H13" s="14">
        <v>0.17</v>
      </c>
      <c r="I13" s="14">
        <v>0.18</v>
      </c>
      <c r="J13" s="14">
        <v>0.23</v>
      </c>
      <c r="K13" s="14">
        <v>0.26</v>
      </c>
      <c r="L13" s="14">
        <v>0.25</v>
      </c>
      <c r="M13" s="14">
        <v>0.33</v>
      </c>
      <c r="N13" s="14">
        <v>0.26</v>
      </c>
      <c r="O13" s="14">
        <v>0.3</v>
      </c>
      <c r="P13" s="14">
        <v>0.2</v>
      </c>
      <c r="Q13" s="14">
        <v>0.23</v>
      </c>
      <c r="R13" s="14">
        <v>0.18</v>
      </c>
      <c r="S13" s="14">
        <v>0.22</v>
      </c>
      <c r="T13" s="14">
        <v>0.24</v>
      </c>
      <c r="U13" s="14">
        <v>0.28999999999999998</v>
      </c>
      <c r="V13" s="14">
        <v>0.28999999999999998</v>
      </c>
      <c r="W13" s="14">
        <v>0.24</v>
      </c>
      <c r="X13" s="14">
        <v>0.28000000000000003</v>
      </c>
      <c r="Y13" s="14">
        <v>0.28999999999999998</v>
      </c>
      <c r="Z13" s="14">
        <v>0.2</v>
      </c>
      <c r="AA13" s="14">
        <v>0.23</v>
      </c>
      <c r="AB13" s="14">
        <v>0.15</v>
      </c>
      <c r="AC13" s="14">
        <v>0.24</v>
      </c>
      <c r="AD13" s="14">
        <v>0.26</v>
      </c>
      <c r="AE13" s="14">
        <v>0.31</v>
      </c>
      <c r="AF13" s="14">
        <v>0.34</v>
      </c>
    </row>
    <row r="14" spans="1:32">
      <c r="A14" s="20"/>
      <c r="B14" s="11" t="s">
        <v>689</v>
      </c>
      <c r="C14" s="12">
        <v>2527</v>
      </c>
      <c r="D14" s="12">
        <v>101</v>
      </c>
      <c r="E14" s="12">
        <v>138</v>
      </c>
      <c r="F14" s="12">
        <v>71</v>
      </c>
      <c r="G14" s="12">
        <v>60</v>
      </c>
      <c r="H14" s="12">
        <v>84</v>
      </c>
      <c r="I14" s="12">
        <v>104</v>
      </c>
      <c r="J14" s="12">
        <v>21</v>
      </c>
      <c r="K14" s="12">
        <v>67</v>
      </c>
      <c r="L14" s="12">
        <v>65</v>
      </c>
      <c r="M14" s="12">
        <v>122</v>
      </c>
      <c r="N14" s="12">
        <v>68</v>
      </c>
      <c r="O14" s="12">
        <v>104</v>
      </c>
      <c r="P14" s="12">
        <v>115</v>
      </c>
      <c r="Q14" s="12">
        <v>108</v>
      </c>
      <c r="R14" s="12">
        <v>102</v>
      </c>
      <c r="S14" s="12">
        <v>93</v>
      </c>
      <c r="T14" s="12">
        <v>96</v>
      </c>
      <c r="U14" s="12">
        <v>70</v>
      </c>
      <c r="V14" s="12">
        <v>107</v>
      </c>
      <c r="W14" s="12">
        <v>90</v>
      </c>
      <c r="X14" s="12">
        <v>75</v>
      </c>
      <c r="Y14" s="12">
        <v>200</v>
      </c>
      <c r="Z14" s="12">
        <v>126</v>
      </c>
      <c r="AA14" s="12">
        <v>68</v>
      </c>
      <c r="AB14" s="12">
        <v>176</v>
      </c>
      <c r="AC14" s="12">
        <v>98</v>
      </c>
      <c r="AD14" s="12">
        <v>127</v>
      </c>
      <c r="AE14" s="12">
        <v>72</v>
      </c>
      <c r="AF14" s="12">
        <v>66</v>
      </c>
    </row>
    <row r="15" spans="1:32">
      <c r="A15" s="20"/>
      <c r="B15" s="13" t="s">
        <v>690</v>
      </c>
      <c r="C15" s="14">
        <v>0.1</v>
      </c>
      <c r="D15" s="14">
        <v>0.1</v>
      </c>
      <c r="E15" s="14">
        <v>0.14000000000000001</v>
      </c>
      <c r="F15" s="14">
        <v>7.0000000000000007E-2</v>
      </c>
      <c r="G15" s="14">
        <v>0.06</v>
      </c>
      <c r="H15" s="14">
        <v>7.0000000000000007E-2</v>
      </c>
      <c r="I15" s="14">
        <v>7.0000000000000007E-2</v>
      </c>
      <c r="J15" s="14">
        <v>7.0000000000000007E-2</v>
      </c>
      <c r="K15" s="14">
        <v>7.0000000000000007E-2</v>
      </c>
      <c r="L15" s="14">
        <v>0.06</v>
      </c>
      <c r="M15" s="14">
        <v>0.12</v>
      </c>
      <c r="N15" s="14">
        <v>7.0000000000000007E-2</v>
      </c>
      <c r="O15" s="14">
        <v>0.1</v>
      </c>
      <c r="P15" s="14">
        <v>0.11</v>
      </c>
      <c r="Q15" s="14">
        <v>0.11</v>
      </c>
      <c r="R15" s="14">
        <v>0.2</v>
      </c>
      <c r="S15" s="14">
        <v>0.09</v>
      </c>
      <c r="T15" s="14">
        <v>0.09</v>
      </c>
      <c r="U15" s="14">
        <v>0.14000000000000001</v>
      </c>
      <c r="V15" s="14">
        <v>0.11</v>
      </c>
      <c r="W15" s="14">
        <v>0.18</v>
      </c>
      <c r="X15" s="14">
        <v>7.0000000000000007E-2</v>
      </c>
      <c r="Y15" s="14">
        <v>0.2</v>
      </c>
      <c r="Z15" s="14">
        <v>0.12</v>
      </c>
      <c r="AA15" s="14">
        <v>0.06</v>
      </c>
      <c r="AB15" s="14">
        <v>0.17</v>
      </c>
      <c r="AC15" s="14">
        <v>0.1</v>
      </c>
      <c r="AD15" s="14">
        <v>0.13</v>
      </c>
      <c r="AE15" s="14">
        <v>7.0000000000000007E-2</v>
      </c>
      <c r="AF15" s="14">
        <v>0.06</v>
      </c>
    </row>
    <row r="16" spans="1:32">
      <c r="A16" s="20"/>
      <c r="B16" s="11" t="s">
        <v>691</v>
      </c>
      <c r="C16" s="12">
        <v>6792</v>
      </c>
      <c r="D16" s="12">
        <v>282</v>
      </c>
      <c r="E16" s="12">
        <v>264</v>
      </c>
      <c r="F16" s="12">
        <v>269</v>
      </c>
      <c r="G16" s="12">
        <v>359</v>
      </c>
      <c r="H16" s="12">
        <v>381</v>
      </c>
      <c r="I16" s="12">
        <v>457</v>
      </c>
      <c r="J16" s="12">
        <v>76</v>
      </c>
      <c r="K16" s="12">
        <v>235</v>
      </c>
      <c r="L16" s="12">
        <v>210</v>
      </c>
      <c r="M16" s="12">
        <v>240</v>
      </c>
      <c r="N16" s="12">
        <v>222</v>
      </c>
      <c r="O16" s="12">
        <v>243</v>
      </c>
      <c r="P16" s="12">
        <v>166</v>
      </c>
      <c r="Q16" s="12">
        <v>252</v>
      </c>
      <c r="R16" s="12">
        <v>113</v>
      </c>
      <c r="S16" s="12">
        <v>170</v>
      </c>
      <c r="T16" s="12">
        <v>211</v>
      </c>
      <c r="U16" s="12">
        <v>150</v>
      </c>
      <c r="V16" s="12">
        <v>133</v>
      </c>
      <c r="W16" s="12">
        <v>152</v>
      </c>
      <c r="X16" s="12">
        <v>321</v>
      </c>
      <c r="Y16" s="12">
        <v>301</v>
      </c>
      <c r="Z16" s="12">
        <v>219</v>
      </c>
      <c r="AA16" s="12">
        <v>342</v>
      </c>
      <c r="AB16" s="12">
        <v>155</v>
      </c>
      <c r="AC16" s="12">
        <v>217</v>
      </c>
      <c r="AD16" s="12">
        <v>207</v>
      </c>
      <c r="AE16" s="12">
        <v>431</v>
      </c>
      <c r="AF16" s="12">
        <v>463</v>
      </c>
    </row>
    <row r="17" spans="1:32">
      <c r="A17" s="20"/>
      <c r="B17" s="13" t="s">
        <v>692</v>
      </c>
      <c r="C17" s="14">
        <v>0.26</v>
      </c>
      <c r="D17" s="14">
        <v>0.28000000000000003</v>
      </c>
      <c r="E17" s="14">
        <v>0.26</v>
      </c>
      <c r="F17" s="14">
        <v>0.27</v>
      </c>
      <c r="G17" s="14">
        <v>0.36</v>
      </c>
      <c r="H17" s="14">
        <v>0.31</v>
      </c>
      <c r="I17" s="14">
        <v>0.3</v>
      </c>
      <c r="J17" s="14">
        <v>0.26</v>
      </c>
      <c r="K17" s="14">
        <v>0.23</v>
      </c>
      <c r="L17" s="14">
        <v>0.21</v>
      </c>
      <c r="M17" s="14">
        <v>0.24</v>
      </c>
      <c r="N17" s="14">
        <v>0.22</v>
      </c>
      <c r="O17" s="14">
        <v>0.24</v>
      </c>
      <c r="P17" s="14">
        <v>0.16</v>
      </c>
      <c r="Q17" s="14">
        <v>0.25</v>
      </c>
      <c r="R17" s="14">
        <v>0.23</v>
      </c>
      <c r="S17" s="14">
        <v>0.17</v>
      </c>
      <c r="T17" s="14">
        <v>0.21</v>
      </c>
      <c r="U17" s="14">
        <v>0.3</v>
      </c>
      <c r="V17" s="14">
        <v>0.13</v>
      </c>
      <c r="W17" s="14">
        <v>0.3</v>
      </c>
      <c r="X17" s="14">
        <v>0.31</v>
      </c>
      <c r="Y17" s="14">
        <v>0.3</v>
      </c>
      <c r="Z17" s="14">
        <v>0.22</v>
      </c>
      <c r="AA17" s="14">
        <v>0.32</v>
      </c>
      <c r="AB17" s="14">
        <v>0.15</v>
      </c>
      <c r="AC17" s="14">
        <v>0.21</v>
      </c>
      <c r="AD17" s="14">
        <v>0.21</v>
      </c>
      <c r="AE17" s="14">
        <v>0.43</v>
      </c>
      <c r="AF17" s="14">
        <v>0.45</v>
      </c>
    </row>
    <row r="18" spans="1:32">
      <c r="A18" s="20"/>
      <c r="B18" s="11" t="s">
        <v>693</v>
      </c>
      <c r="C18" s="12">
        <v>3977</v>
      </c>
      <c r="D18" s="12">
        <v>95</v>
      </c>
      <c r="E18" s="12">
        <v>283</v>
      </c>
      <c r="F18" s="12">
        <v>108</v>
      </c>
      <c r="G18" s="12">
        <v>131</v>
      </c>
      <c r="H18" s="12">
        <v>122</v>
      </c>
      <c r="I18" s="12">
        <v>160</v>
      </c>
      <c r="J18" s="12">
        <v>38</v>
      </c>
      <c r="K18" s="12">
        <v>156</v>
      </c>
      <c r="L18" s="12">
        <v>106</v>
      </c>
      <c r="M18" s="12">
        <v>236</v>
      </c>
      <c r="N18" s="12">
        <v>152</v>
      </c>
      <c r="O18" s="12">
        <v>183</v>
      </c>
      <c r="P18" s="12">
        <v>169</v>
      </c>
      <c r="Q18" s="12">
        <v>150</v>
      </c>
      <c r="R18" s="12">
        <v>22</v>
      </c>
      <c r="S18" s="12">
        <v>176</v>
      </c>
      <c r="T18" s="12">
        <v>193</v>
      </c>
      <c r="U18" s="12">
        <v>81</v>
      </c>
      <c r="V18" s="12">
        <v>211</v>
      </c>
      <c r="W18" s="12">
        <v>50</v>
      </c>
      <c r="X18" s="12">
        <v>255</v>
      </c>
      <c r="Y18" s="12">
        <v>206</v>
      </c>
      <c r="Z18" s="12">
        <v>103</v>
      </c>
      <c r="AA18" s="12">
        <v>176</v>
      </c>
      <c r="AB18" s="12">
        <v>145</v>
      </c>
      <c r="AC18" s="12">
        <v>154</v>
      </c>
      <c r="AD18" s="12">
        <v>236</v>
      </c>
      <c r="AE18" s="12">
        <v>167</v>
      </c>
      <c r="AF18" s="12">
        <v>163</v>
      </c>
    </row>
    <row r="19" spans="1:32">
      <c r="A19" s="20"/>
      <c r="B19" s="13" t="s">
        <v>694</v>
      </c>
      <c r="C19" s="14">
        <v>0.15</v>
      </c>
      <c r="D19" s="14">
        <v>0.09</v>
      </c>
      <c r="E19" s="14">
        <v>0.28000000000000003</v>
      </c>
      <c r="F19" s="14">
        <v>0.11</v>
      </c>
      <c r="G19" s="14">
        <v>0.13</v>
      </c>
      <c r="H19" s="14">
        <v>0.1</v>
      </c>
      <c r="I19" s="14">
        <v>0.11</v>
      </c>
      <c r="J19" s="14">
        <v>0.13</v>
      </c>
      <c r="K19" s="14">
        <v>0.15</v>
      </c>
      <c r="L19" s="14">
        <v>0.11</v>
      </c>
      <c r="M19" s="14">
        <v>0.23</v>
      </c>
      <c r="N19" s="14">
        <v>0.15</v>
      </c>
      <c r="O19" s="14">
        <v>0.18</v>
      </c>
      <c r="P19" s="14">
        <v>0.16</v>
      </c>
      <c r="Q19" s="14">
        <v>0.15</v>
      </c>
      <c r="R19" s="14">
        <v>0.04</v>
      </c>
      <c r="S19" s="14">
        <v>0.17</v>
      </c>
      <c r="T19" s="14">
        <v>0.19</v>
      </c>
      <c r="U19" s="14">
        <v>0.16</v>
      </c>
      <c r="V19" s="14">
        <v>0.21</v>
      </c>
      <c r="W19" s="14">
        <v>0.1</v>
      </c>
      <c r="X19" s="14">
        <v>0.25</v>
      </c>
      <c r="Y19" s="14">
        <v>0.2</v>
      </c>
      <c r="Z19" s="14">
        <v>0.1</v>
      </c>
      <c r="AA19" s="14">
        <v>0.17</v>
      </c>
      <c r="AB19" s="14">
        <v>0.14000000000000001</v>
      </c>
      <c r="AC19" s="14">
        <v>0.15</v>
      </c>
      <c r="AD19" s="14">
        <v>0.23</v>
      </c>
      <c r="AE19" s="14">
        <v>0.17</v>
      </c>
      <c r="AF19" s="14">
        <v>0.16</v>
      </c>
    </row>
    <row r="20" spans="1:32">
      <c r="A20" s="20"/>
      <c r="B20" s="11" t="s">
        <v>695</v>
      </c>
      <c r="C20" s="12">
        <v>2654</v>
      </c>
      <c r="D20" s="12">
        <v>172</v>
      </c>
      <c r="E20" s="12">
        <v>78</v>
      </c>
      <c r="F20" s="12">
        <v>119</v>
      </c>
      <c r="G20" s="12">
        <v>111</v>
      </c>
      <c r="H20" s="12">
        <v>124</v>
      </c>
      <c r="I20" s="12">
        <v>161</v>
      </c>
      <c r="J20" s="12">
        <v>37</v>
      </c>
      <c r="K20" s="12">
        <v>118</v>
      </c>
      <c r="L20" s="12">
        <v>121</v>
      </c>
      <c r="M20" s="12">
        <v>61</v>
      </c>
      <c r="N20" s="12">
        <v>98</v>
      </c>
      <c r="O20" s="12">
        <v>113</v>
      </c>
      <c r="P20" s="12">
        <v>90</v>
      </c>
      <c r="Q20" s="12">
        <v>78</v>
      </c>
      <c r="R20" s="12">
        <v>53</v>
      </c>
      <c r="S20" s="12">
        <v>158</v>
      </c>
      <c r="T20" s="12">
        <v>147</v>
      </c>
      <c r="U20" s="12">
        <v>111</v>
      </c>
      <c r="V20" s="12">
        <v>103</v>
      </c>
      <c r="W20" s="12">
        <v>73</v>
      </c>
      <c r="X20" s="12">
        <v>114</v>
      </c>
      <c r="Y20" s="12">
        <v>200</v>
      </c>
      <c r="Z20" s="12">
        <v>64</v>
      </c>
      <c r="AA20" s="12">
        <v>49</v>
      </c>
      <c r="AB20" s="12">
        <v>88</v>
      </c>
      <c r="AC20" s="12">
        <v>124</v>
      </c>
      <c r="AD20" s="12">
        <v>176</v>
      </c>
      <c r="AE20" s="12">
        <v>76</v>
      </c>
      <c r="AF20" s="12">
        <v>133</v>
      </c>
    </row>
    <row r="21" spans="1:32">
      <c r="A21" s="20"/>
      <c r="B21" s="13" t="s">
        <v>696</v>
      </c>
      <c r="C21" s="14">
        <v>0.1</v>
      </c>
      <c r="D21" s="14">
        <v>0.17</v>
      </c>
      <c r="E21" s="14">
        <v>0.08</v>
      </c>
      <c r="F21" s="14">
        <v>0.12</v>
      </c>
      <c r="G21" s="14">
        <v>0.11</v>
      </c>
      <c r="H21" s="14">
        <v>0.1</v>
      </c>
      <c r="I21" s="14">
        <v>0.11</v>
      </c>
      <c r="J21" s="14">
        <v>0.13</v>
      </c>
      <c r="K21" s="14">
        <v>0.12</v>
      </c>
      <c r="L21" s="14">
        <v>0.12</v>
      </c>
      <c r="M21" s="14">
        <v>0.06</v>
      </c>
      <c r="N21" s="14">
        <v>0.1</v>
      </c>
      <c r="O21" s="14">
        <v>0.11</v>
      </c>
      <c r="P21" s="14">
        <v>0.09</v>
      </c>
      <c r="Q21" s="14">
        <v>0.08</v>
      </c>
      <c r="R21" s="14">
        <v>0.11</v>
      </c>
      <c r="S21" s="14">
        <v>0.16</v>
      </c>
      <c r="T21" s="14">
        <v>0.14000000000000001</v>
      </c>
      <c r="U21" s="14">
        <v>0.22</v>
      </c>
      <c r="V21" s="14">
        <v>0.1</v>
      </c>
      <c r="W21" s="14">
        <v>0.14000000000000001</v>
      </c>
      <c r="X21" s="14">
        <v>0.11</v>
      </c>
      <c r="Y21" s="14">
        <v>0.2</v>
      </c>
      <c r="Z21" s="14">
        <v>0.06</v>
      </c>
      <c r="AA21" s="14">
        <v>0.05</v>
      </c>
      <c r="AB21" s="14">
        <v>0.08</v>
      </c>
      <c r="AC21" s="14">
        <v>0.12</v>
      </c>
      <c r="AD21" s="14">
        <v>0.17</v>
      </c>
      <c r="AE21" s="14">
        <v>0.08</v>
      </c>
      <c r="AF21" s="14">
        <v>0.13</v>
      </c>
    </row>
    <row r="22" spans="1:32">
      <c r="A22" s="20"/>
      <c r="B22" s="11" t="s">
        <v>697</v>
      </c>
      <c r="C22" s="12">
        <v>4854</v>
      </c>
      <c r="D22" s="12">
        <v>132</v>
      </c>
      <c r="E22" s="12">
        <v>133</v>
      </c>
      <c r="F22" s="12">
        <v>122</v>
      </c>
      <c r="G22" s="12">
        <v>202</v>
      </c>
      <c r="H22" s="12">
        <v>295</v>
      </c>
      <c r="I22" s="12">
        <v>353</v>
      </c>
      <c r="J22" s="12">
        <v>58</v>
      </c>
      <c r="K22" s="12">
        <v>107</v>
      </c>
      <c r="L22" s="12">
        <v>160</v>
      </c>
      <c r="M22" s="12">
        <v>199</v>
      </c>
      <c r="N22" s="12">
        <v>169</v>
      </c>
      <c r="O22" s="12">
        <v>161</v>
      </c>
      <c r="P22" s="12">
        <v>130</v>
      </c>
      <c r="Q22" s="12">
        <v>197</v>
      </c>
      <c r="R22" s="12">
        <v>74</v>
      </c>
      <c r="S22" s="12">
        <v>73</v>
      </c>
      <c r="T22" s="12">
        <v>54</v>
      </c>
      <c r="U22" s="12">
        <v>83</v>
      </c>
      <c r="V22" s="12">
        <v>102</v>
      </c>
      <c r="W22" s="12">
        <v>84</v>
      </c>
      <c r="X22" s="12">
        <v>211</v>
      </c>
      <c r="Y22" s="12">
        <v>154</v>
      </c>
      <c r="Z22" s="12">
        <v>182</v>
      </c>
      <c r="AA22" s="12">
        <v>180</v>
      </c>
      <c r="AB22" s="12">
        <v>149</v>
      </c>
      <c r="AC22" s="12">
        <v>103</v>
      </c>
      <c r="AD22" s="12">
        <v>126</v>
      </c>
      <c r="AE22" s="12">
        <v>353</v>
      </c>
      <c r="AF22" s="12">
        <v>341</v>
      </c>
    </row>
    <row r="23" spans="1:32">
      <c r="A23" s="20"/>
      <c r="B23" s="13" t="s">
        <v>698</v>
      </c>
      <c r="C23" s="14">
        <v>0.18</v>
      </c>
      <c r="D23" s="14">
        <v>0.13</v>
      </c>
      <c r="E23" s="14">
        <v>0.13</v>
      </c>
      <c r="F23" s="14">
        <v>0.12</v>
      </c>
      <c r="G23" s="14">
        <v>0.2</v>
      </c>
      <c r="H23" s="14">
        <v>0.24</v>
      </c>
      <c r="I23" s="14">
        <v>0.23</v>
      </c>
      <c r="J23" s="14">
        <v>0.2</v>
      </c>
      <c r="K23" s="14">
        <v>0.11</v>
      </c>
      <c r="L23" s="14">
        <v>0.16</v>
      </c>
      <c r="M23" s="14">
        <v>0.2</v>
      </c>
      <c r="N23" s="14">
        <v>0.17</v>
      </c>
      <c r="O23" s="14">
        <v>0.16</v>
      </c>
      <c r="P23" s="14">
        <v>0.13</v>
      </c>
      <c r="Q23" s="14">
        <v>0.19</v>
      </c>
      <c r="R23" s="14">
        <v>0.15</v>
      </c>
      <c r="S23" s="14">
        <v>7.0000000000000007E-2</v>
      </c>
      <c r="T23" s="14">
        <v>0.05</v>
      </c>
      <c r="U23" s="14">
        <v>0.16</v>
      </c>
      <c r="V23" s="14">
        <v>0.1</v>
      </c>
      <c r="W23" s="14">
        <v>0.17</v>
      </c>
      <c r="X23" s="14">
        <v>0.21</v>
      </c>
      <c r="Y23" s="14">
        <v>0.15</v>
      </c>
      <c r="Z23" s="14">
        <v>0.18</v>
      </c>
      <c r="AA23" s="14">
        <v>0.17</v>
      </c>
      <c r="AB23" s="14">
        <v>0.14000000000000001</v>
      </c>
      <c r="AC23" s="14">
        <v>0.1</v>
      </c>
      <c r="AD23" s="14">
        <v>0.12</v>
      </c>
      <c r="AE23" s="14">
        <v>0.35</v>
      </c>
      <c r="AF23" s="14">
        <v>0.33</v>
      </c>
    </row>
    <row r="24" spans="1:32">
      <c r="A24" s="20"/>
      <c r="B24" s="11" t="s">
        <v>699</v>
      </c>
      <c r="C24" s="12">
        <v>4915</v>
      </c>
      <c r="D24" s="12">
        <v>213</v>
      </c>
      <c r="E24" s="12">
        <v>127</v>
      </c>
      <c r="F24" s="12">
        <v>221</v>
      </c>
      <c r="G24" s="12">
        <v>272</v>
      </c>
      <c r="H24" s="12">
        <v>251</v>
      </c>
      <c r="I24" s="12">
        <v>307</v>
      </c>
      <c r="J24" s="12">
        <v>56</v>
      </c>
      <c r="K24" s="12">
        <v>186</v>
      </c>
      <c r="L24" s="12">
        <v>374</v>
      </c>
      <c r="M24" s="12">
        <v>112</v>
      </c>
      <c r="N24" s="12">
        <v>199</v>
      </c>
      <c r="O24" s="12">
        <v>230</v>
      </c>
      <c r="P24" s="12">
        <v>297</v>
      </c>
      <c r="Q24" s="12">
        <v>139</v>
      </c>
      <c r="R24" s="12">
        <v>103</v>
      </c>
      <c r="S24" s="12">
        <v>261</v>
      </c>
      <c r="T24" s="12">
        <v>301</v>
      </c>
      <c r="U24" s="12">
        <v>93</v>
      </c>
      <c r="V24" s="12">
        <v>184</v>
      </c>
      <c r="W24" s="12">
        <v>75</v>
      </c>
      <c r="X24" s="12">
        <v>281</v>
      </c>
      <c r="Y24" s="12">
        <v>136</v>
      </c>
      <c r="Z24" s="12">
        <v>102</v>
      </c>
      <c r="AA24" s="12">
        <v>138</v>
      </c>
      <c r="AB24" s="12">
        <v>119</v>
      </c>
      <c r="AC24" s="12">
        <v>394</v>
      </c>
      <c r="AD24" s="12">
        <v>239</v>
      </c>
      <c r="AE24" s="12">
        <v>166</v>
      </c>
      <c r="AF24" s="12">
        <v>190</v>
      </c>
    </row>
    <row r="25" spans="1:32">
      <c r="A25" s="20"/>
      <c r="B25" s="13" t="s">
        <v>700</v>
      </c>
      <c r="C25" s="14">
        <v>0.19</v>
      </c>
      <c r="D25" s="14">
        <v>0.21</v>
      </c>
      <c r="E25" s="14">
        <v>0.12</v>
      </c>
      <c r="F25" s="14">
        <v>0.22</v>
      </c>
      <c r="G25" s="14">
        <v>0.27</v>
      </c>
      <c r="H25" s="14">
        <v>0.21</v>
      </c>
      <c r="I25" s="14">
        <v>0.2</v>
      </c>
      <c r="J25" s="14">
        <v>0.19</v>
      </c>
      <c r="K25" s="14">
        <v>0.18</v>
      </c>
      <c r="L25" s="14">
        <v>0.37</v>
      </c>
      <c r="M25" s="14">
        <v>0.11</v>
      </c>
      <c r="N25" s="14">
        <v>0.2</v>
      </c>
      <c r="O25" s="14">
        <v>0.23</v>
      </c>
      <c r="P25" s="14">
        <v>0.28999999999999998</v>
      </c>
      <c r="Q25" s="14">
        <v>0.14000000000000001</v>
      </c>
      <c r="R25" s="14">
        <v>0.21</v>
      </c>
      <c r="S25" s="14">
        <v>0.26</v>
      </c>
      <c r="T25" s="14">
        <v>0.3</v>
      </c>
      <c r="U25" s="14">
        <v>0.18</v>
      </c>
      <c r="V25" s="14">
        <v>0.18</v>
      </c>
      <c r="W25" s="14">
        <v>0.15</v>
      </c>
      <c r="X25" s="14">
        <v>0.28000000000000003</v>
      </c>
      <c r="Y25" s="14">
        <v>0.13</v>
      </c>
      <c r="Z25" s="14">
        <v>0.1</v>
      </c>
      <c r="AA25" s="14">
        <v>0.13</v>
      </c>
      <c r="AB25" s="14">
        <v>0.11</v>
      </c>
      <c r="AC25" s="14">
        <v>0.39</v>
      </c>
      <c r="AD25" s="14">
        <v>0.24</v>
      </c>
      <c r="AE25" s="14">
        <v>0.17</v>
      </c>
      <c r="AF25" s="14">
        <v>0.19</v>
      </c>
    </row>
    <row r="26" spans="1:32" ht="24.95">
      <c r="A26" s="20"/>
      <c r="B26" s="11" t="s">
        <v>701</v>
      </c>
      <c r="C26" s="12">
        <v>2936</v>
      </c>
      <c r="D26" s="12">
        <v>102</v>
      </c>
      <c r="E26" s="12">
        <v>146</v>
      </c>
      <c r="F26" s="12">
        <v>147</v>
      </c>
      <c r="G26" s="12">
        <v>156</v>
      </c>
      <c r="H26" s="12">
        <v>176</v>
      </c>
      <c r="I26" s="12">
        <v>211</v>
      </c>
      <c r="J26" s="12">
        <v>35</v>
      </c>
      <c r="K26" s="12">
        <v>93</v>
      </c>
      <c r="L26" s="12">
        <v>85</v>
      </c>
      <c r="M26" s="12">
        <v>155</v>
      </c>
      <c r="N26" s="12">
        <v>70</v>
      </c>
      <c r="O26" s="12">
        <v>99</v>
      </c>
      <c r="P26" s="12">
        <v>174</v>
      </c>
      <c r="Q26" s="12">
        <v>127</v>
      </c>
      <c r="R26" s="12">
        <v>43</v>
      </c>
      <c r="S26" s="12">
        <v>103</v>
      </c>
      <c r="T26" s="12">
        <v>171</v>
      </c>
      <c r="U26" s="12">
        <v>35</v>
      </c>
      <c r="V26" s="12">
        <v>124</v>
      </c>
      <c r="W26" s="12">
        <v>45</v>
      </c>
      <c r="X26" s="12">
        <v>90</v>
      </c>
      <c r="Y26" s="12">
        <v>128</v>
      </c>
      <c r="Z26" s="12">
        <v>95</v>
      </c>
      <c r="AA26" s="12">
        <v>95</v>
      </c>
      <c r="AB26" s="12">
        <v>111</v>
      </c>
      <c r="AC26" s="12">
        <v>109</v>
      </c>
      <c r="AD26" s="12">
        <v>102</v>
      </c>
      <c r="AE26" s="12">
        <v>80</v>
      </c>
      <c r="AF26" s="12">
        <v>100</v>
      </c>
    </row>
    <row r="27" spans="1:32" ht="24.95">
      <c r="A27" s="20"/>
      <c r="B27" s="13" t="s">
        <v>702</v>
      </c>
      <c r="C27" s="14">
        <v>0.11</v>
      </c>
      <c r="D27" s="14">
        <v>0.1</v>
      </c>
      <c r="E27" s="14">
        <v>0.14000000000000001</v>
      </c>
      <c r="F27" s="14">
        <v>0.15</v>
      </c>
      <c r="G27" s="14">
        <v>0.16</v>
      </c>
      <c r="H27" s="14">
        <v>0.14000000000000001</v>
      </c>
      <c r="I27" s="14">
        <v>0.14000000000000001</v>
      </c>
      <c r="J27" s="14">
        <v>0.12</v>
      </c>
      <c r="K27" s="14">
        <v>0.09</v>
      </c>
      <c r="L27" s="14">
        <v>0.08</v>
      </c>
      <c r="M27" s="14">
        <v>0.15</v>
      </c>
      <c r="N27" s="14">
        <v>7.0000000000000007E-2</v>
      </c>
      <c r="O27" s="14">
        <v>0.1</v>
      </c>
      <c r="P27" s="14">
        <v>0.17</v>
      </c>
      <c r="Q27" s="14">
        <v>0.12</v>
      </c>
      <c r="R27" s="14">
        <v>0.09</v>
      </c>
      <c r="S27" s="14">
        <v>0.1</v>
      </c>
      <c r="T27" s="14">
        <v>0.17</v>
      </c>
      <c r="U27" s="14">
        <v>7.0000000000000007E-2</v>
      </c>
      <c r="V27" s="14">
        <v>0.12</v>
      </c>
      <c r="W27" s="14">
        <v>0.09</v>
      </c>
      <c r="X27" s="14">
        <v>0.09</v>
      </c>
      <c r="Y27" s="14">
        <v>0.13</v>
      </c>
      <c r="Z27" s="14">
        <v>0.09</v>
      </c>
      <c r="AA27" s="14">
        <v>0.09</v>
      </c>
      <c r="AB27" s="14">
        <v>0.11</v>
      </c>
      <c r="AC27" s="14">
        <v>0.11</v>
      </c>
      <c r="AD27" s="14">
        <v>0.1</v>
      </c>
      <c r="AE27" s="14">
        <v>0.08</v>
      </c>
      <c r="AF27" s="14">
        <v>0.1</v>
      </c>
    </row>
    <row r="28" spans="1:32">
      <c r="A28" s="20"/>
      <c r="B28" s="11" t="s">
        <v>703</v>
      </c>
      <c r="C28" s="12">
        <v>5874</v>
      </c>
      <c r="D28" s="12">
        <v>229</v>
      </c>
      <c r="E28" s="12">
        <v>175</v>
      </c>
      <c r="F28" s="12">
        <v>118</v>
      </c>
      <c r="G28" s="12">
        <v>166</v>
      </c>
      <c r="H28" s="12">
        <v>289</v>
      </c>
      <c r="I28" s="12">
        <v>368</v>
      </c>
      <c r="J28" s="12">
        <v>79</v>
      </c>
      <c r="K28" s="12">
        <v>197</v>
      </c>
      <c r="L28" s="12">
        <v>172</v>
      </c>
      <c r="M28" s="12">
        <v>385</v>
      </c>
      <c r="N28" s="12">
        <v>220</v>
      </c>
      <c r="O28" s="12">
        <v>187</v>
      </c>
      <c r="P28" s="12">
        <v>175</v>
      </c>
      <c r="Q28" s="12">
        <v>262</v>
      </c>
      <c r="R28" s="12">
        <v>141</v>
      </c>
      <c r="S28" s="12">
        <v>196</v>
      </c>
      <c r="T28" s="12">
        <v>234</v>
      </c>
      <c r="U28" s="12">
        <v>101</v>
      </c>
      <c r="V28" s="12">
        <v>258</v>
      </c>
      <c r="W28" s="12">
        <v>80</v>
      </c>
      <c r="X28" s="12">
        <v>302</v>
      </c>
      <c r="Y28" s="12">
        <v>178</v>
      </c>
      <c r="Z28" s="12">
        <v>241</v>
      </c>
      <c r="AA28" s="12">
        <v>210</v>
      </c>
      <c r="AB28" s="12">
        <v>183</v>
      </c>
      <c r="AC28" s="12">
        <v>320</v>
      </c>
      <c r="AD28" s="12">
        <v>125</v>
      </c>
      <c r="AE28" s="12">
        <v>181</v>
      </c>
      <c r="AF28" s="12">
        <v>170</v>
      </c>
    </row>
    <row r="29" spans="1:32">
      <c r="A29" s="20"/>
      <c r="B29" s="13" t="s">
        <v>704</v>
      </c>
      <c r="C29" s="14">
        <v>0.22</v>
      </c>
      <c r="D29" s="14">
        <v>0.23</v>
      </c>
      <c r="E29" s="14">
        <v>0.17</v>
      </c>
      <c r="F29" s="14">
        <v>0.12</v>
      </c>
      <c r="G29" s="14">
        <v>0.16</v>
      </c>
      <c r="H29" s="14">
        <v>0.24</v>
      </c>
      <c r="I29" s="14">
        <v>0.24</v>
      </c>
      <c r="J29" s="14">
        <v>0.27</v>
      </c>
      <c r="K29" s="14">
        <v>0.2</v>
      </c>
      <c r="L29" s="14">
        <v>0.17</v>
      </c>
      <c r="M29" s="14">
        <v>0.38</v>
      </c>
      <c r="N29" s="14">
        <v>0.22</v>
      </c>
      <c r="O29" s="14">
        <v>0.19</v>
      </c>
      <c r="P29" s="14">
        <v>0.17</v>
      </c>
      <c r="Q29" s="14">
        <v>0.26</v>
      </c>
      <c r="R29" s="14">
        <v>0.28000000000000003</v>
      </c>
      <c r="S29" s="14">
        <v>0.19</v>
      </c>
      <c r="T29" s="14">
        <v>0.23</v>
      </c>
      <c r="U29" s="14">
        <v>0.2</v>
      </c>
      <c r="V29" s="14">
        <v>0.25</v>
      </c>
      <c r="W29" s="14">
        <v>0.16</v>
      </c>
      <c r="X29" s="14">
        <v>0.3</v>
      </c>
      <c r="Y29" s="14">
        <v>0.18</v>
      </c>
      <c r="Z29" s="14">
        <v>0.24</v>
      </c>
      <c r="AA29" s="14">
        <v>0.2</v>
      </c>
      <c r="AB29" s="14">
        <v>0.18</v>
      </c>
      <c r="AC29" s="14">
        <v>0.32</v>
      </c>
      <c r="AD29" s="14">
        <v>0.12</v>
      </c>
      <c r="AE29" s="14">
        <v>0.18</v>
      </c>
      <c r="AF29" s="14">
        <v>0.17</v>
      </c>
    </row>
    <row r="30" spans="1:32" ht="24.95">
      <c r="A30" s="20"/>
      <c r="B30" s="11" t="s">
        <v>705</v>
      </c>
      <c r="C30" s="12">
        <v>3140</v>
      </c>
      <c r="D30" s="12">
        <v>149</v>
      </c>
      <c r="E30" s="12">
        <v>99</v>
      </c>
      <c r="F30" s="12">
        <v>138</v>
      </c>
      <c r="G30" s="12">
        <v>157</v>
      </c>
      <c r="H30" s="12">
        <v>73</v>
      </c>
      <c r="I30" s="12">
        <v>102</v>
      </c>
      <c r="J30" s="12">
        <v>29</v>
      </c>
      <c r="K30" s="12">
        <v>93</v>
      </c>
      <c r="L30" s="12">
        <v>100</v>
      </c>
      <c r="M30" s="12">
        <v>105</v>
      </c>
      <c r="N30" s="12">
        <v>135</v>
      </c>
      <c r="O30" s="12">
        <v>157</v>
      </c>
      <c r="P30" s="12">
        <v>131</v>
      </c>
      <c r="Q30" s="12">
        <v>119</v>
      </c>
      <c r="R30" s="12">
        <v>63</v>
      </c>
      <c r="S30" s="12">
        <v>87</v>
      </c>
      <c r="T30" s="12">
        <v>99</v>
      </c>
      <c r="U30" s="12">
        <v>60</v>
      </c>
      <c r="V30" s="12">
        <v>178</v>
      </c>
      <c r="W30" s="12">
        <v>112</v>
      </c>
      <c r="X30" s="12">
        <v>102</v>
      </c>
      <c r="Y30" s="12">
        <v>135</v>
      </c>
      <c r="Z30" s="12">
        <v>121</v>
      </c>
      <c r="AA30" s="12">
        <v>89</v>
      </c>
      <c r="AB30" s="12">
        <v>174</v>
      </c>
      <c r="AC30" s="12">
        <v>76</v>
      </c>
      <c r="AD30" s="12">
        <v>121</v>
      </c>
      <c r="AE30" s="12">
        <v>131</v>
      </c>
      <c r="AF30" s="12">
        <v>137</v>
      </c>
    </row>
    <row r="31" spans="1:32" ht="24.95">
      <c r="A31" s="20"/>
      <c r="B31" s="13" t="s">
        <v>706</v>
      </c>
      <c r="C31" s="14">
        <v>0.12</v>
      </c>
      <c r="D31" s="14">
        <v>0.15</v>
      </c>
      <c r="E31" s="14">
        <v>0.1</v>
      </c>
      <c r="F31" s="14">
        <v>0.14000000000000001</v>
      </c>
      <c r="G31" s="14">
        <v>0.16</v>
      </c>
      <c r="H31" s="14">
        <v>0.06</v>
      </c>
      <c r="I31" s="14">
        <v>7.0000000000000007E-2</v>
      </c>
      <c r="J31" s="14">
        <v>0.1</v>
      </c>
      <c r="K31" s="14">
        <v>0.09</v>
      </c>
      <c r="L31" s="14">
        <v>0.1</v>
      </c>
      <c r="M31" s="14">
        <v>0.1</v>
      </c>
      <c r="N31" s="14">
        <v>0.13</v>
      </c>
      <c r="O31" s="14">
        <v>0.16</v>
      </c>
      <c r="P31" s="14">
        <v>0.13</v>
      </c>
      <c r="Q31" s="14">
        <v>0.12</v>
      </c>
      <c r="R31" s="14">
        <v>0.13</v>
      </c>
      <c r="S31" s="14">
        <v>0.09</v>
      </c>
      <c r="T31" s="14">
        <v>0.1</v>
      </c>
      <c r="U31" s="14">
        <v>0.12</v>
      </c>
      <c r="V31" s="14">
        <v>0.18</v>
      </c>
      <c r="W31" s="14">
        <v>0.22</v>
      </c>
      <c r="X31" s="14">
        <v>0.1</v>
      </c>
      <c r="Y31" s="14">
        <v>0.13</v>
      </c>
      <c r="Z31" s="14">
        <v>0.12</v>
      </c>
      <c r="AA31" s="14">
        <v>0.08</v>
      </c>
      <c r="AB31" s="14">
        <v>0.17</v>
      </c>
      <c r="AC31" s="14">
        <v>0.08</v>
      </c>
      <c r="AD31" s="14">
        <v>0.12</v>
      </c>
      <c r="AE31" s="14">
        <v>0.13</v>
      </c>
      <c r="AF31" s="14">
        <v>0.13</v>
      </c>
    </row>
    <row r="32" spans="1:32" ht="24.95">
      <c r="A32" s="20"/>
      <c r="B32" s="11" t="s">
        <v>707</v>
      </c>
      <c r="C32" s="12">
        <v>2732</v>
      </c>
      <c r="D32" s="12">
        <v>128</v>
      </c>
      <c r="E32" s="12">
        <v>130</v>
      </c>
      <c r="F32" s="12">
        <v>94</v>
      </c>
      <c r="G32" s="12">
        <v>108</v>
      </c>
      <c r="H32" s="12">
        <v>84</v>
      </c>
      <c r="I32" s="12">
        <v>115</v>
      </c>
      <c r="J32" s="12">
        <v>31</v>
      </c>
      <c r="K32" s="12">
        <v>62</v>
      </c>
      <c r="L32" s="12">
        <v>90</v>
      </c>
      <c r="M32" s="12">
        <v>162</v>
      </c>
      <c r="N32" s="12">
        <v>80</v>
      </c>
      <c r="O32" s="12">
        <v>101</v>
      </c>
      <c r="P32" s="12">
        <v>132</v>
      </c>
      <c r="Q32" s="12">
        <v>136</v>
      </c>
      <c r="R32" s="12">
        <v>59</v>
      </c>
      <c r="S32" s="12">
        <v>50</v>
      </c>
      <c r="T32" s="12">
        <v>57</v>
      </c>
      <c r="U32" s="12">
        <v>47</v>
      </c>
      <c r="V32" s="12">
        <v>100</v>
      </c>
      <c r="W32" s="12">
        <v>47</v>
      </c>
      <c r="X32" s="12">
        <v>110</v>
      </c>
      <c r="Y32" s="12">
        <v>129</v>
      </c>
      <c r="Z32" s="12">
        <v>90</v>
      </c>
      <c r="AA32" s="12">
        <v>107</v>
      </c>
      <c r="AB32" s="12">
        <v>156</v>
      </c>
      <c r="AC32" s="12">
        <v>80</v>
      </c>
      <c r="AD32" s="12">
        <v>131</v>
      </c>
      <c r="AE32" s="12">
        <v>120</v>
      </c>
      <c r="AF32" s="12">
        <v>158</v>
      </c>
    </row>
    <row r="33" spans="1:32">
      <c r="A33" s="20"/>
      <c r="B33" s="13" t="s">
        <v>708</v>
      </c>
      <c r="C33" s="14">
        <v>0.1</v>
      </c>
      <c r="D33" s="14">
        <v>0.13</v>
      </c>
      <c r="E33" s="14">
        <v>0.13</v>
      </c>
      <c r="F33" s="14">
        <v>0.09</v>
      </c>
      <c r="G33" s="14">
        <v>0.11</v>
      </c>
      <c r="H33" s="14">
        <v>7.0000000000000007E-2</v>
      </c>
      <c r="I33" s="14">
        <v>0.08</v>
      </c>
      <c r="J33" s="14">
        <v>0.11</v>
      </c>
      <c r="K33" s="14">
        <v>0.06</v>
      </c>
      <c r="L33" s="14">
        <v>0.09</v>
      </c>
      <c r="M33" s="14">
        <v>0.16</v>
      </c>
      <c r="N33" s="14">
        <v>0.08</v>
      </c>
      <c r="O33" s="14">
        <v>0.1</v>
      </c>
      <c r="P33" s="14">
        <v>0.13</v>
      </c>
      <c r="Q33" s="14">
        <v>0.13</v>
      </c>
      <c r="R33" s="14">
        <v>0.12</v>
      </c>
      <c r="S33" s="14">
        <v>0.05</v>
      </c>
      <c r="T33" s="14">
        <v>0.06</v>
      </c>
      <c r="U33" s="14">
        <v>0.09</v>
      </c>
      <c r="V33" s="14">
        <v>0.1</v>
      </c>
      <c r="W33" s="14">
        <v>0.09</v>
      </c>
      <c r="X33" s="14">
        <v>0.11</v>
      </c>
      <c r="Y33" s="14">
        <v>0.13</v>
      </c>
      <c r="Z33" s="14">
        <v>0.09</v>
      </c>
      <c r="AA33" s="14">
        <v>0.1</v>
      </c>
      <c r="AB33" s="14">
        <v>0.15</v>
      </c>
      <c r="AC33" s="14">
        <v>0.08</v>
      </c>
      <c r="AD33" s="14">
        <v>0.13</v>
      </c>
      <c r="AE33" s="14">
        <v>0.12</v>
      </c>
      <c r="AF33" s="14">
        <v>0.16</v>
      </c>
    </row>
    <row r="34" spans="1:32">
      <c r="A34" s="20"/>
      <c r="B34" s="11" t="s">
        <v>709</v>
      </c>
      <c r="C34" s="12">
        <v>7526</v>
      </c>
      <c r="D34" s="12">
        <v>286</v>
      </c>
      <c r="E34" s="12">
        <v>251</v>
      </c>
      <c r="F34" s="12">
        <v>315</v>
      </c>
      <c r="G34" s="12">
        <v>310</v>
      </c>
      <c r="H34" s="12">
        <v>359</v>
      </c>
      <c r="I34" s="12">
        <v>440</v>
      </c>
      <c r="J34" s="12">
        <v>81</v>
      </c>
      <c r="K34" s="12">
        <v>321</v>
      </c>
      <c r="L34" s="12">
        <v>326</v>
      </c>
      <c r="M34" s="12">
        <v>412</v>
      </c>
      <c r="N34" s="12">
        <v>328</v>
      </c>
      <c r="O34" s="12">
        <v>268</v>
      </c>
      <c r="P34" s="12">
        <v>230</v>
      </c>
      <c r="Q34" s="12">
        <v>311</v>
      </c>
      <c r="R34" s="12">
        <v>224</v>
      </c>
      <c r="S34" s="12">
        <v>398</v>
      </c>
      <c r="T34" s="12">
        <v>363</v>
      </c>
      <c r="U34" s="12">
        <v>177</v>
      </c>
      <c r="V34" s="12">
        <v>259</v>
      </c>
      <c r="W34" s="12">
        <v>135</v>
      </c>
      <c r="X34" s="12">
        <v>281</v>
      </c>
      <c r="Y34" s="12">
        <v>207</v>
      </c>
      <c r="Z34" s="12">
        <v>228</v>
      </c>
      <c r="AA34" s="12">
        <v>340</v>
      </c>
      <c r="AB34" s="12">
        <v>207</v>
      </c>
      <c r="AC34" s="12">
        <v>299</v>
      </c>
      <c r="AD34" s="12">
        <v>323</v>
      </c>
      <c r="AE34" s="12">
        <v>269</v>
      </c>
      <c r="AF34" s="12">
        <v>293</v>
      </c>
    </row>
    <row r="35" spans="1:32">
      <c r="A35" s="20"/>
      <c r="B35" s="13" t="s">
        <v>710</v>
      </c>
      <c r="C35" s="14">
        <v>0.28999999999999998</v>
      </c>
      <c r="D35" s="14">
        <v>0.28000000000000003</v>
      </c>
      <c r="E35" s="14">
        <v>0.25</v>
      </c>
      <c r="F35" s="14">
        <v>0.31</v>
      </c>
      <c r="G35" s="14">
        <v>0.31</v>
      </c>
      <c r="H35" s="14">
        <v>0.3</v>
      </c>
      <c r="I35" s="14">
        <v>0.28999999999999998</v>
      </c>
      <c r="J35" s="14">
        <v>0.28000000000000003</v>
      </c>
      <c r="K35" s="14">
        <v>0.32</v>
      </c>
      <c r="L35" s="14">
        <v>0.32</v>
      </c>
      <c r="M35" s="14">
        <v>0.41</v>
      </c>
      <c r="N35" s="14">
        <v>0.33</v>
      </c>
      <c r="O35" s="14">
        <v>0.27</v>
      </c>
      <c r="P35" s="14">
        <v>0.23</v>
      </c>
      <c r="Q35" s="14">
        <v>0.31</v>
      </c>
      <c r="R35" s="14">
        <v>0.45</v>
      </c>
      <c r="S35" s="14">
        <v>0.39</v>
      </c>
      <c r="T35" s="14">
        <v>0.36</v>
      </c>
      <c r="U35" s="14">
        <v>0.35</v>
      </c>
      <c r="V35" s="14">
        <v>0.25</v>
      </c>
      <c r="W35" s="14">
        <v>0.27</v>
      </c>
      <c r="X35" s="14">
        <v>0.28000000000000003</v>
      </c>
      <c r="Y35" s="14">
        <v>0.21</v>
      </c>
      <c r="Z35" s="14">
        <v>0.23</v>
      </c>
      <c r="AA35" s="14">
        <v>0.32</v>
      </c>
      <c r="AB35" s="14">
        <v>0.2</v>
      </c>
      <c r="AC35" s="14">
        <v>0.3</v>
      </c>
      <c r="AD35" s="14">
        <v>0.32</v>
      </c>
      <c r="AE35" s="14">
        <v>0.27</v>
      </c>
      <c r="AF35" s="14">
        <v>0.28999999999999998</v>
      </c>
    </row>
    <row r="36" spans="1:32">
      <c r="A36" s="20"/>
      <c r="B36" s="11" t="s">
        <v>711</v>
      </c>
      <c r="C36" s="12">
        <v>4419</v>
      </c>
      <c r="D36" s="12">
        <v>168</v>
      </c>
      <c r="E36" s="12">
        <v>113</v>
      </c>
      <c r="F36" s="12">
        <v>75</v>
      </c>
      <c r="G36" s="12">
        <v>203</v>
      </c>
      <c r="H36" s="12">
        <v>223</v>
      </c>
      <c r="I36" s="12">
        <v>281</v>
      </c>
      <c r="J36" s="12">
        <v>58</v>
      </c>
      <c r="K36" s="12">
        <v>188</v>
      </c>
      <c r="L36" s="12">
        <v>196</v>
      </c>
      <c r="M36" s="12">
        <v>186</v>
      </c>
      <c r="N36" s="12">
        <v>214</v>
      </c>
      <c r="O36" s="12">
        <v>210</v>
      </c>
      <c r="P36" s="12">
        <v>162</v>
      </c>
      <c r="Q36" s="12">
        <v>123</v>
      </c>
      <c r="R36" s="12">
        <v>155</v>
      </c>
      <c r="S36" s="12">
        <v>225</v>
      </c>
      <c r="T36" s="12">
        <v>157</v>
      </c>
      <c r="U36" s="12">
        <v>126</v>
      </c>
      <c r="V36" s="12">
        <v>84</v>
      </c>
      <c r="W36" s="12">
        <v>113</v>
      </c>
      <c r="X36" s="12">
        <v>141</v>
      </c>
      <c r="Y36" s="12">
        <v>137</v>
      </c>
      <c r="Z36" s="12">
        <v>113</v>
      </c>
      <c r="AA36" s="12">
        <v>135</v>
      </c>
      <c r="AB36" s="12">
        <v>218</v>
      </c>
      <c r="AC36" s="12">
        <v>154</v>
      </c>
      <c r="AD36" s="12">
        <v>201</v>
      </c>
      <c r="AE36" s="12">
        <v>182</v>
      </c>
      <c r="AF36" s="12">
        <v>173</v>
      </c>
    </row>
    <row r="37" spans="1:32">
      <c r="A37" s="20"/>
      <c r="B37" s="13" t="s">
        <v>712</v>
      </c>
      <c r="C37" s="14">
        <v>0.17</v>
      </c>
      <c r="D37" s="14">
        <v>0.17</v>
      </c>
      <c r="E37" s="14">
        <v>0.11</v>
      </c>
      <c r="F37" s="14">
        <v>7.0000000000000007E-2</v>
      </c>
      <c r="G37" s="14">
        <v>0.2</v>
      </c>
      <c r="H37" s="14">
        <v>0.18</v>
      </c>
      <c r="I37" s="14">
        <v>0.19</v>
      </c>
      <c r="J37" s="14">
        <v>0.2</v>
      </c>
      <c r="K37" s="14">
        <v>0.19</v>
      </c>
      <c r="L37" s="14">
        <v>0.19</v>
      </c>
      <c r="M37" s="14">
        <v>0.19</v>
      </c>
      <c r="N37" s="14">
        <v>0.21</v>
      </c>
      <c r="O37" s="14">
        <v>0.21</v>
      </c>
      <c r="P37" s="14">
        <v>0.16</v>
      </c>
      <c r="Q37" s="14">
        <v>0.12</v>
      </c>
      <c r="R37" s="14">
        <v>0.31</v>
      </c>
      <c r="S37" s="14">
        <v>0.22</v>
      </c>
      <c r="T37" s="14">
        <v>0.16</v>
      </c>
      <c r="U37" s="14">
        <v>0.25</v>
      </c>
      <c r="V37" s="14">
        <v>0.08</v>
      </c>
      <c r="W37" s="14">
        <v>0.22</v>
      </c>
      <c r="X37" s="14">
        <v>0.14000000000000001</v>
      </c>
      <c r="Y37" s="14">
        <v>0.14000000000000001</v>
      </c>
      <c r="Z37" s="14">
        <v>0.11</v>
      </c>
      <c r="AA37" s="14">
        <v>0.13</v>
      </c>
      <c r="AB37" s="14">
        <v>0.21</v>
      </c>
      <c r="AC37" s="14">
        <v>0.15</v>
      </c>
      <c r="AD37" s="14">
        <v>0.2</v>
      </c>
      <c r="AE37" s="14">
        <v>0.18</v>
      </c>
      <c r="AF37" s="14">
        <v>0.17</v>
      </c>
    </row>
    <row r="38" spans="1:32" ht="24.95">
      <c r="A38" s="20"/>
      <c r="B38" s="11" t="s">
        <v>713</v>
      </c>
      <c r="C38" s="12">
        <v>3339</v>
      </c>
      <c r="D38" s="12">
        <v>135</v>
      </c>
      <c r="E38" s="12">
        <v>66</v>
      </c>
      <c r="F38" s="12">
        <v>89</v>
      </c>
      <c r="G38" s="12">
        <v>215</v>
      </c>
      <c r="H38" s="12">
        <v>193</v>
      </c>
      <c r="I38" s="12">
        <v>231</v>
      </c>
      <c r="J38" s="12">
        <v>37</v>
      </c>
      <c r="K38" s="12">
        <v>93</v>
      </c>
      <c r="L38" s="12">
        <v>113</v>
      </c>
      <c r="M38" s="12">
        <v>40</v>
      </c>
      <c r="N38" s="12">
        <v>74</v>
      </c>
      <c r="O38" s="12">
        <v>137</v>
      </c>
      <c r="P38" s="12">
        <v>114</v>
      </c>
      <c r="Q38" s="12">
        <v>156</v>
      </c>
      <c r="R38" s="12">
        <v>22</v>
      </c>
      <c r="S38" s="12">
        <v>118</v>
      </c>
      <c r="T38" s="12">
        <v>97</v>
      </c>
      <c r="U38" s="12">
        <v>46</v>
      </c>
      <c r="V38" s="12">
        <v>156</v>
      </c>
      <c r="W38" s="12">
        <v>64</v>
      </c>
      <c r="X38" s="12">
        <v>166</v>
      </c>
      <c r="Y38" s="12">
        <v>178</v>
      </c>
      <c r="Z38" s="12">
        <v>110</v>
      </c>
      <c r="AA38" s="12">
        <v>82</v>
      </c>
      <c r="AB38" s="12">
        <v>87</v>
      </c>
      <c r="AC38" s="12">
        <v>134</v>
      </c>
      <c r="AD38" s="12">
        <v>120</v>
      </c>
      <c r="AE38" s="12">
        <v>150</v>
      </c>
      <c r="AF38" s="12">
        <v>163</v>
      </c>
    </row>
    <row r="39" spans="1:32">
      <c r="A39" s="20"/>
      <c r="B39" s="13" t="s">
        <v>714</v>
      </c>
      <c r="C39" s="14">
        <v>0.13</v>
      </c>
      <c r="D39" s="14">
        <v>0.13</v>
      </c>
      <c r="E39" s="14">
        <v>0.06</v>
      </c>
      <c r="F39" s="14">
        <v>0.09</v>
      </c>
      <c r="G39" s="14">
        <v>0.21</v>
      </c>
      <c r="H39" s="14">
        <v>0.16</v>
      </c>
      <c r="I39" s="14">
        <v>0.15</v>
      </c>
      <c r="J39" s="14">
        <v>0.13</v>
      </c>
      <c r="K39" s="14">
        <v>0.09</v>
      </c>
      <c r="L39" s="14">
        <v>0.11</v>
      </c>
      <c r="M39" s="14">
        <v>0.04</v>
      </c>
      <c r="N39" s="14">
        <v>7.0000000000000007E-2</v>
      </c>
      <c r="O39" s="14">
        <v>0.14000000000000001</v>
      </c>
      <c r="P39" s="14">
        <v>0.11</v>
      </c>
      <c r="Q39" s="14">
        <v>0.15</v>
      </c>
      <c r="R39" s="14">
        <v>0.04</v>
      </c>
      <c r="S39" s="14">
        <v>0.12</v>
      </c>
      <c r="T39" s="14">
        <v>0.1</v>
      </c>
      <c r="U39" s="14">
        <v>0.09</v>
      </c>
      <c r="V39" s="14">
        <v>0.15</v>
      </c>
      <c r="W39" s="14">
        <v>0.13</v>
      </c>
      <c r="X39" s="14">
        <v>0.16</v>
      </c>
      <c r="Y39" s="14">
        <v>0.18</v>
      </c>
      <c r="Z39" s="14">
        <v>0.11</v>
      </c>
      <c r="AA39" s="14">
        <v>0.08</v>
      </c>
      <c r="AB39" s="14">
        <v>0.08</v>
      </c>
      <c r="AC39" s="14">
        <v>0.13</v>
      </c>
      <c r="AD39" s="14">
        <v>0.12</v>
      </c>
      <c r="AE39" s="14">
        <v>0.15</v>
      </c>
      <c r="AF39" s="14">
        <v>0.16</v>
      </c>
    </row>
    <row r="40" spans="1:32">
      <c r="A40" s="20"/>
      <c r="B40" s="11" t="s">
        <v>519</v>
      </c>
      <c r="C40" s="12">
        <v>37</v>
      </c>
      <c r="D40" s="12">
        <v>1</v>
      </c>
      <c r="E40" s="12">
        <v>0</v>
      </c>
      <c r="F40" s="12">
        <v>0</v>
      </c>
      <c r="G40" s="12">
        <v>2</v>
      </c>
      <c r="H40" s="12">
        <v>3</v>
      </c>
      <c r="I40" s="12">
        <v>3</v>
      </c>
      <c r="J40" s="12">
        <v>1</v>
      </c>
      <c r="K40" s="12">
        <v>12</v>
      </c>
      <c r="L40" s="12">
        <v>4</v>
      </c>
      <c r="M40" s="12">
        <v>1</v>
      </c>
      <c r="N40" s="12">
        <v>4</v>
      </c>
      <c r="O40" s="12">
        <v>0</v>
      </c>
      <c r="P40" s="12">
        <v>1</v>
      </c>
      <c r="Q40" s="12">
        <v>0</v>
      </c>
      <c r="R40" s="12">
        <v>1</v>
      </c>
      <c r="S40" s="12">
        <v>3</v>
      </c>
      <c r="T40" s="12">
        <v>2</v>
      </c>
      <c r="U40" s="12">
        <v>1</v>
      </c>
      <c r="V40" s="12">
        <v>0</v>
      </c>
      <c r="W40" s="12">
        <v>0</v>
      </c>
      <c r="X40" s="12">
        <v>2</v>
      </c>
      <c r="Y40" s="12">
        <v>8</v>
      </c>
      <c r="Z40" s="12">
        <v>0</v>
      </c>
      <c r="AA40" s="12">
        <v>4</v>
      </c>
      <c r="AB40" s="12">
        <v>0</v>
      </c>
      <c r="AC40" s="12">
        <v>0</v>
      </c>
      <c r="AD40" s="12">
        <v>0</v>
      </c>
      <c r="AE40" s="12">
        <v>1</v>
      </c>
      <c r="AF40" s="12">
        <v>2</v>
      </c>
    </row>
    <row r="41" spans="1:32">
      <c r="A41" s="20"/>
      <c r="B41" s="13" t="s">
        <v>520</v>
      </c>
      <c r="C41" s="15" t="s">
        <v>459</v>
      </c>
      <c r="D41" s="15" t="s">
        <v>459</v>
      </c>
      <c r="E41" s="15" t="s">
        <v>459</v>
      </c>
      <c r="F41" s="15" t="s">
        <v>459</v>
      </c>
      <c r="G41" s="15" t="s">
        <v>459</v>
      </c>
      <c r="H41" s="15" t="s">
        <v>459</v>
      </c>
      <c r="I41" s="15" t="s">
        <v>459</v>
      </c>
      <c r="J41" s="15" t="s">
        <v>459</v>
      </c>
      <c r="K41" s="14">
        <v>0.01</v>
      </c>
      <c r="L41" s="15" t="s">
        <v>459</v>
      </c>
      <c r="M41" s="15" t="s">
        <v>459</v>
      </c>
      <c r="N41" s="15" t="s">
        <v>459</v>
      </c>
      <c r="O41" s="15" t="s">
        <v>459</v>
      </c>
      <c r="P41" s="15" t="s">
        <v>459</v>
      </c>
      <c r="Q41" s="15" t="s">
        <v>459</v>
      </c>
      <c r="R41" s="15" t="s">
        <v>459</v>
      </c>
      <c r="S41" s="15" t="s">
        <v>459</v>
      </c>
      <c r="T41" s="15" t="s">
        <v>459</v>
      </c>
      <c r="U41" s="15" t="s">
        <v>459</v>
      </c>
      <c r="V41" s="15" t="s">
        <v>459</v>
      </c>
      <c r="W41" s="15" t="s">
        <v>459</v>
      </c>
      <c r="X41" s="15" t="s">
        <v>459</v>
      </c>
      <c r="Y41" s="14">
        <v>0.01</v>
      </c>
      <c r="Z41" s="15" t="s">
        <v>459</v>
      </c>
      <c r="AA41" s="15" t="s">
        <v>459</v>
      </c>
      <c r="AB41" s="15" t="s">
        <v>459</v>
      </c>
      <c r="AC41" s="15" t="s">
        <v>459</v>
      </c>
      <c r="AD41" s="15" t="s">
        <v>459</v>
      </c>
      <c r="AE41" s="15" t="s">
        <v>459</v>
      </c>
      <c r="AF41" s="15" t="s">
        <v>459</v>
      </c>
    </row>
    <row r="42" spans="1:32">
      <c r="A42" s="20"/>
      <c r="B42" s="11" t="s">
        <v>521</v>
      </c>
      <c r="C42" s="12">
        <v>142</v>
      </c>
      <c r="D42" s="12">
        <v>2</v>
      </c>
      <c r="E42" s="12">
        <v>2</v>
      </c>
      <c r="F42" s="12">
        <v>3</v>
      </c>
      <c r="G42" s="12">
        <v>2</v>
      </c>
      <c r="H42" s="12">
        <v>4</v>
      </c>
      <c r="I42" s="12">
        <v>5</v>
      </c>
      <c r="J42" s="12">
        <v>0</v>
      </c>
      <c r="K42" s="12">
        <v>7</v>
      </c>
      <c r="L42" s="12">
        <v>2</v>
      </c>
      <c r="M42" s="12">
        <v>4</v>
      </c>
      <c r="N42" s="12">
        <v>4</v>
      </c>
      <c r="O42" s="12">
        <v>9</v>
      </c>
      <c r="P42" s="12">
        <v>5</v>
      </c>
      <c r="Q42" s="12">
        <v>14</v>
      </c>
      <c r="R42" s="12">
        <v>10</v>
      </c>
      <c r="S42" s="12">
        <v>3</v>
      </c>
      <c r="T42" s="12">
        <v>1</v>
      </c>
      <c r="U42" s="12">
        <v>2</v>
      </c>
      <c r="V42" s="12">
        <v>3</v>
      </c>
      <c r="W42" s="12">
        <v>0</v>
      </c>
      <c r="X42" s="12">
        <v>0</v>
      </c>
      <c r="Y42" s="12">
        <v>2</v>
      </c>
      <c r="Z42" s="12">
        <v>0</v>
      </c>
      <c r="AA42" s="12">
        <v>14</v>
      </c>
      <c r="AB42" s="12">
        <v>7</v>
      </c>
      <c r="AC42" s="12">
        <v>0</v>
      </c>
      <c r="AD42" s="12">
        <v>0</v>
      </c>
      <c r="AE42" s="12">
        <v>2</v>
      </c>
      <c r="AF42" s="12">
        <v>2</v>
      </c>
    </row>
    <row r="43" spans="1:32">
      <c r="A43" s="20"/>
      <c r="B43" s="13" t="s">
        <v>522</v>
      </c>
      <c r="C43" s="14">
        <v>0.01</v>
      </c>
      <c r="D43" s="15" t="s">
        <v>459</v>
      </c>
      <c r="E43" s="15" t="s">
        <v>459</v>
      </c>
      <c r="F43" s="15" t="s">
        <v>459</v>
      </c>
      <c r="G43" s="15" t="s">
        <v>459</v>
      </c>
      <c r="H43" s="15" t="s">
        <v>459</v>
      </c>
      <c r="I43" s="15" t="s">
        <v>459</v>
      </c>
      <c r="J43" s="15" t="s">
        <v>459</v>
      </c>
      <c r="K43" s="14">
        <v>0.01</v>
      </c>
      <c r="L43" s="15" t="s">
        <v>459</v>
      </c>
      <c r="M43" s="15" t="s">
        <v>459</v>
      </c>
      <c r="N43" s="15" t="s">
        <v>459</v>
      </c>
      <c r="O43" s="14">
        <v>0.01</v>
      </c>
      <c r="P43" s="14">
        <v>0.01</v>
      </c>
      <c r="Q43" s="14">
        <v>0.01</v>
      </c>
      <c r="R43" s="14">
        <v>0.02</v>
      </c>
      <c r="S43" s="15" t="s">
        <v>459</v>
      </c>
      <c r="T43" s="15" t="s">
        <v>459</v>
      </c>
      <c r="U43" s="15" t="s">
        <v>459</v>
      </c>
      <c r="V43" s="15" t="s">
        <v>459</v>
      </c>
      <c r="W43" s="15" t="s">
        <v>459</v>
      </c>
      <c r="X43" s="15" t="s">
        <v>459</v>
      </c>
      <c r="Y43" s="15" t="s">
        <v>459</v>
      </c>
      <c r="Z43" s="15" t="s">
        <v>459</v>
      </c>
      <c r="AA43" s="14">
        <v>0.01</v>
      </c>
      <c r="AB43" s="14">
        <v>0.01</v>
      </c>
      <c r="AC43" s="15" t="s">
        <v>459</v>
      </c>
      <c r="AD43" s="15" t="s">
        <v>459</v>
      </c>
      <c r="AE43" s="15" t="s">
        <v>459</v>
      </c>
      <c r="AF43" s="15" t="s">
        <v>459</v>
      </c>
    </row>
    <row r="44" spans="1:32" ht="24.95">
      <c r="A44" s="20"/>
      <c r="B44" s="11" t="s">
        <v>715</v>
      </c>
      <c r="C44" s="12">
        <v>302</v>
      </c>
      <c r="D44" s="12">
        <v>4</v>
      </c>
      <c r="E44" s="12">
        <v>21</v>
      </c>
      <c r="F44" s="12">
        <v>32</v>
      </c>
      <c r="G44" s="12">
        <v>3</v>
      </c>
      <c r="H44" s="12">
        <v>12</v>
      </c>
      <c r="I44" s="12">
        <v>16</v>
      </c>
      <c r="J44" s="12">
        <v>4</v>
      </c>
      <c r="K44" s="12">
        <v>26</v>
      </c>
      <c r="L44" s="12">
        <v>5</v>
      </c>
      <c r="M44" s="12">
        <v>27</v>
      </c>
      <c r="N44" s="12">
        <v>18</v>
      </c>
      <c r="O44" s="12">
        <v>14</v>
      </c>
      <c r="P44" s="12">
        <v>4</v>
      </c>
      <c r="Q44" s="12">
        <v>6</v>
      </c>
      <c r="R44" s="12">
        <v>5</v>
      </c>
      <c r="S44" s="12">
        <v>7</v>
      </c>
      <c r="T44" s="12">
        <v>12</v>
      </c>
      <c r="U44" s="12">
        <v>2</v>
      </c>
      <c r="V44" s="12">
        <v>11</v>
      </c>
      <c r="W44" s="12">
        <v>1</v>
      </c>
      <c r="X44" s="12">
        <v>1</v>
      </c>
      <c r="Y44" s="12">
        <v>33</v>
      </c>
      <c r="Z44" s="12">
        <v>3</v>
      </c>
      <c r="AA44" s="12">
        <v>27</v>
      </c>
      <c r="AB44" s="12">
        <v>16</v>
      </c>
      <c r="AC44" s="12">
        <v>2</v>
      </c>
      <c r="AD44" s="12">
        <v>0</v>
      </c>
      <c r="AE44" s="12">
        <v>4</v>
      </c>
      <c r="AF44" s="12">
        <v>1</v>
      </c>
    </row>
    <row r="45" spans="1:32" ht="24.95">
      <c r="A45" s="20"/>
      <c r="B45" s="13" t="s">
        <v>716</v>
      </c>
      <c r="C45" s="14">
        <v>0.01</v>
      </c>
      <c r="D45" s="15" t="s">
        <v>459</v>
      </c>
      <c r="E45" s="14">
        <v>0.02</v>
      </c>
      <c r="F45" s="14">
        <v>0.03</v>
      </c>
      <c r="G45" s="15" t="s">
        <v>459</v>
      </c>
      <c r="H45" s="14">
        <v>0.01</v>
      </c>
      <c r="I45" s="14">
        <v>0.01</v>
      </c>
      <c r="J45" s="14">
        <v>0.01</v>
      </c>
      <c r="K45" s="14">
        <v>0.03</v>
      </c>
      <c r="L45" s="15" t="s">
        <v>459</v>
      </c>
      <c r="M45" s="14">
        <v>0.03</v>
      </c>
      <c r="N45" s="14">
        <v>0.02</v>
      </c>
      <c r="O45" s="14">
        <v>0.01</v>
      </c>
      <c r="P45" s="15" t="s">
        <v>459</v>
      </c>
      <c r="Q45" s="14">
        <v>0.01</v>
      </c>
      <c r="R45" s="14">
        <v>0.01</v>
      </c>
      <c r="S45" s="14">
        <v>0.01</v>
      </c>
      <c r="T45" s="14">
        <v>0.01</v>
      </c>
      <c r="U45" s="15" t="s">
        <v>459</v>
      </c>
      <c r="V45" s="14">
        <v>0.01</v>
      </c>
      <c r="W45" s="15" t="s">
        <v>459</v>
      </c>
      <c r="X45" s="15" t="s">
        <v>459</v>
      </c>
      <c r="Y45" s="14">
        <v>0.03</v>
      </c>
      <c r="Z45" s="15" t="s">
        <v>459</v>
      </c>
      <c r="AA45" s="14">
        <v>0.03</v>
      </c>
      <c r="AB45" s="14">
        <v>0.02</v>
      </c>
      <c r="AC45" s="15" t="s">
        <v>459</v>
      </c>
      <c r="AD45" s="15" t="s">
        <v>459</v>
      </c>
      <c r="AE45" s="15" t="s">
        <v>459</v>
      </c>
      <c r="AF45" s="15" t="s">
        <v>459</v>
      </c>
    </row>
    <row r="46" spans="1:32">
      <c r="A46" s="20"/>
      <c r="B46" s="11" t="s">
        <v>468</v>
      </c>
      <c r="C46" s="12">
        <v>217</v>
      </c>
      <c r="D46" s="12">
        <v>4</v>
      </c>
      <c r="E46" s="12">
        <v>15</v>
      </c>
      <c r="F46" s="12">
        <v>24</v>
      </c>
      <c r="G46" s="12">
        <v>6</v>
      </c>
      <c r="H46" s="12">
        <v>6</v>
      </c>
      <c r="I46" s="12">
        <v>7</v>
      </c>
      <c r="J46" s="12">
        <v>1</v>
      </c>
      <c r="K46" s="12">
        <v>22</v>
      </c>
      <c r="L46" s="12">
        <v>5</v>
      </c>
      <c r="M46" s="12">
        <v>3</v>
      </c>
      <c r="N46" s="12">
        <v>12</v>
      </c>
      <c r="O46" s="12">
        <v>11</v>
      </c>
      <c r="P46" s="12">
        <v>6</v>
      </c>
      <c r="Q46" s="12">
        <v>10</v>
      </c>
      <c r="R46" s="12">
        <v>4</v>
      </c>
      <c r="S46" s="12">
        <v>18</v>
      </c>
      <c r="T46" s="12">
        <v>14</v>
      </c>
      <c r="U46" s="12">
        <v>3</v>
      </c>
      <c r="V46" s="12">
        <v>8</v>
      </c>
      <c r="W46" s="12">
        <v>0</v>
      </c>
      <c r="X46" s="12">
        <v>0</v>
      </c>
      <c r="Y46" s="12">
        <v>4</v>
      </c>
      <c r="Z46" s="12">
        <v>5</v>
      </c>
      <c r="AA46" s="12">
        <v>23</v>
      </c>
      <c r="AB46" s="12">
        <v>7</v>
      </c>
      <c r="AC46" s="12">
        <v>7</v>
      </c>
      <c r="AD46" s="12">
        <v>3</v>
      </c>
      <c r="AE46" s="12">
        <v>5</v>
      </c>
      <c r="AF46" s="12">
        <v>1</v>
      </c>
    </row>
    <row r="47" spans="1:32">
      <c r="A47" s="20"/>
      <c r="B47" s="13" t="s">
        <v>469</v>
      </c>
      <c r="C47" s="14">
        <v>0.01</v>
      </c>
      <c r="D47" s="15" t="s">
        <v>459</v>
      </c>
      <c r="E47" s="14">
        <v>0.01</v>
      </c>
      <c r="F47" s="14">
        <v>0.02</v>
      </c>
      <c r="G47" s="14">
        <v>0.01</v>
      </c>
      <c r="H47" s="14">
        <v>0.01</v>
      </c>
      <c r="I47" s="15" t="s">
        <v>459</v>
      </c>
      <c r="J47" s="15" t="s">
        <v>459</v>
      </c>
      <c r="K47" s="14">
        <v>0.02</v>
      </c>
      <c r="L47" s="14">
        <v>0.01</v>
      </c>
      <c r="M47" s="15" t="s">
        <v>459</v>
      </c>
      <c r="N47" s="14">
        <v>0.01</v>
      </c>
      <c r="O47" s="14">
        <v>0.01</v>
      </c>
      <c r="P47" s="14">
        <v>0.01</v>
      </c>
      <c r="Q47" s="14">
        <v>0.01</v>
      </c>
      <c r="R47" s="14">
        <v>0.01</v>
      </c>
      <c r="S47" s="14">
        <v>0.02</v>
      </c>
      <c r="T47" s="14">
        <v>0.01</v>
      </c>
      <c r="U47" s="14">
        <v>0.01</v>
      </c>
      <c r="V47" s="14">
        <v>0.01</v>
      </c>
      <c r="W47" s="15" t="s">
        <v>459</v>
      </c>
      <c r="X47" s="15" t="s">
        <v>459</v>
      </c>
      <c r="Y47" s="15" t="s">
        <v>459</v>
      </c>
      <c r="Z47" s="14">
        <v>0.01</v>
      </c>
      <c r="AA47" s="14">
        <v>0.02</v>
      </c>
      <c r="AB47" s="14">
        <v>0.01</v>
      </c>
      <c r="AC47" s="14">
        <v>0.01</v>
      </c>
      <c r="AD47" s="15" t="s">
        <v>459</v>
      </c>
      <c r="AE47" s="14">
        <v>0.01</v>
      </c>
      <c r="AF47" s="15" t="s">
        <v>459</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79</v>
      </c>
      <c r="C3" s="18"/>
      <c r="D3" s="18"/>
      <c r="E3" s="18"/>
      <c r="F3" s="18"/>
      <c r="H3" s="18" t="s">
        <v>80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717</v>
      </c>
      <c r="C12" s="12">
        <v>3119</v>
      </c>
      <c r="D12" s="12">
        <v>97</v>
      </c>
      <c r="E12" s="12">
        <v>116</v>
      </c>
      <c r="F12" s="12">
        <v>264</v>
      </c>
      <c r="G12" s="12">
        <v>73</v>
      </c>
      <c r="H12" s="12">
        <v>188</v>
      </c>
      <c r="I12" s="12">
        <v>224</v>
      </c>
      <c r="J12" s="12">
        <v>36</v>
      </c>
      <c r="K12" s="12">
        <v>127</v>
      </c>
      <c r="L12" s="12">
        <v>171</v>
      </c>
      <c r="M12" s="12">
        <v>84</v>
      </c>
      <c r="N12" s="12">
        <v>155</v>
      </c>
      <c r="O12" s="12">
        <v>41</v>
      </c>
      <c r="P12" s="12">
        <v>212</v>
      </c>
      <c r="Q12" s="12">
        <v>103</v>
      </c>
      <c r="R12" s="12">
        <v>47</v>
      </c>
      <c r="S12" s="12">
        <v>113</v>
      </c>
      <c r="T12" s="12">
        <v>83</v>
      </c>
      <c r="U12" s="12">
        <v>120</v>
      </c>
      <c r="V12" s="12">
        <v>86</v>
      </c>
      <c r="W12" s="12">
        <v>120</v>
      </c>
      <c r="X12" s="12">
        <v>125</v>
      </c>
      <c r="Y12" s="12">
        <v>193</v>
      </c>
      <c r="Z12" s="12">
        <v>149</v>
      </c>
      <c r="AA12" s="12">
        <v>81</v>
      </c>
      <c r="AB12" s="12">
        <v>49</v>
      </c>
      <c r="AC12" s="12">
        <v>169</v>
      </c>
      <c r="AD12" s="12">
        <v>154</v>
      </c>
      <c r="AE12" s="12">
        <v>130</v>
      </c>
      <c r="AF12" s="12">
        <v>183</v>
      </c>
    </row>
    <row r="13" spans="1:32">
      <c r="A13" s="20"/>
      <c r="B13" s="13" t="s">
        <v>718</v>
      </c>
      <c r="C13" s="14">
        <v>0.12</v>
      </c>
      <c r="D13" s="14">
        <v>0.1</v>
      </c>
      <c r="E13" s="14">
        <v>0.11</v>
      </c>
      <c r="F13" s="14">
        <v>0.26</v>
      </c>
      <c r="G13" s="14">
        <v>7.0000000000000007E-2</v>
      </c>
      <c r="H13" s="14">
        <v>0.15</v>
      </c>
      <c r="I13" s="14">
        <v>0.15</v>
      </c>
      <c r="J13" s="14">
        <v>0.12</v>
      </c>
      <c r="K13" s="14">
        <v>0.13</v>
      </c>
      <c r="L13" s="14">
        <v>0.17</v>
      </c>
      <c r="M13" s="14">
        <v>0.08</v>
      </c>
      <c r="N13" s="14">
        <v>0.15</v>
      </c>
      <c r="O13" s="14">
        <v>0.04</v>
      </c>
      <c r="P13" s="14">
        <v>0.21</v>
      </c>
      <c r="Q13" s="14">
        <v>0.1</v>
      </c>
      <c r="R13" s="14">
        <v>0.09</v>
      </c>
      <c r="S13" s="14">
        <v>0.11</v>
      </c>
      <c r="T13" s="14">
        <v>0.08</v>
      </c>
      <c r="U13" s="14">
        <v>0.24</v>
      </c>
      <c r="V13" s="14">
        <v>0.09</v>
      </c>
      <c r="W13" s="14">
        <v>0.24</v>
      </c>
      <c r="X13" s="14">
        <v>0.12</v>
      </c>
      <c r="Y13" s="14">
        <v>0.19</v>
      </c>
      <c r="Z13" s="14">
        <v>0.15</v>
      </c>
      <c r="AA13" s="14">
        <v>0.08</v>
      </c>
      <c r="AB13" s="14">
        <v>0.05</v>
      </c>
      <c r="AC13" s="14">
        <v>0.17</v>
      </c>
      <c r="AD13" s="14">
        <v>0.15</v>
      </c>
      <c r="AE13" s="14">
        <v>0.13</v>
      </c>
      <c r="AF13" s="14">
        <v>0.18</v>
      </c>
    </row>
    <row r="14" spans="1:32" ht="24.95">
      <c r="A14" s="20"/>
      <c r="B14" s="11" t="s">
        <v>719</v>
      </c>
      <c r="C14" s="12">
        <v>9727</v>
      </c>
      <c r="D14" s="12">
        <v>342</v>
      </c>
      <c r="E14" s="12">
        <v>433</v>
      </c>
      <c r="F14" s="12">
        <v>336</v>
      </c>
      <c r="G14" s="12">
        <v>345</v>
      </c>
      <c r="H14" s="12">
        <v>494</v>
      </c>
      <c r="I14" s="12">
        <v>615</v>
      </c>
      <c r="J14" s="12">
        <v>122</v>
      </c>
      <c r="K14" s="12">
        <v>478</v>
      </c>
      <c r="L14" s="12">
        <v>281</v>
      </c>
      <c r="M14" s="12">
        <v>279</v>
      </c>
      <c r="N14" s="12">
        <v>349</v>
      </c>
      <c r="O14" s="12">
        <v>366</v>
      </c>
      <c r="P14" s="12">
        <v>454</v>
      </c>
      <c r="Q14" s="12">
        <v>377</v>
      </c>
      <c r="R14" s="12">
        <v>203</v>
      </c>
      <c r="S14" s="12">
        <v>352</v>
      </c>
      <c r="T14" s="12">
        <v>377</v>
      </c>
      <c r="U14" s="12">
        <v>197</v>
      </c>
      <c r="V14" s="12">
        <v>357</v>
      </c>
      <c r="W14" s="12">
        <v>190</v>
      </c>
      <c r="X14" s="12">
        <v>483</v>
      </c>
      <c r="Y14" s="12">
        <v>337</v>
      </c>
      <c r="Z14" s="12">
        <v>269</v>
      </c>
      <c r="AA14" s="12">
        <v>412</v>
      </c>
      <c r="AB14" s="12">
        <v>226</v>
      </c>
      <c r="AC14" s="12">
        <v>551</v>
      </c>
      <c r="AD14" s="12">
        <v>576</v>
      </c>
      <c r="AE14" s="12">
        <v>529</v>
      </c>
      <c r="AF14" s="12">
        <v>605</v>
      </c>
    </row>
    <row r="15" spans="1:32" ht="24.95">
      <c r="A15" s="20"/>
      <c r="B15" s="13" t="s">
        <v>720</v>
      </c>
      <c r="C15" s="14">
        <v>0.37</v>
      </c>
      <c r="D15" s="14">
        <v>0.34</v>
      </c>
      <c r="E15" s="14">
        <v>0.43</v>
      </c>
      <c r="F15" s="14">
        <v>0.33</v>
      </c>
      <c r="G15" s="14">
        <v>0.35</v>
      </c>
      <c r="H15" s="14">
        <v>0.41</v>
      </c>
      <c r="I15" s="14">
        <v>0.41</v>
      </c>
      <c r="J15" s="14">
        <v>0.42</v>
      </c>
      <c r="K15" s="14">
        <v>0.47</v>
      </c>
      <c r="L15" s="14">
        <v>0.28000000000000003</v>
      </c>
      <c r="M15" s="14">
        <v>0.28000000000000003</v>
      </c>
      <c r="N15" s="14">
        <v>0.35</v>
      </c>
      <c r="O15" s="14">
        <v>0.37</v>
      </c>
      <c r="P15" s="14">
        <v>0.44</v>
      </c>
      <c r="Q15" s="14">
        <v>0.37</v>
      </c>
      <c r="R15" s="14">
        <v>0.41</v>
      </c>
      <c r="S15" s="14">
        <v>0.35</v>
      </c>
      <c r="T15" s="14">
        <v>0.37</v>
      </c>
      <c r="U15" s="14">
        <v>0.39</v>
      </c>
      <c r="V15" s="14">
        <v>0.35</v>
      </c>
      <c r="W15" s="14">
        <v>0.38</v>
      </c>
      <c r="X15" s="14">
        <v>0.47</v>
      </c>
      <c r="Y15" s="14">
        <v>0.34</v>
      </c>
      <c r="Z15" s="14">
        <v>0.27</v>
      </c>
      <c r="AA15" s="14">
        <v>0.39</v>
      </c>
      <c r="AB15" s="14">
        <v>0.22</v>
      </c>
      <c r="AC15" s="14">
        <v>0.54</v>
      </c>
      <c r="AD15" s="14">
        <v>0.57000000000000006</v>
      </c>
      <c r="AE15" s="14">
        <v>0.53</v>
      </c>
      <c r="AF15" s="14">
        <v>0.59</v>
      </c>
    </row>
    <row r="16" spans="1:32">
      <c r="A16" s="20"/>
      <c r="B16" s="11" t="s">
        <v>466</v>
      </c>
      <c r="C16" s="12">
        <v>13437</v>
      </c>
      <c r="D16" s="12">
        <v>565</v>
      </c>
      <c r="E16" s="12">
        <v>468</v>
      </c>
      <c r="F16" s="12">
        <v>398</v>
      </c>
      <c r="G16" s="12">
        <v>584</v>
      </c>
      <c r="H16" s="12">
        <v>532</v>
      </c>
      <c r="I16" s="12">
        <v>667</v>
      </c>
      <c r="J16" s="12">
        <v>135</v>
      </c>
      <c r="K16" s="12">
        <v>399</v>
      </c>
      <c r="L16" s="12">
        <v>549</v>
      </c>
      <c r="M16" s="12">
        <v>641</v>
      </c>
      <c r="N16" s="12">
        <v>500</v>
      </c>
      <c r="O16" s="12">
        <v>595</v>
      </c>
      <c r="P16" s="12">
        <v>351</v>
      </c>
      <c r="Q16" s="12">
        <v>537</v>
      </c>
      <c r="R16" s="12">
        <v>248</v>
      </c>
      <c r="S16" s="12">
        <v>543</v>
      </c>
      <c r="T16" s="12">
        <v>552</v>
      </c>
      <c r="U16" s="12">
        <v>190</v>
      </c>
      <c r="V16" s="12">
        <v>573</v>
      </c>
      <c r="W16" s="12">
        <v>192</v>
      </c>
      <c r="X16" s="12">
        <v>413</v>
      </c>
      <c r="Y16" s="12">
        <v>478</v>
      </c>
      <c r="Z16" s="12">
        <v>590</v>
      </c>
      <c r="AA16" s="12">
        <v>558</v>
      </c>
      <c r="AB16" s="12">
        <v>760</v>
      </c>
      <c r="AC16" s="12">
        <v>290</v>
      </c>
      <c r="AD16" s="12">
        <v>276</v>
      </c>
      <c r="AE16" s="12">
        <v>341</v>
      </c>
      <c r="AF16" s="12">
        <v>224</v>
      </c>
    </row>
    <row r="17" spans="1:32">
      <c r="A17" s="20"/>
      <c r="B17" s="13" t="s">
        <v>467</v>
      </c>
      <c r="C17" s="14">
        <v>0.51</v>
      </c>
      <c r="D17" s="14">
        <v>0.56000000000000005</v>
      </c>
      <c r="E17" s="14">
        <v>0.46</v>
      </c>
      <c r="F17" s="14">
        <v>0.4</v>
      </c>
      <c r="G17" s="14">
        <v>0.57999999999999996</v>
      </c>
      <c r="H17" s="14">
        <v>0.44</v>
      </c>
      <c r="I17" s="14">
        <v>0.44</v>
      </c>
      <c r="J17" s="14">
        <v>0.46</v>
      </c>
      <c r="K17" s="14">
        <v>0.4</v>
      </c>
      <c r="L17" s="14">
        <v>0.55000000000000004</v>
      </c>
      <c r="M17" s="14">
        <v>0.64</v>
      </c>
      <c r="N17" s="14">
        <v>0.5</v>
      </c>
      <c r="O17" s="14">
        <v>0.59</v>
      </c>
      <c r="P17" s="14">
        <v>0.34</v>
      </c>
      <c r="Q17" s="14">
        <v>0.53</v>
      </c>
      <c r="R17" s="14">
        <v>0.5</v>
      </c>
      <c r="S17" s="14">
        <v>0.54</v>
      </c>
      <c r="T17" s="14">
        <v>0.55000000000000004</v>
      </c>
      <c r="U17" s="14">
        <v>0.37</v>
      </c>
      <c r="V17" s="14">
        <v>0.56000000000000005</v>
      </c>
      <c r="W17" s="14">
        <v>0.38</v>
      </c>
      <c r="X17" s="14">
        <v>0.41</v>
      </c>
      <c r="Y17" s="14">
        <v>0.47</v>
      </c>
      <c r="Z17" s="14">
        <v>0.57999999999999996</v>
      </c>
      <c r="AA17" s="14">
        <v>0.53</v>
      </c>
      <c r="AB17" s="14">
        <v>0.73</v>
      </c>
      <c r="AC17" s="14">
        <v>0.28999999999999998</v>
      </c>
      <c r="AD17" s="14">
        <v>0.28000000000000003</v>
      </c>
      <c r="AE17" s="14">
        <v>0.34</v>
      </c>
      <c r="AF17" s="14">
        <v>0.22</v>
      </c>
    </row>
    <row r="18" spans="1:32">
      <c r="A18" s="20"/>
      <c r="B18" s="11" t="s">
        <v>468</v>
      </c>
      <c r="C18" s="12">
        <v>36</v>
      </c>
      <c r="D18" s="12">
        <v>0</v>
      </c>
      <c r="E18" s="12">
        <v>2</v>
      </c>
      <c r="F18" s="12">
        <v>6</v>
      </c>
      <c r="G18" s="12">
        <v>2</v>
      </c>
      <c r="H18" s="12">
        <v>3</v>
      </c>
      <c r="I18" s="12">
        <v>3</v>
      </c>
      <c r="J18" s="12">
        <v>1</v>
      </c>
      <c r="K18" s="12">
        <v>2</v>
      </c>
      <c r="L18" s="12">
        <v>5</v>
      </c>
      <c r="M18" s="12">
        <v>0</v>
      </c>
      <c r="N18" s="12">
        <v>0</v>
      </c>
      <c r="O18" s="12">
        <v>1</v>
      </c>
      <c r="P18" s="12">
        <v>5</v>
      </c>
      <c r="Q18" s="12">
        <v>1</v>
      </c>
      <c r="R18" s="12">
        <v>1</v>
      </c>
      <c r="S18" s="12">
        <v>0</v>
      </c>
      <c r="T18" s="12">
        <v>3</v>
      </c>
      <c r="U18" s="12">
        <v>0</v>
      </c>
      <c r="V18" s="12">
        <v>2</v>
      </c>
      <c r="W18" s="12">
        <v>1</v>
      </c>
      <c r="X18" s="12">
        <v>0</v>
      </c>
      <c r="Y18" s="12">
        <v>0</v>
      </c>
      <c r="Z18" s="12">
        <v>0</v>
      </c>
      <c r="AA18" s="12">
        <v>2</v>
      </c>
      <c r="AB18" s="12">
        <v>4</v>
      </c>
      <c r="AC18" s="12">
        <v>1</v>
      </c>
      <c r="AD18" s="12">
        <v>0</v>
      </c>
      <c r="AE18" s="12">
        <v>1</v>
      </c>
      <c r="AF18" s="12">
        <v>7</v>
      </c>
    </row>
    <row r="19" spans="1:32">
      <c r="A19" s="20"/>
      <c r="B19" s="13" t="s">
        <v>469</v>
      </c>
      <c r="C19" s="15" t="s">
        <v>459</v>
      </c>
      <c r="D19" s="15" t="s">
        <v>459</v>
      </c>
      <c r="E19" s="15" t="s">
        <v>459</v>
      </c>
      <c r="F19" s="14">
        <v>0.01</v>
      </c>
      <c r="G19" s="15" t="s">
        <v>459</v>
      </c>
      <c r="H19" s="15" t="s">
        <v>459</v>
      </c>
      <c r="I19" s="15" t="s">
        <v>459</v>
      </c>
      <c r="J19" s="15" t="s">
        <v>459</v>
      </c>
      <c r="K19" s="15" t="s">
        <v>459</v>
      </c>
      <c r="L19" s="15" t="s">
        <v>459</v>
      </c>
      <c r="M19" s="15" t="s">
        <v>459</v>
      </c>
      <c r="N19" s="15" t="s">
        <v>459</v>
      </c>
      <c r="O19" s="15" t="s">
        <v>459</v>
      </c>
      <c r="P19" s="14">
        <v>0.01</v>
      </c>
      <c r="Q19" s="15" t="s">
        <v>459</v>
      </c>
      <c r="R19" s="15" t="s">
        <v>459</v>
      </c>
      <c r="S19" s="15" t="s">
        <v>459</v>
      </c>
      <c r="T19" s="15" t="s">
        <v>459</v>
      </c>
      <c r="U19" s="15" t="s">
        <v>459</v>
      </c>
      <c r="V19" s="15" t="s">
        <v>459</v>
      </c>
      <c r="W19" s="15" t="s">
        <v>459</v>
      </c>
      <c r="X19" s="15" t="s">
        <v>459</v>
      </c>
      <c r="Y19" s="15" t="s">
        <v>459</v>
      </c>
      <c r="Z19" s="15" t="s">
        <v>459</v>
      </c>
      <c r="AA19" s="15" t="s">
        <v>459</v>
      </c>
      <c r="AB19" s="15" t="s">
        <v>459</v>
      </c>
      <c r="AC19" s="15" t="s">
        <v>459</v>
      </c>
      <c r="AD19" s="15" t="s">
        <v>459</v>
      </c>
      <c r="AE19" s="15" t="s">
        <v>459</v>
      </c>
      <c r="AF19" s="14">
        <v>0.01</v>
      </c>
    </row>
    <row r="20" spans="1:32">
      <c r="A20" s="20"/>
      <c r="B20" s="11" t="s">
        <v>470</v>
      </c>
      <c r="C20" s="12">
        <v>12846</v>
      </c>
      <c r="D20" s="12">
        <v>439</v>
      </c>
      <c r="E20" s="12">
        <v>549</v>
      </c>
      <c r="F20" s="12">
        <v>600</v>
      </c>
      <c r="G20" s="12">
        <v>418</v>
      </c>
      <c r="H20" s="12">
        <v>682</v>
      </c>
      <c r="I20" s="12">
        <v>839</v>
      </c>
      <c r="J20" s="12">
        <v>158</v>
      </c>
      <c r="K20" s="12">
        <v>605</v>
      </c>
      <c r="L20" s="12">
        <v>452</v>
      </c>
      <c r="M20" s="12">
        <v>363</v>
      </c>
      <c r="N20" s="12">
        <v>504</v>
      </c>
      <c r="O20" s="12">
        <v>407</v>
      </c>
      <c r="P20" s="12">
        <v>666</v>
      </c>
      <c r="Q20" s="12">
        <v>480</v>
      </c>
      <c r="R20" s="12">
        <v>250</v>
      </c>
      <c r="S20" s="12">
        <v>465</v>
      </c>
      <c r="T20" s="12">
        <v>460</v>
      </c>
      <c r="U20" s="12">
        <v>317</v>
      </c>
      <c r="V20" s="12">
        <v>443</v>
      </c>
      <c r="W20" s="12">
        <v>310</v>
      </c>
      <c r="X20" s="12">
        <v>608</v>
      </c>
      <c r="Y20" s="12">
        <v>530</v>
      </c>
      <c r="Z20" s="12">
        <v>418</v>
      </c>
      <c r="AA20" s="12">
        <v>493</v>
      </c>
      <c r="AB20" s="12">
        <v>275</v>
      </c>
      <c r="AC20" s="12">
        <v>720</v>
      </c>
      <c r="AD20" s="12">
        <v>730</v>
      </c>
      <c r="AE20" s="12">
        <v>659</v>
      </c>
      <c r="AF20" s="12">
        <v>788</v>
      </c>
    </row>
    <row r="21" spans="1:32">
      <c r="A21" s="20"/>
      <c r="B21" s="13" t="s">
        <v>471</v>
      </c>
      <c r="C21" s="14">
        <v>0.49</v>
      </c>
      <c r="D21" s="14">
        <v>0.44</v>
      </c>
      <c r="E21" s="14">
        <v>0.54</v>
      </c>
      <c r="F21" s="14">
        <v>0.59</v>
      </c>
      <c r="G21" s="14">
        <v>0.42</v>
      </c>
      <c r="H21" s="14">
        <v>0.56000000000000005</v>
      </c>
      <c r="I21" s="14">
        <v>0.56000000000000005</v>
      </c>
      <c r="J21" s="14">
        <v>0.54</v>
      </c>
      <c r="K21" s="14">
        <v>0.6</v>
      </c>
      <c r="L21" s="14">
        <v>0.45</v>
      </c>
      <c r="M21" s="14">
        <v>0.36</v>
      </c>
      <c r="N21" s="14">
        <v>0.5</v>
      </c>
      <c r="O21" s="14">
        <v>0.41</v>
      </c>
      <c r="P21" s="14">
        <v>0.65</v>
      </c>
      <c r="Q21" s="14">
        <v>0.47</v>
      </c>
      <c r="R21" s="14">
        <v>0.5</v>
      </c>
      <c r="S21" s="14">
        <v>0.46</v>
      </c>
      <c r="T21" s="14">
        <v>0.45</v>
      </c>
      <c r="U21" s="14">
        <v>0.63</v>
      </c>
      <c r="V21" s="14">
        <v>0.44</v>
      </c>
      <c r="W21" s="14">
        <v>0.62</v>
      </c>
      <c r="X21" s="14">
        <v>0.59</v>
      </c>
      <c r="Y21" s="14">
        <v>0.53</v>
      </c>
      <c r="Z21" s="14">
        <v>0.42</v>
      </c>
      <c r="AA21" s="14">
        <v>0.47</v>
      </c>
      <c r="AB21" s="14">
        <v>0.27</v>
      </c>
      <c r="AC21" s="14">
        <v>0.71</v>
      </c>
      <c r="AD21" s="14">
        <v>0.72</v>
      </c>
      <c r="AE21" s="14">
        <v>0.66</v>
      </c>
      <c r="AF21" s="14">
        <v>0.77</v>
      </c>
    </row>
  </sheetData>
  <mergeCells count="10">
    <mergeCell ref="H3:L3"/>
    <mergeCell ref="C8:AF8"/>
    <mergeCell ref="B3:F3"/>
    <mergeCell ref="B5:F5"/>
    <mergeCell ref="A10:A19"/>
    <mergeCell ref="A20:A21"/>
    <mergeCell ref="H5:L5"/>
    <mergeCell ref="B10:B11"/>
    <mergeCell ref="H4:L4"/>
    <mergeCell ref="B4:F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81</v>
      </c>
      <c r="C3" s="18"/>
      <c r="D3" s="18"/>
      <c r="E3" s="18"/>
      <c r="F3" s="18"/>
      <c r="H3" s="18" t="s">
        <v>82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721</v>
      </c>
      <c r="C12" s="12">
        <v>541</v>
      </c>
      <c r="D12" s="12">
        <v>26</v>
      </c>
      <c r="E12" s="12">
        <v>25</v>
      </c>
      <c r="F12" s="12">
        <v>29</v>
      </c>
      <c r="G12" s="12">
        <v>30</v>
      </c>
      <c r="H12" s="12">
        <v>30</v>
      </c>
      <c r="I12" s="12">
        <v>35</v>
      </c>
      <c r="J12" s="12">
        <v>5</v>
      </c>
      <c r="K12" s="12">
        <v>25</v>
      </c>
      <c r="L12" s="12">
        <v>46</v>
      </c>
      <c r="M12" s="12">
        <v>9</v>
      </c>
      <c r="N12" s="12">
        <v>21</v>
      </c>
      <c r="O12" s="12">
        <v>18</v>
      </c>
      <c r="P12" s="12">
        <v>22</v>
      </c>
      <c r="Q12" s="12">
        <v>19</v>
      </c>
      <c r="R12" s="12">
        <v>13</v>
      </c>
      <c r="S12" s="12">
        <v>17</v>
      </c>
      <c r="T12" s="12">
        <v>13</v>
      </c>
      <c r="U12" s="12">
        <v>33</v>
      </c>
      <c r="V12" s="12">
        <v>10</v>
      </c>
      <c r="W12" s="12">
        <v>58</v>
      </c>
      <c r="X12" s="12">
        <v>16</v>
      </c>
      <c r="Y12" s="12">
        <v>82</v>
      </c>
      <c r="Z12" s="12">
        <v>10</v>
      </c>
      <c r="AA12" s="12">
        <v>7</v>
      </c>
      <c r="AB12" s="12">
        <v>15</v>
      </c>
      <c r="AC12" s="12">
        <v>33</v>
      </c>
      <c r="AD12" s="12">
        <v>41</v>
      </c>
      <c r="AE12" s="12">
        <v>11</v>
      </c>
      <c r="AF12" s="12">
        <v>18</v>
      </c>
    </row>
    <row r="13" spans="1:32">
      <c r="A13" s="20"/>
      <c r="B13" s="13" t="s">
        <v>722</v>
      </c>
      <c r="C13" s="14">
        <v>0.02</v>
      </c>
      <c r="D13" s="14">
        <v>0.03</v>
      </c>
      <c r="E13" s="14">
        <v>0.02</v>
      </c>
      <c r="F13" s="14">
        <v>0.03</v>
      </c>
      <c r="G13" s="14">
        <v>0.03</v>
      </c>
      <c r="H13" s="14">
        <v>0.03</v>
      </c>
      <c r="I13" s="14">
        <v>0.02</v>
      </c>
      <c r="J13" s="14">
        <v>0.02</v>
      </c>
      <c r="K13" s="14">
        <v>0.03</v>
      </c>
      <c r="L13" s="14">
        <v>0.05</v>
      </c>
      <c r="M13" s="14">
        <v>0.01</v>
      </c>
      <c r="N13" s="14">
        <v>0.02</v>
      </c>
      <c r="O13" s="14">
        <v>0.02</v>
      </c>
      <c r="P13" s="14">
        <v>0.02</v>
      </c>
      <c r="Q13" s="14">
        <v>0.02</v>
      </c>
      <c r="R13" s="14">
        <v>0.02</v>
      </c>
      <c r="S13" s="14">
        <v>0.02</v>
      </c>
      <c r="T13" s="14">
        <v>0.01</v>
      </c>
      <c r="U13" s="14">
        <v>7.0000000000000007E-2</v>
      </c>
      <c r="V13" s="14">
        <v>0.01</v>
      </c>
      <c r="W13" s="14">
        <v>0.11</v>
      </c>
      <c r="X13" s="14">
        <v>0.02</v>
      </c>
      <c r="Y13" s="14">
        <v>0.08</v>
      </c>
      <c r="Z13" s="14">
        <v>0.01</v>
      </c>
      <c r="AA13" s="14">
        <v>0.01</v>
      </c>
      <c r="AB13" s="14">
        <v>0.01</v>
      </c>
      <c r="AC13" s="14">
        <v>0.03</v>
      </c>
      <c r="AD13" s="14">
        <v>0.04</v>
      </c>
      <c r="AE13" s="14">
        <v>0.01</v>
      </c>
      <c r="AF13" s="14">
        <v>0.02</v>
      </c>
    </row>
    <row r="14" spans="1:32">
      <c r="A14" s="20"/>
      <c r="B14" s="11" t="s">
        <v>723</v>
      </c>
      <c r="C14" s="12">
        <v>4438</v>
      </c>
      <c r="D14" s="12">
        <v>172</v>
      </c>
      <c r="E14" s="12">
        <v>129</v>
      </c>
      <c r="F14" s="12">
        <v>199</v>
      </c>
      <c r="G14" s="12">
        <v>152</v>
      </c>
      <c r="H14" s="12">
        <v>214</v>
      </c>
      <c r="I14" s="12">
        <v>250</v>
      </c>
      <c r="J14" s="12">
        <v>36</v>
      </c>
      <c r="K14" s="12">
        <v>126</v>
      </c>
      <c r="L14" s="12">
        <v>185</v>
      </c>
      <c r="M14" s="12">
        <v>95</v>
      </c>
      <c r="N14" s="12">
        <v>165</v>
      </c>
      <c r="O14" s="12">
        <v>83</v>
      </c>
      <c r="P14" s="12">
        <v>236</v>
      </c>
      <c r="Q14" s="12">
        <v>192</v>
      </c>
      <c r="R14" s="12">
        <v>63</v>
      </c>
      <c r="S14" s="12">
        <v>151</v>
      </c>
      <c r="T14" s="12">
        <v>131</v>
      </c>
      <c r="U14" s="12">
        <v>119</v>
      </c>
      <c r="V14" s="12">
        <v>159</v>
      </c>
      <c r="W14" s="12">
        <v>115</v>
      </c>
      <c r="X14" s="12">
        <v>170</v>
      </c>
      <c r="Y14" s="12">
        <v>272</v>
      </c>
      <c r="Z14" s="12">
        <v>271</v>
      </c>
      <c r="AA14" s="12">
        <v>166</v>
      </c>
      <c r="AB14" s="12">
        <v>159</v>
      </c>
      <c r="AC14" s="12">
        <v>214</v>
      </c>
      <c r="AD14" s="12">
        <v>266</v>
      </c>
      <c r="AE14" s="12">
        <v>173</v>
      </c>
      <c r="AF14" s="12">
        <v>272</v>
      </c>
    </row>
    <row r="15" spans="1:32">
      <c r="A15" s="20"/>
      <c r="B15" s="13" t="s">
        <v>724</v>
      </c>
      <c r="C15" s="14">
        <v>0.17</v>
      </c>
      <c r="D15" s="14">
        <v>0.17</v>
      </c>
      <c r="E15" s="14">
        <v>0.13</v>
      </c>
      <c r="F15" s="14">
        <v>0.2</v>
      </c>
      <c r="G15" s="14">
        <v>0.15</v>
      </c>
      <c r="H15" s="14">
        <v>0.18</v>
      </c>
      <c r="I15" s="14">
        <v>0.17</v>
      </c>
      <c r="J15" s="14">
        <v>0.12</v>
      </c>
      <c r="K15" s="14">
        <v>0.12</v>
      </c>
      <c r="L15" s="14">
        <v>0.18</v>
      </c>
      <c r="M15" s="14">
        <v>0.09</v>
      </c>
      <c r="N15" s="14">
        <v>0.16</v>
      </c>
      <c r="O15" s="14">
        <v>0.08</v>
      </c>
      <c r="P15" s="14">
        <v>0.23</v>
      </c>
      <c r="Q15" s="14">
        <v>0.19</v>
      </c>
      <c r="R15" s="14">
        <v>0.13</v>
      </c>
      <c r="S15" s="14">
        <v>0.15</v>
      </c>
      <c r="T15" s="14">
        <v>0.13</v>
      </c>
      <c r="U15" s="14">
        <v>0.23</v>
      </c>
      <c r="V15" s="14">
        <v>0.16</v>
      </c>
      <c r="W15" s="14">
        <v>0.23</v>
      </c>
      <c r="X15" s="14">
        <v>0.17</v>
      </c>
      <c r="Y15" s="14">
        <v>0.27</v>
      </c>
      <c r="Z15" s="14">
        <v>0.27</v>
      </c>
      <c r="AA15" s="14">
        <v>0.16</v>
      </c>
      <c r="AB15" s="14">
        <v>0.15</v>
      </c>
      <c r="AC15" s="14">
        <v>0.21</v>
      </c>
      <c r="AD15" s="14">
        <v>0.26</v>
      </c>
      <c r="AE15" s="14">
        <v>0.17</v>
      </c>
      <c r="AF15" s="14">
        <v>0.27</v>
      </c>
    </row>
    <row r="16" spans="1:32">
      <c r="A16" s="20"/>
      <c r="B16" s="11" t="s">
        <v>725</v>
      </c>
      <c r="C16" s="12">
        <v>10827</v>
      </c>
      <c r="D16" s="12">
        <v>422</v>
      </c>
      <c r="E16" s="12">
        <v>383</v>
      </c>
      <c r="F16" s="12">
        <v>339</v>
      </c>
      <c r="G16" s="12">
        <v>470</v>
      </c>
      <c r="H16" s="12">
        <v>539</v>
      </c>
      <c r="I16" s="12">
        <v>673</v>
      </c>
      <c r="J16" s="12">
        <v>134</v>
      </c>
      <c r="K16" s="12">
        <v>433</v>
      </c>
      <c r="L16" s="12">
        <v>300</v>
      </c>
      <c r="M16" s="12">
        <v>307</v>
      </c>
      <c r="N16" s="12">
        <v>411</v>
      </c>
      <c r="O16" s="12">
        <v>396</v>
      </c>
      <c r="P16" s="12">
        <v>406</v>
      </c>
      <c r="Q16" s="12">
        <v>424</v>
      </c>
      <c r="R16" s="12">
        <v>234</v>
      </c>
      <c r="S16" s="12">
        <v>390</v>
      </c>
      <c r="T16" s="12">
        <v>418</v>
      </c>
      <c r="U16" s="12">
        <v>208</v>
      </c>
      <c r="V16" s="12">
        <v>384</v>
      </c>
      <c r="W16" s="12">
        <v>177</v>
      </c>
      <c r="X16" s="12">
        <v>480</v>
      </c>
      <c r="Y16" s="12">
        <v>306</v>
      </c>
      <c r="Z16" s="12">
        <v>395</v>
      </c>
      <c r="AA16" s="12">
        <v>405</v>
      </c>
      <c r="AB16" s="12">
        <v>401</v>
      </c>
      <c r="AC16" s="12">
        <v>505</v>
      </c>
      <c r="AD16" s="12">
        <v>429</v>
      </c>
      <c r="AE16" s="12">
        <v>512</v>
      </c>
      <c r="AF16" s="12">
        <v>551</v>
      </c>
    </row>
    <row r="17" spans="1:32">
      <c r="A17" s="20"/>
      <c r="B17" s="13" t="s">
        <v>726</v>
      </c>
      <c r="C17" s="14">
        <v>0.41</v>
      </c>
      <c r="D17" s="14">
        <v>0.42</v>
      </c>
      <c r="E17" s="14">
        <v>0.38</v>
      </c>
      <c r="F17" s="14">
        <v>0.34</v>
      </c>
      <c r="G17" s="14">
        <v>0.47</v>
      </c>
      <c r="H17" s="14">
        <v>0.44</v>
      </c>
      <c r="I17" s="14">
        <v>0.45</v>
      </c>
      <c r="J17" s="14">
        <v>0.46</v>
      </c>
      <c r="K17" s="14">
        <v>0.43</v>
      </c>
      <c r="L17" s="14">
        <v>0.3</v>
      </c>
      <c r="M17" s="14">
        <v>0.31</v>
      </c>
      <c r="N17" s="14">
        <v>0.41</v>
      </c>
      <c r="O17" s="14">
        <v>0.39</v>
      </c>
      <c r="P17" s="14">
        <v>0.4</v>
      </c>
      <c r="Q17" s="14">
        <v>0.41</v>
      </c>
      <c r="R17" s="14">
        <v>0.47</v>
      </c>
      <c r="S17" s="14">
        <v>0.39</v>
      </c>
      <c r="T17" s="14">
        <v>0.41</v>
      </c>
      <c r="U17" s="14">
        <v>0.41</v>
      </c>
      <c r="V17" s="14">
        <v>0.38</v>
      </c>
      <c r="W17" s="14">
        <v>0.35</v>
      </c>
      <c r="X17" s="14">
        <v>0.47</v>
      </c>
      <c r="Y17" s="14">
        <v>0.31</v>
      </c>
      <c r="Z17" s="14">
        <v>0.39</v>
      </c>
      <c r="AA17" s="14">
        <v>0.38</v>
      </c>
      <c r="AB17" s="14">
        <v>0.39</v>
      </c>
      <c r="AC17" s="14">
        <v>0.5</v>
      </c>
      <c r="AD17" s="14">
        <v>0.43</v>
      </c>
      <c r="AE17" s="14">
        <v>0.51</v>
      </c>
      <c r="AF17" s="14">
        <v>0.54</v>
      </c>
    </row>
    <row r="18" spans="1:32">
      <c r="A18" s="20"/>
      <c r="B18" s="11" t="s">
        <v>727</v>
      </c>
      <c r="C18" s="12">
        <v>10222</v>
      </c>
      <c r="D18" s="12">
        <v>377</v>
      </c>
      <c r="E18" s="12">
        <v>475</v>
      </c>
      <c r="F18" s="12">
        <v>413</v>
      </c>
      <c r="G18" s="12">
        <v>334</v>
      </c>
      <c r="H18" s="12">
        <v>428</v>
      </c>
      <c r="I18" s="12">
        <v>546</v>
      </c>
      <c r="J18" s="12">
        <v>118</v>
      </c>
      <c r="K18" s="12">
        <v>390</v>
      </c>
      <c r="L18" s="12">
        <v>458</v>
      </c>
      <c r="M18" s="12">
        <v>591</v>
      </c>
      <c r="N18" s="12">
        <v>400</v>
      </c>
      <c r="O18" s="12">
        <v>491</v>
      </c>
      <c r="P18" s="12">
        <v>354</v>
      </c>
      <c r="Q18" s="12">
        <v>366</v>
      </c>
      <c r="R18" s="12">
        <v>186</v>
      </c>
      <c r="S18" s="12">
        <v>440</v>
      </c>
      <c r="T18" s="12">
        <v>394</v>
      </c>
      <c r="U18" s="12">
        <v>147</v>
      </c>
      <c r="V18" s="12">
        <v>460</v>
      </c>
      <c r="W18" s="12">
        <v>150</v>
      </c>
      <c r="X18" s="12">
        <v>352</v>
      </c>
      <c r="Y18" s="12">
        <v>344</v>
      </c>
      <c r="Z18" s="12">
        <v>324</v>
      </c>
      <c r="AA18" s="12">
        <v>431</v>
      </c>
      <c r="AB18" s="12">
        <v>442</v>
      </c>
      <c r="AC18" s="12">
        <v>253</v>
      </c>
      <c r="AD18" s="12">
        <v>262</v>
      </c>
      <c r="AE18" s="12">
        <v>300</v>
      </c>
      <c r="AF18" s="12">
        <v>178</v>
      </c>
    </row>
    <row r="19" spans="1:32">
      <c r="A19" s="20"/>
      <c r="B19" s="13" t="s">
        <v>728</v>
      </c>
      <c r="C19" s="14">
        <v>0.39</v>
      </c>
      <c r="D19" s="14">
        <v>0.38</v>
      </c>
      <c r="E19" s="14">
        <v>0.47</v>
      </c>
      <c r="F19" s="14">
        <v>0.41</v>
      </c>
      <c r="G19" s="14">
        <v>0.33</v>
      </c>
      <c r="H19" s="14">
        <v>0.35</v>
      </c>
      <c r="I19" s="14">
        <v>0.36</v>
      </c>
      <c r="J19" s="14">
        <v>0.4</v>
      </c>
      <c r="K19" s="14">
        <v>0.39</v>
      </c>
      <c r="L19" s="14">
        <v>0.45</v>
      </c>
      <c r="M19" s="14">
        <v>0.59</v>
      </c>
      <c r="N19" s="14">
        <v>0.4</v>
      </c>
      <c r="O19" s="14">
        <v>0.49</v>
      </c>
      <c r="P19" s="14">
        <v>0.35</v>
      </c>
      <c r="Q19" s="14">
        <v>0.36</v>
      </c>
      <c r="R19" s="14">
        <v>0.37</v>
      </c>
      <c r="S19" s="14">
        <v>0.43</v>
      </c>
      <c r="T19" s="14">
        <v>0.39</v>
      </c>
      <c r="U19" s="14">
        <v>0.28999999999999998</v>
      </c>
      <c r="V19" s="14">
        <v>0.45</v>
      </c>
      <c r="W19" s="14">
        <v>0.3</v>
      </c>
      <c r="X19" s="14">
        <v>0.34</v>
      </c>
      <c r="Y19" s="14">
        <v>0.34</v>
      </c>
      <c r="Z19" s="14">
        <v>0.32</v>
      </c>
      <c r="AA19" s="14">
        <v>0.41</v>
      </c>
      <c r="AB19" s="14">
        <v>0.43</v>
      </c>
      <c r="AC19" s="14">
        <v>0.25</v>
      </c>
      <c r="AD19" s="14">
        <v>0.26</v>
      </c>
      <c r="AE19" s="14">
        <v>0.3</v>
      </c>
      <c r="AF19" s="14">
        <v>0.17</v>
      </c>
    </row>
    <row r="20" spans="1:32" ht="24.95">
      <c r="A20" s="20"/>
      <c r="B20" s="11" t="s">
        <v>729</v>
      </c>
      <c r="C20" s="12">
        <v>224</v>
      </c>
      <c r="D20" s="12">
        <v>5</v>
      </c>
      <c r="E20" s="12">
        <v>3</v>
      </c>
      <c r="F20" s="12">
        <v>22</v>
      </c>
      <c r="G20" s="12">
        <v>6</v>
      </c>
      <c r="H20" s="12">
        <v>4</v>
      </c>
      <c r="I20" s="12">
        <v>5</v>
      </c>
      <c r="J20" s="12">
        <v>1</v>
      </c>
      <c r="K20" s="12">
        <v>30</v>
      </c>
      <c r="L20" s="12">
        <v>9</v>
      </c>
      <c r="M20" s="12">
        <v>0</v>
      </c>
      <c r="N20" s="12">
        <v>6</v>
      </c>
      <c r="O20" s="12">
        <v>9</v>
      </c>
      <c r="P20" s="12">
        <v>2</v>
      </c>
      <c r="Q20" s="12">
        <v>16</v>
      </c>
      <c r="R20" s="12">
        <v>0</v>
      </c>
      <c r="S20" s="12">
        <v>6</v>
      </c>
      <c r="T20" s="12">
        <v>47</v>
      </c>
      <c r="U20" s="12">
        <v>1</v>
      </c>
      <c r="V20" s="12">
        <v>3</v>
      </c>
      <c r="W20" s="12">
        <v>3</v>
      </c>
      <c r="X20" s="12">
        <v>3</v>
      </c>
      <c r="Y20" s="12">
        <v>2</v>
      </c>
      <c r="Z20" s="12">
        <v>4</v>
      </c>
      <c r="AA20" s="12">
        <v>37</v>
      </c>
      <c r="AB20" s="12">
        <v>22</v>
      </c>
      <c r="AC20" s="12">
        <v>3</v>
      </c>
      <c r="AD20" s="12">
        <v>2</v>
      </c>
      <c r="AE20" s="12">
        <v>2</v>
      </c>
      <c r="AF20" s="12">
        <v>2</v>
      </c>
    </row>
    <row r="21" spans="1:32" ht="24.95">
      <c r="A21" s="20"/>
      <c r="B21" s="13" t="s">
        <v>730</v>
      </c>
      <c r="C21" s="14">
        <v>0.01</v>
      </c>
      <c r="D21" s="15" t="s">
        <v>459</v>
      </c>
      <c r="E21" s="15" t="s">
        <v>459</v>
      </c>
      <c r="F21" s="14">
        <v>0.02</v>
      </c>
      <c r="G21" s="14">
        <v>0.01</v>
      </c>
      <c r="H21" s="15" t="s">
        <v>459</v>
      </c>
      <c r="I21" s="15" t="s">
        <v>459</v>
      </c>
      <c r="J21" s="15" t="s">
        <v>459</v>
      </c>
      <c r="K21" s="14">
        <v>0.03</v>
      </c>
      <c r="L21" s="14">
        <v>0.01</v>
      </c>
      <c r="M21" s="15" t="s">
        <v>459</v>
      </c>
      <c r="N21" s="14">
        <v>0.01</v>
      </c>
      <c r="O21" s="14">
        <v>0.01</v>
      </c>
      <c r="P21" s="15" t="s">
        <v>459</v>
      </c>
      <c r="Q21" s="14">
        <v>0.02</v>
      </c>
      <c r="R21" s="15" t="s">
        <v>459</v>
      </c>
      <c r="S21" s="14">
        <v>0.01</v>
      </c>
      <c r="T21" s="14">
        <v>0.05</v>
      </c>
      <c r="U21" s="15" t="s">
        <v>459</v>
      </c>
      <c r="V21" s="15" t="s">
        <v>459</v>
      </c>
      <c r="W21" s="14">
        <v>0.01</v>
      </c>
      <c r="X21" s="15" t="s">
        <v>459</v>
      </c>
      <c r="Y21" s="15" t="s">
        <v>459</v>
      </c>
      <c r="Z21" s="14">
        <v>0.01</v>
      </c>
      <c r="AA21" s="14">
        <v>0.03</v>
      </c>
      <c r="AB21" s="14">
        <v>0.02</v>
      </c>
      <c r="AC21" s="14">
        <v>0.01</v>
      </c>
      <c r="AD21" s="15" t="s">
        <v>459</v>
      </c>
      <c r="AE21" s="15" t="s">
        <v>459</v>
      </c>
      <c r="AF21" s="15" t="s">
        <v>459</v>
      </c>
    </row>
    <row r="22" spans="1:32">
      <c r="A22" s="20"/>
      <c r="B22" s="11" t="s">
        <v>468</v>
      </c>
      <c r="C22" s="12">
        <v>68</v>
      </c>
      <c r="D22" s="12">
        <v>1</v>
      </c>
      <c r="E22" s="12">
        <v>3</v>
      </c>
      <c r="F22" s="12">
        <v>4</v>
      </c>
      <c r="G22" s="12">
        <v>12</v>
      </c>
      <c r="H22" s="12">
        <v>1</v>
      </c>
      <c r="I22" s="12">
        <v>1</v>
      </c>
      <c r="J22" s="12">
        <v>1</v>
      </c>
      <c r="K22" s="12">
        <v>2</v>
      </c>
      <c r="L22" s="12">
        <v>9</v>
      </c>
      <c r="M22" s="12">
        <v>0</v>
      </c>
      <c r="N22" s="12">
        <v>1</v>
      </c>
      <c r="O22" s="12">
        <v>6</v>
      </c>
      <c r="P22" s="12">
        <v>3</v>
      </c>
      <c r="Q22" s="12">
        <v>2</v>
      </c>
      <c r="R22" s="12">
        <v>4</v>
      </c>
      <c r="S22" s="12">
        <v>4</v>
      </c>
      <c r="T22" s="12">
        <v>11</v>
      </c>
      <c r="U22" s="12">
        <v>1</v>
      </c>
      <c r="V22" s="12">
        <v>0</v>
      </c>
      <c r="W22" s="12">
        <v>1</v>
      </c>
      <c r="X22" s="12">
        <v>0</v>
      </c>
      <c r="Y22" s="12">
        <v>2</v>
      </c>
      <c r="Z22" s="12">
        <v>4</v>
      </c>
      <c r="AA22" s="12">
        <v>7</v>
      </c>
      <c r="AB22" s="12">
        <v>0</v>
      </c>
      <c r="AC22" s="12">
        <v>1</v>
      </c>
      <c r="AD22" s="12">
        <v>6</v>
      </c>
      <c r="AE22" s="12">
        <v>3</v>
      </c>
      <c r="AF22" s="12">
        <v>0</v>
      </c>
    </row>
    <row r="23" spans="1:32">
      <c r="A23" s="20"/>
      <c r="B23" s="13" t="s">
        <v>469</v>
      </c>
      <c r="C23" s="15" t="s">
        <v>459</v>
      </c>
      <c r="D23" s="15" t="s">
        <v>459</v>
      </c>
      <c r="E23" s="15" t="s">
        <v>459</v>
      </c>
      <c r="F23" s="15" t="s">
        <v>459</v>
      </c>
      <c r="G23" s="14">
        <v>0.01</v>
      </c>
      <c r="H23" s="15" t="s">
        <v>459</v>
      </c>
      <c r="I23" s="15" t="s">
        <v>459</v>
      </c>
      <c r="J23" s="15" t="s">
        <v>459</v>
      </c>
      <c r="K23" s="15" t="s">
        <v>459</v>
      </c>
      <c r="L23" s="14">
        <v>0.01</v>
      </c>
      <c r="M23" s="15" t="s">
        <v>459</v>
      </c>
      <c r="N23" s="15" t="s">
        <v>459</v>
      </c>
      <c r="O23" s="14">
        <v>0.01</v>
      </c>
      <c r="P23" s="15" t="s">
        <v>459</v>
      </c>
      <c r="Q23" s="15" t="s">
        <v>459</v>
      </c>
      <c r="R23" s="14">
        <v>0.01</v>
      </c>
      <c r="S23" s="15" t="s">
        <v>459</v>
      </c>
      <c r="T23" s="14">
        <v>0.01</v>
      </c>
      <c r="U23" s="15" t="s">
        <v>459</v>
      </c>
      <c r="V23" s="15" t="s">
        <v>459</v>
      </c>
      <c r="W23" s="15" t="s">
        <v>459</v>
      </c>
      <c r="X23" s="15" t="s">
        <v>459</v>
      </c>
      <c r="Y23" s="15" t="s">
        <v>459</v>
      </c>
      <c r="Z23" s="15" t="s">
        <v>459</v>
      </c>
      <c r="AA23" s="14">
        <v>0.01</v>
      </c>
      <c r="AB23" s="15" t="s">
        <v>459</v>
      </c>
      <c r="AC23" s="15" t="s">
        <v>459</v>
      </c>
      <c r="AD23" s="14">
        <v>0.01</v>
      </c>
      <c r="AE23" s="14">
        <v>0.01</v>
      </c>
      <c r="AF23" s="15" t="s">
        <v>459</v>
      </c>
    </row>
    <row r="24" spans="1:32">
      <c r="A24" s="20"/>
      <c r="B24" s="11" t="s">
        <v>731</v>
      </c>
      <c r="C24" s="12">
        <v>4979</v>
      </c>
      <c r="D24" s="12">
        <v>198</v>
      </c>
      <c r="E24" s="12">
        <v>154</v>
      </c>
      <c r="F24" s="12">
        <v>228</v>
      </c>
      <c r="G24" s="12">
        <v>182</v>
      </c>
      <c r="H24" s="12">
        <v>244</v>
      </c>
      <c r="I24" s="12">
        <v>285</v>
      </c>
      <c r="J24" s="12">
        <v>41</v>
      </c>
      <c r="K24" s="12">
        <v>151</v>
      </c>
      <c r="L24" s="12">
        <v>231</v>
      </c>
      <c r="M24" s="12">
        <v>104</v>
      </c>
      <c r="N24" s="12">
        <v>186</v>
      </c>
      <c r="O24" s="12">
        <v>101</v>
      </c>
      <c r="P24" s="12">
        <v>258</v>
      </c>
      <c r="Q24" s="12">
        <v>211</v>
      </c>
      <c r="R24" s="12">
        <v>76</v>
      </c>
      <c r="S24" s="12">
        <v>168</v>
      </c>
      <c r="T24" s="12">
        <v>144</v>
      </c>
      <c r="U24" s="12">
        <v>152</v>
      </c>
      <c r="V24" s="12">
        <v>169</v>
      </c>
      <c r="W24" s="12">
        <v>173</v>
      </c>
      <c r="X24" s="12">
        <v>186</v>
      </c>
      <c r="Y24" s="12">
        <v>354</v>
      </c>
      <c r="Z24" s="12">
        <v>281</v>
      </c>
      <c r="AA24" s="12">
        <v>173</v>
      </c>
      <c r="AB24" s="12">
        <v>174</v>
      </c>
      <c r="AC24" s="12">
        <v>247</v>
      </c>
      <c r="AD24" s="12">
        <v>307</v>
      </c>
      <c r="AE24" s="12">
        <v>184</v>
      </c>
      <c r="AF24" s="12">
        <v>290</v>
      </c>
    </row>
    <row r="25" spans="1:32">
      <c r="A25" s="20"/>
      <c r="B25" s="13" t="s">
        <v>732</v>
      </c>
      <c r="C25" s="14">
        <v>0.19</v>
      </c>
      <c r="D25" s="14">
        <v>0.2</v>
      </c>
      <c r="E25" s="14">
        <v>0.15</v>
      </c>
      <c r="F25" s="14">
        <v>0.23</v>
      </c>
      <c r="G25" s="14">
        <v>0.18</v>
      </c>
      <c r="H25" s="14">
        <v>0.21</v>
      </c>
      <c r="I25" s="14">
        <v>0.19</v>
      </c>
      <c r="J25" s="14">
        <v>0.14000000000000001</v>
      </c>
      <c r="K25" s="14">
        <v>0.15</v>
      </c>
      <c r="L25" s="14">
        <v>0.23</v>
      </c>
      <c r="M25" s="14">
        <v>0.1</v>
      </c>
      <c r="N25" s="14">
        <v>0.18</v>
      </c>
      <c r="O25" s="14">
        <v>0.1</v>
      </c>
      <c r="P25" s="14">
        <v>0.25</v>
      </c>
      <c r="Q25" s="14">
        <v>0.21</v>
      </c>
      <c r="R25" s="14">
        <v>0.15</v>
      </c>
      <c r="S25" s="14">
        <v>0.17</v>
      </c>
      <c r="T25" s="14">
        <v>0.14000000000000001</v>
      </c>
      <c r="U25" s="14">
        <v>0.3</v>
      </c>
      <c r="V25" s="14">
        <v>0.17</v>
      </c>
      <c r="W25" s="14">
        <v>0.34</v>
      </c>
      <c r="X25" s="14">
        <v>0.19</v>
      </c>
      <c r="Y25" s="14">
        <v>0.35</v>
      </c>
      <c r="Z25" s="14">
        <v>0.28000000000000003</v>
      </c>
      <c r="AA25" s="14">
        <v>0.17</v>
      </c>
      <c r="AB25" s="14">
        <v>0.16</v>
      </c>
      <c r="AC25" s="14">
        <v>0.24</v>
      </c>
      <c r="AD25" s="14">
        <v>0.3</v>
      </c>
      <c r="AE25" s="14">
        <v>0.18</v>
      </c>
      <c r="AF25" s="14">
        <v>0.28999999999999998</v>
      </c>
    </row>
    <row r="26" spans="1:32">
      <c r="A26" s="20"/>
      <c r="B26" s="11" t="s">
        <v>733</v>
      </c>
      <c r="C26" s="12">
        <v>21049</v>
      </c>
      <c r="D26" s="12">
        <v>799</v>
      </c>
      <c r="E26" s="12">
        <v>858</v>
      </c>
      <c r="F26" s="12">
        <v>752</v>
      </c>
      <c r="G26" s="12">
        <v>804</v>
      </c>
      <c r="H26" s="12">
        <v>967</v>
      </c>
      <c r="I26" s="12">
        <v>1219</v>
      </c>
      <c r="J26" s="12">
        <v>252</v>
      </c>
      <c r="K26" s="12">
        <v>823</v>
      </c>
      <c r="L26" s="12">
        <v>758</v>
      </c>
      <c r="M26" s="12">
        <v>898</v>
      </c>
      <c r="N26" s="12">
        <v>811</v>
      </c>
      <c r="O26" s="12">
        <v>887</v>
      </c>
      <c r="P26" s="12">
        <v>760</v>
      </c>
      <c r="Q26" s="12">
        <v>790</v>
      </c>
      <c r="R26" s="12">
        <v>420</v>
      </c>
      <c r="S26" s="12">
        <v>830</v>
      </c>
      <c r="T26" s="12">
        <v>812</v>
      </c>
      <c r="U26" s="12">
        <v>355</v>
      </c>
      <c r="V26" s="12">
        <v>844</v>
      </c>
      <c r="W26" s="12">
        <v>327</v>
      </c>
      <c r="X26" s="12">
        <v>832</v>
      </c>
      <c r="Y26" s="12">
        <v>650</v>
      </c>
      <c r="Z26" s="12">
        <v>719</v>
      </c>
      <c r="AA26" s="12">
        <v>836</v>
      </c>
      <c r="AB26" s="12">
        <v>843</v>
      </c>
      <c r="AC26" s="12">
        <v>758</v>
      </c>
      <c r="AD26" s="12">
        <v>691</v>
      </c>
      <c r="AE26" s="12">
        <v>812</v>
      </c>
      <c r="AF26" s="12">
        <v>729</v>
      </c>
    </row>
    <row r="27" spans="1:32">
      <c r="A27" s="20"/>
      <c r="B27" s="13" t="s">
        <v>734</v>
      </c>
      <c r="C27" s="14">
        <v>0.8</v>
      </c>
      <c r="D27" s="14">
        <v>0.8</v>
      </c>
      <c r="E27" s="14">
        <v>0.85</v>
      </c>
      <c r="F27" s="14">
        <v>0.75</v>
      </c>
      <c r="G27" s="14">
        <v>0.8</v>
      </c>
      <c r="H27" s="14">
        <v>0.79</v>
      </c>
      <c r="I27" s="14">
        <v>0.81</v>
      </c>
      <c r="J27" s="14">
        <v>0.86</v>
      </c>
      <c r="K27" s="14">
        <v>0.82000000000000006</v>
      </c>
      <c r="L27" s="14">
        <v>0.75</v>
      </c>
      <c r="M27" s="14">
        <v>0.9</v>
      </c>
      <c r="N27" s="14">
        <v>0.81</v>
      </c>
      <c r="O27" s="14">
        <v>0.88</v>
      </c>
      <c r="P27" s="14">
        <v>0.75</v>
      </c>
      <c r="Q27" s="14">
        <v>0.77</v>
      </c>
      <c r="R27" s="14">
        <v>0.84</v>
      </c>
      <c r="S27" s="14">
        <v>0.82000000000000006</v>
      </c>
      <c r="T27" s="14">
        <v>0.8</v>
      </c>
      <c r="U27" s="14">
        <v>0.70000000000000007</v>
      </c>
      <c r="V27" s="14">
        <v>0.83000000000000007</v>
      </c>
      <c r="W27" s="14">
        <v>0.65</v>
      </c>
      <c r="X27" s="14">
        <v>0.81</v>
      </c>
      <c r="Y27" s="14">
        <v>0.65</v>
      </c>
      <c r="Z27" s="14">
        <v>0.71</v>
      </c>
      <c r="AA27" s="14">
        <v>0.79</v>
      </c>
      <c r="AB27" s="14">
        <v>0.82000000000000006</v>
      </c>
      <c r="AC27" s="14">
        <v>0.75</v>
      </c>
      <c r="AD27" s="14">
        <v>0.69000000000000006</v>
      </c>
      <c r="AE27" s="14">
        <v>0.81</v>
      </c>
      <c r="AF27" s="14">
        <v>0.71</v>
      </c>
    </row>
  </sheetData>
  <mergeCells count="10">
    <mergeCell ref="H3:L3"/>
    <mergeCell ref="C8:AF8"/>
    <mergeCell ref="B3:F3"/>
    <mergeCell ref="B5:F5"/>
    <mergeCell ref="H5:L5"/>
    <mergeCell ref="B10:B11"/>
    <mergeCell ref="A24:A27"/>
    <mergeCell ref="H4:L4"/>
    <mergeCell ref="A10:A23"/>
    <mergeCell ref="B4:F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83</v>
      </c>
      <c r="C3" s="18"/>
      <c r="D3" s="18"/>
      <c r="E3" s="18"/>
      <c r="F3" s="18"/>
      <c r="H3" s="18" t="s">
        <v>84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735</v>
      </c>
      <c r="C12" s="12">
        <v>3004</v>
      </c>
      <c r="D12" s="12">
        <v>84</v>
      </c>
      <c r="E12" s="12">
        <v>148</v>
      </c>
      <c r="F12" s="12">
        <v>205</v>
      </c>
      <c r="G12" s="12">
        <v>107</v>
      </c>
      <c r="H12" s="12">
        <v>180</v>
      </c>
      <c r="I12" s="12">
        <v>223</v>
      </c>
      <c r="J12" s="12">
        <v>43</v>
      </c>
      <c r="K12" s="12">
        <v>124</v>
      </c>
      <c r="L12" s="12">
        <v>158</v>
      </c>
      <c r="M12" s="12">
        <v>125</v>
      </c>
      <c r="N12" s="12">
        <v>120</v>
      </c>
      <c r="O12" s="12">
        <v>80</v>
      </c>
      <c r="P12" s="12">
        <v>113</v>
      </c>
      <c r="Q12" s="12">
        <v>84</v>
      </c>
      <c r="R12" s="12">
        <v>76</v>
      </c>
      <c r="S12" s="12">
        <v>114</v>
      </c>
      <c r="T12" s="12">
        <v>127</v>
      </c>
      <c r="U12" s="12">
        <v>65</v>
      </c>
      <c r="V12" s="12">
        <v>135</v>
      </c>
      <c r="W12" s="12">
        <v>168</v>
      </c>
      <c r="X12" s="12">
        <v>170</v>
      </c>
      <c r="Y12" s="12">
        <v>202</v>
      </c>
      <c r="Z12" s="12">
        <v>59</v>
      </c>
      <c r="AA12" s="12">
        <v>64</v>
      </c>
      <c r="AB12" s="12">
        <v>119</v>
      </c>
      <c r="AC12" s="12">
        <v>134</v>
      </c>
      <c r="AD12" s="12">
        <v>208</v>
      </c>
      <c r="AE12" s="12">
        <v>96</v>
      </c>
      <c r="AF12" s="12">
        <v>126</v>
      </c>
    </row>
    <row r="13" spans="1:32">
      <c r="A13" s="20"/>
      <c r="B13" s="13" t="s">
        <v>736</v>
      </c>
      <c r="C13" s="14">
        <v>0.12</v>
      </c>
      <c r="D13" s="14">
        <v>0.08</v>
      </c>
      <c r="E13" s="14">
        <v>0.15</v>
      </c>
      <c r="F13" s="14">
        <v>0.2</v>
      </c>
      <c r="G13" s="14">
        <v>0.11</v>
      </c>
      <c r="H13" s="14">
        <v>0.15</v>
      </c>
      <c r="I13" s="14">
        <v>0.15</v>
      </c>
      <c r="J13" s="14">
        <v>0.15</v>
      </c>
      <c r="K13" s="14">
        <v>0.12</v>
      </c>
      <c r="L13" s="14">
        <v>0.16</v>
      </c>
      <c r="M13" s="14">
        <v>0.13</v>
      </c>
      <c r="N13" s="14">
        <v>0.12</v>
      </c>
      <c r="O13" s="14">
        <v>0.08</v>
      </c>
      <c r="P13" s="14">
        <v>0.11</v>
      </c>
      <c r="Q13" s="14">
        <v>0.08</v>
      </c>
      <c r="R13" s="14">
        <v>0.15</v>
      </c>
      <c r="S13" s="14">
        <v>0.11</v>
      </c>
      <c r="T13" s="14">
        <v>0.12</v>
      </c>
      <c r="U13" s="14">
        <v>0.13</v>
      </c>
      <c r="V13" s="14">
        <v>0.13</v>
      </c>
      <c r="W13" s="14">
        <v>0.33</v>
      </c>
      <c r="X13" s="14">
        <v>0.17</v>
      </c>
      <c r="Y13" s="14">
        <v>0.2</v>
      </c>
      <c r="Z13" s="14">
        <v>0.06</v>
      </c>
      <c r="AA13" s="14">
        <v>0.06</v>
      </c>
      <c r="AB13" s="14">
        <v>0.11</v>
      </c>
      <c r="AC13" s="14">
        <v>0.13</v>
      </c>
      <c r="AD13" s="14">
        <v>0.21</v>
      </c>
      <c r="AE13" s="14">
        <v>0.1</v>
      </c>
      <c r="AF13" s="14">
        <v>0.12</v>
      </c>
    </row>
    <row r="14" spans="1:32">
      <c r="A14" s="20"/>
      <c r="B14" s="11" t="s">
        <v>737</v>
      </c>
      <c r="C14" s="12">
        <v>12462</v>
      </c>
      <c r="D14" s="12">
        <v>493</v>
      </c>
      <c r="E14" s="12">
        <v>484</v>
      </c>
      <c r="F14" s="12">
        <v>422</v>
      </c>
      <c r="G14" s="12">
        <v>381</v>
      </c>
      <c r="H14" s="12">
        <v>573</v>
      </c>
      <c r="I14" s="12">
        <v>691</v>
      </c>
      <c r="J14" s="12">
        <v>118</v>
      </c>
      <c r="K14" s="12">
        <v>455</v>
      </c>
      <c r="L14" s="12">
        <v>432</v>
      </c>
      <c r="M14" s="12">
        <v>490</v>
      </c>
      <c r="N14" s="12">
        <v>455</v>
      </c>
      <c r="O14" s="12">
        <v>401</v>
      </c>
      <c r="P14" s="12">
        <v>559</v>
      </c>
      <c r="Q14" s="12">
        <v>542</v>
      </c>
      <c r="R14" s="12">
        <v>231</v>
      </c>
      <c r="S14" s="12">
        <v>354</v>
      </c>
      <c r="T14" s="12">
        <v>454</v>
      </c>
      <c r="U14" s="12">
        <v>240</v>
      </c>
      <c r="V14" s="12">
        <v>516</v>
      </c>
      <c r="W14" s="12">
        <v>221</v>
      </c>
      <c r="X14" s="12">
        <v>521</v>
      </c>
      <c r="Y14" s="12">
        <v>486</v>
      </c>
      <c r="Z14" s="12">
        <v>580</v>
      </c>
      <c r="AA14" s="12">
        <v>531</v>
      </c>
      <c r="AB14" s="12">
        <v>473</v>
      </c>
      <c r="AC14" s="12">
        <v>437</v>
      </c>
      <c r="AD14" s="12">
        <v>546</v>
      </c>
      <c r="AE14" s="12">
        <v>476</v>
      </c>
      <c r="AF14" s="12">
        <v>452</v>
      </c>
    </row>
    <row r="15" spans="1:32">
      <c r="A15" s="20"/>
      <c r="B15" s="13" t="s">
        <v>738</v>
      </c>
      <c r="C15" s="14">
        <v>0.47</v>
      </c>
      <c r="D15" s="14">
        <v>0.49</v>
      </c>
      <c r="E15" s="14">
        <v>0.48</v>
      </c>
      <c r="F15" s="14">
        <v>0.42</v>
      </c>
      <c r="G15" s="14">
        <v>0.38</v>
      </c>
      <c r="H15" s="14">
        <v>0.47</v>
      </c>
      <c r="I15" s="14">
        <v>0.46</v>
      </c>
      <c r="J15" s="14">
        <v>0.4</v>
      </c>
      <c r="K15" s="14">
        <v>0.45</v>
      </c>
      <c r="L15" s="14">
        <v>0.43</v>
      </c>
      <c r="M15" s="14">
        <v>0.49</v>
      </c>
      <c r="N15" s="14">
        <v>0.45</v>
      </c>
      <c r="O15" s="14">
        <v>0.4</v>
      </c>
      <c r="P15" s="14">
        <v>0.55000000000000004</v>
      </c>
      <c r="Q15" s="14">
        <v>0.53</v>
      </c>
      <c r="R15" s="14">
        <v>0.46</v>
      </c>
      <c r="S15" s="14">
        <v>0.35</v>
      </c>
      <c r="T15" s="14">
        <v>0.45</v>
      </c>
      <c r="U15" s="14">
        <v>0.47</v>
      </c>
      <c r="V15" s="14">
        <v>0.51</v>
      </c>
      <c r="W15" s="14">
        <v>0.44</v>
      </c>
      <c r="X15" s="14">
        <v>0.51</v>
      </c>
      <c r="Y15" s="14">
        <v>0.48</v>
      </c>
      <c r="Z15" s="14">
        <v>0.57999999999999996</v>
      </c>
      <c r="AA15" s="14">
        <v>0.5</v>
      </c>
      <c r="AB15" s="14">
        <v>0.45</v>
      </c>
      <c r="AC15" s="14">
        <v>0.43</v>
      </c>
      <c r="AD15" s="14">
        <v>0.54</v>
      </c>
      <c r="AE15" s="14">
        <v>0.48</v>
      </c>
      <c r="AF15" s="14">
        <v>0.44</v>
      </c>
    </row>
    <row r="16" spans="1:32">
      <c r="A16" s="20"/>
      <c r="B16" s="11" t="s">
        <v>739</v>
      </c>
      <c r="C16" s="12">
        <v>5632</v>
      </c>
      <c r="D16" s="12">
        <v>290</v>
      </c>
      <c r="E16" s="12">
        <v>124</v>
      </c>
      <c r="F16" s="12">
        <v>197</v>
      </c>
      <c r="G16" s="12">
        <v>285</v>
      </c>
      <c r="H16" s="12">
        <v>254</v>
      </c>
      <c r="I16" s="12">
        <v>351</v>
      </c>
      <c r="J16" s="12">
        <v>97</v>
      </c>
      <c r="K16" s="12">
        <v>207</v>
      </c>
      <c r="L16" s="12">
        <v>126</v>
      </c>
      <c r="M16" s="12">
        <v>184</v>
      </c>
      <c r="N16" s="12">
        <v>180</v>
      </c>
      <c r="O16" s="12">
        <v>211</v>
      </c>
      <c r="P16" s="12">
        <v>190</v>
      </c>
      <c r="Q16" s="12">
        <v>248</v>
      </c>
      <c r="R16" s="12">
        <v>93</v>
      </c>
      <c r="S16" s="12">
        <v>195</v>
      </c>
      <c r="T16" s="12">
        <v>118</v>
      </c>
      <c r="U16" s="12">
        <v>108</v>
      </c>
      <c r="V16" s="12">
        <v>208</v>
      </c>
      <c r="W16" s="12">
        <v>53</v>
      </c>
      <c r="X16" s="12">
        <v>257</v>
      </c>
      <c r="Y16" s="12">
        <v>185</v>
      </c>
      <c r="Z16" s="12">
        <v>170</v>
      </c>
      <c r="AA16" s="12">
        <v>143</v>
      </c>
      <c r="AB16" s="12">
        <v>237</v>
      </c>
      <c r="AC16" s="12">
        <v>267</v>
      </c>
      <c r="AD16" s="12">
        <v>128</v>
      </c>
      <c r="AE16" s="12">
        <v>284</v>
      </c>
      <c r="AF16" s="12">
        <v>352</v>
      </c>
    </row>
    <row r="17" spans="1:32">
      <c r="A17" s="20"/>
      <c r="B17" s="13" t="s">
        <v>740</v>
      </c>
      <c r="C17" s="14">
        <v>0.21</v>
      </c>
      <c r="D17" s="14">
        <v>0.28999999999999998</v>
      </c>
      <c r="E17" s="14">
        <v>0.12</v>
      </c>
      <c r="F17" s="14">
        <v>0.2</v>
      </c>
      <c r="G17" s="14">
        <v>0.28000000000000003</v>
      </c>
      <c r="H17" s="14">
        <v>0.21</v>
      </c>
      <c r="I17" s="14">
        <v>0.23</v>
      </c>
      <c r="J17" s="14">
        <v>0.33</v>
      </c>
      <c r="K17" s="14">
        <v>0.21</v>
      </c>
      <c r="L17" s="14">
        <v>0.12</v>
      </c>
      <c r="M17" s="14">
        <v>0.18</v>
      </c>
      <c r="N17" s="14">
        <v>0.18</v>
      </c>
      <c r="O17" s="14">
        <v>0.21</v>
      </c>
      <c r="P17" s="14">
        <v>0.19</v>
      </c>
      <c r="Q17" s="14">
        <v>0.25</v>
      </c>
      <c r="R17" s="14">
        <v>0.19</v>
      </c>
      <c r="S17" s="14">
        <v>0.19</v>
      </c>
      <c r="T17" s="14">
        <v>0.12</v>
      </c>
      <c r="U17" s="14">
        <v>0.21</v>
      </c>
      <c r="V17" s="14">
        <v>0.2</v>
      </c>
      <c r="W17" s="14">
        <v>0.1</v>
      </c>
      <c r="X17" s="14">
        <v>0.25</v>
      </c>
      <c r="Y17" s="14">
        <v>0.18</v>
      </c>
      <c r="Z17" s="14">
        <v>0.17</v>
      </c>
      <c r="AA17" s="14">
        <v>0.14000000000000001</v>
      </c>
      <c r="AB17" s="14">
        <v>0.23</v>
      </c>
      <c r="AC17" s="14">
        <v>0.26</v>
      </c>
      <c r="AD17" s="14">
        <v>0.13</v>
      </c>
      <c r="AE17" s="14">
        <v>0.28000000000000003</v>
      </c>
      <c r="AF17" s="14">
        <v>0.35</v>
      </c>
    </row>
    <row r="18" spans="1:32">
      <c r="A18" s="20"/>
      <c r="B18" s="11" t="s">
        <v>741</v>
      </c>
      <c r="C18" s="12">
        <v>1569</v>
      </c>
      <c r="D18" s="12">
        <v>71</v>
      </c>
      <c r="E18" s="12">
        <v>55</v>
      </c>
      <c r="F18" s="12">
        <v>58</v>
      </c>
      <c r="G18" s="12">
        <v>98</v>
      </c>
      <c r="H18" s="12">
        <v>34</v>
      </c>
      <c r="I18" s="12">
        <v>50</v>
      </c>
      <c r="J18" s="12">
        <v>15</v>
      </c>
      <c r="K18" s="12">
        <v>56</v>
      </c>
      <c r="L18" s="12">
        <v>47</v>
      </c>
      <c r="M18" s="12">
        <v>73</v>
      </c>
      <c r="N18" s="12">
        <v>103</v>
      </c>
      <c r="O18" s="12">
        <v>88</v>
      </c>
      <c r="P18" s="12">
        <v>95</v>
      </c>
      <c r="Q18" s="12">
        <v>32</v>
      </c>
      <c r="R18" s="12">
        <v>44</v>
      </c>
      <c r="S18" s="12">
        <v>58</v>
      </c>
      <c r="T18" s="12">
        <v>56</v>
      </c>
      <c r="U18" s="12">
        <v>12</v>
      </c>
      <c r="V18" s="12">
        <v>76</v>
      </c>
      <c r="W18" s="12">
        <v>29</v>
      </c>
      <c r="X18" s="12">
        <v>28</v>
      </c>
      <c r="Y18" s="12">
        <v>55</v>
      </c>
      <c r="Z18" s="12">
        <v>43</v>
      </c>
      <c r="AA18" s="12">
        <v>56</v>
      </c>
      <c r="AB18" s="12">
        <v>100</v>
      </c>
      <c r="AC18" s="12">
        <v>66</v>
      </c>
      <c r="AD18" s="12">
        <v>28</v>
      </c>
      <c r="AE18" s="12">
        <v>45</v>
      </c>
      <c r="AF18" s="12">
        <v>79</v>
      </c>
    </row>
    <row r="19" spans="1:32">
      <c r="A19" s="20"/>
      <c r="B19" s="13" t="s">
        <v>742</v>
      </c>
      <c r="C19" s="14">
        <v>0.06</v>
      </c>
      <c r="D19" s="14">
        <v>7.0000000000000007E-2</v>
      </c>
      <c r="E19" s="14">
        <v>0.05</v>
      </c>
      <c r="F19" s="14">
        <v>0.06</v>
      </c>
      <c r="G19" s="14">
        <v>0.1</v>
      </c>
      <c r="H19" s="14">
        <v>0.03</v>
      </c>
      <c r="I19" s="14">
        <v>0.03</v>
      </c>
      <c r="J19" s="14">
        <v>0.05</v>
      </c>
      <c r="K19" s="14">
        <v>0.06</v>
      </c>
      <c r="L19" s="14">
        <v>0.05</v>
      </c>
      <c r="M19" s="14">
        <v>7.0000000000000007E-2</v>
      </c>
      <c r="N19" s="14">
        <v>0.1</v>
      </c>
      <c r="O19" s="14">
        <v>0.09</v>
      </c>
      <c r="P19" s="14">
        <v>0.09</v>
      </c>
      <c r="Q19" s="14">
        <v>0.03</v>
      </c>
      <c r="R19" s="14">
        <v>0.09</v>
      </c>
      <c r="S19" s="14">
        <v>0.06</v>
      </c>
      <c r="T19" s="14">
        <v>0.05</v>
      </c>
      <c r="U19" s="14">
        <v>0.03</v>
      </c>
      <c r="V19" s="14">
        <v>0.08</v>
      </c>
      <c r="W19" s="14">
        <v>0.06</v>
      </c>
      <c r="X19" s="14">
        <v>0.03</v>
      </c>
      <c r="Y19" s="14">
        <v>0.06</v>
      </c>
      <c r="Z19" s="14">
        <v>0.04</v>
      </c>
      <c r="AA19" s="14">
        <v>0.05</v>
      </c>
      <c r="AB19" s="14">
        <v>0.1</v>
      </c>
      <c r="AC19" s="14">
        <v>7.0000000000000007E-2</v>
      </c>
      <c r="AD19" s="14">
        <v>0.03</v>
      </c>
      <c r="AE19" s="14">
        <v>0.04</v>
      </c>
      <c r="AF19" s="14">
        <v>0.08</v>
      </c>
    </row>
    <row r="20" spans="1:32">
      <c r="A20" s="20"/>
      <c r="B20" s="11" t="s">
        <v>468</v>
      </c>
      <c r="C20" s="12">
        <v>3652</v>
      </c>
      <c r="D20" s="12">
        <v>65</v>
      </c>
      <c r="E20" s="12">
        <v>207</v>
      </c>
      <c r="F20" s="12">
        <v>122</v>
      </c>
      <c r="G20" s="12">
        <v>133</v>
      </c>
      <c r="H20" s="12">
        <v>174</v>
      </c>
      <c r="I20" s="12">
        <v>195</v>
      </c>
      <c r="J20" s="12">
        <v>21</v>
      </c>
      <c r="K20" s="12">
        <v>164</v>
      </c>
      <c r="L20" s="12">
        <v>244</v>
      </c>
      <c r="M20" s="12">
        <v>131</v>
      </c>
      <c r="N20" s="12">
        <v>147</v>
      </c>
      <c r="O20" s="12">
        <v>224</v>
      </c>
      <c r="P20" s="12">
        <v>65</v>
      </c>
      <c r="Q20" s="12">
        <v>112</v>
      </c>
      <c r="R20" s="12">
        <v>56</v>
      </c>
      <c r="S20" s="12">
        <v>286</v>
      </c>
      <c r="T20" s="12">
        <v>259</v>
      </c>
      <c r="U20" s="12">
        <v>81</v>
      </c>
      <c r="V20" s="12">
        <v>81</v>
      </c>
      <c r="W20" s="12">
        <v>33</v>
      </c>
      <c r="X20" s="12">
        <v>45</v>
      </c>
      <c r="Y20" s="12">
        <v>79</v>
      </c>
      <c r="Z20" s="12">
        <v>156</v>
      </c>
      <c r="AA20" s="12">
        <v>259</v>
      </c>
      <c r="AB20" s="12">
        <v>111</v>
      </c>
      <c r="AC20" s="12">
        <v>106</v>
      </c>
      <c r="AD20" s="12">
        <v>96</v>
      </c>
      <c r="AE20" s="12">
        <v>99</v>
      </c>
      <c r="AF20" s="12">
        <v>12</v>
      </c>
    </row>
    <row r="21" spans="1:32">
      <c r="A21" s="20"/>
      <c r="B21" s="13" t="s">
        <v>469</v>
      </c>
      <c r="C21" s="14">
        <v>0.14000000000000001</v>
      </c>
      <c r="D21" s="14">
        <v>7.0000000000000007E-2</v>
      </c>
      <c r="E21" s="14">
        <v>0.2</v>
      </c>
      <c r="F21" s="14">
        <v>0.12</v>
      </c>
      <c r="G21" s="14">
        <v>0.13</v>
      </c>
      <c r="H21" s="14">
        <v>0.14000000000000001</v>
      </c>
      <c r="I21" s="14">
        <v>0.13</v>
      </c>
      <c r="J21" s="14">
        <v>7.0000000000000007E-2</v>
      </c>
      <c r="K21" s="14">
        <v>0.16</v>
      </c>
      <c r="L21" s="14">
        <v>0.24</v>
      </c>
      <c r="M21" s="14">
        <v>0.13</v>
      </c>
      <c r="N21" s="14">
        <v>0.15</v>
      </c>
      <c r="O21" s="14">
        <v>0.22</v>
      </c>
      <c r="P21" s="14">
        <v>0.06</v>
      </c>
      <c r="Q21" s="14">
        <v>0.11</v>
      </c>
      <c r="R21" s="14">
        <v>0.11</v>
      </c>
      <c r="S21" s="14">
        <v>0.28999999999999998</v>
      </c>
      <c r="T21" s="14">
        <v>0.26</v>
      </c>
      <c r="U21" s="14">
        <v>0.16</v>
      </c>
      <c r="V21" s="14">
        <v>0.08</v>
      </c>
      <c r="W21" s="14">
        <v>7.0000000000000007E-2</v>
      </c>
      <c r="X21" s="14">
        <v>0.04</v>
      </c>
      <c r="Y21" s="14">
        <v>0.08</v>
      </c>
      <c r="Z21" s="14">
        <v>0.15</v>
      </c>
      <c r="AA21" s="14">
        <v>0.25</v>
      </c>
      <c r="AB21" s="14">
        <v>0.11</v>
      </c>
      <c r="AC21" s="14">
        <v>0.11</v>
      </c>
      <c r="AD21" s="14">
        <v>0.09</v>
      </c>
      <c r="AE21" s="14">
        <v>0.1</v>
      </c>
      <c r="AF21" s="14">
        <v>0.01</v>
      </c>
    </row>
    <row r="22" spans="1:32">
      <c r="A22" s="20"/>
      <c r="B22" s="11" t="s">
        <v>470</v>
      </c>
      <c r="C22" s="12">
        <v>15466</v>
      </c>
      <c r="D22" s="12">
        <v>577</v>
      </c>
      <c r="E22" s="12">
        <v>632</v>
      </c>
      <c r="F22" s="12">
        <v>627</v>
      </c>
      <c r="G22" s="12">
        <v>488</v>
      </c>
      <c r="H22" s="12">
        <v>753</v>
      </c>
      <c r="I22" s="12">
        <v>914</v>
      </c>
      <c r="J22" s="12">
        <v>161</v>
      </c>
      <c r="K22" s="12">
        <v>579</v>
      </c>
      <c r="L22" s="12">
        <v>590</v>
      </c>
      <c r="M22" s="12">
        <v>615</v>
      </c>
      <c r="N22" s="12">
        <v>575</v>
      </c>
      <c r="O22" s="12">
        <v>481</v>
      </c>
      <c r="P22" s="12">
        <v>672</v>
      </c>
      <c r="Q22" s="12">
        <v>626</v>
      </c>
      <c r="R22" s="12">
        <v>307</v>
      </c>
      <c r="S22" s="12">
        <v>468</v>
      </c>
      <c r="T22" s="12">
        <v>581</v>
      </c>
      <c r="U22" s="12">
        <v>305</v>
      </c>
      <c r="V22" s="12">
        <v>651</v>
      </c>
      <c r="W22" s="12">
        <v>389</v>
      </c>
      <c r="X22" s="12">
        <v>691</v>
      </c>
      <c r="Y22" s="12">
        <v>688</v>
      </c>
      <c r="Z22" s="12">
        <v>639</v>
      </c>
      <c r="AA22" s="12">
        <v>595</v>
      </c>
      <c r="AB22" s="12">
        <v>592</v>
      </c>
      <c r="AC22" s="12">
        <v>571</v>
      </c>
      <c r="AD22" s="12">
        <v>754</v>
      </c>
      <c r="AE22" s="12">
        <v>572</v>
      </c>
      <c r="AF22" s="12">
        <v>578</v>
      </c>
    </row>
    <row r="23" spans="1:32">
      <c r="A23" s="20"/>
      <c r="B23" s="13" t="s">
        <v>471</v>
      </c>
      <c r="C23" s="14">
        <v>0.59</v>
      </c>
      <c r="D23" s="14">
        <v>0.57000000000000006</v>
      </c>
      <c r="E23" s="14">
        <v>0.63</v>
      </c>
      <c r="F23" s="14">
        <v>0.62</v>
      </c>
      <c r="G23" s="14">
        <v>0.49</v>
      </c>
      <c r="H23" s="14">
        <v>0.62</v>
      </c>
      <c r="I23" s="14">
        <v>0.61</v>
      </c>
      <c r="J23" s="14">
        <v>0.55000000000000004</v>
      </c>
      <c r="K23" s="14">
        <v>0.57000000000000006</v>
      </c>
      <c r="L23" s="14">
        <v>0.59</v>
      </c>
      <c r="M23" s="14">
        <v>0.62</v>
      </c>
      <c r="N23" s="14">
        <v>0.57000000000000006</v>
      </c>
      <c r="O23" s="14">
        <v>0.48</v>
      </c>
      <c r="P23" s="14">
        <v>0.66</v>
      </c>
      <c r="Q23" s="14">
        <v>0.61</v>
      </c>
      <c r="R23" s="14">
        <v>0.61</v>
      </c>
      <c r="S23" s="14">
        <v>0.46</v>
      </c>
      <c r="T23" s="14">
        <v>0.57000000000000006</v>
      </c>
      <c r="U23" s="14">
        <v>0.6</v>
      </c>
      <c r="V23" s="14">
        <v>0.64</v>
      </c>
      <c r="W23" s="14">
        <v>0.77</v>
      </c>
      <c r="X23" s="14">
        <v>0.68</v>
      </c>
      <c r="Y23" s="14">
        <v>0.68</v>
      </c>
      <c r="Z23" s="14">
        <v>0.64</v>
      </c>
      <c r="AA23" s="14">
        <v>0.56000000000000005</v>
      </c>
      <c r="AB23" s="14">
        <v>0.56000000000000005</v>
      </c>
      <c r="AC23" s="14">
        <v>0.56000000000000005</v>
      </c>
      <c r="AD23" s="14">
        <v>0.75</v>
      </c>
      <c r="AE23" s="14">
        <v>0.57999999999999996</v>
      </c>
      <c r="AF23" s="14">
        <v>0.56000000000000005</v>
      </c>
    </row>
    <row r="24" spans="1:32">
      <c r="A24" s="20"/>
      <c r="B24" s="11" t="s">
        <v>743</v>
      </c>
      <c r="C24" s="12">
        <v>7201</v>
      </c>
      <c r="D24" s="12">
        <v>361</v>
      </c>
      <c r="E24" s="12">
        <v>179</v>
      </c>
      <c r="F24" s="12">
        <v>255</v>
      </c>
      <c r="G24" s="12">
        <v>383</v>
      </c>
      <c r="H24" s="12">
        <v>288</v>
      </c>
      <c r="I24" s="12">
        <v>401</v>
      </c>
      <c r="J24" s="12">
        <v>112</v>
      </c>
      <c r="K24" s="12">
        <v>263</v>
      </c>
      <c r="L24" s="12">
        <v>173</v>
      </c>
      <c r="M24" s="12">
        <v>257</v>
      </c>
      <c r="N24" s="12">
        <v>283</v>
      </c>
      <c r="O24" s="12">
        <v>299</v>
      </c>
      <c r="P24" s="12">
        <v>285</v>
      </c>
      <c r="Q24" s="12">
        <v>280</v>
      </c>
      <c r="R24" s="12">
        <v>137</v>
      </c>
      <c r="S24" s="12">
        <v>253</v>
      </c>
      <c r="T24" s="12">
        <v>174</v>
      </c>
      <c r="U24" s="12">
        <v>120</v>
      </c>
      <c r="V24" s="12">
        <v>284</v>
      </c>
      <c r="W24" s="12">
        <v>82</v>
      </c>
      <c r="X24" s="12">
        <v>285</v>
      </c>
      <c r="Y24" s="12">
        <v>240</v>
      </c>
      <c r="Z24" s="12">
        <v>213</v>
      </c>
      <c r="AA24" s="12">
        <v>199</v>
      </c>
      <c r="AB24" s="12">
        <v>337</v>
      </c>
      <c r="AC24" s="12">
        <v>333</v>
      </c>
      <c r="AD24" s="12">
        <v>156</v>
      </c>
      <c r="AE24" s="12">
        <v>329</v>
      </c>
      <c r="AF24" s="12">
        <v>431</v>
      </c>
    </row>
    <row r="25" spans="1:32">
      <c r="A25" s="20"/>
      <c r="B25" s="13" t="s">
        <v>744</v>
      </c>
      <c r="C25" s="14">
        <v>0.27</v>
      </c>
      <c r="D25" s="14">
        <v>0.36</v>
      </c>
      <c r="E25" s="14">
        <v>0.17</v>
      </c>
      <c r="F25" s="14">
        <v>0.26</v>
      </c>
      <c r="G25" s="14">
        <v>0.38</v>
      </c>
      <c r="H25" s="14">
        <v>0.24</v>
      </c>
      <c r="I25" s="14">
        <v>0.26</v>
      </c>
      <c r="J25" s="14">
        <v>0.38</v>
      </c>
      <c r="K25" s="14">
        <v>0.27</v>
      </c>
      <c r="L25" s="14">
        <v>0.17</v>
      </c>
      <c r="M25" s="14">
        <v>0.25</v>
      </c>
      <c r="N25" s="14">
        <v>0.28000000000000003</v>
      </c>
      <c r="O25" s="14">
        <v>0.3</v>
      </c>
      <c r="P25" s="14">
        <v>0.28000000000000003</v>
      </c>
      <c r="Q25" s="14">
        <v>0.28000000000000003</v>
      </c>
      <c r="R25" s="14">
        <v>0.28000000000000003</v>
      </c>
      <c r="S25" s="14">
        <v>0.25</v>
      </c>
      <c r="T25" s="14">
        <v>0.17</v>
      </c>
      <c r="U25" s="14">
        <v>0.24</v>
      </c>
      <c r="V25" s="14">
        <v>0.28000000000000003</v>
      </c>
      <c r="W25" s="14">
        <v>0.16</v>
      </c>
      <c r="X25" s="14">
        <v>0.28000000000000003</v>
      </c>
      <c r="Y25" s="14">
        <v>0.24</v>
      </c>
      <c r="Z25" s="14">
        <v>0.21</v>
      </c>
      <c r="AA25" s="14">
        <v>0.19</v>
      </c>
      <c r="AB25" s="14">
        <v>0.33</v>
      </c>
      <c r="AC25" s="14">
        <v>0.33</v>
      </c>
      <c r="AD25" s="14">
        <v>0.16</v>
      </c>
      <c r="AE25" s="14">
        <v>0.32</v>
      </c>
      <c r="AF25" s="14">
        <v>0.43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745</v>
      </c>
      <c r="C3" s="18"/>
      <c r="D3" s="18"/>
      <c r="E3" s="18"/>
      <c r="F3" s="18"/>
      <c r="H3" s="18" t="s">
        <v>746</v>
      </c>
      <c r="I3" s="18"/>
      <c r="J3" s="18"/>
      <c r="K3" s="18"/>
      <c r="L3" s="18"/>
    </row>
    <row r="4" spans="1:32" ht="27" customHeight="1">
      <c r="B4" s="18" t="s">
        <v>747</v>
      </c>
      <c r="C4" s="18"/>
      <c r="D4" s="18"/>
      <c r="E4" s="18"/>
      <c r="F4" s="18"/>
      <c r="H4" s="18" t="s">
        <v>748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749</v>
      </c>
      <c r="C12" s="12">
        <v>16095</v>
      </c>
      <c r="D12" s="12">
        <v>658</v>
      </c>
      <c r="E12" s="12">
        <v>580</v>
      </c>
      <c r="F12" s="12">
        <v>642</v>
      </c>
      <c r="G12" s="12">
        <v>625</v>
      </c>
      <c r="H12" s="12">
        <v>688</v>
      </c>
      <c r="I12" s="12">
        <v>868</v>
      </c>
      <c r="J12" s="12">
        <v>180</v>
      </c>
      <c r="K12" s="12">
        <v>588</v>
      </c>
      <c r="L12" s="12">
        <v>572</v>
      </c>
      <c r="M12" s="12">
        <v>636</v>
      </c>
      <c r="N12" s="12">
        <v>577</v>
      </c>
      <c r="O12" s="12">
        <v>550</v>
      </c>
      <c r="P12" s="12">
        <v>752</v>
      </c>
      <c r="Q12" s="12">
        <v>682</v>
      </c>
      <c r="R12" s="12">
        <v>259</v>
      </c>
      <c r="S12" s="12">
        <v>415</v>
      </c>
      <c r="T12" s="12">
        <v>502</v>
      </c>
      <c r="U12" s="12">
        <v>315</v>
      </c>
      <c r="V12" s="12">
        <v>708</v>
      </c>
      <c r="W12" s="12">
        <v>386</v>
      </c>
      <c r="X12" s="12">
        <v>786</v>
      </c>
      <c r="Y12" s="12">
        <v>571</v>
      </c>
      <c r="Z12" s="12">
        <v>691</v>
      </c>
      <c r="AA12" s="12">
        <v>504</v>
      </c>
      <c r="AB12" s="12">
        <v>543</v>
      </c>
      <c r="AC12" s="12">
        <v>614</v>
      </c>
      <c r="AD12" s="12">
        <v>688</v>
      </c>
      <c r="AE12" s="12">
        <v>602</v>
      </c>
      <c r="AF12" s="12">
        <v>835</v>
      </c>
    </row>
    <row r="13" spans="1:32">
      <c r="A13" s="20"/>
      <c r="B13" s="13" t="s">
        <v>750</v>
      </c>
      <c r="C13" s="14">
        <v>0.61</v>
      </c>
      <c r="D13" s="14">
        <v>0.66</v>
      </c>
      <c r="E13" s="14">
        <v>0.57000000000000006</v>
      </c>
      <c r="F13" s="14">
        <v>0.64</v>
      </c>
      <c r="G13" s="14">
        <v>0.62</v>
      </c>
      <c r="H13" s="14">
        <v>0.56000000000000005</v>
      </c>
      <c r="I13" s="14">
        <v>0.57000000000000006</v>
      </c>
      <c r="J13" s="14">
        <v>0.61</v>
      </c>
      <c r="K13" s="14">
        <v>0.57999999999999996</v>
      </c>
      <c r="L13" s="14">
        <v>0.57000000000000006</v>
      </c>
      <c r="M13" s="14">
        <v>0.63</v>
      </c>
      <c r="N13" s="14">
        <v>0.57000000000000006</v>
      </c>
      <c r="O13" s="14">
        <v>0.55000000000000004</v>
      </c>
      <c r="P13" s="14">
        <v>0.73</v>
      </c>
      <c r="Q13" s="14">
        <v>0.67</v>
      </c>
      <c r="R13" s="14">
        <v>0.52</v>
      </c>
      <c r="S13" s="14">
        <v>0.41</v>
      </c>
      <c r="T13" s="14">
        <v>0.5</v>
      </c>
      <c r="U13" s="14">
        <v>0.62</v>
      </c>
      <c r="V13" s="14">
        <v>0.70000000000000007</v>
      </c>
      <c r="W13" s="14">
        <v>0.77</v>
      </c>
      <c r="X13" s="14">
        <v>0.77</v>
      </c>
      <c r="Y13" s="14">
        <v>0.57000000000000006</v>
      </c>
      <c r="Z13" s="14">
        <v>0.68</v>
      </c>
      <c r="AA13" s="14">
        <v>0.48</v>
      </c>
      <c r="AB13" s="14">
        <v>0.52</v>
      </c>
      <c r="AC13" s="14">
        <v>0.61</v>
      </c>
      <c r="AD13" s="14">
        <v>0.68</v>
      </c>
      <c r="AE13" s="14">
        <v>0.6</v>
      </c>
      <c r="AF13" s="14">
        <v>0.82000000000000006</v>
      </c>
    </row>
    <row r="14" spans="1:32">
      <c r="A14" s="20"/>
      <c r="B14" s="11" t="s">
        <v>751</v>
      </c>
      <c r="C14" s="12">
        <v>4321</v>
      </c>
      <c r="D14" s="12">
        <v>239</v>
      </c>
      <c r="E14" s="12">
        <v>122</v>
      </c>
      <c r="F14" s="12">
        <v>181</v>
      </c>
      <c r="G14" s="12">
        <v>167</v>
      </c>
      <c r="H14" s="12">
        <v>205</v>
      </c>
      <c r="I14" s="12">
        <v>279</v>
      </c>
      <c r="J14" s="12">
        <v>74</v>
      </c>
      <c r="K14" s="12">
        <v>168</v>
      </c>
      <c r="L14" s="12">
        <v>85</v>
      </c>
      <c r="M14" s="12">
        <v>135</v>
      </c>
      <c r="N14" s="12">
        <v>128</v>
      </c>
      <c r="O14" s="12">
        <v>161</v>
      </c>
      <c r="P14" s="12">
        <v>140</v>
      </c>
      <c r="Q14" s="12">
        <v>184</v>
      </c>
      <c r="R14" s="12">
        <v>110</v>
      </c>
      <c r="S14" s="12">
        <v>106</v>
      </c>
      <c r="T14" s="12">
        <v>102</v>
      </c>
      <c r="U14" s="12">
        <v>69</v>
      </c>
      <c r="V14" s="12">
        <v>172</v>
      </c>
      <c r="W14" s="12">
        <v>50</v>
      </c>
      <c r="X14" s="12">
        <v>135</v>
      </c>
      <c r="Y14" s="12">
        <v>252</v>
      </c>
      <c r="Z14" s="12">
        <v>139</v>
      </c>
      <c r="AA14" s="12">
        <v>123</v>
      </c>
      <c r="AB14" s="12">
        <v>254</v>
      </c>
      <c r="AC14" s="12">
        <v>179</v>
      </c>
      <c r="AD14" s="12">
        <v>145</v>
      </c>
      <c r="AE14" s="12">
        <v>133</v>
      </c>
      <c r="AF14" s="12">
        <v>130</v>
      </c>
    </row>
    <row r="15" spans="1:32">
      <c r="A15" s="20"/>
      <c r="B15" s="13" t="s">
        <v>752</v>
      </c>
      <c r="C15" s="14">
        <v>0.16</v>
      </c>
      <c r="D15" s="14">
        <v>0.24</v>
      </c>
      <c r="E15" s="14">
        <v>0.12</v>
      </c>
      <c r="F15" s="14">
        <v>0.18</v>
      </c>
      <c r="G15" s="14">
        <v>0.17</v>
      </c>
      <c r="H15" s="14">
        <v>0.17</v>
      </c>
      <c r="I15" s="14">
        <v>0.19</v>
      </c>
      <c r="J15" s="14">
        <v>0.25</v>
      </c>
      <c r="K15" s="14">
        <v>0.17</v>
      </c>
      <c r="L15" s="14">
        <v>0.08</v>
      </c>
      <c r="M15" s="14">
        <v>0.14000000000000001</v>
      </c>
      <c r="N15" s="14">
        <v>0.13</v>
      </c>
      <c r="O15" s="14">
        <v>0.16</v>
      </c>
      <c r="P15" s="14">
        <v>0.14000000000000001</v>
      </c>
      <c r="Q15" s="14">
        <v>0.18</v>
      </c>
      <c r="R15" s="14">
        <v>0.22</v>
      </c>
      <c r="S15" s="14">
        <v>0.11</v>
      </c>
      <c r="T15" s="14">
        <v>0.1</v>
      </c>
      <c r="U15" s="14">
        <v>0.14000000000000001</v>
      </c>
      <c r="V15" s="14">
        <v>0.17</v>
      </c>
      <c r="W15" s="14">
        <v>0.1</v>
      </c>
      <c r="X15" s="14">
        <v>0.13</v>
      </c>
      <c r="Y15" s="14">
        <v>0.25</v>
      </c>
      <c r="Z15" s="14">
        <v>0.14000000000000001</v>
      </c>
      <c r="AA15" s="14">
        <v>0.12</v>
      </c>
      <c r="AB15" s="14">
        <v>0.25</v>
      </c>
      <c r="AC15" s="14">
        <v>0.18</v>
      </c>
      <c r="AD15" s="14">
        <v>0.15</v>
      </c>
      <c r="AE15" s="14">
        <v>0.13</v>
      </c>
      <c r="AF15" s="14">
        <v>0.13</v>
      </c>
    </row>
    <row r="16" spans="1:32">
      <c r="A16" s="20"/>
      <c r="B16" s="11" t="s">
        <v>468</v>
      </c>
      <c r="C16" s="12">
        <v>5903</v>
      </c>
      <c r="D16" s="12">
        <v>106</v>
      </c>
      <c r="E16" s="12">
        <v>316</v>
      </c>
      <c r="F16" s="12">
        <v>181</v>
      </c>
      <c r="G16" s="12">
        <v>211</v>
      </c>
      <c r="H16" s="12">
        <v>323</v>
      </c>
      <c r="I16" s="12">
        <v>363</v>
      </c>
      <c r="J16" s="12">
        <v>40</v>
      </c>
      <c r="K16" s="12">
        <v>250</v>
      </c>
      <c r="L16" s="12">
        <v>350</v>
      </c>
      <c r="M16" s="12">
        <v>232</v>
      </c>
      <c r="N16" s="12">
        <v>299</v>
      </c>
      <c r="O16" s="12">
        <v>292</v>
      </c>
      <c r="P16" s="12">
        <v>130</v>
      </c>
      <c r="Q16" s="12">
        <v>153</v>
      </c>
      <c r="R16" s="12">
        <v>130</v>
      </c>
      <c r="S16" s="12">
        <v>487</v>
      </c>
      <c r="T16" s="12">
        <v>410</v>
      </c>
      <c r="U16" s="12">
        <v>122</v>
      </c>
      <c r="V16" s="12">
        <v>137</v>
      </c>
      <c r="W16" s="12">
        <v>67</v>
      </c>
      <c r="X16" s="12">
        <v>101</v>
      </c>
      <c r="Y16" s="12">
        <v>185</v>
      </c>
      <c r="Z16" s="12">
        <v>178</v>
      </c>
      <c r="AA16" s="12">
        <v>426</v>
      </c>
      <c r="AB16" s="12">
        <v>242</v>
      </c>
      <c r="AC16" s="12">
        <v>218</v>
      </c>
      <c r="AD16" s="12">
        <v>172</v>
      </c>
      <c r="AE16" s="12">
        <v>266</v>
      </c>
      <c r="AF16" s="12">
        <v>55</v>
      </c>
    </row>
    <row r="17" spans="1:32">
      <c r="A17" s="20"/>
      <c r="B17" s="13" t="s">
        <v>469</v>
      </c>
      <c r="C17" s="14">
        <v>0.23</v>
      </c>
      <c r="D17" s="14">
        <v>0.1</v>
      </c>
      <c r="E17" s="14">
        <v>0.31</v>
      </c>
      <c r="F17" s="14">
        <v>0.18</v>
      </c>
      <c r="G17" s="14">
        <v>0.21</v>
      </c>
      <c r="H17" s="14">
        <v>0.27</v>
      </c>
      <c r="I17" s="14">
        <v>0.24</v>
      </c>
      <c r="J17" s="14">
        <v>0.14000000000000001</v>
      </c>
      <c r="K17" s="14">
        <v>0.25</v>
      </c>
      <c r="L17" s="14">
        <v>0.35</v>
      </c>
      <c r="M17" s="14">
        <v>0.23</v>
      </c>
      <c r="N17" s="14">
        <v>0.3</v>
      </c>
      <c r="O17" s="14">
        <v>0.28999999999999998</v>
      </c>
      <c r="P17" s="14">
        <v>0.13</v>
      </c>
      <c r="Q17" s="14">
        <v>0.15</v>
      </c>
      <c r="R17" s="14">
        <v>0.26</v>
      </c>
      <c r="S17" s="14">
        <v>0.48</v>
      </c>
      <c r="T17" s="14">
        <v>0.4</v>
      </c>
      <c r="U17" s="14">
        <v>0.24</v>
      </c>
      <c r="V17" s="14">
        <v>0.13</v>
      </c>
      <c r="W17" s="14">
        <v>0.13</v>
      </c>
      <c r="X17" s="14">
        <v>0.1</v>
      </c>
      <c r="Y17" s="14">
        <v>0.18</v>
      </c>
      <c r="Z17" s="14">
        <v>0.18</v>
      </c>
      <c r="AA17" s="14">
        <v>0.4</v>
      </c>
      <c r="AB17" s="14">
        <v>0.23</v>
      </c>
      <c r="AC17" s="14">
        <v>0.21</v>
      </c>
      <c r="AD17" s="14">
        <v>0.17</v>
      </c>
      <c r="AE17" s="14">
        <v>0.27</v>
      </c>
      <c r="AF17" s="14">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753</v>
      </c>
      <c r="C3" s="18"/>
      <c r="D3" s="18"/>
      <c r="E3" s="18"/>
      <c r="F3" s="18"/>
      <c r="H3" s="18" t="s">
        <v>754</v>
      </c>
      <c r="I3" s="18"/>
      <c r="J3" s="18"/>
      <c r="K3" s="18"/>
      <c r="L3" s="18"/>
    </row>
    <row r="4" spans="1:32" ht="27" customHeight="1">
      <c r="B4" s="18" t="s">
        <v>755</v>
      </c>
      <c r="C4" s="18"/>
      <c r="D4" s="18"/>
      <c r="E4" s="18"/>
      <c r="F4" s="18"/>
      <c r="H4" s="18" t="s">
        <v>756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749</v>
      </c>
      <c r="C12" s="12">
        <v>14021</v>
      </c>
      <c r="D12" s="12">
        <v>560</v>
      </c>
      <c r="E12" s="12">
        <v>559</v>
      </c>
      <c r="F12" s="12">
        <v>552</v>
      </c>
      <c r="G12" s="12">
        <v>383</v>
      </c>
      <c r="H12" s="12">
        <v>546</v>
      </c>
      <c r="I12" s="12">
        <v>690</v>
      </c>
      <c r="J12" s="12">
        <v>144</v>
      </c>
      <c r="K12" s="12">
        <v>504</v>
      </c>
      <c r="L12" s="12">
        <v>550</v>
      </c>
      <c r="M12" s="12">
        <v>551</v>
      </c>
      <c r="N12" s="12">
        <v>505</v>
      </c>
      <c r="O12" s="12">
        <v>476</v>
      </c>
      <c r="P12" s="12">
        <v>724</v>
      </c>
      <c r="Q12" s="12">
        <v>624</v>
      </c>
      <c r="R12" s="12">
        <v>243</v>
      </c>
      <c r="S12" s="12">
        <v>380</v>
      </c>
      <c r="T12" s="12">
        <v>470</v>
      </c>
      <c r="U12" s="12">
        <v>252</v>
      </c>
      <c r="V12" s="12">
        <v>630</v>
      </c>
      <c r="W12" s="12">
        <v>341</v>
      </c>
      <c r="X12" s="12">
        <v>585</v>
      </c>
      <c r="Y12" s="12">
        <v>516</v>
      </c>
      <c r="Z12" s="12">
        <v>694</v>
      </c>
      <c r="AA12" s="12">
        <v>515</v>
      </c>
      <c r="AB12" s="12">
        <v>538</v>
      </c>
      <c r="AC12" s="12">
        <v>582</v>
      </c>
      <c r="AD12" s="12">
        <v>682</v>
      </c>
      <c r="AE12" s="12">
        <v>444</v>
      </c>
      <c r="AF12" s="12">
        <v>556</v>
      </c>
    </row>
    <row r="13" spans="1:32">
      <c r="A13" s="20"/>
      <c r="B13" s="13" t="s">
        <v>750</v>
      </c>
      <c r="C13" s="14">
        <v>0.53</v>
      </c>
      <c r="D13" s="14">
        <v>0.56000000000000005</v>
      </c>
      <c r="E13" s="14">
        <v>0.55000000000000004</v>
      </c>
      <c r="F13" s="14">
        <v>0.55000000000000004</v>
      </c>
      <c r="G13" s="14">
        <v>0.38</v>
      </c>
      <c r="H13" s="14">
        <v>0.45</v>
      </c>
      <c r="I13" s="14">
        <v>0.46</v>
      </c>
      <c r="J13" s="14">
        <v>0.49</v>
      </c>
      <c r="K13" s="14">
        <v>0.5</v>
      </c>
      <c r="L13" s="14">
        <v>0.55000000000000004</v>
      </c>
      <c r="M13" s="14">
        <v>0.55000000000000004</v>
      </c>
      <c r="N13" s="14">
        <v>0.5</v>
      </c>
      <c r="O13" s="14">
        <v>0.47</v>
      </c>
      <c r="P13" s="14">
        <v>0.71</v>
      </c>
      <c r="Q13" s="14">
        <v>0.61</v>
      </c>
      <c r="R13" s="14">
        <v>0.49</v>
      </c>
      <c r="S13" s="14">
        <v>0.38</v>
      </c>
      <c r="T13" s="14">
        <v>0.46</v>
      </c>
      <c r="U13" s="14">
        <v>0.5</v>
      </c>
      <c r="V13" s="14">
        <v>0.62</v>
      </c>
      <c r="W13" s="14">
        <v>0.68</v>
      </c>
      <c r="X13" s="14">
        <v>0.57000000000000006</v>
      </c>
      <c r="Y13" s="14">
        <v>0.51</v>
      </c>
      <c r="Z13" s="14">
        <v>0.69000000000000006</v>
      </c>
      <c r="AA13" s="14">
        <v>0.49</v>
      </c>
      <c r="AB13" s="14">
        <v>0.52</v>
      </c>
      <c r="AC13" s="14">
        <v>0.57999999999999996</v>
      </c>
      <c r="AD13" s="14">
        <v>0.68</v>
      </c>
      <c r="AE13" s="14">
        <v>0.44</v>
      </c>
      <c r="AF13" s="14">
        <v>0.55000000000000004</v>
      </c>
    </row>
    <row r="14" spans="1:32">
      <c r="A14" s="20"/>
      <c r="B14" s="11" t="s">
        <v>751</v>
      </c>
      <c r="C14" s="12">
        <v>6252</v>
      </c>
      <c r="D14" s="12">
        <v>330</v>
      </c>
      <c r="E14" s="12">
        <v>153</v>
      </c>
      <c r="F14" s="12">
        <v>263</v>
      </c>
      <c r="G14" s="12">
        <v>403</v>
      </c>
      <c r="H14" s="12">
        <v>322</v>
      </c>
      <c r="I14" s="12">
        <v>428</v>
      </c>
      <c r="J14" s="12">
        <v>106</v>
      </c>
      <c r="K14" s="12">
        <v>251</v>
      </c>
      <c r="L14" s="12">
        <v>115</v>
      </c>
      <c r="M14" s="12">
        <v>222</v>
      </c>
      <c r="N14" s="12">
        <v>199</v>
      </c>
      <c r="O14" s="12">
        <v>231</v>
      </c>
      <c r="P14" s="12">
        <v>164</v>
      </c>
      <c r="Q14" s="12">
        <v>243</v>
      </c>
      <c r="R14" s="12">
        <v>133</v>
      </c>
      <c r="S14" s="12">
        <v>126</v>
      </c>
      <c r="T14" s="12">
        <v>123</v>
      </c>
      <c r="U14" s="12">
        <v>114</v>
      </c>
      <c r="V14" s="12">
        <v>246</v>
      </c>
      <c r="W14" s="12">
        <v>94</v>
      </c>
      <c r="X14" s="12">
        <v>333</v>
      </c>
      <c r="Y14" s="12">
        <v>287</v>
      </c>
      <c r="Z14" s="12">
        <v>140</v>
      </c>
      <c r="AA14" s="12">
        <v>119</v>
      </c>
      <c r="AB14" s="12">
        <v>252</v>
      </c>
      <c r="AC14" s="12">
        <v>213</v>
      </c>
      <c r="AD14" s="12">
        <v>168</v>
      </c>
      <c r="AE14" s="12">
        <v>305</v>
      </c>
      <c r="AF14" s="12">
        <v>372</v>
      </c>
    </row>
    <row r="15" spans="1:32">
      <c r="A15" s="20"/>
      <c r="B15" s="13" t="s">
        <v>752</v>
      </c>
      <c r="C15" s="14">
        <v>0.24</v>
      </c>
      <c r="D15" s="14">
        <v>0.33</v>
      </c>
      <c r="E15" s="14">
        <v>0.15</v>
      </c>
      <c r="F15" s="14">
        <v>0.26</v>
      </c>
      <c r="G15" s="14">
        <v>0.4</v>
      </c>
      <c r="H15" s="14">
        <v>0.26</v>
      </c>
      <c r="I15" s="14">
        <v>0.28000000000000003</v>
      </c>
      <c r="J15" s="14">
        <v>0.36</v>
      </c>
      <c r="K15" s="14">
        <v>0.25</v>
      </c>
      <c r="L15" s="14">
        <v>0.11</v>
      </c>
      <c r="M15" s="14">
        <v>0.22</v>
      </c>
      <c r="N15" s="14">
        <v>0.2</v>
      </c>
      <c r="O15" s="14">
        <v>0.23</v>
      </c>
      <c r="P15" s="14">
        <v>0.16</v>
      </c>
      <c r="Q15" s="14">
        <v>0.24</v>
      </c>
      <c r="R15" s="14">
        <v>0.26</v>
      </c>
      <c r="S15" s="14">
        <v>0.12</v>
      </c>
      <c r="T15" s="14">
        <v>0.12</v>
      </c>
      <c r="U15" s="14">
        <v>0.22</v>
      </c>
      <c r="V15" s="14">
        <v>0.24</v>
      </c>
      <c r="W15" s="14">
        <v>0.19</v>
      </c>
      <c r="X15" s="14">
        <v>0.33</v>
      </c>
      <c r="Y15" s="14">
        <v>0.28999999999999998</v>
      </c>
      <c r="Z15" s="14">
        <v>0.14000000000000001</v>
      </c>
      <c r="AA15" s="14">
        <v>0.11</v>
      </c>
      <c r="AB15" s="14">
        <v>0.24</v>
      </c>
      <c r="AC15" s="14">
        <v>0.21</v>
      </c>
      <c r="AD15" s="14">
        <v>0.17</v>
      </c>
      <c r="AE15" s="14">
        <v>0.31</v>
      </c>
      <c r="AF15" s="14">
        <v>0.36</v>
      </c>
    </row>
    <row r="16" spans="1:32">
      <c r="A16" s="20"/>
      <c r="B16" s="11" t="s">
        <v>468</v>
      </c>
      <c r="C16" s="12">
        <v>6046</v>
      </c>
      <c r="D16" s="12">
        <v>113</v>
      </c>
      <c r="E16" s="12">
        <v>306</v>
      </c>
      <c r="F16" s="12">
        <v>190</v>
      </c>
      <c r="G16" s="12">
        <v>217</v>
      </c>
      <c r="H16" s="12">
        <v>348</v>
      </c>
      <c r="I16" s="12">
        <v>392</v>
      </c>
      <c r="J16" s="12">
        <v>44</v>
      </c>
      <c r="K16" s="12">
        <v>251</v>
      </c>
      <c r="L16" s="12">
        <v>342</v>
      </c>
      <c r="M16" s="12">
        <v>230</v>
      </c>
      <c r="N16" s="12">
        <v>300</v>
      </c>
      <c r="O16" s="12">
        <v>296</v>
      </c>
      <c r="P16" s="12">
        <v>135</v>
      </c>
      <c r="Q16" s="12">
        <v>152</v>
      </c>
      <c r="R16" s="12">
        <v>124</v>
      </c>
      <c r="S16" s="12">
        <v>502</v>
      </c>
      <c r="T16" s="12">
        <v>421</v>
      </c>
      <c r="U16" s="12">
        <v>141</v>
      </c>
      <c r="V16" s="12">
        <v>140</v>
      </c>
      <c r="W16" s="12">
        <v>67</v>
      </c>
      <c r="X16" s="12">
        <v>103</v>
      </c>
      <c r="Y16" s="12">
        <v>206</v>
      </c>
      <c r="Z16" s="12">
        <v>174</v>
      </c>
      <c r="AA16" s="12">
        <v>419</v>
      </c>
      <c r="AB16" s="12">
        <v>248</v>
      </c>
      <c r="AC16" s="12">
        <v>214</v>
      </c>
      <c r="AD16" s="12">
        <v>156</v>
      </c>
      <c r="AE16" s="12">
        <v>252</v>
      </c>
      <c r="AF16" s="12">
        <v>91</v>
      </c>
    </row>
    <row r="17" spans="1:32">
      <c r="A17" s="20"/>
      <c r="B17" s="13" t="s">
        <v>469</v>
      </c>
      <c r="C17" s="14">
        <v>0.23</v>
      </c>
      <c r="D17" s="14">
        <v>0.11</v>
      </c>
      <c r="E17" s="14">
        <v>0.3</v>
      </c>
      <c r="F17" s="14">
        <v>0.19</v>
      </c>
      <c r="G17" s="14">
        <v>0.22</v>
      </c>
      <c r="H17" s="14">
        <v>0.28999999999999998</v>
      </c>
      <c r="I17" s="14">
        <v>0.26</v>
      </c>
      <c r="J17" s="14">
        <v>0.15</v>
      </c>
      <c r="K17" s="14">
        <v>0.25</v>
      </c>
      <c r="L17" s="14">
        <v>0.34</v>
      </c>
      <c r="M17" s="14">
        <v>0.23</v>
      </c>
      <c r="N17" s="14">
        <v>0.3</v>
      </c>
      <c r="O17" s="14">
        <v>0.3</v>
      </c>
      <c r="P17" s="14">
        <v>0.13</v>
      </c>
      <c r="Q17" s="14">
        <v>0.15</v>
      </c>
      <c r="R17" s="14">
        <v>0.25</v>
      </c>
      <c r="S17" s="14">
        <v>0.5</v>
      </c>
      <c r="T17" s="14">
        <v>0.42</v>
      </c>
      <c r="U17" s="14">
        <v>0.28000000000000003</v>
      </c>
      <c r="V17" s="14">
        <v>0.14000000000000001</v>
      </c>
      <c r="W17" s="14">
        <v>0.13</v>
      </c>
      <c r="X17" s="14">
        <v>0.1</v>
      </c>
      <c r="Y17" s="14">
        <v>0.2</v>
      </c>
      <c r="Z17" s="14">
        <v>0.17</v>
      </c>
      <c r="AA17" s="14">
        <v>0.4</v>
      </c>
      <c r="AB17" s="14">
        <v>0.24</v>
      </c>
      <c r="AC17" s="14">
        <v>0.21</v>
      </c>
      <c r="AD17" s="14">
        <v>0.15</v>
      </c>
      <c r="AE17" s="14">
        <v>0.25</v>
      </c>
      <c r="AF17" s="14">
        <v>0.09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757</v>
      </c>
      <c r="C3" s="18"/>
      <c r="D3" s="18"/>
      <c r="E3" s="18"/>
      <c r="F3" s="18"/>
      <c r="H3" s="18" t="s">
        <v>758</v>
      </c>
      <c r="I3" s="18"/>
      <c r="J3" s="18"/>
      <c r="K3" s="18"/>
      <c r="L3" s="18"/>
    </row>
    <row r="4" spans="1:32" ht="27" customHeight="1">
      <c r="B4" s="18" t="s">
        <v>759</v>
      </c>
      <c r="C4" s="18"/>
      <c r="D4" s="18"/>
      <c r="E4" s="18"/>
      <c r="F4" s="18"/>
      <c r="H4" s="18" t="s">
        <v>760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749</v>
      </c>
      <c r="C12" s="12">
        <v>15008</v>
      </c>
      <c r="D12" s="12">
        <v>625</v>
      </c>
      <c r="E12" s="12">
        <v>552</v>
      </c>
      <c r="F12" s="12">
        <v>575</v>
      </c>
      <c r="G12" s="12">
        <v>502</v>
      </c>
      <c r="H12" s="12">
        <v>702</v>
      </c>
      <c r="I12" s="12">
        <v>887</v>
      </c>
      <c r="J12" s="12">
        <v>185</v>
      </c>
      <c r="K12" s="12">
        <v>503</v>
      </c>
      <c r="L12" s="12">
        <v>534</v>
      </c>
      <c r="M12" s="12">
        <v>626</v>
      </c>
      <c r="N12" s="12">
        <v>527</v>
      </c>
      <c r="O12" s="12">
        <v>515</v>
      </c>
      <c r="P12" s="12">
        <v>690</v>
      </c>
      <c r="Q12" s="12">
        <v>643</v>
      </c>
      <c r="R12" s="12">
        <v>273</v>
      </c>
      <c r="S12" s="12">
        <v>396</v>
      </c>
      <c r="T12" s="12">
        <v>483</v>
      </c>
      <c r="U12" s="12">
        <v>259</v>
      </c>
      <c r="V12" s="12">
        <v>684</v>
      </c>
      <c r="W12" s="12">
        <v>297</v>
      </c>
      <c r="X12" s="12">
        <v>562</v>
      </c>
      <c r="Y12" s="12">
        <v>490</v>
      </c>
      <c r="Z12" s="12">
        <v>687</v>
      </c>
      <c r="AA12" s="12">
        <v>504</v>
      </c>
      <c r="AB12" s="12">
        <v>574</v>
      </c>
      <c r="AC12" s="12">
        <v>519</v>
      </c>
      <c r="AD12" s="12">
        <v>597</v>
      </c>
      <c r="AE12" s="12">
        <v>451</v>
      </c>
      <c r="AF12" s="12">
        <v>471</v>
      </c>
    </row>
    <row r="13" spans="1:32">
      <c r="A13" s="20"/>
      <c r="B13" s="13" t="s">
        <v>750</v>
      </c>
      <c r="C13" s="14">
        <v>0.57000000000000006</v>
      </c>
      <c r="D13" s="14">
        <v>0.62</v>
      </c>
      <c r="E13" s="14">
        <v>0.54</v>
      </c>
      <c r="F13" s="14">
        <v>0.57000000000000006</v>
      </c>
      <c r="G13" s="14">
        <v>0.5</v>
      </c>
      <c r="H13" s="14">
        <v>0.57999999999999996</v>
      </c>
      <c r="I13" s="14">
        <v>0.59</v>
      </c>
      <c r="J13" s="14">
        <v>0.63</v>
      </c>
      <c r="K13" s="14">
        <v>0.5</v>
      </c>
      <c r="L13" s="14">
        <v>0.53</v>
      </c>
      <c r="M13" s="14">
        <v>0.62</v>
      </c>
      <c r="N13" s="14">
        <v>0.53</v>
      </c>
      <c r="O13" s="14">
        <v>0.51</v>
      </c>
      <c r="P13" s="14">
        <v>0.67</v>
      </c>
      <c r="Q13" s="14">
        <v>0.63</v>
      </c>
      <c r="R13" s="14">
        <v>0.54</v>
      </c>
      <c r="S13" s="14">
        <v>0.39</v>
      </c>
      <c r="T13" s="14">
        <v>0.48</v>
      </c>
      <c r="U13" s="14">
        <v>0.51</v>
      </c>
      <c r="V13" s="14">
        <v>0.67</v>
      </c>
      <c r="W13" s="14">
        <v>0.59</v>
      </c>
      <c r="X13" s="14">
        <v>0.55000000000000004</v>
      </c>
      <c r="Y13" s="14">
        <v>0.49</v>
      </c>
      <c r="Z13" s="14">
        <v>0.68</v>
      </c>
      <c r="AA13" s="14">
        <v>0.48</v>
      </c>
      <c r="AB13" s="14">
        <v>0.55000000000000004</v>
      </c>
      <c r="AC13" s="14">
        <v>0.51</v>
      </c>
      <c r="AD13" s="14">
        <v>0.59</v>
      </c>
      <c r="AE13" s="14">
        <v>0.45</v>
      </c>
      <c r="AF13" s="14">
        <v>0.46</v>
      </c>
    </row>
    <row r="14" spans="1:32">
      <c r="A14" s="20"/>
      <c r="B14" s="11" t="s">
        <v>751</v>
      </c>
      <c r="C14" s="12">
        <v>5427</v>
      </c>
      <c r="D14" s="12">
        <v>271</v>
      </c>
      <c r="E14" s="12">
        <v>134</v>
      </c>
      <c r="F14" s="12">
        <v>243</v>
      </c>
      <c r="G14" s="12">
        <v>290</v>
      </c>
      <c r="H14" s="12">
        <v>213</v>
      </c>
      <c r="I14" s="12">
        <v>291</v>
      </c>
      <c r="J14" s="12">
        <v>78</v>
      </c>
      <c r="K14" s="12">
        <v>232</v>
      </c>
      <c r="L14" s="12">
        <v>129</v>
      </c>
      <c r="M14" s="12">
        <v>162</v>
      </c>
      <c r="N14" s="12">
        <v>164</v>
      </c>
      <c r="O14" s="12">
        <v>186</v>
      </c>
      <c r="P14" s="12">
        <v>204</v>
      </c>
      <c r="Q14" s="12">
        <v>221</v>
      </c>
      <c r="R14" s="12">
        <v>129</v>
      </c>
      <c r="S14" s="12">
        <v>121</v>
      </c>
      <c r="T14" s="12">
        <v>127</v>
      </c>
      <c r="U14" s="12">
        <v>112</v>
      </c>
      <c r="V14" s="12">
        <v>176</v>
      </c>
      <c r="W14" s="12">
        <v>136</v>
      </c>
      <c r="X14" s="12">
        <v>366</v>
      </c>
      <c r="Y14" s="12">
        <v>321</v>
      </c>
      <c r="Z14" s="12">
        <v>148</v>
      </c>
      <c r="AA14" s="12">
        <v>122</v>
      </c>
      <c r="AB14" s="12">
        <v>239</v>
      </c>
      <c r="AC14" s="12">
        <v>275</v>
      </c>
      <c r="AD14" s="12">
        <v>233</v>
      </c>
      <c r="AE14" s="12">
        <v>271</v>
      </c>
      <c r="AF14" s="12">
        <v>467</v>
      </c>
    </row>
    <row r="15" spans="1:32">
      <c r="A15" s="20"/>
      <c r="B15" s="13" t="s">
        <v>752</v>
      </c>
      <c r="C15" s="14">
        <v>0.21</v>
      </c>
      <c r="D15" s="14">
        <v>0.27</v>
      </c>
      <c r="E15" s="14">
        <v>0.13</v>
      </c>
      <c r="F15" s="14">
        <v>0.24</v>
      </c>
      <c r="G15" s="14">
        <v>0.28999999999999998</v>
      </c>
      <c r="H15" s="14">
        <v>0.17</v>
      </c>
      <c r="I15" s="14">
        <v>0.19</v>
      </c>
      <c r="J15" s="14">
        <v>0.27</v>
      </c>
      <c r="K15" s="14">
        <v>0.23</v>
      </c>
      <c r="L15" s="14">
        <v>0.13</v>
      </c>
      <c r="M15" s="14">
        <v>0.16</v>
      </c>
      <c r="N15" s="14">
        <v>0.16</v>
      </c>
      <c r="O15" s="14">
        <v>0.19</v>
      </c>
      <c r="P15" s="14">
        <v>0.2</v>
      </c>
      <c r="Q15" s="14">
        <v>0.22</v>
      </c>
      <c r="R15" s="14">
        <v>0.26</v>
      </c>
      <c r="S15" s="14">
        <v>0.12</v>
      </c>
      <c r="T15" s="14">
        <v>0.12</v>
      </c>
      <c r="U15" s="14">
        <v>0.22</v>
      </c>
      <c r="V15" s="14">
        <v>0.17</v>
      </c>
      <c r="W15" s="14">
        <v>0.27</v>
      </c>
      <c r="X15" s="14">
        <v>0.36</v>
      </c>
      <c r="Y15" s="14">
        <v>0.32</v>
      </c>
      <c r="Z15" s="14">
        <v>0.15</v>
      </c>
      <c r="AA15" s="14">
        <v>0.11</v>
      </c>
      <c r="AB15" s="14">
        <v>0.23</v>
      </c>
      <c r="AC15" s="14">
        <v>0.27</v>
      </c>
      <c r="AD15" s="14">
        <v>0.23</v>
      </c>
      <c r="AE15" s="14">
        <v>0.27</v>
      </c>
      <c r="AF15" s="14">
        <v>0.46</v>
      </c>
    </row>
    <row r="16" spans="1:32">
      <c r="A16" s="20"/>
      <c r="B16" s="11" t="s">
        <v>468</v>
      </c>
      <c r="C16" s="12">
        <v>5884</v>
      </c>
      <c r="D16" s="12">
        <v>107</v>
      </c>
      <c r="E16" s="12">
        <v>332</v>
      </c>
      <c r="F16" s="12">
        <v>187</v>
      </c>
      <c r="G16" s="12">
        <v>212</v>
      </c>
      <c r="H16" s="12">
        <v>301</v>
      </c>
      <c r="I16" s="12">
        <v>332</v>
      </c>
      <c r="J16" s="12">
        <v>31</v>
      </c>
      <c r="K16" s="12">
        <v>271</v>
      </c>
      <c r="L16" s="12">
        <v>344</v>
      </c>
      <c r="M16" s="12">
        <v>215</v>
      </c>
      <c r="N16" s="12">
        <v>313</v>
      </c>
      <c r="O16" s="12">
        <v>301</v>
      </c>
      <c r="P16" s="12">
        <v>128</v>
      </c>
      <c r="Q16" s="12">
        <v>155</v>
      </c>
      <c r="R16" s="12">
        <v>98</v>
      </c>
      <c r="S16" s="12">
        <v>491</v>
      </c>
      <c r="T16" s="12">
        <v>404</v>
      </c>
      <c r="U16" s="12">
        <v>136</v>
      </c>
      <c r="V16" s="12">
        <v>156</v>
      </c>
      <c r="W16" s="12">
        <v>71</v>
      </c>
      <c r="X16" s="12">
        <v>93</v>
      </c>
      <c r="Y16" s="12">
        <v>197</v>
      </c>
      <c r="Z16" s="12">
        <v>172</v>
      </c>
      <c r="AA16" s="12">
        <v>427</v>
      </c>
      <c r="AB16" s="12">
        <v>226</v>
      </c>
      <c r="AC16" s="12">
        <v>217</v>
      </c>
      <c r="AD16" s="12">
        <v>176</v>
      </c>
      <c r="AE16" s="12">
        <v>279</v>
      </c>
      <c r="AF16" s="12">
        <v>81</v>
      </c>
    </row>
    <row r="17" spans="1:32">
      <c r="A17" s="20"/>
      <c r="B17" s="13" t="s">
        <v>469</v>
      </c>
      <c r="C17" s="14">
        <v>0.22</v>
      </c>
      <c r="D17" s="14">
        <v>0.11</v>
      </c>
      <c r="E17" s="14">
        <v>0.33</v>
      </c>
      <c r="F17" s="14">
        <v>0.19</v>
      </c>
      <c r="G17" s="14">
        <v>0.21</v>
      </c>
      <c r="H17" s="14">
        <v>0.25</v>
      </c>
      <c r="I17" s="14">
        <v>0.22</v>
      </c>
      <c r="J17" s="14">
        <v>0.1</v>
      </c>
      <c r="K17" s="14">
        <v>0.27</v>
      </c>
      <c r="L17" s="14">
        <v>0.34</v>
      </c>
      <c r="M17" s="14">
        <v>0.22</v>
      </c>
      <c r="N17" s="14">
        <v>0.31</v>
      </c>
      <c r="O17" s="14">
        <v>0.3</v>
      </c>
      <c r="P17" s="14">
        <v>0.13</v>
      </c>
      <c r="Q17" s="14">
        <v>0.15</v>
      </c>
      <c r="R17" s="14">
        <v>0.2</v>
      </c>
      <c r="S17" s="14">
        <v>0.49</v>
      </c>
      <c r="T17" s="14">
        <v>0.4</v>
      </c>
      <c r="U17" s="14">
        <v>0.27</v>
      </c>
      <c r="V17" s="14">
        <v>0.16</v>
      </c>
      <c r="W17" s="14">
        <v>0.14000000000000001</v>
      </c>
      <c r="X17" s="14">
        <v>0.09</v>
      </c>
      <c r="Y17" s="14">
        <v>0.19</v>
      </c>
      <c r="Z17" s="14">
        <v>0.17</v>
      </c>
      <c r="AA17" s="14">
        <v>0.41</v>
      </c>
      <c r="AB17" s="14">
        <v>0.22</v>
      </c>
      <c r="AC17" s="14">
        <v>0.22</v>
      </c>
      <c r="AD17" s="14">
        <v>0.18</v>
      </c>
      <c r="AE17" s="14">
        <v>0.28000000000000003</v>
      </c>
      <c r="AF17" s="14">
        <v>0.08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91</v>
      </c>
      <c r="C3" s="18"/>
      <c r="D3" s="18"/>
      <c r="E3" s="18"/>
      <c r="F3" s="18"/>
      <c r="H3" s="18" t="s">
        <v>92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761</v>
      </c>
      <c r="C12" s="12">
        <v>2737</v>
      </c>
      <c r="D12" s="12">
        <v>130</v>
      </c>
      <c r="E12" s="12">
        <v>40</v>
      </c>
      <c r="F12" s="12">
        <v>98</v>
      </c>
      <c r="G12" s="12">
        <v>187</v>
      </c>
      <c r="H12" s="12">
        <v>167</v>
      </c>
      <c r="I12" s="12">
        <v>214</v>
      </c>
      <c r="J12" s="12">
        <v>47</v>
      </c>
      <c r="K12" s="12">
        <v>98</v>
      </c>
      <c r="L12" s="12">
        <v>43</v>
      </c>
      <c r="M12" s="12">
        <v>91</v>
      </c>
      <c r="N12" s="12">
        <v>82</v>
      </c>
      <c r="O12" s="12">
        <v>115</v>
      </c>
      <c r="P12" s="12">
        <v>59</v>
      </c>
      <c r="Q12" s="12">
        <v>100</v>
      </c>
      <c r="R12" s="12">
        <v>36</v>
      </c>
      <c r="S12" s="12">
        <v>31</v>
      </c>
      <c r="T12" s="12">
        <v>44</v>
      </c>
      <c r="U12" s="12">
        <v>66</v>
      </c>
      <c r="V12" s="12">
        <v>96</v>
      </c>
      <c r="W12" s="12">
        <v>50</v>
      </c>
      <c r="X12" s="12">
        <v>173</v>
      </c>
      <c r="Y12" s="12">
        <v>68</v>
      </c>
      <c r="Z12" s="12">
        <v>59</v>
      </c>
      <c r="AA12" s="12">
        <v>54</v>
      </c>
      <c r="AB12" s="12">
        <v>68</v>
      </c>
      <c r="AC12" s="12">
        <v>46</v>
      </c>
      <c r="AD12" s="12">
        <v>50</v>
      </c>
      <c r="AE12" s="12">
        <v>132</v>
      </c>
      <c r="AF12" s="12">
        <v>175</v>
      </c>
    </row>
    <row r="13" spans="1:32">
      <c r="A13" s="20"/>
      <c r="B13" s="13" t="s">
        <v>762</v>
      </c>
      <c r="C13" s="14">
        <v>0.11</v>
      </c>
      <c r="D13" s="14">
        <v>0.13</v>
      </c>
      <c r="E13" s="14">
        <v>0.04</v>
      </c>
      <c r="F13" s="14">
        <v>0.1</v>
      </c>
      <c r="G13" s="14">
        <v>0.19</v>
      </c>
      <c r="H13" s="14">
        <v>0.14000000000000001</v>
      </c>
      <c r="I13" s="14">
        <v>0.14000000000000001</v>
      </c>
      <c r="J13" s="14">
        <v>0.16</v>
      </c>
      <c r="K13" s="14">
        <v>0.1</v>
      </c>
      <c r="L13" s="14">
        <v>0.04</v>
      </c>
      <c r="M13" s="14">
        <v>0.09</v>
      </c>
      <c r="N13" s="14">
        <v>0.08</v>
      </c>
      <c r="O13" s="14">
        <v>0.11</v>
      </c>
      <c r="P13" s="14">
        <v>0.06</v>
      </c>
      <c r="Q13" s="14">
        <v>0.1</v>
      </c>
      <c r="R13" s="14">
        <v>7.0000000000000007E-2</v>
      </c>
      <c r="S13" s="14">
        <v>0.03</v>
      </c>
      <c r="T13" s="14">
        <v>0.04</v>
      </c>
      <c r="U13" s="14">
        <v>0.13</v>
      </c>
      <c r="V13" s="14">
        <v>0.09</v>
      </c>
      <c r="W13" s="14">
        <v>0.1</v>
      </c>
      <c r="X13" s="14">
        <v>0.17</v>
      </c>
      <c r="Y13" s="14">
        <v>7.0000000000000007E-2</v>
      </c>
      <c r="Z13" s="14">
        <v>0.06</v>
      </c>
      <c r="AA13" s="14">
        <v>0.05</v>
      </c>
      <c r="AB13" s="14">
        <v>0.06</v>
      </c>
      <c r="AC13" s="14">
        <v>0.05</v>
      </c>
      <c r="AD13" s="14">
        <v>0.05</v>
      </c>
      <c r="AE13" s="14">
        <v>0.13</v>
      </c>
      <c r="AF13" s="14">
        <v>0.17</v>
      </c>
    </row>
    <row r="14" spans="1:32">
      <c r="A14" s="20"/>
      <c r="B14" s="11" t="s">
        <v>763</v>
      </c>
      <c r="C14" s="12">
        <v>11364</v>
      </c>
      <c r="D14" s="12">
        <v>479</v>
      </c>
      <c r="E14" s="12">
        <v>452</v>
      </c>
      <c r="F14" s="12">
        <v>459</v>
      </c>
      <c r="G14" s="12">
        <v>334</v>
      </c>
      <c r="H14" s="12">
        <v>463</v>
      </c>
      <c r="I14" s="12">
        <v>578</v>
      </c>
      <c r="J14" s="12">
        <v>115</v>
      </c>
      <c r="K14" s="12">
        <v>385</v>
      </c>
      <c r="L14" s="12">
        <v>462</v>
      </c>
      <c r="M14" s="12">
        <v>500</v>
      </c>
      <c r="N14" s="12">
        <v>421</v>
      </c>
      <c r="O14" s="12">
        <v>367</v>
      </c>
      <c r="P14" s="12">
        <v>610</v>
      </c>
      <c r="Q14" s="12">
        <v>512</v>
      </c>
      <c r="R14" s="12">
        <v>192</v>
      </c>
      <c r="S14" s="12">
        <v>316</v>
      </c>
      <c r="T14" s="12">
        <v>399</v>
      </c>
      <c r="U14" s="12">
        <v>169</v>
      </c>
      <c r="V14" s="12">
        <v>567</v>
      </c>
      <c r="W14" s="12">
        <v>239</v>
      </c>
      <c r="X14" s="12">
        <v>402</v>
      </c>
      <c r="Y14" s="12">
        <v>392</v>
      </c>
      <c r="Z14" s="12">
        <v>575</v>
      </c>
      <c r="AA14" s="12">
        <v>379</v>
      </c>
      <c r="AB14" s="12">
        <v>444</v>
      </c>
      <c r="AC14" s="12">
        <v>461</v>
      </c>
      <c r="AD14" s="12">
        <v>517</v>
      </c>
      <c r="AE14" s="12">
        <v>332</v>
      </c>
      <c r="AF14" s="12">
        <v>370</v>
      </c>
    </row>
    <row r="15" spans="1:32">
      <c r="A15" s="20"/>
      <c r="B15" s="13" t="s">
        <v>764</v>
      </c>
      <c r="C15" s="14">
        <v>0.43</v>
      </c>
      <c r="D15" s="14">
        <v>0.48</v>
      </c>
      <c r="E15" s="14">
        <v>0.44</v>
      </c>
      <c r="F15" s="14">
        <v>0.46</v>
      </c>
      <c r="G15" s="14">
        <v>0.33</v>
      </c>
      <c r="H15" s="14">
        <v>0.38</v>
      </c>
      <c r="I15" s="14">
        <v>0.38</v>
      </c>
      <c r="J15" s="14">
        <v>0.39</v>
      </c>
      <c r="K15" s="14">
        <v>0.38</v>
      </c>
      <c r="L15" s="14">
        <v>0.46</v>
      </c>
      <c r="M15" s="14">
        <v>0.5</v>
      </c>
      <c r="N15" s="14">
        <v>0.42</v>
      </c>
      <c r="O15" s="14">
        <v>0.37</v>
      </c>
      <c r="P15" s="14">
        <v>0.6</v>
      </c>
      <c r="Q15" s="14">
        <v>0.5</v>
      </c>
      <c r="R15" s="14">
        <v>0.39</v>
      </c>
      <c r="S15" s="14">
        <v>0.31</v>
      </c>
      <c r="T15" s="14">
        <v>0.39</v>
      </c>
      <c r="U15" s="14">
        <v>0.33</v>
      </c>
      <c r="V15" s="14">
        <v>0.56000000000000005</v>
      </c>
      <c r="W15" s="14">
        <v>0.47</v>
      </c>
      <c r="X15" s="14">
        <v>0.39</v>
      </c>
      <c r="Y15" s="14">
        <v>0.39</v>
      </c>
      <c r="Z15" s="14">
        <v>0.57000000000000006</v>
      </c>
      <c r="AA15" s="14">
        <v>0.36</v>
      </c>
      <c r="AB15" s="14">
        <v>0.43</v>
      </c>
      <c r="AC15" s="14">
        <v>0.46</v>
      </c>
      <c r="AD15" s="14">
        <v>0.51</v>
      </c>
      <c r="AE15" s="14">
        <v>0.33</v>
      </c>
      <c r="AF15" s="14">
        <v>0.36</v>
      </c>
    </row>
    <row r="16" spans="1:32">
      <c r="A16" s="20"/>
      <c r="B16" s="11" t="s">
        <v>765</v>
      </c>
      <c r="C16" s="12">
        <v>6415</v>
      </c>
      <c r="D16" s="12">
        <v>264</v>
      </c>
      <c r="E16" s="12">
        <v>262</v>
      </c>
      <c r="F16" s="12">
        <v>268</v>
      </c>
      <c r="G16" s="12">
        <v>301</v>
      </c>
      <c r="H16" s="12">
        <v>286</v>
      </c>
      <c r="I16" s="12">
        <v>385</v>
      </c>
      <c r="J16" s="12">
        <v>99</v>
      </c>
      <c r="K16" s="12">
        <v>277</v>
      </c>
      <c r="L16" s="12">
        <v>168</v>
      </c>
      <c r="M16" s="12">
        <v>212</v>
      </c>
      <c r="N16" s="12">
        <v>214</v>
      </c>
      <c r="O16" s="12">
        <v>217</v>
      </c>
      <c r="P16" s="12">
        <v>209</v>
      </c>
      <c r="Q16" s="12">
        <v>242</v>
      </c>
      <c r="R16" s="12">
        <v>172</v>
      </c>
      <c r="S16" s="12">
        <v>213</v>
      </c>
      <c r="T16" s="12">
        <v>177</v>
      </c>
      <c r="U16" s="12">
        <v>154</v>
      </c>
      <c r="V16" s="12">
        <v>217</v>
      </c>
      <c r="W16" s="12">
        <v>151</v>
      </c>
      <c r="X16" s="12">
        <v>357</v>
      </c>
      <c r="Y16" s="12">
        <v>360</v>
      </c>
      <c r="Z16" s="12">
        <v>192</v>
      </c>
      <c r="AA16" s="12">
        <v>206</v>
      </c>
      <c r="AB16" s="12">
        <v>279</v>
      </c>
      <c r="AC16" s="12">
        <v>285</v>
      </c>
      <c r="AD16" s="12">
        <v>269</v>
      </c>
      <c r="AE16" s="12">
        <v>297</v>
      </c>
      <c r="AF16" s="12">
        <v>414</v>
      </c>
    </row>
    <row r="17" spans="1:32">
      <c r="A17" s="20"/>
      <c r="B17" s="13" t="s">
        <v>766</v>
      </c>
      <c r="C17" s="14">
        <v>0.24</v>
      </c>
      <c r="D17" s="14">
        <v>0.26</v>
      </c>
      <c r="E17" s="14">
        <v>0.26</v>
      </c>
      <c r="F17" s="14">
        <v>0.27</v>
      </c>
      <c r="G17" s="14">
        <v>0.3</v>
      </c>
      <c r="H17" s="14">
        <v>0.23</v>
      </c>
      <c r="I17" s="14">
        <v>0.26</v>
      </c>
      <c r="J17" s="14">
        <v>0.34</v>
      </c>
      <c r="K17" s="14">
        <v>0.27</v>
      </c>
      <c r="L17" s="14">
        <v>0.17</v>
      </c>
      <c r="M17" s="14">
        <v>0.21</v>
      </c>
      <c r="N17" s="14">
        <v>0.21</v>
      </c>
      <c r="O17" s="14">
        <v>0.21</v>
      </c>
      <c r="P17" s="14">
        <v>0.2</v>
      </c>
      <c r="Q17" s="14">
        <v>0.24</v>
      </c>
      <c r="R17" s="14">
        <v>0.34</v>
      </c>
      <c r="S17" s="14">
        <v>0.21</v>
      </c>
      <c r="T17" s="14">
        <v>0.18</v>
      </c>
      <c r="U17" s="14">
        <v>0.3</v>
      </c>
      <c r="V17" s="14">
        <v>0.21</v>
      </c>
      <c r="W17" s="14">
        <v>0.3</v>
      </c>
      <c r="X17" s="14">
        <v>0.35</v>
      </c>
      <c r="Y17" s="14">
        <v>0.36</v>
      </c>
      <c r="Z17" s="14">
        <v>0.19</v>
      </c>
      <c r="AA17" s="14">
        <v>0.2</v>
      </c>
      <c r="AB17" s="14">
        <v>0.27</v>
      </c>
      <c r="AC17" s="14">
        <v>0.28000000000000003</v>
      </c>
      <c r="AD17" s="14">
        <v>0.27</v>
      </c>
      <c r="AE17" s="14">
        <v>0.3</v>
      </c>
      <c r="AF17" s="14">
        <v>0.41</v>
      </c>
    </row>
    <row r="18" spans="1:32">
      <c r="A18" s="20"/>
      <c r="B18" s="11" t="s">
        <v>767</v>
      </c>
      <c r="C18" s="12">
        <v>1113</v>
      </c>
      <c r="D18" s="12">
        <v>52</v>
      </c>
      <c r="E18" s="12">
        <v>46</v>
      </c>
      <c r="F18" s="12">
        <v>35</v>
      </c>
      <c r="G18" s="12">
        <v>30</v>
      </c>
      <c r="H18" s="12">
        <v>49</v>
      </c>
      <c r="I18" s="12">
        <v>62</v>
      </c>
      <c r="J18" s="12">
        <v>12</v>
      </c>
      <c r="K18" s="12">
        <v>49</v>
      </c>
      <c r="L18" s="12">
        <v>26</v>
      </c>
      <c r="M18" s="12">
        <v>32</v>
      </c>
      <c r="N18" s="12">
        <v>27</v>
      </c>
      <c r="O18" s="12">
        <v>77</v>
      </c>
      <c r="P18" s="12">
        <v>39</v>
      </c>
      <c r="Q18" s="12">
        <v>32</v>
      </c>
      <c r="R18" s="12">
        <v>22</v>
      </c>
      <c r="S18" s="12">
        <v>45</v>
      </c>
      <c r="T18" s="12">
        <v>25</v>
      </c>
      <c r="U18" s="12">
        <v>23</v>
      </c>
      <c r="V18" s="12">
        <v>29</v>
      </c>
      <c r="W18" s="12">
        <v>10</v>
      </c>
      <c r="X18" s="12">
        <v>33</v>
      </c>
      <c r="Y18" s="12">
        <v>57</v>
      </c>
      <c r="Z18" s="12">
        <v>39</v>
      </c>
      <c r="AA18" s="12">
        <v>29</v>
      </c>
      <c r="AB18" s="12">
        <v>57</v>
      </c>
      <c r="AC18" s="12">
        <v>41</v>
      </c>
      <c r="AD18" s="12">
        <v>42</v>
      </c>
      <c r="AE18" s="12">
        <v>33</v>
      </c>
      <c r="AF18" s="12">
        <v>29</v>
      </c>
    </row>
    <row r="19" spans="1:32">
      <c r="A19" s="20"/>
      <c r="B19" s="13" t="s">
        <v>768</v>
      </c>
      <c r="C19" s="14">
        <v>0.04</v>
      </c>
      <c r="D19" s="14">
        <v>0.05</v>
      </c>
      <c r="E19" s="14">
        <v>0.05</v>
      </c>
      <c r="F19" s="14">
        <v>0.03</v>
      </c>
      <c r="G19" s="14">
        <v>0.03</v>
      </c>
      <c r="H19" s="14">
        <v>0.04</v>
      </c>
      <c r="I19" s="14">
        <v>0.04</v>
      </c>
      <c r="J19" s="14">
        <v>0.04</v>
      </c>
      <c r="K19" s="14">
        <v>0.05</v>
      </c>
      <c r="L19" s="14">
        <v>0.03</v>
      </c>
      <c r="M19" s="14">
        <v>0.03</v>
      </c>
      <c r="N19" s="14">
        <v>0.03</v>
      </c>
      <c r="O19" s="14">
        <v>0.08</v>
      </c>
      <c r="P19" s="14">
        <v>0.04</v>
      </c>
      <c r="Q19" s="14">
        <v>0.03</v>
      </c>
      <c r="R19" s="14">
        <v>0.04</v>
      </c>
      <c r="S19" s="14">
        <v>0.05</v>
      </c>
      <c r="T19" s="14">
        <v>0.03</v>
      </c>
      <c r="U19" s="14">
        <v>0.05</v>
      </c>
      <c r="V19" s="14">
        <v>0.03</v>
      </c>
      <c r="W19" s="14">
        <v>0.02</v>
      </c>
      <c r="X19" s="14">
        <v>0.03</v>
      </c>
      <c r="Y19" s="14">
        <v>0.05</v>
      </c>
      <c r="Z19" s="14">
        <v>0.04</v>
      </c>
      <c r="AA19" s="14">
        <v>0.03</v>
      </c>
      <c r="AB19" s="14">
        <v>0.06</v>
      </c>
      <c r="AC19" s="14">
        <v>0.04</v>
      </c>
      <c r="AD19" s="14">
        <v>0.04</v>
      </c>
      <c r="AE19" s="14">
        <v>0.03</v>
      </c>
      <c r="AF19" s="14">
        <v>0.03</v>
      </c>
    </row>
    <row r="20" spans="1:32">
      <c r="A20" s="20"/>
      <c r="B20" s="11" t="s">
        <v>769</v>
      </c>
      <c r="C20" s="12">
        <v>4689</v>
      </c>
      <c r="D20" s="12">
        <v>77</v>
      </c>
      <c r="E20" s="12">
        <v>219</v>
      </c>
      <c r="F20" s="12">
        <v>145</v>
      </c>
      <c r="G20" s="12">
        <v>151</v>
      </c>
      <c r="H20" s="12">
        <v>252</v>
      </c>
      <c r="I20" s="12">
        <v>272</v>
      </c>
      <c r="J20" s="12">
        <v>20</v>
      </c>
      <c r="K20" s="12">
        <v>197</v>
      </c>
      <c r="L20" s="12">
        <v>308</v>
      </c>
      <c r="M20" s="12">
        <v>168</v>
      </c>
      <c r="N20" s="12">
        <v>260</v>
      </c>
      <c r="O20" s="12">
        <v>227</v>
      </c>
      <c r="P20" s="12">
        <v>105</v>
      </c>
      <c r="Q20" s="12">
        <v>132</v>
      </c>
      <c r="R20" s="12">
        <v>77</v>
      </c>
      <c r="S20" s="12">
        <v>403</v>
      </c>
      <c r="T20" s="12">
        <v>369</v>
      </c>
      <c r="U20" s="12">
        <v>95</v>
      </c>
      <c r="V20" s="12">
        <v>108</v>
      </c>
      <c r="W20" s="12">
        <v>54</v>
      </c>
      <c r="X20" s="12">
        <v>56</v>
      </c>
      <c r="Y20" s="12">
        <v>131</v>
      </c>
      <c r="Z20" s="12">
        <v>143</v>
      </c>
      <c r="AA20" s="12">
        <v>385</v>
      </c>
      <c r="AB20" s="12">
        <v>192</v>
      </c>
      <c r="AC20" s="12">
        <v>177</v>
      </c>
      <c r="AD20" s="12">
        <v>128</v>
      </c>
      <c r="AE20" s="12">
        <v>207</v>
      </c>
      <c r="AF20" s="12">
        <v>31</v>
      </c>
    </row>
    <row r="21" spans="1:32">
      <c r="A21" s="20"/>
      <c r="B21" s="13" t="s">
        <v>770</v>
      </c>
      <c r="C21" s="14">
        <v>0.18</v>
      </c>
      <c r="D21" s="14">
        <v>0.08</v>
      </c>
      <c r="E21" s="14">
        <v>0.21</v>
      </c>
      <c r="F21" s="14">
        <v>0.14000000000000001</v>
      </c>
      <c r="G21" s="14">
        <v>0.15</v>
      </c>
      <c r="H21" s="14">
        <v>0.21</v>
      </c>
      <c r="I21" s="14">
        <v>0.18</v>
      </c>
      <c r="J21" s="14">
        <v>7.0000000000000007E-2</v>
      </c>
      <c r="K21" s="14">
        <v>0.2</v>
      </c>
      <c r="L21" s="14">
        <v>0.3</v>
      </c>
      <c r="M21" s="14">
        <v>0.17</v>
      </c>
      <c r="N21" s="14">
        <v>0.26</v>
      </c>
      <c r="O21" s="14">
        <v>0.23</v>
      </c>
      <c r="P21" s="14">
        <v>0.1</v>
      </c>
      <c r="Q21" s="14">
        <v>0.13</v>
      </c>
      <c r="R21" s="14">
        <v>0.16</v>
      </c>
      <c r="S21" s="14">
        <v>0.4</v>
      </c>
      <c r="T21" s="14">
        <v>0.36</v>
      </c>
      <c r="U21" s="14">
        <v>0.19</v>
      </c>
      <c r="V21" s="14">
        <v>0.11</v>
      </c>
      <c r="W21" s="14">
        <v>0.11</v>
      </c>
      <c r="X21" s="14">
        <v>0.06</v>
      </c>
      <c r="Y21" s="14">
        <v>0.13</v>
      </c>
      <c r="Z21" s="14">
        <v>0.14000000000000001</v>
      </c>
      <c r="AA21" s="14">
        <v>0.36</v>
      </c>
      <c r="AB21" s="14">
        <v>0.18</v>
      </c>
      <c r="AC21" s="14">
        <v>0.17</v>
      </c>
      <c r="AD21" s="14">
        <v>0.13</v>
      </c>
      <c r="AE21" s="14">
        <v>0.21</v>
      </c>
      <c r="AF21" s="14">
        <v>0.03</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93</v>
      </c>
      <c r="C3" s="18"/>
      <c r="D3" s="18"/>
      <c r="E3" s="18"/>
      <c r="F3" s="18"/>
      <c r="H3" s="18" t="s">
        <v>94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771</v>
      </c>
      <c r="C12" s="12">
        <v>5581</v>
      </c>
      <c r="D12" s="12">
        <v>252</v>
      </c>
      <c r="E12" s="12">
        <v>237</v>
      </c>
      <c r="F12" s="12">
        <v>176</v>
      </c>
      <c r="G12" s="12">
        <v>176</v>
      </c>
      <c r="H12" s="12">
        <v>240</v>
      </c>
      <c r="I12" s="12">
        <v>325</v>
      </c>
      <c r="J12" s="12">
        <v>85</v>
      </c>
      <c r="K12" s="12">
        <v>156</v>
      </c>
      <c r="L12" s="12">
        <v>145</v>
      </c>
      <c r="M12" s="12">
        <v>184</v>
      </c>
      <c r="N12" s="12">
        <v>221</v>
      </c>
      <c r="O12" s="12">
        <v>237</v>
      </c>
      <c r="P12" s="12">
        <v>361</v>
      </c>
      <c r="Q12" s="12">
        <v>220</v>
      </c>
      <c r="R12" s="12">
        <v>68</v>
      </c>
      <c r="S12" s="12">
        <v>126</v>
      </c>
      <c r="T12" s="12">
        <v>88</v>
      </c>
      <c r="U12" s="12">
        <v>118</v>
      </c>
      <c r="V12" s="12">
        <v>299</v>
      </c>
      <c r="W12" s="12">
        <v>69</v>
      </c>
      <c r="X12" s="12">
        <v>268</v>
      </c>
      <c r="Y12" s="12">
        <v>161</v>
      </c>
      <c r="Z12" s="12">
        <v>159</v>
      </c>
      <c r="AA12" s="12">
        <v>125</v>
      </c>
      <c r="AB12" s="12">
        <v>196</v>
      </c>
      <c r="AC12" s="12">
        <v>152</v>
      </c>
      <c r="AD12" s="12">
        <v>158</v>
      </c>
      <c r="AE12" s="12">
        <v>160</v>
      </c>
      <c r="AF12" s="12">
        <v>334</v>
      </c>
    </row>
    <row r="13" spans="1:32" ht="48.95">
      <c r="A13" s="20"/>
      <c r="B13" s="13" t="s">
        <v>772</v>
      </c>
      <c r="C13" s="14">
        <v>0.21</v>
      </c>
      <c r="D13" s="14">
        <v>0.25</v>
      </c>
      <c r="E13" s="14">
        <v>0.23</v>
      </c>
      <c r="F13" s="14">
        <v>0.17</v>
      </c>
      <c r="G13" s="14">
        <v>0.17</v>
      </c>
      <c r="H13" s="14">
        <v>0.2</v>
      </c>
      <c r="I13" s="14">
        <v>0.22</v>
      </c>
      <c r="J13" s="14">
        <v>0.28999999999999998</v>
      </c>
      <c r="K13" s="14">
        <v>0.15</v>
      </c>
      <c r="L13" s="14">
        <v>0.14000000000000001</v>
      </c>
      <c r="M13" s="14">
        <v>0.18</v>
      </c>
      <c r="N13" s="14">
        <v>0.22</v>
      </c>
      <c r="O13" s="14">
        <v>0.24</v>
      </c>
      <c r="P13" s="14">
        <v>0.35</v>
      </c>
      <c r="Q13" s="14">
        <v>0.22</v>
      </c>
      <c r="R13" s="14">
        <v>0.14000000000000001</v>
      </c>
      <c r="S13" s="14">
        <v>0.12</v>
      </c>
      <c r="T13" s="14">
        <v>0.09</v>
      </c>
      <c r="U13" s="14">
        <v>0.23</v>
      </c>
      <c r="V13" s="14">
        <v>0.28999999999999998</v>
      </c>
      <c r="W13" s="14">
        <v>0.14000000000000001</v>
      </c>
      <c r="X13" s="14">
        <v>0.26</v>
      </c>
      <c r="Y13" s="14">
        <v>0.16</v>
      </c>
      <c r="Z13" s="14">
        <v>0.16</v>
      </c>
      <c r="AA13" s="14">
        <v>0.12</v>
      </c>
      <c r="AB13" s="14">
        <v>0.19</v>
      </c>
      <c r="AC13" s="14">
        <v>0.15</v>
      </c>
      <c r="AD13" s="14">
        <v>0.16</v>
      </c>
      <c r="AE13" s="14">
        <v>0.16</v>
      </c>
      <c r="AF13" s="14">
        <v>0.33</v>
      </c>
    </row>
    <row r="14" spans="1:32" ht="24.95">
      <c r="A14" s="20"/>
      <c r="B14" s="11" t="s">
        <v>773</v>
      </c>
      <c r="C14" s="12">
        <v>2357</v>
      </c>
      <c r="D14" s="12">
        <v>89</v>
      </c>
      <c r="E14" s="12">
        <v>61</v>
      </c>
      <c r="F14" s="12">
        <v>51</v>
      </c>
      <c r="G14" s="12">
        <v>73</v>
      </c>
      <c r="H14" s="12">
        <v>45</v>
      </c>
      <c r="I14" s="12">
        <v>67</v>
      </c>
      <c r="J14" s="12">
        <v>22</v>
      </c>
      <c r="K14" s="12">
        <v>80</v>
      </c>
      <c r="L14" s="12">
        <v>149</v>
      </c>
      <c r="M14" s="12">
        <v>49</v>
      </c>
      <c r="N14" s="12">
        <v>155</v>
      </c>
      <c r="O14" s="12">
        <v>86</v>
      </c>
      <c r="P14" s="12">
        <v>43</v>
      </c>
      <c r="Q14" s="12">
        <v>139</v>
      </c>
      <c r="R14" s="12">
        <v>59</v>
      </c>
      <c r="S14" s="12">
        <v>61</v>
      </c>
      <c r="T14" s="12">
        <v>56</v>
      </c>
      <c r="U14" s="12">
        <v>55</v>
      </c>
      <c r="V14" s="12">
        <v>79</v>
      </c>
      <c r="W14" s="12">
        <v>82</v>
      </c>
      <c r="X14" s="12">
        <v>84</v>
      </c>
      <c r="Y14" s="12">
        <v>89</v>
      </c>
      <c r="Z14" s="12">
        <v>109</v>
      </c>
      <c r="AA14" s="12">
        <v>87</v>
      </c>
      <c r="AB14" s="12">
        <v>80</v>
      </c>
      <c r="AC14" s="12">
        <v>29</v>
      </c>
      <c r="AD14" s="12">
        <v>58</v>
      </c>
      <c r="AE14" s="12">
        <v>13</v>
      </c>
      <c r="AF14" s="12">
        <v>66</v>
      </c>
    </row>
    <row r="15" spans="1:32" ht="24.95">
      <c r="A15" s="20"/>
      <c r="B15" s="13" t="s">
        <v>774</v>
      </c>
      <c r="C15" s="14">
        <v>0.09</v>
      </c>
      <c r="D15" s="14">
        <v>0.09</v>
      </c>
      <c r="E15" s="14">
        <v>0.06</v>
      </c>
      <c r="F15" s="14">
        <v>0.05</v>
      </c>
      <c r="G15" s="14">
        <v>7.0000000000000007E-2</v>
      </c>
      <c r="H15" s="14">
        <v>0.04</v>
      </c>
      <c r="I15" s="14">
        <v>0.05</v>
      </c>
      <c r="J15" s="14">
        <v>0.08</v>
      </c>
      <c r="K15" s="14">
        <v>0.08</v>
      </c>
      <c r="L15" s="14">
        <v>0.15</v>
      </c>
      <c r="M15" s="14">
        <v>0.05</v>
      </c>
      <c r="N15" s="14">
        <v>0.15</v>
      </c>
      <c r="O15" s="14">
        <v>0.08</v>
      </c>
      <c r="P15" s="14">
        <v>0.04</v>
      </c>
      <c r="Q15" s="14">
        <v>0.14000000000000001</v>
      </c>
      <c r="R15" s="14">
        <v>0.12</v>
      </c>
      <c r="S15" s="14">
        <v>0.06</v>
      </c>
      <c r="T15" s="14">
        <v>0.05</v>
      </c>
      <c r="U15" s="14">
        <v>0.11</v>
      </c>
      <c r="V15" s="14">
        <v>0.08</v>
      </c>
      <c r="W15" s="14">
        <v>0.16</v>
      </c>
      <c r="X15" s="14">
        <v>0.08</v>
      </c>
      <c r="Y15" s="14">
        <v>0.09</v>
      </c>
      <c r="Z15" s="14">
        <v>0.11</v>
      </c>
      <c r="AA15" s="14">
        <v>0.08</v>
      </c>
      <c r="AB15" s="14">
        <v>0.08</v>
      </c>
      <c r="AC15" s="14">
        <v>0.03</v>
      </c>
      <c r="AD15" s="14">
        <v>0.06</v>
      </c>
      <c r="AE15" s="14">
        <v>0.01</v>
      </c>
      <c r="AF15" s="14">
        <v>7.0000000000000007E-2</v>
      </c>
    </row>
    <row r="16" spans="1:32">
      <c r="A16" s="20"/>
      <c r="B16" s="11" t="s">
        <v>775</v>
      </c>
      <c r="C16" s="12">
        <v>5914</v>
      </c>
      <c r="D16" s="12">
        <v>226</v>
      </c>
      <c r="E16" s="12">
        <v>183</v>
      </c>
      <c r="F16" s="12">
        <v>217</v>
      </c>
      <c r="G16" s="12">
        <v>299</v>
      </c>
      <c r="H16" s="12">
        <v>245</v>
      </c>
      <c r="I16" s="12">
        <v>293</v>
      </c>
      <c r="J16" s="12">
        <v>48</v>
      </c>
      <c r="K16" s="12">
        <v>199</v>
      </c>
      <c r="L16" s="12">
        <v>206</v>
      </c>
      <c r="M16" s="12">
        <v>303</v>
      </c>
      <c r="N16" s="12">
        <v>226</v>
      </c>
      <c r="O16" s="12">
        <v>242</v>
      </c>
      <c r="P16" s="12">
        <v>213</v>
      </c>
      <c r="Q16" s="12">
        <v>215</v>
      </c>
      <c r="R16" s="12">
        <v>186</v>
      </c>
      <c r="S16" s="12">
        <v>289</v>
      </c>
      <c r="T16" s="12">
        <v>318</v>
      </c>
      <c r="U16" s="12">
        <v>167</v>
      </c>
      <c r="V16" s="12">
        <v>158</v>
      </c>
      <c r="W16" s="12">
        <v>109</v>
      </c>
      <c r="X16" s="12">
        <v>120</v>
      </c>
      <c r="Y16" s="12">
        <v>170</v>
      </c>
      <c r="Z16" s="12">
        <v>301</v>
      </c>
      <c r="AA16" s="12">
        <v>436</v>
      </c>
      <c r="AB16" s="12">
        <v>243</v>
      </c>
      <c r="AC16" s="12">
        <v>132</v>
      </c>
      <c r="AD16" s="12">
        <v>211</v>
      </c>
      <c r="AE16" s="12">
        <v>198</v>
      </c>
      <c r="AF16" s="12">
        <v>194</v>
      </c>
    </row>
    <row r="17" spans="1:32">
      <c r="A17" s="20"/>
      <c r="B17" s="13" t="s">
        <v>776</v>
      </c>
      <c r="C17" s="14">
        <v>0.23</v>
      </c>
      <c r="D17" s="14">
        <v>0.22</v>
      </c>
      <c r="E17" s="14">
        <v>0.18</v>
      </c>
      <c r="F17" s="14">
        <v>0.22</v>
      </c>
      <c r="G17" s="14">
        <v>0.3</v>
      </c>
      <c r="H17" s="14">
        <v>0.2</v>
      </c>
      <c r="I17" s="14">
        <v>0.19</v>
      </c>
      <c r="J17" s="14">
        <v>0.16</v>
      </c>
      <c r="K17" s="14">
        <v>0.2</v>
      </c>
      <c r="L17" s="14">
        <v>0.21</v>
      </c>
      <c r="M17" s="14">
        <v>0.3</v>
      </c>
      <c r="N17" s="14">
        <v>0.23</v>
      </c>
      <c r="O17" s="14">
        <v>0.24</v>
      </c>
      <c r="P17" s="14">
        <v>0.21</v>
      </c>
      <c r="Q17" s="14">
        <v>0.21</v>
      </c>
      <c r="R17" s="14">
        <v>0.37</v>
      </c>
      <c r="S17" s="14">
        <v>0.28999999999999998</v>
      </c>
      <c r="T17" s="14">
        <v>0.31</v>
      </c>
      <c r="U17" s="14">
        <v>0.33</v>
      </c>
      <c r="V17" s="14">
        <v>0.16</v>
      </c>
      <c r="W17" s="14">
        <v>0.22</v>
      </c>
      <c r="X17" s="14">
        <v>0.12</v>
      </c>
      <c r="Y17" s="14">
        <v>0.17</v>
      </c>
      <c r="Z17" s="14">
        <v>0.3</v>
      </c>
      <c r="AA17" s="14">
        <v>0.42</v>
      </c>
      <c r="AB17" s="14">
        <v>0.23</v>
      </c>
      <c r="AC17" s="14">
        <v>0.13</v>
      </c>
      <c r="AD17" s="14">
        <v>0.21</v>
      </c>
      <c r="AE17" s="14">
        <v>0.2</v>
      </c>
      <c r="AF17" s="14">
        <v>0.19</v>
      </c>
    </row>
    <row r="18" spans="1:32">
      <c r="A18" s="20"/>
      <c r="B18" s="11" t="s">
        <v>777</v>
      </c>
      <c r="C18" s="12">
        <v>3975</v>
      </c>
      <c r="D18" s="12">
        <v>137</v>
      </c>
      <c r="E18" s="12">
        <v>214</v>
      </c>
      <c r="F18" s="12">
        <v>159</v>
      </c>
      <c r="G18" s="12">
        <v>129</v>
      </c>
      <c r="H18" s="12">
        <v>214</v>
      </c>
      <c r="I18" s="12">
        <v>262</v>
      </c>
      <c r="J18" s="12">
        <v>48</v>
      </c>
      <c r="K18" s="12">
        <v>167</v>
      </c>
      <c r="L18" s="12">
        <v>106</v>
      </c>
      <c r="M18" s="12">
        <v>223</v>
      </c>
      <c r="N18" s="12">
        <v>136</v>
      </c>
      <c r="O18" s="12">
        <v>116</v>
      </c>
      <c r="P18" s="12">
        <v>90</v>
      </c>
      <c r="Q18" s="12">
        <v>215</v>
      </c>
      <c r="R18" s="12">
        <v>74</v>
      </c>
      <c r="S18" s="12">
        <v>149</v>
      </c>
      <c r="T18" s="12">
        <v>182</v>
      </c>
      <c r="U18" s="12">
        <v>61</v>
      </c>
      <c r="V18" s="12">
        <v>104</v>
      </c>
      <c r="W18" s="12">
        <v>57</v>
      </c>
      <c r="X18" s="12">
        <v>159</v>
      </c>
      <c r="Y18" s="12">
        <v>129</v>
      </c>
      <c r="Z18" s="12">
        <v>103</v>
      </c>
      <c r="AA18" s="12">
        <v>114</v>
      </c>
      <c r="AB18" s="12">
        <v>168</v>
      </c>
      <c r="AC18" s="12">
        <v>150</v>
      </c>
      <c r="AD18" s="12">
        <v>154</v>
      </c>
      <c r="AE18" s="12">
        <v>92</v>
      </c>
      <c r="AF18" s="12">
        <v>156</v>
      </c>
    </row>
    <row r="19" spans="1:32">
      <c r="A19" s="20"/>
      <c r="B19" s="13" t="s">
        <v>778</v>
      </c>
      <c r="C19" s="14">
        <v>0.15</v>
      </c>
      <c r="D19" s="14">
        <v>0.14000000000000001</v>
      </c>
      <c r="E19" s="14">
        <v>0.21</v>
      </c>
      <c r="F19" s="14">
        <v>0.16</v>
      </c>
      <c r="G19" s="14">
        <v>0.13</v>
      </c>
      <c r="H19" s="14">
        <v>0.18</v>
      </c>
      <c r="I19" s="14">
        <v>0.17</v>
      </c>
      <c r="J19" s="14">
        <v>0.16</v>
      </c>
      <c r="K19" s="14">
        <v>0.17</v>
      </c>
      <c r="L19" s="14">
        <v>0.11</v>
      </c>
      <c r="M19" s="14">
        <v>0.22</v>
      </c>
      <c r="N19" s="14">
        <v>0.14000000000000001</v>
      </c>
      <c r="O19" s="14">
        <v>0.12</v>
      </c>
      <c r="P19" s="14">
        <v>0.09</v>
      </c>
      <c r="Q19" s="14">
        <v>0.21</v>
      </c>
      <c r="R19" s="14">
        <v>0.15</v>
      </c>
      <c r="S19" s="14">
        <v>0.15</v>
      </c>
      <c r="T19" s="14">
        <v>0.18</v>
      </c>
      <c r="U19" s="14">
        <v>0.12</v>
      </c>
      <c r="V19" s="14">
        <v>0.1</v>
      </c>
      <c r="W19" s="14">
        <v>0.11</v>
      </c>
      <c r="X19" s="14">
        <v>0.16</v>
      </c>
      <c r="Y19" s="14">
        <v>0.13</v>
      </c>
      <c r="Z19" s="14">
        <v>0.1</v>
      </c>
      <c r="AA19" s="14">
        <v>0.11</v>
      </c>
      <c r="AB19" s="14">
        <v>0.16</v>
      </c>
      <c r="AC19" s="14">
        <v>0.15</v>
      </c>
      <c r="AD19" s="14">
        <v>0.15</v>
      </c>
      <c r="AE19" s="14">
        <v>0.09</v>
      </c>
      <c r="AF19" s="14">
        <v>0.15</v>
      </c>
    </row>
    <row r="20" spans="1:32" ht="24.95">
      <c r="A20" s="20"/>
      <c r="B20" s="11" t="s">
        <v>779</v>
      </c>
      <c r="C20" s="12">
        <v>3984</v>
      </c>
      <c r="D20" s="12">
        <v>181</v>
      </c>
      <c r="E20" s="12">
        <v>134</v>
      </c>
      <c r="F20" s="12">
        <v>182</v>
      </c>
      <c r="G20" s="12">
        <v>190</v>
      </c>
      <c r="H20" s="12">
        <v>189</v>
      </c>
      <c r="I20" s="12">
        <v>229</v>
      </c>
      <c r="J20" s="12">
        <v>40</v>
      </c>
      <c r="K20" s="12">
        <v>100</v>
      </c>
      <c r="L20" s="12">
        <v>197</v>
      </c>
      <c r="M20" s="12">
        <v>151</v>
      </c>
      <c r="N20" s="12">
        <v>139</v>
      </c>
      <c r="O20" s="12">
        <v>111</v>
      </c>
      <c r="P20" s="12">
        <v>152</v>
      </c>
      <c r="Q20" s="12">
        <v>101</v>
      </c>
      <c r="R20" s="12">
        <v>45</v>
      </c>
      <c r="S20" s="12">
        <v>149</v>
      </c>
      <c r="T20" s="12">
        <v>51</v>
      </c>
      <c r="U20" s="12">
        <v>61</v>
      </c>
      <c r="V20" s="12">
        <v>221</v>
      </c>
      <c r="W20" s="12">
        <v>110</v>
      </c>
      <c r="X20" s="12">
        <v>321</v>
      </c>
      <c r="Y20" s="12">
        <v>151</v>
      </c>
      <c r="Z20" s="12">
        <v>192</v>
      </c>
      <c r="AA20" s="12">
        <v>55</v>
      </c>
      <c r="AB20" s="12">
        <v>89</v>
      </c>
      <c r="AC20" s="12">
        <v>429</v>
      </c>
      <c r="AD20" s="12">
        <v>281</v>
      </c>
      <c r="AE20" s="12">
        <v>390</v>
      </c>
      <c r="AF20" s="12">
        <v>222</v>
      </c>
    </row>
    <row r="21" spans="1:32" ht="36.950000000000003">
      <c r="A21" s="20"/>
      <c r="B21" s="13" t="s">
        <v>780</v>
      </c>
      <c r="C21" s="14">
        <v>0.15</v>
      </c>
      <c r="D21" s="14">
        <v>0.18</v>
      </c>
      <c r="E21" s="14">
        <v>0.13</v>
      </c>
      <c r="F21" s="14">
        <v>0.18</v>
      </c>
      <c r="G21" s="14">
        <v>0.19</v>
      </c>
      <c r="H21" s="14">
        <v>0.15</v>
      </c>
      <c r="I21" s="14">
        <v>0.15</v>
      </c>
      <c r="J21" s="14">
        <v>0.14000000000000001</v>
      </c>
      <c r="K21" s="14">
        <v>0.1</v>
      </c>
      <c r="L21" s="14">
        <v>0.2</v>
      </c>
      <c r="M21" s="14">
        <v>0.15</v>
      </c>
      <c r="N21" s="14">
        <v>0.14000000000000001</v>
      </c>
      <c r="O21" s="14">
        <v>0.11</v>
      </c>
      <c r="P21" s="14">
        <v>0.15</v>
      </c>
      <c r="Q21" s="14">
        <v>0.1</v>
      </c>
      <c r="R21" s="14">
        <v>0.09</v>
      </c>
      <c r="S21" s="14">
        <v>0.15</v>
      </c>
      <c r="T21" s="14">
        <v>0.05</v>
      </c>
      <c r="U21" s="14">
        <v>0.12</v>
      </c>
      <c r="V21" s="14">
        <v>0.22</v>
      </c>
      <c r="W21" s="14">
        <v>0.22</v>
      </c>
      <c r="X21" s="14">
        <v>0.31</v>
      </c>
      <c r="Y21" s="14">
        <v>0.15</v>
      </c>
      <c r="Z21" s="14">
        <v>0.19</v>
      </c>
      <c r="AA21" s="14">
        <v>0.05</v>
      </c>
      <c r="AB21" s="14">
        <v>0.09</v>
      </c>
      <c r="AC21" s="14">
        <v>0.42</v>
      </c>
      <c r="AD21" s="14">
        <v>0.28000000000000003</v>
      </c>
      <c r="AE21" s="14">
        <v>0.39</v>
      </c>
      <c r="AF21" s="14">
        <v>0.22</v>
      </c>
    </row>
    <row r="22" spans="1:32" ht="24.95">
      <c r="A22" s="20"/>
      <c r="B22" s="11" t="s">
        <v>781</v>
      </c>
      <c r="C22" s="12">
        <v>1201</v>
      </c>
      <c r="D22" s="12">
        <v>61</v>
      </c>
      <c r="E22" s="12">
        <v>29</v>
      </c>
      <c r="F22" s="12">
        <v>35</v>
      </c>
      <c r="G22" s="12">
        <v>36</v>
      </c>
      <c r="H22" s="12">
        <v>51</v>
      </c>
      <c r="I22" s="12">
        <v>64</v>
      </c>
      <c r="J22" s="12">
        <v>13</v>
      </c>
      <c r="K22" s="12">
        <v>52</v>
      </c>
      <c r="L22" s="12">
        <v>55</v>
      </c>
      <c r="M22" s="12">
        <v>33</v>
      </c>
      <c r="N22" s="12">
        <v>25</v>
      </c>
      <c r="O22" s="12">
        <v>62</v>
      </c>
      <c r="P22" s="12">
        <v>58</v>
      </c>
      <c r="Q22" s="12">
        <v>40</v>
      </c>
      <c r="R22" s="12">
        <v>24</v>
      </c>
      <c r="S22" s="12">
        <v>30</v>
      </c>
      <c r="T22" s="12">
        <v>29</v>
      </c>
      <c r="U22" s="12">
        <v>20</v>
      </c>
      <c r="V22" s="12">
        <v>77</v>
      </c>
      <c r="W22" s="12">
        <v>54</v>
      </c>
      <c r="X22" s="12">
        <v>32</v>
      </c>
      <c r="Y22" s="12">
        <v>77</v>
      </c>
      <c r="Z22" s="12">
        <v>53</v>
      </c>
      <c r="AA22" s="12">
        <v>28</v>
      </c>
      <c r="AB22" s="12">
        <v>85</v>
      </c>
      <c r="AC22" s="12">
        <v>31</v>
      </c>
      <c r="AD22" s="12">
        <v>57</v>
      </c>
      <c r="AE22" s="12">
        <v>43</v>
      </c>
      <c r="AF22" s="12">
        <v>20</v>
      </c>
    </row>
    <row r="23" spans="1:32" ht="24.95">
      <c r="A23" s="20"/>
      <c r="B23" s="13" t="s">
        <v>782</v>
      </c>
      <c r="C23" s="14">
        <v>0.05</v>
      </c>
      <c r="D23" s="14">
        <v>0.06</v>
      </c>
      <c r="E23" s="14">
        <v>0.03</v>
      </c>
      <c r="F23" s="14">
        <v>0.03</v>
      </c>
      <c r="G23" s="14">
        <v>0.03</v>
      </c>
      <c r="H23" s="14">
        <v>0.04</v>
      </c>
      <c r="I23" s="14">
        <v>0.04</v>
      </c>
      <c r="J23" s="14">
        <v>0.04</v>
      </c>
      <c r="K23" s="14">
        <v>0.05</v>
      </c>
      <c r="L23" s="14">
        <v>0.05</v>
      </c>
      <c r="M23" s="14">
        <v>0.03</v>
      </c>
      <c r="N23" s="14">
        <v>0.02</v>
      </c>
      <c r="O23" s="14">
        <v>0.06</v>
      </c>
      <c r="P23" s="14">
        <v>0.06</v>
      </c>
      <c r="Q23" s="14">
        <v>0.04</v>
      </c>
      <c r="R23" s="14">
        <v>0.05</v>
      </c>
      <c r="S23" s="14">
        <v>0.03</v>
      </c>
      <c r="T23" s="14">
        <v>0.03</v>
      </c>
      <c r="U23" s="14">
        <v>0.04</v>
      </c>
      <c r="V23" s="14">
        <v>7.0000000000000007E-2</v>
      </c>
      <c r="W23" s="14">
        <v>0.11</v>
      </c>
      <c r="X23" s="14">
        <v>0.03</v>
      </c>
      <c r="Y23" s="14">
        <v>0.08</v>
      </c>
      <c r="Z23" s="14">
        <v>0.05</v>
      </c>
      <c r="AA23" s="14">
        <v>0.03</v>
      </c>
      <c r="AB23" s="14">
        <v>0.08</v>
      </c>
      <c r="AC23" s="14">
        <v>0.03</v>
      </c>
      <c r="AD23" s="14">
        <v>0.06</v>
      </c>
      <c r="AE23" s="14">
        <v>0.04</v>
      </c>
      <c r="AF23" s="14">
        <v>0.02</v>
      </c>
    </row>
    <row r="24" spans="1:32">
      <c r="A24" s="20"/>
      <c r="B24" s="11" t="s">
        <v>519</v>
      </c>
      <c r="C24" s="12">
        <v>123</v>
      </c>
      <c r="D24" s="12">
        <v>3</v>
      </c>
      <c r="E24" s="12">
        <v>2</v>
      </c>
      <c r="F24" s="12">
        <v>1</v>
      </c>
      <c r="G24" s="12">
        <v>7</v>
      </c>
      <c r="H24" s="12">
        <v>11</v>
      </c>
      <c r="I24" s="12">
        <v>12</v>
      </c>
      <c r="J24" s="12">
        <v>1</v>
      </c>
      <c r="K24" s="12">
        <v>14</v>
      </c>
      <c r="L24" s="12">
        <v>13</v>
      </c>
      <c r="M24" s="12">
        <v>6</v>
      </c>
      <c r="N24" s="12">
        <v>2</v>
      </c>
      <c r="O24" s="12">
        <v>6</v>
      </c>
      <c r="P24" s="12">
        <v>0</v>
      </c>
      <c r="Q24" s="12">
        <v>2</v>
      </c>
      <c r="R24" s="12">
        <v>1</v>
      </c>
      <c r="S24" s="12">
        <v>7</v>
      </c>
      <c r="T24" s="12">
        <v>11</v>
      </c>
      <c r="U24" s="12">
        <v>3</v>
      </c>
      <c r="V24" s="12">
        <v>0</v>
      </c>
      <c r="W24" s="12">
        <v>1</v>
      </c>
      <c r="X24" s="12">
        <v>5</v>
      </c>
      <c r="Y24" s="12">
        <v>28</v>
      </c>
      <c r="Z24" s="12">
        <v>1</v>
      </c>
      <c r="AA24" s="12">
        <v>1</v>
      </c>
      <c r="AB24" s="12">
        <v>5</v>
      </c>
      <c r="AC24" s="12">
        <v>6</v>
      </c>
      <c r="AD24" s="12">
        <v>3</v>
      </c>
      <c r="AE24" s="12">
        <v>3</v>
      </c>
      <c r="AF24" s="12">
        <v>1</v>
      </c>
    </row>
    <row r="25" spans="1:32">
      <c r="A25" s="20"/>
      <c r="B25" s="13" t="s">
        <v>520</v>
      </c>
      <c r="C25" s="15" t="s">
        <v>459</v>
      </c>
      <c r="D25" s="15" t="s">
        <v>459</v>
      </c>
      <c r="E25" s="15" t="s">
        <v>459</v>
      </c>
      <c r="F25" s="15" t="s">
        <v>459</v>
      </c>
      <c r="G25" s="14">
        <v>0.01</v>
      </c>
      <c r="H25" s="14">
        <v>0.01</v>
      </c>
      <c r="I25" s="14">
        <v>0.01</v>
      </c>
      <c r="J25" s="15" t="s">
        <v>459</v>
      </c>
      <c r="K25" s="14">
        <v>0.01</v>
      </c>
      <c r="L25" s="14">
        <v>0.01</v>
      </c>
      <c r="M25" s="14">
        <v>0.01</v>
      </c>
      <c r="N25" s="15" t="s">
        <v>459</v>
      </c>
      <c r="O25" s="14">
        <v>0.01</v>
      </c>
      <c r="P25" s="15" t="s">
        <v>459</v>
      </c>
      <c r="Q25" s="15" t="s">
        <v>459</v>
      </c>
      <c r="R25" s="15" t="s">
        <v>459</v>
      </c>
      <c r="S25" s="14">
        <v>0.01</v>
      </c>
      <c r="T25" s="14">
        <v>0.01</v>
      </c>
      <c r="U25" s="15" t="s">
        <v>459</v>
      </c>
      <c r="V25" s="15" t="s">
        <v>459</v>
      </c>
      <c r="W25" s="15" t="s">
        <v>459</v>
      </c>
      <c r="X25" s="14">
        <v>0.01</v>
      </c>
      <c r="Y25" s="14">
        <v>0.03</v>
      </c>
      <c r="Z25" s="15" t="s">
        <v>459</v>
      </c>
      <c r="AA25" s="15" t="s">
        <v>459</v>
      </c>
      <c r="AB25" s="15" t="s">
        <v>459</v>
      </c>
      <c r="AC25" s="14">
        <v>0.01</v>
      </c>
      <c r="AD25" s="15" t="s">
        <v>459</v>
      </c>
      <c r="AE25" s="15" t="s">
        <v>459</v>
      </c>
      <c r="AF25" s="15" t="s">
        <v>459</v>
      </c>
    </row>
    <row r="26" spans="1:32" ht="24.95">
      <c r="A26" s="20"/>
      <c r="B26" s="11" t="s">
        <v>783</v>
      </c>
      <c r="C26" s="12">
        <v>1269</v>
      </c>
      <c r="D26" s="12">
        <v>18</v>
      </c>
      <c r="E26" s="12">
        <v>51</v>
      </c>
      <c r="F26" s="12">
        <v>88</v>
      </c>
      <c r="G26" s="12">
        <v>27</v>
      </c>
      <c r="H26" s="12">
        <v>116</v>
      </c>
      <c r="I26" s="12">
        <v>134</v>
      </c>
      <c r="J26" s="12">
        <v>18</v>
      </c>
      <c r="K26" s="12">
        <v>128</v>
      </c>
      <c r="L26" s="12">
        <v>22</v>
      </c>
      <c r="M26" s="12">
        <v>38</v>
      </c>
      <c r="N26" s="12">
        <v>41</v>
      </c>
      <c r="O26" s="12">
        <v>47</v>
      </c>
      <c r="P26" s="12">
        <v>34</v>
      </c>
      <c r="Q26" s="12">
        <v>9</v>
      </c>
      <c r="R26" s="12">
        <v>27</v>
      </c>
      <c r="S26" s="12">
        <v>95</v>
      </c>
      <c r="T26" s="12">
        <v>181</v>
      </c>
      <c r="U26" s="12">
        <v>4</v>
      </c>
      <c r="V26" s="12">
        <v>24</v>
      </c>
      <c r="W26" s="12">
        <v>9</v>
      </c>
      <c r="X26" s="12">
        <v>4</v>
      </c>
      <c r="Y26" s="12">
        <v>137</v>
      </c>
      <c r="Z26" s="12">
        <v>36</v>
      </c>
      <c r="AA26" s="12">
        <v>56</v>
      </c>
      <c r="AB26" s="12">
        <v>75</v>
      </c>
      <c r="AC26" s="12">
        <v>53</v>
      </c>
      <c r="AD26" s="12">
        <v>49</v>
      </c>
      <c r="AE26" s="12">
        <v>28</v>
      </c>
      <c r="AF26" s="12">
        <v>4</v>
      </c>
    </row>
    <row r="27" spans="1:32" ht="24.95">
      <c r="A27" s="20"/>
      <c r="B27" s="13" t="s">
        <v>784</v>
      </c>
      <c r="C27" s="14">
        <v>0.05</v>
      </c>
      <c r="D27" s="14">
        <v>0.02</v>
      </c>
      <c r="E27" s="14">
        <v>0.05</v>
      </c>
      <c r="F27" s="14">
        <v>0.09</v>
      </c>
      <c r="G27" s="14">
        <v>0.03</v>
      </c>
      <c r="H27" s="14">
        <v>0.1</v>
      </c>
      <c r="I27" s="14">
        <v>0.09</v>
      </c>
      <c r="J27" s="14">
        <v>0.06</v>
      </c>
      <c r="K27" s="14">
        <v>0.13</v>
      </c>
      <c r="L27" s="14">
        <v>0.02</v>
      </c>
      <c r="M27" s="14">
        <v>0.04</v>
      </c>
      <c r="N27" s="14">
        <v>0.04</v>
      </c>
      <c r="O27" s="14">
        <v>0.05</v>
      </c>
      <c r="P27" s="14">
        <v>0.03</v>
      </c>
      <c r="Q27" s="14">
        <v>0.01</v>
      </c>
      <c r="R27" s="14">
        <v>0.05</v>
      </c>
      <c r="S27" s="14">
        <v>0.09</v>
      </c>
      <c r="T27" s="14">
        <v>0.18</v>
      </c>
      <c r="U27" s="14">
        <v>0.01</v>
      </c>
      <c r="V27" s="14">
        <v>0.02</v>
      </c>
      <c r="W27" s="14">
        <v>0.02</v>
      </c>
      <c r="X27" s="15" t="s">
        <v>459</v>
      </c>
      <c r="Y27" s="14">
        <v>0.13</v>
      </c>
      <c r="Z27" s="14">
        <v>0.04</v>
      </c>
      <c r="AA27" s="14">
        <v>0.05</v>
      </c>
      <c r="AB27" s="14">
        <v>7.0000000000000007E-2</v>
      </c>
      <c r="AC27" s="14">
        <v>0.05</v>
      </c>
      <c r="AD27" s="14">
        <v>0.05</v>
      </c>
      <c r="AE27" s="14">
        <v>0.03</v>
      </c>
      <c r="AF27" s="15" t="s">
        <v>459</v>
      </c>
    </row>
    <row r="28" spans="1:32">
      <c r="A28" s="20"/>
      <c r="B28" s="11" t="s">
        <v>468</v>
      </c>
      <c r="C28" s="12">
        <v>1915</v>
      </c>
      <c r="D28" s="12">
        <v>36</v>
      </c>
      <c r="E28" s="12">
        <v>106</v>
      </c>
      <c r="F28" s="12">
        <v>96</v>
      </c>
      <c r="G28" s="12">
        <v>67</v>
      </c>
      <c r="H28" s="12">
        <v>104</v>
      </c>
      <c r="I28" s="12">
        <v>123</v>
      </c>
      <c r="J28" s="12">
        <v>20</v>
      </c>
      <c r="K28" s="12">
        <v>110</v>
      </c>
      <c r="L28" s="12">
        <v>114</v>
      </c>
      <c r="M28" s="12">
        <v>16</v>
      </c>
      <c r="N28" s="12">
        <v>59</v>
      </c>
      <c r="O28" s="12">
        <v>94</v>
      </c>
      <c r="P28" s="12">
        <v>70</v>
      </c>
      <c r="Q28" s="12">
        <v>77</v>
      </c>
      <c r="R28" s="12">
        <v>17</v>
      </c>
      <c r="S28" s="12">
        <v>102</v>
      </c>
      <c r="T28" s="12">
        <v>98</v>
      </c>
      <c r="U28" s="12">
        <v>18</v>
      </c>
      <c r="V28" s="12">
        <v>56</v>
      </c>
      <c r="W28" s="12">
        <v>11</v>
      </c>
      <c r="X28" s="12">
        <v>27</v>
      </c>
      <c r="Y28" s="12">
        <v>66</v>
      </c>
      <c r="Z28" s="12">
        <v>54</v>
      </c>
      <c r="AA28" s="12">
        <v>151</v>
      </c>
      <c r="AB28" s="12">
        <v>100</v>
      </c>
      <c r="AC28" s="12">
        <v>29</v>
      </c>
      <c r="AD28" s="12">
        <v>35</v>
      </c>
      <c r="AE28" s="12">
        <v>74</v>
      </c>
      <c r="AF28" s="12">
        <v>23</v>
      </c>
    </row>
    <row r="29" spans="1:32">
      <c r="A29" s="20"/>
      <c r="B29" s="13" t="s">
        <v>469</v>
      </c>
      <c r="C29" s="14">
        <v>7.0000000000000007E-2</v>
      </c>
      <c r="D29" s="14">
        <v>0.04</v>
      </c>
      <c r="E29" s="14">
        <v>0.11</v>
      </c>
      <c r="F29" s="14">
        <v>0.1</v>
      </c>
      <c r="G29" s="14">
        <v>7.0000000000000007E-2</v>
      </c>
      <c r="H29" s="14">
        <v>0.08</v>
      </c>
      <c r="I29" s="14">
        <v>0.08</v>
      </c>
      <c r="J29" s="14">
        <v>7.0000000000000007E-2</v>
      </c>
      <c r="K29" s="14">
        <v>0.11</v>
      </c>
      <c r="L29" s="14">
        <v>0.11</v>
      </c>
      <c r="M29" s="14">
        <v>0.02</v>
      </c>
      <c r="N29" s="14">
        <v>0.06</v>
      </c>
      <c r="O29" s="14">
        <v>0.09</v>
      </c>
      <c r="P29" s="14">
        <v>7.0000000000000007E-2</v>
      </c>
      <c r="Q29" s="14">
        <v>7.0000000000000007E-2</v>
      </c>
      <c r="R29" s="14">
        <v>0.03</v>
      </c>
      <c r="S29" s="14">
        <v>0.1</v>
      </c>
      <c r="T29" s="14">
        <v>0.1</v>
      </c>
      <c r="U29" s="14">
        <v>0.04</v>
      </c>
      <c r="V29" s="14">
        <v>0.06</v>
      </c>
      <c r="W29" s="14">
        <v>0.02</v>
      </c>
      <c r="X29" s="14">
        <v>0.03</v>
      </c>
      <c r="Y29" s="14">
        <v>0.06</v>
      </c>
      <c r="Z29" s="14">
        <v>0.05</v>
      </c>
      <c r="AA29" s="14">
        <v>0.14000000000000001</v>
      </c>
      <c r="AB29" s="14">
        <v>0.1</v>
      </c>
      <c r="AC29" s="14">
        <v>0.03</v>
      </c>
      <c r="AD29" s="14">
        <v>0.03</v>
      </c>
      <c r="AE29" s="14">
        <v>0.08</v>
      </c>
      <c r="AF29" s="14">
        <v>0.02</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95</v>
      </c>
      <c r="C3" s="18"/>
      <c r="D3" s="18"/>
      <c r="E3" s="18"/>
      <c r="F3" s="18"/>
      <c r="H3" s="18" t="s">
        <v>96</v>
      </c>
      <c r="I3" s="18"/>
      <c r="J3" s="18"/>
      <c r="K3" s="18"/>
      <c r="L3" s="18"/>
    </row>
    <row r="4" spans="1:32" ht="27" customHeight="1">
      <c r="B4" s="18"/>
      <c r="C4" s="18"/>
      <c r="D4" s="18"/>
      <c r="E4" s="18"/>
      <c r="F4" s="18"/>
      <c r="H4" s="18"/>
      <c r="I4" s="18"/>
      <c r="J4" s="18"/>
      <c r="K4" s="18"/>
      <c r="L4" s="18"/>
    </row>
    <row r="5" spans="1:32" ht="24" customHeight="1">
      <c r="B5" s="18" t="s">
        <v>785</v>
      </c>
      <c r="C5" s="18"/>
      <c r="D5" s="18"/>
      <c r="E5" s="18"/>
      <c r="F5" s="18"/>
      <c r="H5" s="18" t="s">
        <v>786</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HYPERLINK("#Content!A49","&lt;&lt;Back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23135</v>
      </c>
      <c r="D10" s="10">
        <v>949</v>
      </c>
      <c r="E10" s="10">
        <v>861</v>
      </c>
      <c r="F10" s="10">
        <v>821</v>
      </c>
      <c r="G10" s="10">
        <v>909</v>
      </c>
      <c r="H10" s="10">
        <v>996</v>
      </c>
      <c r="I10" s="10">
        <v>1253</v>
      </c>
      <c r="J10" s="10">
        <v>257</v>
      </c>
      <c r="K10" s="10">
        <v>768</v>
      </c>
      <c r="L10" s="10">
        <v>871</v>
      </c>
      <c r="M10" s="10">
        <v>949</v>
      </c>
      <c r="N10" s="10">
        <v>904</v>
      </c>
      <c r="O10" s="10">
        <v>862</v>
      </c>
      <c r="P10" s="10">
        <v>918</v>
      </c>
      <c r="Q10" s="10">
        <v>932</v>
      </c>
      <c r="R10" s="10">
        <v>456</v>
      </c>
      <c r="S10" s="10">
        <v>810</v>
      </c>
      <c r="T10" s="10">
        <v>735</v>
      </c>
      <c r="U10" s="10">
        <v>485</v>
      </c>
      <c r="V10" s="10">
        <v>937</v>
      </c>
      <c r="W10" s="10">
        <v>483</v>
      </c>
      <c r="X10" s="10">
        <v>990</v>
      </c>
      <c r="Y10" s="10">
        <v>804</v>
      </c>
      <c r="Z10" s="10">
        <v>918</v>
      </c>
      <c r="AA10" s="10">
        <v>846</v>
      </c>
      <c r="AB10" s="10">
        <v>864</v>
      </c>
      <c r="AC10" s="10">
        <v>929</v>
      </c>
      <c r="AD10" s="10">
        <v>922</v>
      </c>
      <c r="AE10" s="10">
        <v>899</v>
      </c>
      <c r="AF10" s="10">
        <v>993</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771</v>
      </c>
      <c r="C12" s="12">
        <v>4865</v>
      </c>
      <c r="D12" s="12">
        <v>172</v>
      </c>
      <c r="E12" s="12">
        <v>256</v>
      </c>
      <c r="F12" s="12">
        <v>182</v>
      </c>
      <c r="G12" s="12">
        <v>202</v>
      </c>
      <c r="H12" s="12">
        <v>174</v>
      </c>
      <c r="I12" s="12">
        <v>234</v>
      </c>
      <c r="J12" s="12">
        <v>60</v>
      </c>
      <c r="K12" s="12">
        <v>152</v>
      </c>
      <c r="L12" s="12">
        <v>239</v>
      </c>
      <c r="M12" s="12">
        <v>287</v>
      </c>
      <c r="N12" s="12">
        <v>195</v>
      </c>
      <c r="O12" s="12">
        <v>145</v>
      </c>
      <c r="P12" s="12">
        <v>229</v>
      </c>
      <c r="Q12" s="12">
        <v>185</v>
      </c>
      <c r="R12" s="12">
        <v>169</v>
      </c>
      <c r="S12" s="12">
        <v>139</v>
      </c>
      <c r="T12" s="12">
        <v>117</v>
      </c>
      <c r="U12" s="12">
        <v>90</v>
      </c>
      <c r="V12" s="12">
        <v>238</v>
      </c>
      <c r="W12" s="12">
        <v>106</v>
      </c>
      <c r="X12" s="12">
        <v>286</v>
      </c>
      <c r="Y12" s="12">
        <v>195</v>
      </c>
      <c r="Z12" s="12">
        <v>180</v>
      </c>
      <c r="AA12" s="12">
        <v>199</v>
      </c>
      <c r="AB12" s="12">
        <v>194</v>
      </c>
      <c r="AC12" s="12">
        <v>265</v>
      </c>
      <c r="AD12" s="12">
        <v>249</v>
      </c>
      <c r="AE12" s="12">
        <v>194</v>
      </c>
      <c r="AF12" s="12">
        <v>253</v>
      </c>
    </row>
    <row r="13" spans="1:32" ht="48.95">
      <c r="A13" s="20"/>
      <c r="B13" s="13" t="s">
        <v>772</v>
      </c>
      <c r="C13" s="14">
        <v>0.28000000000000003</v>
      </c>
      <c r="D13" s="14">
        <v>0.25</v>
      </c>
      <c r="E13" s="14">
        <v>0.41</v>
      </c>
      <c r="F13" s="14">
        <v>0.28000000000000003</v>
      </c>
      <c r="G13" s="14">
        <v>0.28000000000000003</v>
      </c>
      <c r="H13" s="14">
        <v>0.23</v>
      </c>
      <c r="I13" s="14">
        <v>0.25</v>
      </c>
      <c r="J13" s="14">
        <v>0.35</v>
      </c>
      <c r="K13" s="14">
        <v>0.25</v>
      </c>
      <c r="L13" s="14">
        <v>0.33</v>
      </c>
      <c r="M13" s="14">
        <v>0.38</v>
      </c>
      <c r="N13" s="14">
        <v>0.28999999999999998</v>
      </c>
      <c r="O13" s="14">
        <v>0.23</v>
      </c>
      <c r="P13" s="14">
        <v>0.41</v>
      </c>
      <c r="Q13" s="14">
        <v>0.26</v>
      </c>
      <c r="R13" s="14">
        <v>0.44</v>
      </c>
      <c r="S13" s="14">
        <v>0.2</v>
      </c>
      <c r="T13" s="14">
        <v>0.18</v>
      </c>
      <c r="U13" s="14">
        <v>0.24</v>
      </c>
      <c r="V13" s="14">
        <v>0.37</v>
      </c>
      <c r="W13" s="14">
        <v>0.26</v>
      </c>
      <c r="X13" s="14">
        <v>0.4</v>
      </c>
      <c r="Y13" s="14">
        <v>0.3</v>
      </c>
      <c r="Z13" s="14">
        <v>0.24</v>
      </c>
      <c r="AA13" s="14">
        <v>0.28000000000000003</v>
      </c>
      <c r="AB13" s="14">
        <v>0.28999999999999998</v>
      </c>
      <c r="AC13" s="14">
        <v>0.34</v>
      </c>
      <c r="AD13" s="14">
        <v>0.33</v>
      </c>
      <c r="AE13" s="14">
        <v>0.26</v>
      </c>
      <c r="AF13" s="14">
        <v>0.38</v>
      </c>
    </row>
    <row r="14" spans="1:32" ht="24.95">
      <c r="A14" s="20"/>
      <c r="B14" s="11" t="s">
        <v>773</v>
      </c>
      <c r="C14" s="12">
        <v>4128</v>
      </c>
      <c r="D14" s="12">
        <v>176</v>
      </c>
      <c r="E14" s="12">
        <v>140</v>
      </c>
      <c r="F14" s="12">
        <v>116</v>
      </c>
      <c r="G14" s="12">
        <v>176</v>
      </c>
      <c r="H14" s="12">
        <v>175</v>
      </c>
      <c r="I14" s="12">
        <v>232</v>
      </c>
      <c r="J14" s="12">
        <v>57</v>
      </c>
      <c r="K14" s="12">
        <v>93</v>
      </c>
      <c r="L14" s="12">
        <v>245</v>
      </c>
      <c r="M14" s="12">
        <v>151</v>
      </c>
      <c r="N14" s="12">
        <v>155</v>
      </c>
      <c r="O14" s="12">
        <v>132</v>
      </c>
      <c r="P14" s="12">
        <v>169</v>
      </c>
      <c r="Q14" s="12">
        <v>218</v>
      </c>
      <c r="R14" s="12">
        <v>114</v>
      </c>
      <c r="S14" s="12">
        <v>70</v>
      </c>
      <c r="T14" s="12">
        <v>108</v>
      </c>
      <c r="U14" s="12">
        <v>112</v>
      </c>
      <c r="V14" s="12">
        <v>152</v>
      </c>
      <c r="W14" s="12">
        <v>85</v>
      </c>
      <c r="X14" s="12">
        <v>188</v>
      </c>
      <c r="Y14" s="12">
        <v>186</v>
      </c>
      <c r="Z14" s="12">
        <v>131</v>
      </c>
      <c r="AA14" s="12">
        <v>181</v>
      </c>
      <c r="AB14" s="12">
        <v>160</v>
      </c>
      <c r="AC14" s="12">
        <v>51</v>
      </c>
      <c r="AD14" s="12">
        <v>135</v>
      </c>
      <c r="AE14" s="12">
        <v>61</v>
      </c>
      <c r="AF14" s="12">
        <v>145</v>
      </c>
    </row>
    <row r="15" spans="1:32" ht="24.95">
      <c r="A15" s="20"/>
      <c r="B15" s="13" t="s">
        <v>774</v>
      </c>
      <c r="C15" s="14">
        <v>0.2</v>
      </c>
      <c r="D15" s="14">
        <v>0.2</v>
      </c>
      <c r="E15" s="14">
        <v>0.17</v>
      </c>
      <c r="F15" s="14">
        <v>0.15</v>
      </c>
      <c r="G15" s="14">
        <v>0.21</v>
      </c>
      <c r="H15" s="14">
        <v>0.18</v>
      </c>
      <c r="I15" s="14">
        <v>0.2</v>
      </c>
      <c r="J15" s="14">
        <v>0.24</v>
      </c>
      <c r="K15" s="14">
        <v>0.14000000000000001</v>
      </c>
      <c r="L15" s="14">
        <v>0.34</v>
      </c>
      <c r="M15" s="14">
        <v>0.17</v>
      </c>
      <c r="N15" s="14">
        <v>0.21</v>
      </c>
      <c r="O15" s="14">
        <v>0.17</v>
      </c>
      <c r="P15" s="14">
        <v>0.19</v>
      </c>
      <c r="Q15" s="14">
        <v>0.27</v>
      </c>
      <c r="R15" s="14">
        <v>0.28999999999999998</v>
      </c>
      <c r="S15" s="14">
        <v>0.09</v>
      </c>
      <c r="T15" s="14">
        <v>0.16</v>
      </c>
      <c r="U15" s="14">
        <v>0.26</v>
      </c>
      <c r="V15" s="14">
        <v>0.18</v>
      </c>
      <c r="W15" s="14">
        <v>0.21</v>
      </c>
      <c r="X15" s="14">
        <v>0.21</v>
      </c>
      <c r="Y15" s="14">
        <v>0.26</v>
      </c>
      <c r="Z15" s="14">
        <v>0.16</v>
      </c>
      <c r="AA15" s="14">
        <v>0.24</v>
      </c>
      <c r="AB15" s="14">
        <v>0.2</v>
      </c>
      <c r="AC15" s="14">
        <v>0.06</v>
      </c>
      <c r="AD15" s="14">
        <v>0.16</v>
      </c>
      <c r="AE15" s="14">
        <v>7.0000000000000007E-2</v>
      </c>
      <c r="AF15" s="14">
        <v>0.16</v>
      </c>
    </row>
    <row r="16" spans="1:32">
      <c r="A16" s="20"/>
      <c r="B16" s="11" t="s">
        <v>775</v>
      </c>
      <c r="C16" s="12">
        <v>3973</v>
      </c>
      <c r="D16" s="12">
        <v>175</v>
      </c>
      <c r="E16" s="12">
        <v>162</v>
      </c>
      <c r="F16" s="12">
        <v>183</v>
      </c>
      <c r="G16" s="12">
        <v>111</v>
      </c>
      <c r="H16" s="12">
        <v>125</v>
      </c>
      <c r="I16" s="12">
        <v>171</v>
      </c>
      <c r="J16" s="12">
        <v>47</v>
      </c>
      <c r="K16" s="12">
        <v>124</v>
      </c>
      <c r="L16" s="12">
        <v>161</v>
      </c>
      <c r="M16" s="12">
        <v>249</v>
      </c>
      <c r="N16" s="12">
        <v>141</v>
      </c>
      <c r="O16" s="12">
        <v>116</v>
      </c>
      <c r="P16" s="12">
        <v>233</v>
      </c>
      <c r="Q16" s="12">
        <v>253</v>
      </c>
      <c r="R16" s="12">
        <v>91</v>
      </c>
      <c r="S16" s="12">
        <v>83</v>
      </c>
      <c r="T16" s="12">
        <v>117</v>
      </c>
      <c r="U16" s="12">
        <v>74</v>
      </c>
      <c r="V16" s="12">
        <v>148</v>
      </c>
      <c r="W16" s="12">
        <v>67</v>
      </c>
      <c r="X16" s="12">
        <v>79</v>
      </c>
      <c r="Y16" s="12">
        <v>144</v>
      </c>
      <c r="Z16" s="12">
        <v>161</v>
      </c>
      <c r="AA16" s="12">
        <v>99</v>
      </c>
      <c r="AB16" s="12">
        <v>167</v>
      </c>
      <c r="AC16" s="12">
        <v>152</v>
      </c>
      <c r="AD16" s="12">
        <v>190</v>
      </c>
      <c r="AE16" s="12">
        <v>179</v>
      </c>
      <c r="AF16" s="12">
        <v>130</v>
      </c>
    </row>
    <row r="17" spans="1:32">
      <c r="A17" s="20"/>
      <c r="B17" s="13" t="s">
        <v>776</v>
      </c>
      <c r="C17" s="14">
        <v>0.23</v>
      </c>
      <c r="D17" s="14">
        <v>0.24</v>
      </c>
      <c r="E17" s="14">
        <v>0.24</v>
      </c>
      <c r="F17" s="14">
        <v>0.3</v>
      </c>
      <c r="G17" s="14">
        <v>0.18</v>
      </c>
      <c r="H17" s="14">
        <v>0.17</v>
      </c>
      <c r="I17" s="14">
        <v>0.18</v>
      </c>
      <c r="J17" s="14">
        <v>0.22</v>
      </c>
      <c r="K17" s="14">
        <v>0.22</v>
      </c>
      <c r="L17" s="14">
        <v>0.24</v>
      </c>
      <c r="M17" s="14">
        <v>0.39</v>
      </c>
      <c r="N17" s="14">
        <v>0.21</v>
      </c>
      <c r="O17" s="14">
        <v>0.19</v>
      </c>
      <c r="P17" s="14">
        <v>0.33</v>
      </c>
      <c r="Q17" s="14">
        <v>0.35</v>
      </c>
      <c r="R17" s="14">
        <v>0.34</v>
      </c>
      <c r="S17" s="14">
        <v>0.16</v>
      </c>
      <c r="T17" s="14">
        <v>0.28000000000000003</v>
      </c>
      <c r="U17" s="14">
        <v>0.23</v>
      </c>
      <c r="V17" s="14">
        <v>0.19</v>
      </c>
      <c r="W17" s="14">
        <v>0.18</v>
      </c>
      <c r="X17" s="14">
        <v>0.09</v>
      </c>
      <c r="Y17" s="14">
        <v>0.23</v>
      </c>
      <c r="Z17" s="14">
        <v>0.26</v>
      </c>
      <c r="AA17" s="14">
        <v>0.24</v>
      </c>
      <c r="AB17" s="14">
        <v>0.27</v>
      </c>
      <c r="AC17" s="14">
        <v>0.19</v>
      </c>
      <c r="AD17" s="14">
        <v>0.27</v>
      </c>
      <c r="AE17" s="14">
        <v>0.26</v>
      </c>
      <c r="AF17" s="14">
        <v>0.16</v>
      </c>
    </row>
    <row r="18" spans="1:32">
      <c r="A18" s="20"/>
      <c r="B18" s="11" t="s">
        <v>777</v>
      </c>
      <c r="C18" s="12">
        <v>6509</v>
      </c>
      <c r="D18" s="12">
        <v>296</v>
      </c>
      <c r="E18" s="12">
        <v>270</v>
      </c>
      <c r="F18" s="12">
        <v>238</v>
      </c>
      <c r="G18" s="12">
        <v>189</v>
      </c>
      <c r="H18" s="12">
        <v>282</v>
      </c>
      <c r="I18" s="12">
        <v>363</v>
      </c>
      <c r="J18" s="12">
        <v>82</v>
      </c>
      <c r="K18" s="12">
        <v>199</v>
      </c>
      <c r="L18" s="12">
        <v>207</v>
      </c>
      <c r="M18" s="12">
        <v>424</v>
      </c>
      <c r="N18" s="12">
        <v>251</v>
      </c>
      <c r="O18" s="12">
        <v>201</v>
      </c>
      <c r="P18" s="12">
        <v>249</v>
      </c>
      <c r="Q18" s="12">
        <v>324</v>
      </c>
      <c r="R18" s="12">
        <v>177</v>
      </c>
      <c r="S18" s="12">
        <v>261</v>
      </c>
      <c r="T18" s="12">
        <v>260</v>
      </c>
      <c r="U18" s="12">
        <v>125</v>
      </c>
      <c r="V18" s="12">
        <v>228</v>
      </c>
      <c r="W18" s="12">
        <v>134</v>
      </c>
      <c r="X18" s="12">
        <v>249</v>
      </c>
      <c r="Y18" s="12">
        <v>240</v>
      </c>
      <c r="Z18" s="12">
        <v>212</v>
      </c>
      <c r="AA18" s="12">
        <v>339</v>
      </c>
      <c r="AB18" s="12">
        <v>222</v>
      </c>
      <c r="AC18" s="12">
        <v>212</v>
      </c>
      <c r="AD18" s="12">
        <v>230</v>
      </c>
      <c r="AE18" s="12">
        <v>166</v>
      </c>
      <c r="AF18" s="12">
        <v>203</v>
      </c>
    </row>
    <row r="19" spans="1:32">
      <c r="A19" s="20"/>
      <c r="B19" s="13" t="s">
        <v>778</v>
      </c>
      <c r="C19" s="14">
        <v>0.34</v>
      </c>
      <c r="D19" s="14">
        <v>0.36</v>
      </c>
      <c r="E19" s="14">
        <v>0.42</v>
      </c>
      <c r="F19" s="14">
        <v>0.36</v>
      </c>
      <c r="G19" s="14">
        <v>0.24</v>
      </c>
      <c r="H19" s="14">
        <v>0.36</v>
      </c>
      <c r="I19" s="14">
        <v>0.37</v>
      </c>
      <c r="J19" s="14">
        <v>0.39</v>
      </c>
      <c r="K19" s="14">
        <v>0.33</v>
      </c>
      <c r="L19" s="14">
        <v>0.27</v>
      </c>
      <c r="M19" s="14">
        <v>0.57999999999999996</v>
      </c>
      <c r="N19" s="14">
        <v>0.33</v>
      </c>
      <c r="O19" s="14">
        <v>0.27</v>
      </c>
      <c r="P19" s="14">
        <v>0.3</v>
      </c>
      <c r="Q19" s="14">
        <v>0.45</v>
      </c>
      <c r="R19" s="14">
        <v>0.46</v>
      </c>
      <c r="S19" s="14">
        <v>0.39</v>
      </c>
      <c r="T19" s="14">
        <v>0.47</v>
      </c>
      <c r="U19" s="14">
        <v>0.28999999999999998</v>
      </c>
      <c r="V19" s="14">
        <v>0.27</v>
      </c>
      <c r="W19" s="14">
        <v>0.31</v>
      </c>
      <c r="X19" s="14">
        <v>0.3</v>
      </c>
      <c r="Y19" s="14">
        <v>0.36</v>
      </c>
      <c r="Z19" s="14">
        <v>0.26</v>
      </c>
      <c r="AA19" s="14">
        <v>0.46</v>
      </c>
      <c r="AB19" s="14">
        <v>0.32</v>
      </c>
      <c r="AC19" s="14">
        <v>0.27</v>
      </c>
      <c r="AD19" s="14">
        <v>0.3</v>
      </c>
      <c r="AE19" s="14">
        <v>0.21</v>
      </c>
      <c r="AF19" s="14">
        <v>0.24</v>
      </c>
    </row>
    <row r="20" spans="1:32" ht="24.95">
      <c r="A20" s="20"/>
      <c r="B20" s="11" t="s">
        <v>779</v>
      </c>
      <c r="C20" s="12">
        <v>6259</v>
      </c>
      <c r="D20" s="12">
        <v>223</v>
      </c>
      <c r="E20" s="12">
        <v>301</v>
      </c>
      <c r="F20" s="12">
        <v>218</v>
      </c>
      <c r="G20" s="12">
        <v>254</v>
      </c>
      <c r="H20" s="12">
        <v>303</v>
      </c>
      <c r="I20" s="12">
        <v>374</v>
      </c>
      <c r="J20" s="12">
        <v>71</v>
      </c>
      <c r="K20" s="12">
        <v>162</v>
      </c>
      <c r="L20" s="12">
        <v>327</v>
      </c>
      <c r="M20" s="12">
        <v>346</v>
      </c>
      <c r="N20" s="12">
        <v>204</v>
      </c>
      <c r="O20" s="12">
        <v>198</v>
      </c>
      <c r="P20" s="12">
        <v>316</v>
      </c>
      <c r="Q20" s="12">
        <v>254</v>
      </c>
      <c r="R20" s="12">
        <v>97</v>
      </c>
      <c r="S20" s="12">
        <v>108</v>
      </c>
      <c r="T20" s="12">
        <v>96</v>
      </c>
      <c r="U20" s="12">
        <v>85</v>
      </c>
      <c r="V20" s="12">
        <v>296</v>
      </c>
      <c r="W20" s="12">
        <v>118</v>
      </c>
      <c r="X20" s="12">
        <v>286</v>
      </c>
      <c r="Y20" s="12">
        <v>310</v>
      </c>
      <c r="Z20" s="12">
        <v>269</v>
      </c>
      <c r="AA20" s="12">
        <v>198</v>
      </c>
      <c r="AB20" s="12">
        <v>155</v>
      </c>
      <c r="AC20" s="12">
        <v>263</v>
      </c>
      <c r="AD20" s="12">
        <v>310</v>
      </c>
      <c r="AE20" s="12">
        <v>203</v>
      </c>
      <c r="AF20" s="12">
        <v>326</v>
      </c>
    </row>
    <row r="21" spans="1:32" ht="36.950000000000003">
      <c r="A21" s="20"/>
      <c r="B21" s="13" t="s">
        <v>780</v>
      </c>
      <c r="C21" s="14">
        <v>0.33</v>
      </c>
      <c r="D21" s="14">
        <v>0.28999999999999998</v>
      </c>
      <c r="E21" s="14">
        <v>0.41</v>
      </c>
      <c r="F21" s="14">
        <v>0.34</v>
      </c>
      <c r="G21" s="14">
        <v>0.35</v>
      </c>
      <c r="H21" s="14">
        <v>0.38</v>
      </c>
      <c r="I21" s="14">
        <v>0.37</v>
      </c>
      <c r="J21" s="14">
        <v>0.33</v>
      </c>
      <c r="K21" s="14">
        <v>0.24</v>
      </c>
      <c r="L21" s="14">
        <v>0.48</v>
      </c>
      <c r="M21" s="14">
        <v>0.43</v>
      </c>
      <c r="N21" s="14">
        <v>0.27</v>
      </c>
      <c r="O21" s="14">
        <v>0.26</v>
      </c>
      <c r="P21" s="14">
        <v>0.41</v>
      </c>
      <c r="Q21" s="14">
        <v>0.31</v>
      </c>
      <c r="R21" s="14">
        <v>0.24</v>
      </c>
      <c r="S21" s="14">
        <v>0.16</v>
      </c>
      <c r="T21" s="14">
        <v>0.14000000000000001</v>
      </c>
      <c r="U21" s="14">
        <v>0.2</v>
      </c>
      <c r="V21" s="14">
        <v>0.41</v>
      </c>
      <c r="W21" s="14">
        <v>0.32</v>
      </c>
      <c r="X21" s="14">
        <v>0.43</v>
      </c>
      <c r="Y21" s="14">
        <v>0.47</v>
      </c>
      <c r="Z21" s="14">
        <v>0.37</v>
      </c>
      <c r="AA21" s="14">
        <v>0.25</v>
      </c>
      <c r="AB21" s="14">
        <v>0.2</v>
      </c>
      <c r="AC21" s="14">
        <v>0.52</v>
      </c>
      <c r="AD21" s="14">
        <v>0.48</v>
      </c>
      <c r="AE21" s="14">
        <v>0.4</v>
      </c>
      <c r="AF21" s="14">
        <v>0.42</v>
      </c>
    </row>
    <row r="22" spans="1:32" ht="24.95">
      <c r="A22" s="20"/>
      <c r="B22" s="11" t="s">
        <v>781</v>
      </c>
      <c r="C22" s="12">
        <v>3497</v>
      </c>
      <c r="D22" s="12">
        <v>126</v>
      </c>
      <c r="E22" s="12">
        <v>147</v>
      </c>
      <c r="F22" s="12">
        <v>114</v>
      </c>
      <c r="G22" s="12">
        <v>142</v>
      </c>
      <c r="H22" s="12">
        <v>167</v>
      </c>
      <c r="I22" s="12">
        <v>211</v>
      </c>
      <c r="J22" s="12">
        <v>44</v>
      </c>
      <c r="K22" s="12">
        <v>115</v>
      </c>
      <c r="L22" s="12">
        <v>199</v>
      </c>
      <c r="M22" s="12">
        <v>156</v>
      </c>
      <c r="N22" s="12">
        <v>59</v>
      </c>
      <c r="O22" s="12">
        <v>145</v>
      </c>
      <c r="P22" s="12">
        <v>218</v>
      </c>
      <c r="Q22" s="12">
        <v>153</v>
      </c>
      <c r="R22" s="12">
        <v>47</v>
      </c>
      <c r="S22" s="12">
        <v>48</v>
      </c>
      <c r="T22" s="12">
        <v>85</v>
      </c>
      <c r="U22" s="12">
        <v>59</v>
      </c>
      <c r="V22" s="12">
        <v>231</v>
      </c>
      <c r="W22" s="12">
        <v>66</v>
      </c>
      <c r="X22" s="12">
        <v>94</v>
      </c>
      <c r="Y22" s="12">
        <v>217</v>
      </c>
      <c r="Z22" s="12">
        <v>130</v>
      </c>
      <c r="AA22" s="12">
        <v>137</v>
      </c>
      <c r="AB22" s="12">
        <v>150</v>
      </c>
      <c r="AC22" s="12">
        <v>125</v>
      </c>
      <c r="AD22" s="12">
        <v>187</v>
      </c>
      <c r="AE22" s="12">
        <v>135</v>
      </c>
      <c r="AF22" s="12">
        <v>103</v>
      </c>
    </row>
    <row r="23" spans="1:32" ht="24.95">
      <c r="A23" s="20"/>
      <c r="B23" s="13" t="s">
        <v>782</v>
      </c>
      <c r="C23" s="14">
        <v>0.16</v>
      </c>
      <c r="D23" s="14">
        <v>0.14000000000000001</v>
      </c>
      <c r="E23" s="14">
        <v>0.18</v>
      </c>
      <c r="F23" s="14">
        <v>0.15</v>
      </c>
      <c r="G23" s="14">
        <v>0.16</v>
      </c>
      <c r="H23" s="14">
        <v>0.18</v>
      </c>
      <c r="I23" s="14">
        <v>0.18</v>
      </c>
      <c r="J23" s="14">
        <v>0.18</v>
      </c>
      <c r="K23" s="14">
        <v>0.16</v>
      </c>
      <c r="L23" s="14">
        <v>0.24</v>
      </c>
      <c r="M23" s="14">
        <v>0.17</v>
      </c>
      <c r="N23" s="14">
        <v>7.0000000000000007E-2</v>
      </c>
      <c r="O23" s="14">
        <v>0.18</v>
      </c>
      <c r="P23" s="14">
        <v>0.25</v>
      </c>
      <c r="Q23" s="14">
        <v>0.17</v>
      </c>
      <c r="R23" s="14">
        <v>0.11</v>
      </c>
      <c r="S23" s="14">
        <v>0.06</v>
      </c>
      <c r="T23" s="14">
        <v>0.12</v>
      </c>
      <c r="U23" s="14">
        <v>0.13</v>
      </c>
      <c r="V23" s="14">
        <v>0.27</v>
      </c>
      <c r="W23" s="14">
        <v>0.15</v>
      </c>
      <c r="X23" s="14">
        <v>0.1</v>
      </c>
      <c r="Y23" s="14">
        <v>0.3</v>
      </c>
      <c r="Z23" s="14">
        <v>0.15</v>
      </c>
      <c r="AA23" s="14">
        <v>0.17</v>
      </c>
      <c r="AB23" s="14">
        <v>0.19</v>
      </c>
      <c r="AC23" s="14">
        <v>0.14000000000000001</v>
      </c>
      <c r="AD23" s="14">
        <v>0.22</v>
      </c>
      <c r="AE23" s="14">
        <v>0.16</v>
      </c>
      <c r="AF23" s="14">
        <v>0.11</v>
      </c>
    </row>
    <row r="24" spans="1:32">
      <c r="A24" s="20"/>
      <c r="B24" s="11" t="s">
        <v>519</v>
      </c>
      <c r="C24" s="12">
        <v>143</v>
      </c>
      <c r="D24" s="12">
        <v>5</v>
      </c>
      <c r="E24" s="12">
        <v>10</v>
      </c>
      <c r="F24" s="12">
        <v>5</v>
      </c>
      <c r="G24" s="12">
        <v>7</v>
      </c>
      <c r="H24" s="12">
        <v>17</v>
      </c>
      <c r="I24" s="12">
        <v>17</v>
      </c>
      <c r="J24" s="12">
        <v>0</v>
      </c>
      <c r="K24" s="12">
        <v>13</v>
      </c>
      <c r="L24" s="12">
        <v>1</v>
      </c>
      <c r="M24" s="12">
        <v>6</v>
      </c>
      <c r="N24" s="12">
        <v>3</v>
      </c>
      <c r="O24" s="12">
        <v>2</v>
      </c>
      <c r="P24" s="12">
        <v>2</v>
      </c>
      <c r="Q24" s="12">
        <v>1</v>
      </c>
      <c r="R24" s="12">
        <v>4</v>
      </c>
      <c r="S24" s="12">
        <v>14</v>
      </c>
      <c r="T24" s="12">
        <v>17</v>
      </c>
      <c r="U24" s="12">
        <v>13</v>
      </c>
      <c r="V24" s="12">
        <v>0</v>
      </c>
      <c r="W24" s="12">
        <v>0</v>
      </c>
      <c r="X24" s="12">
        <v>11</v>
      </c>
      <c r="Y24" s="12">
        <v>20</v>
      </c>
      <c r="Z24" s="12">
        <v>1</v>
      </c>
      <c r="AA24" s="12">
        <v>3</v>
      </c>
      <c r="AB24" s="12">
        <v>8</v>
      </c>
      <c r="AC24" s="12">
        <v>23</v>
      </c>
      <c r="AD24" s="12">
        <v>3</v>
      </c>
      <c r="AE24" s="12">
        <v>8</v>
      </c>
      <c r="AF24" s="12">
        <v>6</v>
      </c>
    </row>
    <row r="25" spans="1:32">
      <c r="A25" s="20"/>
      <c r="B25" s="13" t="s">
        <v>520</v>
      </c>
      <c r="C25" s="14">
        <v>0.01</v>
      </c>
      <c r="D25" s="14">
        <v>0.01</v>
      </c>
      <c r="E25" s="14">
        <v>0.01</v>
      </c>
      <c r="F25" s="14">
        <v>0.01</v>
      </c>
      <c r="G25" s="14">
        <v>0.01</v>
      </c>
      <c r="H25" s="14">
        <v>0.02</v>
      </c>
      <c r="I25" s="14">
        <v>0.01</v>
      </c>
      <c r="J25" s="15" t="s">
        <v>459</v>
      </c>
      <c r="K25" s="14">
        <v>0.02</v>
      </c>
      <c r="L25" s="15" t="s">
        <v>459</v>
      </c>
      <c r="M25" s="14">
        <v>0.01</v>
      </c>
      <c r="N25" s="15" t="s">
        <v>459</v>
      </c>
      <c r="O25" s="15" t="s">
        <v>459</v>
      </c>
      <c r="P25" s="15" t="s">
        <v>459</v>
      </c>
      <c r="Q25" s="15" t="s">
        <v>459</v>
      </c>
      <c r="R25" s="14">
        <v>0.01</v>
      </c>
      <c r="S25" s="14">
        <v>0.02</v>
      </c>
      <c r="T25" s="14">
        <v>0.02</v>
      </c>
      <c r="U25" s="14">
        <v>0.03</v>
      </c>
      <c r="V25" s="15" t="s">
        <v>459</v>
      </c>
      <c r="W25" s="15" t="s">
        <v>459</v>
      </c>
      <c r="X25" s="14">
        <v>0.01</v>
      </c>
      <c r="Y25" s="14">
        <v>0.03</v>
      </c>
      <c r="Z25" s="15" t="s">
        <v>459</v>
      </c>
      <c r="AA25" s="15" t="s">
        <v>459</v>
      </c>
      <c r="AB25" s="14">
        <v>0.01</v>
      </c>
      <c r="AC25" s="14">
        <v>0.03</v>
      </c>
      <c r="AD25" s="15" t="s">
        <v>459</v>
      </c>
      <c r="AE25" s="14">
        <v>0.01</v>
      </c>
      <c r="AF25" s="14">
        <v>0.01</v>
      </c>
    </row>
    <row r="26" spans="1:32" ht="24.95">
      <c r="A26" s="20"/>
      <c r="B26" s="11" t="s">
        <v>783</v>
      </c>
      <c r="C26" s="12">
        <v>589</v>
      </c>
      <c r="D26" s="12">
        <v>23</v>
      </c>
      <c r="E26" s="12">
        <v>4</v>
      </c>
      <c r="F26" s="12">
        <v>19</v>
      </c>
      <c r="G26" s="12">
        <v>55</v>
      </c>
      <c r="H26" s="12">
        <v>15</v>
      </c>
      <c r="I26" s="12">
        <v>19</v>
      </c>
      <c r="J26" s="12">
        <v>4</v>
      </c>
      <c r="K26" s="12">
        <v>38</v>
      </c>
      <c r="L26" s="12">
        <v>5</v>
      </c>
      <c r="M26" s="12">
        <v>17</v>
      </c>
      <c r="N26" s="12">
        <v>36</v>
      </c>
      <c r="O26" s="12">
        <v>42</v>
      </c>
      <c r="P26" s="12">
        <v>1</v>
      </c>
      <c r="Q26" s="12">
        <v>5</v>
      </c>
      <c r="R26" s="12">
        <v>19</v>
      </c>
      <c r="S26" s="12">
        <v>38</v>
      </c>
      <c r="T26" s="12">
        <v>27</v>
      </c>
      <c r="U26" s="12">
        <v>18</v>
      </c>
      <c r="V26" s="12">
        <v>30</v>
      </c>
      <c r="W26" s="12">
        <v>7</v>
      </c>
      <c r="X26" s="12">
        <v>19</v>
      </c>
      <c r="Y26" s="12">
        <v>19</v>
      </c>
      <c r="Z26" s="12">
        <v>9</v>
      </c>
      <c r="AA26" s="12">
        <v>21</v>
      </c>
      <c r="AB26" s="12">
        <v>10</v>
      </c>
      <c r="AC26" s="12">
        <v>31</v>
      </c>
      <c r="AD26" s="12">
        <v>19</v>
      </c>
      <c r="AE26" s="12">
        <v>64</v>
      </c>
      <c r="AF26" s="12">
        <v>79</v>
      </c>
    </row>
    <row r="27" spans="1:32" ht="24.95">
      <c r="A27" s="20"/>
      <c r="B27" s="13" t="s">
        <v>784</v>
      </c>
      <c r="C27" s="14">
        <v>0.03</v>
      </c>
      <c r="D27" s="14">
        <v>0.02</v>
      </c>
      <c r="E27" s="14">
        <v>0.01</v>
      </c>
      <c r="F27" s="14">
        <v>0.02</v>
      </c>
      <c r="G27" s="14">
        <v>0.06</v>
      </c>
      <c r="H27" s="14">
        <v>0.02</v>
      </c>
      <c r="I27" s="14">
        <v>0.02</v>
      </c>
      <c r="J27" s="14">
        <v>0.02</v>
      </c>
      <c r="K27" s="14">
        <v>0.05</v>
      </c>
      <c r="L27" s="14">
        <v>0.01</v>
      </c>
      <c r="M27" s="14">
        <v>0.02</v>
      </c>
      <c r="N27" s="14">
        <v>0.04</v>
      </c>
      <c r="O27" s="14">
        <v>0.05</v>
      </c>
      <c r="P27" s="15" t="s">
        <v>459</v>
      </c>
      <c r="Q27" s="14">
        <v>0.01</v>
      </c>
      <c r="R27" s="14">
        <v>0.04</v>
      </c>
      <c r="S27" s="14">
        <v>0.05</v>
      </c>
      <c r="T27" s="14">
        <v>0.04</v>
      </c>
      <c r="U27" s="14">
        <v>0.04</v>
      </c>
      <c r="V27" s="14">
        <v>0.03</v>
      </c>
      <c r="W27" s="14">
        <v>0.01</v>
      </c>
      <c r="X27" s="14">
        <v>0.02</v>
      </c>
      <c r="Y27" s="14">
        <v>0.02</v>
      </c>
      <c r="Z27" s="14">
        <v>0.01</v>
      </c>
      <c r="AA27" s="14">
        <v>0.02</v>
      </c>
      <c r="AB27" s="14">
        <v>0.01</v>
      </c>
      <c r="AC27" s="14">
        <v>0.03</v>
      </c>
      <c r="AD27" s="14">
        <v>0.02</v>
      </c>
      <c r="AE27" s="14">
        <v>7.0000000000000007E-2</v>
      </c>
      <c r="AF27" s="14">
        <v>0.08</v>
      </c>
    </row>
    <row r="28" spans="1:32">
      <c r="A28" s="20"/>
      <c r="B28" s="11" t="s">
        <v>468</v>
      </c>
      <c r="C28" s="12">
        <v>1277</v>
      </c>
      <c r="D28" s="12">
        <v>21</v>
      </c>
      <c r="E28" s="12">
        <v>55</v>
      </c>
      <c r="F28" s="12">
        <v>43</v>
      </c>
      <c r="G28" s="12">
        <v>69</v>
      </c>
      <c r="H28" s="12">
        <v>41</v>
      </c>
      <c r="I28" s="12">
        <v>46</v>
      </c>
      <c r="J28" s="12">
        <v>5</v>
      </c>
      <c r="K28" s="12">
        <v>69</v>
      </c>
      <c r="L28" s="12">
        <v>26</v>
      </c>
      <c r="M28" s="12">
        <v>20</v>
      </c>
      <c r="N28" s="12">
        <v>77</v>
      </c>
      <c r="O28" s="12">
        <v>88</v>
      </c>
      <c r="P28" s="12">
        <v>22</v>
      </c>
      <c r="Q28" s="12">
        <v>39</v>
      </c>
      <c r="R28" s="12">
        <v>23</v>
      </c>
      <c r="S28" s="12">
        <v>138</v>
      </c>
      <c r="T28" s="12">
        <v>56</v>
      </c>
      <c r="U28" s="12">
        <v>19</v>
      </c>
      <c r="V28" s="12">
        <v>37</v>
      </c>
      <c r="W28" s="12">
        <v>12</v>
      </c>
      <c r="X28" s="12">
        <v>28</v>
      </c>
      <c r="Y28" s="12">
        <v>31</v>
      </c>
      <c r="Z28" s="12">
        <v>34</v>
      </c>
      <c r="AA28" s="12">
        <v>56</v>
      </c>
      <c r="AB28" s="12">
        <v>32</v>
      </c>
      <c r="AC28" s="12">
        <v>28</v>
      </c>
      <c r="AD28" s="12">
        <v>28</v>
      </c>
      <c r="AE28" s="12">
        <v>91</v>
      </c>
      <c r="AF28" s="12">
        <v>55</v>
      </c>
    </row>
    <row r="29" spans="1:32">
      <c r="A29" s="20"/>
      <c r="B29" s="13" t="s">
        <v>469</v>
      </c>
      <c r="C29" s="14">
        <v>0.06</v>
      </c>
      <c r="D29" s="14">
        <v>0.02</v>
      </c>
      <c r="E29" s="14">
        <v>0.06</v>
      </c>
      <c r="F29" s="14">
        <v>0.05</v>
      </c>
      <c r="G29" s="14">
        <v>0.08</v>
      </c>
      <c r="H29" s="14">
        <v>0.04</v>
      </c>
      <c r="I29" s="14">
        <v>0.04</v>
      </c>
      <c r="J29" s="14">
        <v>0.02</v>
      </c>
      <c r="K29" s="14">
        <v>0.09</v>
      </c>
      <c r="L29" s="14">
        <v>0.03</v>
      </c>
      <c r="M29" s="14">
        <v>0.02</v>
      </c>
      <c r="N29" s="14">
        <v>0.08</v>
      </c>
      <c r="O29" s="14">
        <v>0.1</v>
      </c>
      <c r="P29" s="14">
        <v>0.02</v>
      </c>
      <c r="Q29" s="14">
        <v>0.04</v>
      </c>
      <c r="R29" s="14">
        <v>0.05</v>
      </c>
      <c r="S29" s="14">
        <v>0.17</v>
      </c>
      <c r="T29" s="14">
        <v>0.08</v>
      </c>
      <c r="U29" s="14">
        <v>0.04</v>
      </c>
      <c r="V29" s="14">
        <v>0.04</v>
      </c>
      <c r="W29" s="14">
        <v>0.02</v>
      </c>
      <c r="X29" s="14">
        <v>0.03</v>
      </c>
      <c r="Y29" s="14">
        <v>0.04</v>
      </c>
      <c r="Z29" s="14">
        <v>0.04</v>
      </c>
      <c r="AA29" s="14">
        <v>7.0000000000000007E-2</v>
      </c>
      <c r="AB29" s="14">
        <v>0.04</v>
      </c>
      <c r="AC29" s="14">
        <v>0.03</v>
      </c>
      <c r="AD29" s="14">
        <v>0.03</v>
      </c>
      <c r="AE29" s="14">
        <v>0.1</v>
      </c>
      <c r="AF29" s="14">
        <v>0.06</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97</v>
      </c>
      <c r="C3" s="18"/>
      <c r="D3" s="18"/>
      <c r="E3" s="18"/>
      <c r="F3" s="18"/>
      <c r="H3" s="18" t="s">
        <v>98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771</v>
      </c>
      <c r="C12" s="12">
        <v>10445</v>
      </c>
      <c r="D12" s="12">
        <v>424</v>
      </c>
      <c r="E12" s="12">
        <v>492</v>
      </c>
      <c r="F12" s="12">
        <v>357</v>
      </c>
      <c r="G12" s="12">
        <v>378</v>
      </c>
      <c r="H12" s="12">
        <v>414</v>
      </c>
      <c r="I12" s="12">
        <v>559</v>
      </c>
      <c r="J12" s="12">
        <v>145</v>
      </c>
      <c r="K12" s="12">
        <v>308</v>
      </c>
      <c r="L12" s="12">
        <v>384</v>
      </c>
      <c r="M12" s="12">
        <v>472</v>
      </c>
      <c r="N12" s="12">
        <v>416</v>
      </c>
      <c r="O12" s="12">
        <v>383</v>
      </c>
      <c r="P12" s="12">
        <v>590</v>
      </c>
      <c r="Q12" s="12">
        <v>405</v>
      </c>
      <c r="R12" s="12">
        <v>237</v>
      </c>
      <c r="S12" s="12">
        <v>265</v>
      </c>
      <c r="T12" s="12">
        <v>204</v>
      </c>
      <c r="U12" s="12">
        <v>208</v>
      </c>
      <c r="V12" s="12">
        <v>536</v>
      </c>
      <c r="W12" s="12">
        <v>175</v>
      </c>
      <c r="X12" s="12">
        <v>554</v>
      </c>
      <c r="Y12" s="12">
        <v>356</v>
      </c>
      <c r="Z12" s="12">
        <v>339</v>
      </c>
      <c r="AA12" s="12">
        <v>324</v>
      </c>
      <c r="AB12" s="12">
        <v>390</v>
      </c>
      <c r="AC12" s="12">
        <v>417</v>
      </c>
      <c r="AD12" s="12">
        <v>408</v>
      </c>
      <c r="AE12" s="12">
        <v>355</v>
      </c>
      <c r="AF12" s="12">
        <v>587</v>
      </c>
    </row>
    <row r="13" spans="1:32" ht="48.95">
      <c r="A13" s="20"/>
      <c r="B13" s="13" t="s">
        <v>772</v>
      </c>
      <c r="C13" s="14">
        <v>0.4</v>
      </c>
      <c r="D13" s="14">
        <v>0.42</v>
      </c>
      <c r="E13" s="14">
        <v>0.48</v>
      </c>
      <c r="F13" s="14">
        <v>0.36</v>
      </c>
      <c r="G13" s="14">
        <v>0.38</v>
      </c>
      <c r="H13" s="14">
        <v>0.34</v>
      </c>
      <c r="I13" s="14">
        <v>0.37</v>
      </c>
      <c r="J13" s="14">
        <v>0.49</v>
      </c>
      <c r="K13" s="14">
        <v>0.31</v>
      </c>
      <c r="L13" s="14">
        <v>0.38</v>
      </c>
      <c r="M13" s="14">
        <v>0.47</v>
      </c>
      <c r="N13" s="14">
        <v>0.41</v>
      </c>
      <c r="O13" s="14">
        <v>0.38</v>
      </c>
      <c r="P13" s="14">
        <v>0.57999999999999996</v>
      </c>
      <c r="Q13" s="14">
        <v>0.4</v>
      </c>
      <c r="R13" s="14">
        <v>0.47</v>
      </c>
      <c r="S13" s="14">
        <v>0.26</v>
      </c>
      <c r="T13" s="14">
        <v>0.2</v>
      </c>
      <c r="U13" s="14">
        <v>0.41</v>
      </c>
      <c r="V13" s="14">
        <v>0.53</v>
      </c>
      <c r="W13" s="14">
        <v>0.35</v>
      </c>
      <c r="X13" s="14">
        <v>0.54</v>
      </c>
      <c r="Y13" s="14">
        <v>0.35</v>
      </c>
      <c r="Z13" s="14">
        <v>0.34</v>
      </c>
      <c r="AA13" s="14">
        <v>0.31</v>
      </c>
      <c r="AB13" s="14">
        <v>0.38</v>
      </c>
      <c r="AC13" s="14">
        <v>0.41</v>
      </c>
      <c r="AD13" s="14">
        <v>0.41</v>
      </c>
      <c r="AE13" s="14">
        <v>0.35</v>
      </c>
      <c r="AF13" s="14">
        <v>0.57999999999999996</v>
      </c>
    </row>
    <row r="14" spans="1:32" ht="24.95">
      <c r="A14" s="20"/>
      <c r="B14" s="11" t="s">
        <v>773</v>
      </c>
      <c r="C14" s="12">
        <v>6486</v>
      </c>
      <c r="D14" s="12">
        <v>265</v>
      </c>
      <c r="E14" s="12">
        <v>201</v>
      </c>
      <c r="F14" s="12">
        <v>167</v>
      </c>
      <c r="G14" s="12">
        <v>249</v>
      </c>
      <c r="H14" s="12">
        <v>220</v>
      </c>
      <c r="I14" s="12">
        <v>299</v>
      </c>
      <c r="J14" s="12">
        <v>79</v>
      </c>
      <c r="K14" s="12">
        <v>173</v>
      </c>
      <c r="L14" s="12">
        <v>394</v>
      </c>
      <c r="M14" s="12">
        <v>199</v>
      </c>
      <c r="N14" s="12">
        <v>310</v>
      </c>
      <c r="O14" s="12">
        <v>218</v>
      </c>
      <c r="P14" s="12">
        <v>212</v>
      </c>
      <c r="Q14" s="12">
        <v>356</v>
      </c>
      <c r="R14" s="12">
        <v>173</v>
      </c>
      <c r="S14" s="12">
        <v>131</v>
      </c>
      <c r="T14" s="12">
        <v>164</v>
      </c>
      <c r="U14" s="12">
        <v>168</v>
      </c>
      <c r="V14" s="12">
        <v>231</v>
      </c>
      <c r="W14" s="12">
        <v>168</v>
      </c>
      <c r="X14" s="12">
        <v>272</v>
      </c>
      <c r="Y14" s="12">
        <v>274</v>
      </c>
      <c r="Z14" s="12">
        <v>240</v>
      </c>
      <c r="AA14" s="12">
        <v>268</v>
      </c>
      <c r="AB14" s="12">
        <v>239</v>
      </c>
      <c r="AC14" s="12">
        <v>80</v>
      </c>
      <c r="AD14" s="12">
        <v>193</v>
      </c>
      <c r="AE14" s="12">
        <v>74</v>
      </c>
      <c r="AF14" s="12">
        <v>211</v>
      </c>
    </row>
    <row r="15" spans="1:32" ht="24.95">
      <c r="A15" s="20"/>
      <c r="B15" s="13" t="s">
        <v>774</v>
      </c>
      <c r="C15" s="14">
        <v>0.25</v>
      </c>
      <c r="D15" s="14">
        <v>0.26</v>
      </c>
      <c r="E15" s="14">
        <v>0.2</v>
      </c>
      <c r="F15" s="14">
        <v>0.17</v>
      </c>
      <c r="G15" s="14">
        <v>0.25</v>
      </c>
      <c r="H15" s="14">
        <v>0.18</v>
      </c>
      <c r="I15" s="14">
        <v>0.2</v>
      </c>
      <c r="J15" s="14">
        <v>0.27</v>
      </c>
      <c r="K15" s="14">
        <v>0.17</v>
      </c>
      <c r="L15" s="14">
        <v>0.39</v>
      </c>
      <c r="M15" s="14">
        <v>0.2</v>
      </c>
      <c r="N15" s="14">
        <v>0.31</v>
      </c>
      <c r="O15" s="14">
        <v>0.22</v>
      </c>
      <c r="P15" s="14">
        <v>0.21</v>
      </c>
      <c r="Q15" s="14">
        <v>0.35</v>
      </c>
      <c r="R15" s="14">
        <v>0.35</v>
      </c>
      <c r="S15" s="14">
        <v>0.13</v>
      </c>
      <c r="T15" s="14">
        <v>0.16</v>
      </c>
      <c r="U15" s="14">
        <v>0.33</v>
      </c>
      <c r="V15" s="14">
        <v>0.23</v>
      </c>
      <c r="W15" s="14">
        <v>0.33</v>
      </c>
      <c r="X15" s="14">
        <v>0.27</v>
      </c>
      <c r="Y15" s="14">
        <v>0.27</v>
      </c>
      <c r="Z15" s="14">
        <v>0.24</v>
      </c>
      <c r="AA15" s="14">
        <v>0.25</v>
      </c>
      <c r="AB15" s="14">
        <v>0.23</v>
      </c>
      <c r="AC15" s="14">
        <v>0.08</v>
      </c>
      <c r="AD15" s="14">
        <v>0.19</v>
      </c>
      <c r="AE15" s="14">
        <v>7.0000000000000007E-2</v>
      </c>
      <c r="AF15" s="14">
        <v>0.21</v>
      </c>
    </row>
    <row r="16" spans="1:32">
      <c r="A16" s="20"/>
      <c r="B16" s="11" t="s">
        <v>775</v>
      </c>
      <c r="C16" s="12">
        <v>9887</v>
      </c>
      <c r="D16" s="12">
        <v>401</v>
      </c>
      <c r="E16" s="12">
        <v>345</v>
      </c>
      <c r="F16" s="12">
        <v>400</v>
      </c>
      <c r="G16" s="12">
        <v>410</v>
      </c>
      <c r="H16" s="12">
        <v>369</v>
      </c>
      <c r="I16" s="12">
        <v>464</v>
      </c>
      <c r="J16" s="12">
        <v>95</v>
      </c>
      <c r="K16" s="12">
        <v>323</v>
      </c>
      <c r="L16" s="12">
        <v>367</v>
      </c>
      <c r="M16" s="12">
        <v>551</v>
      </c>
      <c r="N16" s="12">
        <v>367</v>
      </c>
      <c r="O16" s="12">
        <v>358</v>
      </c>
      <c r="P16" s="12">
        <v>447</v>
      </c>
      <c r="Q16" s="12">
        <v>468</v>
      </c>
      <c r="R16" s="12">
        <v>276</v>
      </c>
      <c r="S16" s="12">
        <v>373</v>
      </c>
      <c r="T16" s="12">
        <v>435</v>
      </c>
      <c r="U16" s="12">
        <v>241</v>
      </c>
      <c r="V16" s="12">
        <v>306</v>
      </c>
      <c r="W16" s="12">
        <v>176</v>
      </c>
      <c r="X16" s="12">
        <v>199</v>
      </c>
      <c r="Y16" s="12">
        <v>314</v>
      </c>
      <c r="Z16" s="12">
        <v>463</v>
      </c>
      <c r="AA16" s="12">
        <v>535</v>
      </c>
      <c r="AB16" s="12">
        <v>409</v>
      </c>
      <c r="AC16" s="12">
        <v>284</v>
      </c>
      <c r="AD16" s="12">
        <v>401</v>
      </c>
      <c r="AE16" s="12">
        <v>377</v>
      </c>
      <c r="AF16" s="12">
        <v>323</v>
      </c>
    </row>
    <row r="17" spans="1:32">
      <c r="A17" s="20"/>
      <c r="B17" s="13" t="s">
        <v>776</v>
      </c>
      <c r="C17" s="14">
        <v>0.38</v>
      </c>
      <c r="D17" s="14">
        <v>0.4</v>
      </c>
      <c r="E17" s="14">
        <v>0.34</v>
      </c>
      <c r="F17" s="14">
        <v>0.4</v>
      </c>
      <c r="G17" s="14">
        <v>0.41</v>
      </c>
      <c r="H17" s="14">
        <v>0.3</v>
      </c>
      <c r="I17" s="14">
        <v>0.31</v>
      </c>
      <c r="J17" s="14">
        <v>0.32</v>
      </c>
      <c r="K17" s="14">
        <v>0.32</v>
      </c>
      <c r="L17" s="14">
        <v>0.36</v>
      </c>
      <c r="M17" s="14">
        <v>0.55000000000000004</v>
      </c>
      <c r="N17" s="14">
        <v>0.37</v>
      </c>
      <c r="O17" s="14">
        <v>0.36</v>
      </c>
      <c r="P17" s="14">
        <v>0.44</v>
      </c>
      <c r="Q17" s="14">
        <v>0.46</v>
      </c>
      <c r="R17" s="14">
        <v>0.55000000000000004</v>
      </c>
      <c r="S17" s="14">
        <v>0.37</v>
      </c>
      <c r="T17" s="14">
        <v>0.43</v>
      </c>
      <c r="U17" s="14">
        <v>0.48</v>
      </c>
      <c r="V17" s="14">
        <v>0.3</v>
      </c>
      <c r="W17" s="14">
        <v>0.35</v>
      </c>
      <c r="X17" s="14">
        <v>0.2</v>
      </c>
      <c r="Y17" s="14">
        <v>0.31</v>
      </c>
      <c r="Z17" s="14">
        <v>0.46</v>
      </c>
      <c r="AA17" s="14">
        <v>0.51</v>
      </c>
      <c r="AB17" s="14">
        <v>0.39</v>
      </c>
      <c r="AC17" s="14">
        <v>0.28000000000000003</v>
      </c>
      <c r="AD17" s="14">
        <v>0.4</v>
      </c>
      <c r="AE17" s="14">
        <v>0.38</v>
      </c>
      <c r="AF17" s="14">
        <v>0.32</v>
      </c>
    </row>
    <row r="18" spans="1:32">
      <c r="A18" s="20"/>
      <c r="B18" s="11" t="s">
        <v>777</v>
      </c>
      <c r="C18" s="12">
        <v>10484</v>
      </c>
      <c r="D18" s="12">
        <v>432</v>
      </c>
      <c r="E18" s="12">
        <v>484</v>
      </c>
      <c r="F18" s="12">
        <v>398</v>
      </c>
      <c r="G18" s="12">
        <v>319</v>
      </c>
      <c r="H18" s="12">
        <v>496</v>
      </c>
      <c r="I18" s="12">
        <v>626</v>
      </c>
      <c r="J18" s="12">
        <v>130</v>
      </c>
      <c r="K18" s="12">
        <v>366</v>
      </c>
      <c r="L18" s="12">
        <v>312</v>
      </c>
      <c r="M18" s="12">
        <v>647</v>
      </c>
      <c r="N18" s="12">
        <v>387</v>
      </c>
      <c r="O18" s="12">
        <v>318</v>
      </c>
      <c r="P18" s="12">
        <v>339</v>
      </c>
      <c r="Q18" s="12">
        <v>539</v>
      </c>
      <c r="R18" s="12">
        <v>251</v>
      </c>
      <c r="S18" s="12">
        <v>410</v>
      </c>
      <c r="T18" s="12">
        <v>442</v>
      </c>
      <c r="U18" s="12">
        <v>186</v>
      </c>
      <c r="V18" s="12">
        <v>332</v>
      </c>
      <c r="W18" s="12">
        <v>191</v>
      </c>
      <c r="X18" s="12">
        <v>408</v>
      </c>
      <c r="Y18" s="12">
        <v>369</v>
      </c>
      <c r="Z18" s="12">
        <v>315</v>
      </c>
      <c r="AA18" s="12">
        <v>453</v>
      </c>
      <c r="AB18" s="12">
        <v>390</v>
      </c>
      <c r="AC18" s="12">
        <v>362</v>
      </c>
      <c r="AD18" s="12">
        <v>385</v>
      </c>
      <c r="AE18" s="12">
        <v>258</v>
      </c>
      <c r="AF18" s="12">
        <v>359</v>
      </c>
    </row>
    <row r="19" spans="1:32">
      <c r="A19" s="20"/>
      <c r="B19" s="13" t="s">
        <v>778</v>
      </c>
      <c r="C19" s="14">
        <v>0.4</v>
      </c>
      <c r="D19" s="14">
        <v>0.43</v>
      </c>
      <c r="E19" s="14">
        <v>0.48</v>
      </c>
      <c r="F19" s="14">
        <v>0.4</v>
      </c>
      <c r="G19" s="14">
        <v>0.32</v>
      </c>
      <c r="H19" s="14">
        <v>0.41</v>
      </c>
      <c r="I19" s="14">
        <v>0.41</v>
      </c>
      <c r="J19" s="14">
        <v>0.44</v>
      </c>
      <c r="K19" s="14">
        <v>0.36</v>
      </c>
      <c r="L19" s="14">
        <v>0.31</v>
      </c>
      <c r="M19" s="14">
        <v>0.65</v>
      </c>
      <c r="N19" s="14">
        <v>0.39</v>
      </c>
      <c r="O19" s="14">
        <v>0.32</v>
      </c>
      <c r="P19" s="14">
        <v>0.33</v>
      </c>
      <c r="Q19" s="14">
        <v>0.53</v>
      </c>
      <c r="R19" s="14">
        <v>0.5</v>
      </c>
      <c r="S19" s="14">
        <v>0.41</v>
      </c>
      <c r="T19" s="14">
        <v>0.44</v>
      </c>
      <c r="U19" s="14">
        <v>0.37</v>
      </c>
      <c r="V19" s="14">
        <v>0.33</v>
      </c>
      <c r="W19" s="14">
        <v>0.38</v>
      </c>
      <c r="X19" s="14">
        <v>0.4</v>
      </c>
      <c r="Y19" s="14">
        <v>0.37</v>
      </c>
      <c r="Z19" s="14">
        <v>0.31</v>
      </c>
      <c r="AA19" s="14">
        <v>0.43</v>
      </c>
      <c r="AB19" s="14">
        <v>0.38</v>
      </c>
      <c r="AC19" s="14">
        <v>0.36</v>
      </c>
      <c r="AD19" s="14">
        <v>0.38</v>
      </c>
      <c r="AE19" s="14">
        <v>0.26</v>
      </c>
      <c r="AF19" s="14">
        <v>0.35</v>
      </c>
    </row>
    <row r="20" spans="1:32" ht="24.95">
      <c r="A20" s="20"/>
      <c r="B20" s="11" t="s">
        <v>779</v>
      </c>
      <c r="C20" s="12">
        <v>10242</v>
      </c>
      <c r="D20" s="12">
        <v>404</v>
      </c>
      <c r="E20" s="12">
        <v>435</v>
      </c>
      <c r="F20" s="12">
        <v>401</v>
      </c>
      <c r="G20" s="12">
        <v>444</v>
      </c>
      <c r="H20" s="12">
        <v>492</v>
      </c>
      <c r="I20" s="12">
        <v>603</v>
      </c>
      <c r="J20" s="12">
        <v>111</v>
      </c>
      <c r="K20" s="12">
        <v>262</v>
      </c>
      <c r="L20" s="12">
        <v>524</v>
      </c>
      <c r="M20" s="12">
        <v>497</v>
      </c>
      <c r="N20" s="12">
        <v>343</v>
      </c>
      <c r="O20" s="12">
        <v>309</v>
      </c>
      <c r="P20" s="12">
        <v>468</v>
      </c>
      <c r="Q20" s="12">
        <v>355</v>
      </c>
      <c r="R20" s="12">
        <v>143</v>
      </c>
      <c r="S20" s="12">
        <v>256</v>
      </c>
      <c r="T20" s="12">
        <v>147</v>
      </c>
      <c r="U20" s="12">
        <v>146</v>
      </c>
      <c r="V20" s="12">
        <v>517</v>
      </c>
      <c r="W20" s="12">
        <v>228</v>
      </c>
      <c r="X20" s="12">
        <v>607</v>
      </c>
      <c r="Y20" s="12">
        <v>461</v>
      </c>
      <c r="Z20" s="12">
        <v>461</v>
      </c>
      <c r="AA20" s="12">
        <v>253</v>
      </c>
      <c r="AB20" s="12">
        <v>244</v>
      </c>
      <c r="AC20" s="12">
        <v>691</v>
      </c>
      <c r="AD20" s="12">
        <v>590</v>
      </c>
      <c r="AE20" s="12">
        <v>593</v>
      </c>
      <c r="AF20" s="12">
        <v>548</v>
      </c>
    </row>
    <row r="21" spans="1:32" ht="36.950000000000003">
      <c r="A21" s="20"/>
      <c r="B21" s="13" t="s">
        <v>780</v>
      </c>
      <c r="C21" s="14">
        <v>0.39</v>
      </c>
      <c r="D21" s="14">
        <v>0.4</v>
      </c>
      <c r="E21" s="14">
        <v>0.43</v>
      </c>
      <c r="F21" s="14">
        <v>0.4</v>
      </c>
      <c r="G21" s="14">
        <v>0.44</v>
      </c>
      <c r="H21" s="14">
        <v>0.4</v>
      </c>
      <c r="I21" s="14">
        <v>0.4</v>
      </c>
      <c r="J21" s="14">
        <v>0.38</v>
      </c>
      <c r="K21" s="14">
        <v>0.26</v>
      </c>
      <c r="L21" s="14">
        <v>0.52</v>
      </c>
      <c r="M21" s="14">
        <v>0.5</v>
      </c>
      <c r="N21" s="14">
        <v>0.34</v>
      </c>
      <c r="O21" s="14">
        <v>0.31</v>
      </c>
      <c r="P21" s="14">
        <v>0.46</v>
      </c>
      <c r="Q21" s="14">
        <v>0.35</v>
      </c>
      <c r="R21" s="14">
        <v>0.28999999999999998</v>
      </c>
      <c r="S21" s="14">
        <v>0.25</v>
      </c>
      <c r="T21" s="14">
        <v>0.15</v>
      </c>
      <c r="U21" s="14">
        <v>0.28999999999999998</v>
      </c>
      <c r="V21" s="14">
        <v>0.51</v>
      </c>
      <c r="W21" s="14">
        <v>0.45</v>
      </c>
      <c r="X21" s="14">
        <v>0.59</v>
      </c>
      <c r="Y21" s="14">
        <v>0.46</v>
      </c>
      <c r="Z21" s="14">
        <v>0.46</v>
      </c>
      <c r="AA21" s="14">
        <v>0.24</v>
      </c>
      <c r="AB21" s="14">
        <v>0.23</v>
      </c>
      <c r="AC21" s="14">
        <v>0.68</v>
      </c>
      <c r="AD21" s="14">
        <v>0.59</v>
      </c>
      <c r="AE21" s="14">
        <v>0.59</v>
      </c>
      <c r="AF21" s="14">
        <v>0.54</v>
      </c>
    </row>
    <row r="22" spans="1:32" ht="24.95">
      <c r="A22" s="20"/>
      <c r="B22" s="11" t="s">
        <v>781</v>
      </c>
      <c r="C22" s="12">
        <v>4698</v>
      </c>
      <c r="D22" s="12">
        <v>187</v>
      </c>
      <c r="E22" s="12">
        <v>176</v>
      </c>
      <c r="F22" s="12">
        <v>149</v>
      </c>
      <c r="G22" s="12">
        <v>178</v>
      </c>
      <c r="H22" s="12">
        <v>218</v>
      </c>
      <c r="I22" s="12">
        <v>275</v>
      </c>
      <c r="J22" s="12">
        <v>57</v>
      </c>
      <c r="K22" s="12">
        <v>167</v>
      </c>
      <c r="L22" s="12">
        <v>253</v>
      </c>
      <c r="M22" s="12">
        <v>189</v>
      </c>
      <c r="N22" s="12">
        <v>83</v>
      </c>
      <c r="O22" s="12">
        <v>208</v>
      </c>
      <c r="P22" s="12">
        <v>277</v>
      </c>
      <c r="Q22" s="12">
        <v>193</v>
      </c>
      <c r="R22" s="12">
        <v>71</v>
      </c>
      <c r="S22" s="12">
        <v>78</v>
      </c>
      <c r="T22" s="12">
        <v>113</v>
      </c>
      <c r="U22" s="12">
        <v>79</v>
      </c>
      <c r="V22" s="12">
        <v>307</v>
      </c>
      <c r="W22" s="12">
        <v>120</v>
      </c>
      <c r="X22" s="12">
        <v>126</v>
      </c>
      <c r="Y22" s="12">
        <v>294</v>
      </c>
      <c r="Z22" s="12">
        <v>183</v>
      </c>
      <c r="AA22" s="12">
        <v>165</v>
      </c>
      <c r="AB22" s="12">
        <v>235</v>
      </c>
      <c r="AC22" s="12">
        <v>156</v>
      </c>
      <c r="AD22" s="12">
        <v>244</v>
      </c>
      <c r="AE22" s="12">
        <v>178</v>
      </c>
      <c r="AF22" s="12">
        <v>123</v>
      </c>
    </row>
    <row r="23" spans="1:32" ht="24.95">
      <c r="A23" s="20"/>
      <c r="B23" s="13" t="s">
        <v>782</v>
      </c>
      <c r="C23" s="14">
        <v>0.18</v>
      </c>
      <c r="D23" s="14">
        <v>0.19</v>
      </c>
      <c r="E23" s="14">
        <v>0.17</v>
      </c>
      <c r="F23" s="14">
        <v>0.15</v>
      </c>
      <c r="G23" s="14">
        <v>0.18</v>
      </c>
      <c r="H23" s="14">
        <v>0.18</v>
      </c>
      <c r="I23" s="14">
        <v>0.18</v>
      </c>
      <c r="J23" s="14">
        <v>0.19</v>
      </c>
      <c r="K23" s="14">
        <v>0.17</v>
      </c>
      <c r="L23" s="14">
        <v>0.25</v>
      </c>
      <c r="M23" s="14">
        <v>0.19</v>
      </c>
      <c r="N23" s="14">
        <v>0.08</v>
      </c>
      <c r="O23" s="14">
        <v>0.21</v>
      </c>
      <c r="P23" s="14">
        <v>0.27</v>
      </c>
      <c r="Q23" s="14">
        <v>0.19</v>
      </c>
      <c r="R23" s="14">
        <v>0.14000000000000001</v>
      </c>
      <c r="S23" s="14">
        <v>0.08</v>
      </c>
      <c r="T23" s="14">
        <v>0.11</v>
      </c>
      <c r="U23" s="14">
        <v>0.16</v>
      </c>
      <c r="V23" s="14">
        <v>0.3</v>
      </c>
      <c r="W23" s="14">
        <v>0.24</v>
      </c>
      <c r="X23" s="14">
        <v>0.12</v>
      </c>
      <c r="Y23" s="14">
        <v>0.28999999999999998</v>
      </c>
      <c r="Z23" s="14">
        <v>0.18</v>
      </c>
      <c r="AA23" s="14">
        <v>0.16</v>
      </c>
      <c r="AB23" s="14">
        <v>0.23</v>
      </c>
      <c r="AC23" s="14">
        <v>0.15</v>
      </c>
      <c r="AD23" s="14">
        <v>0.24</v>
      </c>
      <c r="AE23" s="14">
        <v>0.18</v>
      </c>
      <c r="AF23" s="14">
        <v>0.12</v>
      </c>
    </row>
    <row r="24" spans="1:32">
      <c r="A24" s="20"/>
      <c r="B24" s="11" t="s">
        <v>519</v>
      </c>
      <c r="C24" s="12">
        <v>235</v>
      </c>
      <c r="D24" s="12">
        <v>6</v>
      </c>
      <c r="E24" s="12">
        <v>12</v>
      </c>
      <c r="F24" s="12">
        <v>6</v>
      </c>
      <c r="G24" s="12">
        <v>13</v>
      </c>
      <c r="H24" s="12">
        <v>22</v>
      </c>
      <c r="I24" s="12">
        <v>22</v>
      </c>
      <c r="J24" s="12">
        <v>1</v>
      </c>
      <c r="K24" s="12">
        <v>20</v>
      </c>
      <c r="L24" s="12">
        <v>14</v>
      </c>
      <c r="M24" s="12">
        <v>12</v>
      </c>
      <c r="N24" s="12">
        <v>5</v>
      </c>
      <c r="O24" s="12">
        <v>8</v>
      </c>
      <c r="P24" s="12">
        <v>2</v>
      </c>
      <c r="Q24" s="12">
        <v>3</v>
      </c>
      <c r="R24" s="12">
        <v>5</v>
      </c>
      <c r="S24" s="12">
        <v>19</v>
      </c>
      <c r="T24" s="12">
        <v>21</v>
      </c>
      <c r="U24" s="12">
        <v>14</v>
      </c>
      <c r="V24" s="12">
        <v>0</v>
      </c>
      <c r="W24" s="12">
        <v>1</v>
      </c>
      <c r="X24" s="12">
        <v>13</v>
      </c>
      <c r="Y24" s="12">
        <v>47</v>
      </c>
      <c r="Z24" s="12">
        <v>2</v>
      </c>
      <c r="AA24" s="12">
        <v>3</v>
      </c>
      <c r="AB24" s="12">
        <v>12</v>
      </c>
      <c r="AC24" s="12">
        <v>23</v>
      </c>
      <c r="AD24" s="12">
        <v>3</v>
      </c>
      <c r="AE24" s="12">
        <v>9</v>
      </c>
      <c r="AF24" s="12">
        <v>7</v>
      </c>
    </row>
    <row r="25" spans="1:32">
      <c r="A25" s="20"/>
      <c r="B25" s="13" t="s">
        <v>520</v>
      </c>
      <c r="C25" s="14">
        <v>0.01</v>
      </c>
      <c r="D25" s="14">
        <v>0.01</v>
      </c>
      <c r="E25" s="14">
        <v>0.01</v>
      </c>
      <c r="F25" s="14">
        <v>0.01</v>
      </c>
      <c r="G25" s="14">
        <v>0.01</v>
      </c>
      <c r="H25" s="14">
        <v>0.02</v>
      </c>
      <c r="I25" s="14">
        <v>0.01</v>
      </c>
      <c r="J25" s="15" t="s">
        <v>459</v>
      </c>
      <c r="K25" s="14">
        <v>0.02</v>
      </c>
      <c r="L25" s="14">
        <v>0.01</v>
      </c>
      <c r="M25" s="14">
        <v>0.01</v>
      </c>
      <c r="N25" s="15" t="s">
        <v>459</v>
      </c>
      <c r="O25" s="14">
        <v>0.01</v>
      </c>
      <c r="P25" s="15" t="s">
        <v>459</v>
      </c>
      <c r="Q25" s="15" t="s">
        <v>459</v>
      </c>
      <c r="R25" s="14">
        <v>0.01</v>
      </c>
      <c r="S25" s="14">
        <v>0.02</v>
      </c>
      <c r="T25" s="14">
        <v>0.02</v>
      </c>
      <c r="U25" s="14">
        <v>0.03</v>
      </c>
      <c r="V25" s="15" t="s">
        <v>459</v>
      </c>
      <c r="W25" s="15" t="s">
        <v>459</v>
      </c>
      <c r="X25" s="14">
        <v>0.01</v>
      </c>
      <c r="Y25" s="14">
        <v>0.05</v>
      </c>
      <c r="Z25" s="15" t="s">
        <v>459</v>
      </c>
      <c r="AA25" s="15" t="s">
        <v>459</v>
      </c>
      <c r="AB25" s="14">
        <v>0.01</v>
      </c>
      <c r="AC25" s="14">
        <v>0.02</v>
      </c>
      <c r="AD25" s="15" t="s">
        <v>459</v>
      </c>
      <c r="AE25" s="14">
        <v>0.01</v>
      </c>
      <c r="AF25" s="14">
        <v>0.01</v>
      </c>
    </row>
    <row r="26" spans="1:32" ht="24.95">
      <c r="A26" s="20"/>
      <c r="B26" s="11" t="s">
        <v>783</v>
      </c>
      <c r="C26" s="12">
        <v>1269</v>
      </c>
      <c r="D26" s="12">
        <v>18</v>
      </c>
      <c r="E26" s="12">
        <v>51</v>
      </c>
      <c r="F26" s="12">
        <v>88</v>
      </c>
      <c r="G26" s="12">
        <v>27</v>
      </c>
      <c r="H26" s="12">
        <v>116</v>
      </c>
      <c r="I26" s="12">
        <v>134</v>
      </c>
      <c r="J26" s="12">
        <v>18</v>
      </c>
      <c r="K26" s="12">
        <v>128</v>
      </c>
      <c r="L26" s="12">
        <v>22</v>
      </c>
      <c r="M26" s="12">
        <v>38</v>
      </c>
      <c r="N26" s="12">
        <v>41</v>
      </c>
      <c r="O26" s="12">
        <v>47</v>
      </c>
      <c r="P26" s="12">
        <v>34</v>
      </c>
      <c r="Q26" s="12">
        <v>9</v>
      </c>
      <c r="R26" s="12">
        <v>27</v>
      </c>
      <c r="S26" s="12">
        <v>95</v>
      </c>
      <c r="T26" s="12">
        <v>181</v>
      </c>
      <c r="U26" s="12">
        <v>4</v>
      </c>
      <c r="V26" s="12">
        <v>24</v>
      </c>
      <c r="W26" s="12">
        <v>9</v>
      </c>
      <c r="X26" s="12">
        <v>4</v>
      </c>
      <c r="Y26" s="12">
        <v>137</v>
      </c>
      <c r="Z26" s="12">
        <v>36</v>
      </c>
      <c r="AA26" s="12">
        <v>56</v>
      </c>
      <c r="AB26" s="12">
        <v>75</v>
      </c>
      <c r="AC26" s="12">
        <v>53</v>
      </c>
      <c r="AD26" s="12">
        <v>49</v>
      </c>
      <c r="AE26" s="12">
        <v>28</v>
      </c>
      <c r="AF26" s="12">
        <v>4</v>
      </c>
    </row>
    <row r="27" spans="1:32" ht="24.95">
      <c r="A27" s="20"/>
      <c r="B27" s="13" t="s">
        <v>784</v>
      </c>
      <c r="C27" s="14">
        <v>0.05</v>
      </c>
      <c r="D27" s="14">
        <v>0.02</v>
      </c>
      <c r="E27" s="14">
        <v>0.05</v>
      </c>
      <c r="F27" s="14">
        <v>0.09</v>
      </c>
      <c r="G27" s="14">
        <v>0.03</v>
      </c>
      <c r="H27" s="14">
        <v>0.1</v>
      </c>
      <c r="I27" s="14">
        <v>0.09</v>
      </c>
      <c r="J27" s="14">
        <v>0.06</v>
      </c>
      <c r="K27" s="14">
        <v>0.13</v>
      </c>
      <c r="L27" s="14">
        <v>0.02</v>
      </c>
      <c r="M27" s="14">
        <v>0.04</v>
      </c>
      <c r="N27" s="14">
        <v>0.04</v>
      </c>
      <c r="O27" s="14">
        <v>0.05</v>
      </c>
      <c r="P27" s="14">
        <v>0.03</v>
      </c>
      <c r="Q27" s="14">
        <v>0.01</v>
      </c>
      <c r="R27" s="14">
        <v>0.05</v>
      </c>
      <c r="S27" s="14">
        <v>0.09</v>
      </c>
      <c r="T27" s="14">
        <v>0.18</v>
      </c>
      <c r="U27" s="14">
        <v>0.01</v>
      </c>
      <c r="V27" s="14">
        <v>0.02</v>
      </c>
      <c r="W27" s="14">
        <v>0.02</v>
      </c>
      <c r="X27" s="15" t="s">
        <v>459</v>
      </c>
      <c r="Y27" s="14">
        <v>0.14000000000000001</v>
      </c>
      <c r="Z27" s="14">
        <v>0.04</v>
      </c>
      <c r="AA27" s="14">
        <v>0.05</v>
      </c>
      <c r="AB27" s="14">
        <v>7.0000000000000007E-2</v>
      </c>
      <c r="AC27" s="14">
        <v>0.05</v>
      </c>
      <c r="AD27" s="14">
        <v>0.05</v>
      </c>
      <c r="AE27" s="14">
        <v>0.03</v>
      </c>
      <c r="AF27" s="15" t="s">
        <v>459</v>
      </c>
    </row>
    <row r="28" spans="1:32">
      <c r="A28" s="20"/>
      <c r="B28" s="11" t="s">
        <v>468</v>
      </c>
      <c r="C28" s="12">
        <v>1915</v>
      </c>
      <c r="D28" s="12">
        <v>36</v>
      </c>
      <c r="E28" s="12">
        <v>106</v>
      </c>
      <c r="F28" s="12">
        <v>96</v>
      </c>
      <c r="G28" s="12">
        <v>67</v>
      </c>
      <c r="H28" s="12">
        <v>104</v>
      </c>
      <c r="I28" s="12">
        <v>123</v>
      </c>
      <c r="J28" s="12">
        <v>20</v>
      </c>
      <c r="K28" s="12">
        <v>110</v>
      </c>
      <c r="L28" s="12">
        <v>114</v>
      </c>
      <c r="M28" s="12">
        <v>16</v>
      </c>
      <c r="N28" s="12">
        <v>59</v>
      </c>
      <c r="O28" s="12">
        <v>94</v>
      </c>
      <c r="P28" s="12">
        <v>70</v>
      </c>
      <c r="Q28" s="12">
        <v>77</v>
      </c>
      <c r="R28" s="12">
        <v>17</v>
      </c>
      <c r="S28" s="12">
        <v>102</v>
      </c>
      <c r="T28" s="12">
        <v>98</v>
      </c>
      <c r="U28" s="12">
        <v>18</v>
      </c>
      <c r="V28" s="12">
        <v>56</v>
      </c>
      <c r="W28" s="12">
        <v>11</v>
      </c>
      <c r="X28" s="12">
        <v>27</v>
      </c>
      <c r="Y28" s="12">
        <v>66</v>
      </c>
      <c r="Z28" s="12">
        <v>54</v>
      </c>
      <c r="AA28" s="12">
        <v>151</v>
      </c>
      <c r="AB28" s="12">
        <v>100</v>
      </c>
      <c r="AC28" s="12">
        <v>29</v>
      </c>
      <c r="AD28" s="12">
        <v>35</v>
      </c>
      <c r="AE28" s="12">
        <v>74</v>
      </c>
      <c r="AF28" s="12">
        <v>23</v>
      </c>
    </row>
    <row r="29" spans="1:32">
      <c r="A29" s="20"/>
      <c r="B29" s="13" t="s">
        <v>469</v>
      </c>
      <c r="C29" s="14">
        <v>7.0000000000000007E-2</v>
      </c>
      <c r="D29" s="14">
        <v>0.04</v>
      </c>
      <c r="E29" s="14">
        <v>0.1</v>
      </c>
      <c r="F29" s="14">
        <v>0.1</v>
      </c>
      <c r="G29" s="14">
        <v>7.0000000000000007E-2</v>
      </c>
      <c r="H29" s="14">
        <v>0.09</v>
      </c>
      <c r="I29" s="14">
        <v>0.08</v>
      </c>
      <c r="J29" s="14">
        <v>7.0000000000000007E-2</v>
      </c>
      <c r="K29" s="14">
        <v>0.11</v>
      </c>
      <c r="L29" s="14">
        <v>0.11</v>
      </c>
      <c r="M29" s="14">
        <v>0.02</v>
      </c>
      <c r="N29" s="14">
        <v>0.06</v>
      </c>
      <c r="O29" s="14">
        <v>0.09</v>
      </c>
      <c r="P29" s="14">
        <v>7.0000000000000007E-2</v>
      </c>
      <c r="Q29" s="14">
        <v>0.08</v>
      </c>
      <c r="R29" s="14">
        <v>0.03</v>
      </c>
      <c r="S29" s="14">
        <v>0.1</v>
      </c>
      <c r="T29" s="14">
        <v>0.1</v>
      </c>
      <c r="U29" s="14">
        <v>0.04</v>
      </c>
      <c r="V29" s="14">
        <v>0.06</v>
      </c>
      <c r="W29" s="14">
        <v>0.02</v>
      </c>
      <c r="X29" s="14">
        <v>0.03</v>
      </c>
      <c r="Y29" s="14">
        <v>7.0000000000000007E-2</v>
      </c>
      <c r="Z29" s="14">
        <v>0.05</v>
      </c>
      <c r="AA29" s="14">
        <v>0.14000000000000001</v>
      </c>
      <c r="AB29" s="14">
        <v>0.1</v>
      </c>
      <c r="AC29" s="14">
        <v>0.03</v>
      </c>
      <c r="AD29" s="14">
        <v>0.04</v>
      </c>
      <c r="AE29" s="14">
        <v>7.0000000000000007E-2</v>
      </c>
      <c r="AF29" s="14">
        <v>0.02</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787</v>
      </c>
      <c r="C3" s="18"/>
      <c r="D3" s="18"/>
      <c r="E3" s="18"/>
      <c r="F3" s="18"/>
      <c r="H3" s="18" t="s">
        <v>788</v>
      </c>
      <c r="I3" s="18"/>
      <c r="J3" s="18"/>
      <c r="K3" s="18"/>
      <c r="L3" s="18"/>
    </row>
    <row r="4" spans="1:32" ht="27" customHeight="1">
      <c r="B4" s="18" t="s">
        <v>789</v>
      </c>
      <c r="C4" s="18"/>
      <c r="D4" s="18"/>
      <c r="E4" s="18"/>
      <c r="F4" s="18"/>
      <c r="H4" s="18" t="s">
        <v>790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791</v>
      </c>
      <c r="C12" s="12">
        <v>5559</v>
      </c>
      <c r="D12" s="12">
        <v>220</v>
      </c>
      <c r="E12" s="12">
        <v>338</v>
      </c>
      <c r="F12" s="12">
        <v>108</v>
      </c>
      <c r="G12" s="12">
        <v>259</v>
      </c>
      <c r="H12" s="12">
        <v>206</v>
      </c>
      <c r="I12" s="12">
        <v>269</v>
      </c>
      <c r="J12" s="12">
        <v>63</v>
      </c>
      <c r="K12" s="12">
        <v>97</v>
      </c>
      <c r="L12" s="12">
        <v>328</v>
      </c>
      <c r="M12" s="12">
        <v>306</v>
      </c>
      <c r="N12" s="12">
        <v>198</v>
      </c>
      <c r="O12" s="12">
        <v>171</v>
      </c>
      <c r="P12" s="12">
        <v>241</v>
      </c>
      <c r="Q12" s="12">
        <v>297</v>
      </c>
      <c r="R12" s="12">
        <v>264</v>
      </c>
      <c r="S12" s="12">
        <v>153</v>
      </c>
      <c r="T12" s="12">
        <v>198</v>
      </c>
      <c r="U12" s="12">
        <v>154</v>
      </c>
      <c r="V12" s="12">
        <v>156</v>
      </c>
      <c r="W12" s="12">
        <v>254</v>
      </c>
      <c r="X12" s="12">
        <v>247</v>
      </c>
      <c r="Y12" s="12">
        <v>250</v>
      </c>
      <c r="Z12" s="12">
        <v>159</v>
      </c>
      <c r="AA12" s="12">
        <v>200</v>
      </c>
      <c r="AB12" s="12">
        <v>252</v>
      </c>
      <c r="AC12" s="12">
        <v>182</v>
      </c>
      <c r="AD12" s="12">
        <v>187</v>
      </c>
      <c r="AE12" s="12">
        <v>177</v>
      </c>
      <c r="AF12" s="12">
        <v>319</v>
      </c>
    </row>
    <row r="13" spans="1:32">
      <c r="A13" s="20"/>
      <c r="B13" s="13" t="s">
        <v>792</v>
      </c>
      <c r="C13" s="14">
        <v>0.21</v>
      </c>
      <c r="D13" s="14">
        <v>0.22</v>
      </c>
      <c r="E13" s="14">
        <v>0.33</v>
      </c>
      <c r="F13" s="14">
        <v>0.11</v>
      </c>
      <c r="G13" s="14">
        <v>0.26</v>
      </c>
      <c r="H13" s="14">
        <v>0.17</v>
      </c>
      <c r="I13" s="14">
        <v>0.18</v>
      </c>
      <c r="J13" s="14">
        <v>0.21</v>
      </c>
      <c r="K13" s="14">
        <v>0.1</v>
      </c>
      <c r="L13" s="14">
        <v>0.33</v>
      </c>
      <c r="M13" s="14">
        <v>0.3</v>
      </c>
      <c r="N13" s="14">
        <v>0.2</v>
      </c>
      <c r="O13" s="14">
        <v>0.17</v>
      </c>
      <c r="P13" s="14">
        <v>0.24</v>
      </c>
      <c r="Q13" s="14">
        <v>0.28999999999999998</v>
      </c>
      <c r="R13" s="14">
        <v>0.53</v>
      </c>
      <c r="S13" s="14">
        <v>0.15</v>
      </c>
      <c r="T13" s="14">
        <v>0.2</v>
      </c>
      <c r="U13" s="14">
        <v>0.3</v>
      </c>
      <c r="V13" s="14">
        <v>0.15</v>
      </c>
      <c r="W13" s="14">
        <v>0.51</v>
      </c>
      <c r="X13" s="14">
        <v>0.24</v>
      </c>
      <c r="Y13" s="14">
        <v>0.25</v>
      </c>
      <c r="Z13" s="14">
        <v>0.16</v>
      </c>
      <c r="AA13" s="14">
        <v>0.19</v>
      </c>
      <c r="AB13" s="14">
        <v>0.24</v>
      </c>
      <c r="AC13" s="14">
        <v>0.18</v>
      </c>
      <c r="AD13" s="14">
        <v>0.19</v>
      </c>
      <c r="AE13" s="14">
        <v>0.18</v>
      </c>
      <c r="AF13" s="14">
        <v>0.31</v>
      </c>
    </row>
    <row r="14" spans="1:32">
      <c r="A14" s="20"/>
      <c r="B14" s="11" t="s">
        <v>793</v>
      </c>
      <c r="C14" s="12">
        <v>11381</v>
      </c>
      <c r="D14" s="12">
        <v>486</v>
      </c>
      <c r="E14" s="12">
        <v>397</v>
      </c>
      <c r="F14" s="12">
        <v>453</v>
      </c>
      <c r="G14" s="12">
        <v>371</v>
      </c>
      <c r="H14" s="12">
        <v>465</v>
      </c>
      <c r="I14" s="12">
        <v>573</v>
      </c>
      <c r="J14" s="12">
        <v>108</v>
      </c>
      <c r="K14" s="12">
        <v>349</v>
      </c>
      <c r="L14" s="12">
        <v>354</v>
      </c>
      <c r="M14" s="12">
        <v>462</v>
      </c>
      <c r="N14" s="12">
        <v>367</v>
      </c>
      <c r="O14" s="12">
        <v>420</v>
      </c>
      <c r="P14" s="12">
        <v>464</v>
      </c>
      <c r="Q14" s="12">
        <v>499</v>
      </c>
      <c r="R14" s="12">
        <v>148</v>
      </c>
      <c r="S14" s="12">
        <v>393</v>
      </c>
      <c r="T14" s="12">
        <v>419</v>
      </c>
      <c r="U14" s="12">
        <v>247</v>
      </c>
      <c r="V14" s="12">
        <v>479</v>
      </c>
      <c r="W14" s="12">
        <v>168</v>
      </c>
      <c r="X14" s="12">
        <v>512</v>
      </c>
      <c r="Y14" s="12">
        <v>412</v>
      </c>
      <c r="Z14" s="12">
        <v>526</v>
      </c>
      <c r="AA14" s="12">
        <v>521</v>
      </c>
      <c r="AB14" s="12">
        <v>425</v>
      </c>
      <c r="AC14" s="12">
        <v>391</v>
      </c>
      <c r="AD14" s="12">
        <v>538</v>
      </c>
      <c r="AE14" s="12">
        <v>450</v>
      </c>
      <c r="AF14" s="12">
        <v>445</v>
      </c>
    </row>
    <row r="15" spans="1:32">
      <c r="A15" s="20"/>
      <c r="B15" s="13" t="s">
        <v>794</v>
      </c>
      <c r="C15" s="14">
        <v>0.43</v>
      </c>
      <c r="D15" s="14">
        <v>0.48</v>
      </c>
      <c r="E15" s="14">
        <v>0.39</v>
      </c>
      <c r="F15" s="14">
        <v>0.45</v>
      </c>
      <c r="G15" s="14">
        <v>0.37</v>
      </c>
      <c r="H15" s="14">
        <v>0.38</v>
      </c>
      <c r="I15" s="14">
        <v>0.38</v>
      </c>
      <c r="J15" s="14">
        <v>0.37</v>
      </c>
      <c r="K15" s="14">
        <v>0.35</v>
      </c>
      <c r="L15" s="14">
        <v>0.35</v>
      </c>
      <c r="M15" s="14">
        <v>0.46</v>
      </c>
      <c r="N15" s="14">
        <v>0.36</v>
      </c>
      <c r="O15" s="14">
        <v>0.42</v>
      </c>
      <c r="P15" s="14">
        <v>0.45</v>
      </c>
      <c r="Q15" s="14">
        <v>0.49</v>
      </c>
      <c r="R15" s="14">
        <v>0.28999999999999998</v>
      </c>
      <c r="S15" s="14">
        <v>0.39</v>
      </c>
      <c r="T15" s="14">
        <v>0.41</v>
      </c>
      <c r="U15" s="14">
        <v>0.49</v>
      </c>
      <c r="V15" s="14">
        <v>0.47</v>
      </c>
      <c r="W15" s="14">
        <v>0.33</v>
      </c>
      <c r="X15" s="14">
        <v>0.5</v>
      </c>
      <c r="Y15" s="14">
        <v>0.41</v>
      </c>
      <c r="Z15" s="14">
        <v>0.52</v>
      </c>
      <c r="AA15" s="14">
        <v>0.5</v>
      </c>
      <c r="AB15" s="14">
        <v>0.41</v>
      </c>
      <c r="AC15" s="14">
        <v>0.39</v>
      </c>
      <c r="AD15" s="14">
        <v>0.53</v>
      </c>
      <c r="AE15" s="14">
        <v>0.45</v>
      </c>
      <c r="AF15" s="14">
        <v>0.44</v>
      </c>
    </row>
    <row r="16" spans="1:32">
      <c r="A16" s="20"/>
      <c r="B16" s="11" t="s">
        <v>795</v>
      </c>
      <c r="C16" s="12">
        <v>5851</v>
      </c>
      <c r="D16" s="12">
        <v>187</v>
      </c>
      <c r="E16" s="12">
        <v>178</v>
      </c>
      <c r="F16" s="12">
        <v>264</v>
      </c>
      <c r="G16" s="12">
        <v>247</v>
      </c>
      <c r="H16" s="12">
        <v>366</v>
      </c>
      <c r="I16" s="12">
        <v>448</v>
      </c>
      <c r="J16" s="12">
        <v>83</v>
      </c>
      <c r="K16" s="12">
        <v>336</v>
      </c>
      <c r="L16" s="12">
        <v>166</v>
      </c>
      <c r="M16" s="12">
        <v>150</v>
      </c>
      <c r="N16" s="12">
        <v>257</v>
      </c>
      <c r="O16" s="12">
        <v>213</v>
      </c>
      <c r="P16" s="12">
        <v>204</v>
      </c>
      <c r="Q16" s="12">
        <v>164</v>
      </c>
      <c r="R16" s="12">
        <v>58</v>
      </c>
      <c r="S16" s="12">
        <v>243</v>
      </c>
      <c r="T16" s="12">
        <v>196</v>
      </c>
      <c r="U16" s="12">
        <v>48</v>
      </c>
      <c r="V16" s="12">
        <v>220</v>
      </c>
      <c r="W16" s="12">
        <v>55</v>
      </c>
      <c r="X16" s="12">
        <v>197</v>
      </c>
      <c r="Y16" s="12">
        <v>200</v>
      </c>
      <c r="Z16" s="12">
        <v>215</v>
      </c>
      <c r="AA16" s="12">
        <v>213</v>
      </c>
      <c r="AB16" s="12">
        <v>214</v>
      </c>
      <c r="AC16" s="12">
        <v>248</v>
      </c>
      <c r="AD16" s="12">
        <v>193</v>
      </c>
      <c r="AE16" s="12">
        <v>228</v>
      </c>
      <c r="AF16" s="12">
        <v>191</v>
      </c>
    </row>
    <row r="17" spans="1:32">
      <c r="A17" s="20"/>
      <c r="B17" s="13" t="s">
        <v>796</v>
      </c>
      <c r="C17" s="14">
        <v>0.22</v>
      </c>
      <c r="D17" s="14">
        <v>0.19</v>
      </c>
      <c r="E17" s="14">
        <v>0.17</v>
      </c>
      <c r="F17" s="14">
        <v>0.26</v>
      </c>
      <c r="G17" s="14">
        <v>0.24</v>
      </c>
      <c r="H17" s="14">
        <v>0.3</v>
      </c>
      <c r="I17" s="14">
        <v>0.3</v>
      </c>
      <c r="J17" s="14">
        <v>0.28000000000000003</v>
      </c>
      <c r="K17" s="14">
        <v>0.33</v>
      </c>
      <c r="L17" s="14">
        <v>0.16</v>
      </c>
      <c r="M17" s="14">
        <v>0.15</v>
      </c>
      <c r="N17" s="14">
        <v>0.26</v>
      </c>
      <c r="O17" s="14">
        <v>0.21</v>
      </c>
      <c r="P17" s="14">
        <v>0.2</v>
      </c>
      <c r="Q17" s="14">
        <v>0.16</v>
      </c>
      <c r="R17" s="14">
        <v>0.12</v>
      </c>
      <c r="S17" s="14">
        <v>0.24</v>
      </c>
      <c r="T17" s="14">
        <v>0.19</v>
      </c>
      <c r="U17" s="14">
        <v>0.1</v>
      </c>
      <c r="V17" s="14">
        <v>0.22</v>
      </c>
      <c r="W17" s="14">
        <v>0.11</v>
      </c>
      <c r="X17" s="14">
        <v>0.19</v>
      </c>
      <c r="Y17" s="14">
        <v>0.2</v>
      </c>
      <c r="Z17" s="14">
        <v>0.21</v>
      </c>
      <c r="AA17" s="14">
        <v>0.2</v>
      </c>
      <c r="AB17" s="14">
        <v>0.21</v>
      </c>
      <c r="AC17" s="14">
        <v>0.24</v>
      </c>
      <c r="AD17" s="14">
        <v>0.19</v>
      </c>
      <c r="AE17" s="14">
        <v>0.23</v>
      </c>
      <c r="AF17" s="14">
        <v>0.19</v>
      </c>
    </row>
    <row r="18" spans="1:32">
      <c r="A18" s="20"/>
      <c r="B18" s="11" t="s">
        <v>797</v>
      </c>
      <c r="C18" s="12">
        <v>2962</v>
      </c>
      <c r="D18" s="12">
        <v>100</v>
      </c>
      <c r="E18" s="12">
        <v>89</v>
      </c>
      <c r="F18" s="12">
        <v>166</v>
      </c>
      <c r="G18" s="12">
        <v>88</v>
      </c>
      <c r="H18" s="12">
        <v>154</v>
      </c>
      <c r="I18" s="12">
        <v>189</v>
      </c>
      <c r="J18" s="12">
        <v>35</v>
      </c>
      <c r="K18" s="12">
        <v>199</v>
      </c>
      <c r="L18" s="12">
        <v>108</v>
      </c>
      <c r="M18" s="12">
        <v>79</v>
      </c>
      <c r="N18" s="12">
        <v>171</v>
      </c>
      <c r="O18" s="12">
        <v>154</v>
      </c>
      <c r="P18" s="12">
        <v>97</v>
      </c>
      <c r="Q18" s="12">
        <v>47</v>
      </c>
      <c r="R18" s="12">
        <v>25</v>
      </c>
      <c r="S18" s="12">
        <v>174</v>
      </c>
      <c r="T18" s="12">
        <v>171</v>
      </c>
      <c r="U18" s="12">
        <v>51</v>
      </c>
      <c r="V18" s="12">
        <v>148</v>
      </c>
      <c r="W18" s="12">
        <v>16</v>
      </c>
      <c r="X18" s="12">
        <v>47</v>
      </c>
      <c r="Y18" s="12">
        <v>124</v>
      </c>
      <c r="Z18" s="12">
        <v>90</v>
      </c>
      <c r="AA18" s="12">
        <v>75</v>
      </c>
      <c r="AB18" s="12">
        <v>115</v>
      </c>
      <c r="AC18" s="12">
        <v>183</v>
      </c>
      <c r="AD18" s="12">
        <v>78</v>
      </c>
      <c r="AE18" s="12">
        <v>133</v>
      </c>
      <c r="AF18" s="12">
        <v>63</v>
      </c>
    </row>
    <row r="19" spans="1:32">
      <c r="A19" s="20"/>
      <c r="B19" s="13" t="s">
        <v>798</v>
      </c>
      <c r="C19" s="14">
        <v>0.12</v>
      </c>
      <c r="D19" s="14">
        <v>0.1</v>
      </c>
      <c r="E19" s="14">
        <v>0.09</v>
      </c>
      <c r="F19" s="14">
        <v>0.17</v>
      </c>
      <c r="G19" s="14">
        <v>0.09</v>
      </c>
      <c r="H19" s="14">
        <v>0.13</v>
      </c>
      <c r="I19" s="14">
        <v>0.12</v>
      </c>
      <c r="J19" s="14">
        <v>0.12</v>
      </c>
      <c r="K19" s="14">
        <v>0.2</v>
      </c>
      <c r="L19" s="14">
        <v>0.11</v>
      </c>
      <c r="M19" s="14">
        <v>0.08</v>
      </c>
      <c r="N19" s="14">
        <v>0.17</v>
      </c>
      <c r="O19" s="14">
        <v>0.15</v>
      </c>
      <c r="P19" s="14">
        <v>0.09</v>
      </c>
      <c r="Q19" s="14">
        <v>0.05</v>
      </c>
      <c r="R19" s="14">
        <v>0.05</v>
      </c>
      <c r="S19" s="14">
        <v>0.17</v>
      </c>
      <c r="T19" s="14">
        <v>0.17</v>
      </c>
      <c r="U19" s="14">
        <v>0.1</v>
      </c>
      <c r="V19" s="14">
        <v>0.15</v>
      </c>
      <c r="W19" s="14">
        <v>0.03</v>
      </c>
      <c r="X19" s="14">
        <v>0.05</v>
      </c>
      <c r="Y19" s="14">
        <v>0.12</v>
      </c>
      <c r="Z19" s="14">
        <v>0.09</v>
      </c>
      <c r="AA19" s="14">
        <v>7.0000000000000007E-2</v>
      </c>
      <c r="AB19" s="14">
        <v>0.11</v>
      </c>
      <c r="AC19" s="14">
        <v>0.18</v>
      </c>
      <c r="AD19" s="14">
        <v>0.08</v>
      </c>
      <c r="AE19" s="14">
        <v>0.13</v>
      </c>
      <c r="AF19" s="14">
        <v>0.06</v>
      </c>
    </row>
    <row r="20" spans="1:32">
      <c r="A20" s="20"/>
      <c r="B20" s="11" t="s">
        <v>468</v>
      </c>
      <c r="C20" s="12">
        <v>566</v>
      </c>
      <c r="D20" s="12">
        <v>11</v>
      </c>
      <c r="E20" s="12">
        <v>17</v>
      </c>
      <c r="F20" s="12">
        <v>14</v>
      </c>
      <c r="G20" s="12">
        <v>39</v>
      </c>
      <c r="H20" s="12">
        <v>26</v>
      </c>
      <c r="I20" s="12">
        <v>31</v>
      </c>
      <c r="J20" s="12">
        <v>5</v>
      </c>
      <c r="K20" s="12">
        <v>25</v>
      </c>
      <c r="L20" s="12">
        <v>52</v>
      </c>
      <c r="M20" s="12">
        <v>6</v>
      </c>
      <c r="N20" s="12">
        <v>11</v>
      </c>
      <c r="O20" s="12">
        <v>44</v>
      </c>
      <c r="P20" s="12">
        <v>15</v>
      </c>
      <c r="Q20" s="12">
        <v>12</v>
      </c>
      <c r="R20" s="12">
        <v>5</v>
      </c>
      <c r="S20" s="12">
        <v>45</v>
      </c>
      <c r="T20" s="12">
        <v>30</v>
      </c>
      <c r="U20" s="12">
        <v>7</v>
      </c>
      <c r="V20" s="12">
        <v>15</v>
      </c>
      <c r="W20" s="12">
        <v>10</v>
      </c>
      <c r="X20" s="12">
        <v>18</v>
      </c>
      <c r="Y20" s="12">
        <v>23</v>
      </c>
      <c r="Z20" s="12">
        <v>18</v>
      </c>
      <c r="AA20" s="12">
        <v>44</v>
      </c>
      <c r="AB20" s="12">
        <v>34</v>
      </c>
      <c r="AC20" s="12">
        <v>6</v>
      </c>
      <c r="AD20" s="12">
        <v>9</v>
      </c>
      <c r="AE20" s="12">
        <v>14</v>
      </c>
      <c r="AF20" s="12">
        <v>2</v>
      </c>
    </row>
    <row r="21" spans="1:32">
      <c r="A21" s="20"/>
      <c r="B21" s="13" t="s">
        <v>469</v>
      </c>
      <c r="C21" s="14">
        <v>0.02</v>
      </c>
      <c r="D21" s="14">
        <v>0.01</v>
      </c>
      <c r="E21" s="14">
        <v>0.02</v>
      </c>
      <c r="F21" s="14">
        <v>0.01</v>
      </c>
      <c r="G21" s="14">
        <v>0.04</v>
      </c>
      <c r="H21" s="14">
        <v>0.02</v>
      </c>
      <c r="I21" s="14">
        <v>0.02</v>
      </c>
      <c r="J21" s="14">
        <v>0.02</v>
      </c>
      <c r="K21" s="14">
        <v>0.02</v>
      </c>
      <c r="L21" s="14">
        <v>0.05</v>
      </c>
      <c r="M21" s="14">
        <v>0.01</v>
      </c>
      <c r="N21" s="14">
        <v>0.01</v>
      </c>
      <c r="O21" s="14">
        <v>0.05</v>
      </c>
      <c r="P21" s="14">
        <v>0.02</v>
      </c>
      <c r="Q21" s="14">
        <v>0.01</v>
      </c>
      <c r="R21" s="14">
        <v>0.01</v>
      </c>
      <c r="S21" s="14">
        <v>0.05</v>
      </c>
      <c r="T21" s="14">
        <v>0.03</v>
      </c>
      <c r="U21" s="14">
        <v>0.01</v>
      </c>
      <c r="V21" s="14">
        <v>0.01</v>
      </c>
      <c r="W21" s="14">
        <v>0.02</v>
      </c>
      <c r="X21" s="14">
        <v>0.02</v>
      </c>
      <c r="Y21" s="14">
        <v>0.02</v>
      </c>
      <c r="Z21" s="14">
        <v>0.02</v>
      </c>
      <c r="AA21" s="14">
        <v>0.04</v>
      </c>
      <c r="AB21" s="14">
        <v>0.03</v>
      </c>
      <c r="AC21" s="14">
        <v>0.01</v>
      </c>
      <c r="AD21" s="14">
        <v>0.01</v>
      </c>
      <c r="AE21" s="14">
        <v>0.01</v>
      </c>
      <c r="AF21" s="15" t="s">
        <v>459</v>
      </c>
    </row>
    <row r="22" spans="1:32">
      <c r="A22" s="20"/>
      <c r="B22" s="11" t="s">
        <v>799</v>
      </c>
      <c r="C22" s="12">
        <v>16940</v>
      </c>
      <c r="D22" s="12">
        <v>706</v>
      </c>
      <c r="E22" s="12">
        <v>735</v>
      </c>
      <c r="F22" s="12">
        <v>561</v>
      </c>
      <c r="G22" s="12">
        <v>630</v>
      </c>
      <c r="H22" s="12">
        <v>671</v>
      </c>
      <c r="I22" s="12">
        <v>842</v>
      </c>
      <c r="J22" s="12">
        <v>171</v>
      </c>
      <c r="K22" s="12">
        <v>446</v>
      </c>
      <c r="L22" s="12">
        <v>682</v>
      </c>
      <c r="M22" s="12">
        <v>768</v>
      </c>
      <c r="N22" s="12">
        <v>565</v>
      </c>
      <c r="O22" s="12">
        <v>591</v>
      </c>
      <c r="P22" s="12">
        <v>705</v>
      </c>
      <c r="Q22" s="12">
        <v>796</v>
      </c>
      <c r="R22" s="12">
        <v>412</v>
      </c>
      <c r="S22" s="12">
        <v>546</v>
      </c>
      <c r="T22" s="12">
        <v>617</v>
      </c>
      <c r="U22" s="12">
        <v>401</v>
      </c>
      <c r="V22" s="12">
        <v>635</v>
      </c>
      <c r="W22" s="12">
        <v>422</v>
      </c>
      <c r="X22" s="12">
        <v>759</v>
      </c>
      <c r="Y22" s="12">
        <v>662</v>
      </c>
      <c r="Z22" s="12">
        <v>685</v>
      </c>
      <c r="AA22" s="12">
        <v>721</v>
      </c>
      <c r="AB22" s="12">
        <v>677</v>
      </c>
      <c r="AC22" s="12">
        <v>573</v>
      </c>
      <c r="AD22" s="12">
        <v>725</v>
      </c>
      <c r="AE22" s="12">
        <v>627</v>
      </c>
      <c r="AF22" s="12">
        <v>764</v>
      </c>
    </row>
    <row r="23" spans="1:32">
      <c r="A23" s="20"/>
      <c r="B23" s="13" t="s">
        <v>800</v>
      </c>
      <c r="C23" s="14">
        <v>0.64</v>
      </c>
      <c r="D23" s="14">
        <v>0.70000000000000007</v>
      </c>
      <c r="E23" s="14">
        <v>0.72</v>
      </c>
      <c r="F23" s="14">
        <v>0.56000000000000005</v>
      </c>
      <c r="G23" s="14">
        <v>0.63</v>
      </c>
      <c r="H23" s="14">
        <v>0.55000000000000004</v>
      </c>
      <c r="I23" s="14">
        <v>0.56000000000000005</v>
      </c>
      <c r="J23" s="14">
        <v>0.57999999999999996</v>
      </c>
      <c r="K23" s="14">
        <v>0.45</v>
      </c>
      <c r="L23" s="14">
        <v>0.68</v>
      </c>
      <c r="M23" s="14">
        <v>0.76</v>
      </c>
      <c r="N23" s="14">
        <v>0.56000000000000005</v>
      </c>
      <c r="O23" s="14">
        <v>0.59</v>
      </c>
      <c r="P23" s="14">
        <v>0.69000000000000006</v>
      </c>
      <c r="Q23" s="14">
        <v>0.78</v>
      </c>
      <c r="R23" s="14">
        <v>0.82000000000000006</v>
      </c>
      <c r="S23" s="14">
        <v>0.54</v>
      </c>
      <c r="T23" s="14">
        <v>0.61</v>
      </c>
      <c r="U23" s="14">
        <v>0.79</v>
      </c>
      <c r="V23" s="14">
        <v>0.62</v>
      </c>
      <c r="W23" s="14">
        <v>0.84</v>
      </c>
      <c r="X23" s="14">
        <v>0.74</v>
      </c>
      <c r="Y23" s="14">
        <v>0.66</v>
      </c>
      <c r="Z23" s="14">
        <v>0.68</v>
      </c>
      <c r="AA23" s="14">
        <v>0.69000000000000006</v>
      </c>
      <c r="AB23" s="14">
        <v>0.65</v>
      </c>
      <c r="AC23" s="14">
        <v>0.57000000000000006</v>
      </c>
      <c r="AD23" s="14">
        <v>0.72</v>
      </c>
      <c r="AE23" s="14">
        <v>0.63</v>
      </c>
      <c r="AF23" s="14">
        <v>0.75</v>
      </c>
    </row>
    <row r="24" spans="1:32">
      <c r="A24" s="20"/>
      <c r="B24" s="11" t="s">
        <v>801</v>
      </c>
      <c r="C24" s="12">
        <v>8813</v>
      </c>
      <c r="D24" s="12">
        <v>287</v>
      </c>
      <c r="E24" s="12">
        <v>267</v>
      </c>
      <c r="F24" s="12">
        <v>430</v>
      </c>
      <c r="G24" s="12">
        <v>335</v>
      </c>
      <c r="H24" s="12">
        <v>520</v>
      </c>
      <c r="I24" s="12">
        <v>637</v>
      </c>
      <c r="J24" s="12">
        <v>118</v>
      </c>
      <c r="K24" s="12">
        <v>535</v>
      </c>
      <c r="L24" s="12">
        <v>274</v>
      </c>
      <c r="M24" s="12">
        <v>229</v>
      </c>
      <c r="N24" s="12">
        <v>428</v>
      </c>
      <c r="O24" s="12">
        <v>367</v>
      </c>
      <c r="P24" s="12">
        <v>301</v>
      </c>
      <c r="Q24" s="12">
        <v>211</v>
      </c>
      <c r="R24" s="12">
        <v>83</v>
      </c>
      <c r="S24" s="12">
        <v>417</v>
      </c>
      <c r="T24" s="12">
        <v>367</v>
      </c>
      <c r="U24" s="12">
        <v>99</v>
      </c>
      <c r="V24" s="12">
        <v>368</v>
      </c>
      <c r="W24" s="12">
        <v>71</v>
      </c>
      <c r="X24" s="12">
        <v>244</v>
      </c>
      <c r="Y24" s="12">
        <v>324</v>
      </c>
      <c r="Z24" s="12">
        <v>305</v>
      </c>
      <c r="AA24" s="12">
        <v>288</v>
      </c>
      <c r="AB24" s="12">
        <v>329</v>
      </c>
      <c r="AC24" s="12">
        <v>431</v>
      </c>
      <c r="AD24" s="12">
        <v>271</v>
      </c>
      <c r="AE24" s="12">
        <v>361</v>
      </c>
      <c r="AF24" s="12">
        <v>254</v>
      </c>
    </row>
    <row r="25" spans="1:32">
      <c r="A25" s="20"/>
      <c r="B25" s="13" t="s">
        <v>802</v>
      </c>
      <c r="C25" s="14">
        <v>0.34</v>
      </c>
      <c r="D25" s="14">
        <v>0.28999999999999998</v>
      </c>
      <c r="E25" s="14">
        <v>0.26</v>
      </c>
      <c r="F25" s="14">
        <v>0.43</v>
      </c>
      <c r="G25" s="14">
        <v>0.33</v>
      </c>
      <c r="H25" s="14">
        <v>0.43</v>
      </c>
      <c r="I25" s="14">
        <v>0.42</v>
      </c>
      <c r="J25" s="14">
        <v>0.4</v>
      </c>
      <c r="K25" s="14">
        <v>0.53</v>
      </c>
      <c r="L25" s="14">
        <v>0.27</v>
      </c>
      <c r="M25" s="14">
        <v>0.23</v>
      </c>
      <c r="N25" s="14">
        <v>0.43</v>
      </c>
      <c r="O25" s="14">
        <v>0.36</v>
      </c>
      <c r="P25" s="14">
        <v>0.28999999999999998</v>
      </c>
      <c r="Q25" s="14">
        <v>0.21</v>
      </c>
      <c r="R25" s="14">
        <v>0.17</v>
      </c>
      <c r="S25" s="14">
        <v>0.41</v>
      </c>
      <c r="T25" s="14">
        <v>0.36</v>
      </c>
      <c r="U25" s="14">
        <v>0.2</v>
      </c>
      <c r="V25" s="14">
        <v>0.37</v>
      </c>
      <c r="W25" s="14">
        <v>0.14000000000000001</v>
      </c>
      <c r="X25" s="14">
        <v>0.24</v>
      </c>
      <c r="Y25" s="14">
        <v>0.32</v>
      </c>
      <c r="Z25" s="14">
        <v>0.3</v>
      </c>
      <c r="AA25" s="14">
        <v>0.27</v>
      </c>
      <c r="AB25" s="14">
        <v>0.32</v>
      </c>
      <c r="AC25" s="14">
        <v>0.42</v>
      </c>
      <c r="AD25" s="14">
        <v>0.27</v>
      </c>
      <c r="AE25" s="14">
        <v>0.36</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803</v>
      </c>
      <c r="C3" s="18"/>
      <c r="D3" s="18"/>
      <c r="E3" s="18"/>
      <c r="F3" s="18"/>
      <c r="H3" s="18" t="s">
        <v>804</v>
      </c>
      <c r="I3" s="18"/>
      <c r="J3" s="18"/>
      <c r="K3" s="18"/>
      <c r="L3" s="18"/>
    </row>
    <row r="4" spans="1:32" ht="27" customHeight="1">
      <c r="B4" s="18" t="s">
        <v>805</v>
      </c>
      <c r="C4" s="18"/>
      <c r="D4" s="18"/>
      <c r="E4" s="18"/>
      <c r="F4" s="18"/>
      <c r="H4" s="18" t="s">
        <v>806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791</v>
      </c>
      <c r="C12" s="12">
        <v>5049</v>
      </c>
      <c r="D12" s="12">
        <v>208</v>
      </c>
      <c r="E12" s="12">
        <v>306</v>
      </c>
      <c r="F12" s="12">
        <v>102</v>
      </c>
      <c r="G12" s="12">
        <v>281</v>
      </c>
      <c r="H12" s="12">
        <v>202</v>
      </c>
      <c r="I12" s="12">
        <v>265</v>
      </c>
      <c r="J12" s="12">
        <v>64</v>
      </c>
      <c r="K12" s="12">
        <v>106</v>
      </c>
      <c r="L12" s="12">
        <v>309</v>
      </c>
      <c r="M12" s="12">
        <v>259</v>
      </c>
      <c r="N12" s="12">
        <v>176</v>
      </c>
      <c r="O12" s="12">
        <v>182</v>
      </c>
      <c r="P12" s="12">
        <v>197</v>
      </c>
      <c r="Q12" s="12">
        <v>239</v>
      </c>
      <c r="R12" s="12">
        <v>247</v>
      </c>
      <c r="S12" s="12">
        <v>137</v>
      </c>
      <c r="T12" s="12">
        <v>151</v>
      </c>
      <c r="U12" s="12">
        <v>139</v>
      </c>
      <c r="V12" s="12">
        <v>150</v>
      </c>
      <c r="W12" s="12">
        <v>242</v>
      </c>
      <c r="X12" s="12">
        <v>243</v>
      </c>
      <c r="Y12" s="12">
        <v>224</v>
      </c>
      <c r="Z12" s="12">
        <v>121</v>
      </c>
      <c r="AA12" s="12">
        <v>174</v>
      </c>
      <c r="AB12" s="12">
        <v>163</v>
      </c>
      <c r="AC12" s="12">
        <v>148</v>
      </c>
      <c r="AD12" s="12">
        <v>176</v>
      </c>
      <c r="AE12" s="12">
        <v>173</v>
      </c>
      <c r="AF12" s="12">
        <v>349</v>
      </c>
    </row>
    <row r="13" spans="1:32">
      <c r="A13" s="20"/>
      <c r="B13" s="13" t="s">
        <v>792</v>
      </c>
      <c r="C13" s="14">
        <v>0.19</v>
      </c>
      <c r="D13" s="14">
        <v>0.21</v>
      </c>
      <c r="E13" s="14">
        <v>0.3</v>
      </c>
      <c r="F13" s="14">
        <v>0.1</v>
      </c>
      <c r="G13" s="14">
        <v>0.28000000000000003</v>
      </c>
      <c r="H13" s="14">
        <v>0.17</v>
      </c>
      <c r="I13" s="14">
        <v>0.18</v>
      </c>
      <c r="J13" s="14">
        <v>0.21</v>
      </c>
      <c r="K13" s="14">
        <v>0.11</v>
      </c>
      <c r="L13" s="14">
        <v>0.31</v>
      </c>
      <c r="M13" s="14">
        <v>0.26</v>
      </c>
      <c r="N13" s="14">
        <v>0.18</v>
      </c>
      <c r="O13" s="14">
        <v>0.18</v>
      </c>
      <c r="P13" s="14">
        <v>0.19</v>
      </c>
      <c r="Q13" s="14">
        <v>0.24</v>
      </c>
      <c r="R13" s="14">
        <v>0.49</v>
      </c>
      <c r="S13" s="14">
        <v>0.14000000000000001</v>
      </c>
      <c r="T13" s="14">
        <v>0.15</v>
      </c>
      <c r="U13" s="14">
        <v>0.27</v>
      </c>
      <c r="V13" s="14">
        <v>0.15</v>
      </c>
      <c r="W13" s="14">
        <v>0.48</v>
      </c>
      <c r="X13" s="14">
        <v>0.24</v>
      </c>
      <c r="Y13" s="14">
        <v>0.22</v>
      </c>
      <c r="Z13" s="14">
        <v>0.12</v>
      </c>
      <c r="AA13" s="14">
        <v>0.16</v>
      </c>
      <c r="AB13" s="14">
        <v>0.16</v>
      </c>
      <c r="AC13" s="14">
        <v>0.15</v>
      </c>
      <c r="AD13" s="14">
        <v>0.17</v>
      </c>
      <c r="AE13" s="14">
        <v>0.17</v>
      </c>
      <c r="AF13" s="14">
        <v>0.34</v>
      </c>
    </row>
    <row r="14" spans="1:32">
      <c r="A14" s="20"/>
      <c r="B14" s="11" t="s">
        <v>793</v>
      </c>
      <c r="C14" s="12">
        <v>11647</v>
      </c>
      <c r="D14" s="12">
        <v>471</v>
      </c>
      <c r="E14" s="12">
        <v>404</v>
      </c>
      <c r="F14" s="12">
        <v>438</v>
      </c>
      <c r="G14" s="12">
        <v>378</v>
      </c>
      <c r="H14" s="12">
        <v>488</v>
      </c>
      <c r="I14" s="12">
        <v>605</v>
      </c>
      <c r="J14" s="12">
        <v>117</v>
      </c>
      <c r="K14" s="12">
        <v>366</v>
      </c>
      <c r="L14" s="12">
        <v>367</v>
      </c>
      <c r="M14" s="12">
        <v>476</v>
      </c>
      <c r="N14" s="12">
        <v>387</v>
      </c>
      <c r="O14" s="12">
        <v>407</v>
      </c>
      <c r="P14" s="12">
        <v>474</v>
      </c>
      <c r="Q14" s="12">
        <v>534</v>
      </c>
      <c r="R14" s="12">
        <v>160</v>
      </c>
      <c r="S14" s="12">
        <v>410</v>
      </c>
      <c r="T14" s="12">
        <v>457</v>
      </c>
      <c r="U14" s="12">
        <v>252</v>
      </c>
      <c r="V14" s="12">
        <v>468</v>
      </c>
      <c r="W14" s="12">
        <v>173</v>
      </c>
      <c r="X14" s="12">
        <v>515</v>
      </c>
      <c r="Y14" s="12">
        <v>465</v>
      </c>
      <c r="Z14" s="12">
        <v>502</v>
      </c>
      <c r="AA14" s="12">
        <v>536</v>
      </c>
      <c r="AB14" s="12">
        <v>457</v>
      </c>
      <c r="AC14" s="12">
        <v>384</v>
      </c>
      <c r="AD14" s="12">
        <v>532</v>
      </c>
      <c r="AE14" s="12">
        <v>459</v>
      </c>
      <c r="AF14" s="12">
        <v>455</v>
      </c>
    </row>
    <row r="15" spans="1:32">
      <c r="A15" s="20"/>
      <c r="B15" s="13" t="s">
        <v>794</v>
      </c>
      <c r="C15" s="14">
        <v>0.44</v>
      </c>
      <c r="D15" s="14">
        <v>0.47</v>
      </c>
      <c r="E15" s="14">
        <v>0.4</v>
      </c>
      <c r="F15" s="14">
        <v>0.44</v>
      </c>
      <c r="G15" s="14">
        <v>0.38</v>
      </c>
      <c r="H15" s="14">
        <v>0.4</v>
      </c>
      <c r="I15" s="14">
        <v>0.4</v>
      </c>
      <c r="J15" s="14">
        <v>0.4</v>
      </c>
      <c r="K15" s="14">
        <v>0.36</v>
      </c>
      <c r="L15" s="14">
        <v>0.36</v>
      </c>
      <c r="M15" s="14">
        <v>0.47</v>
      </c>
      <c r="N15" s="14">
        <v>0.38</v>
      </c>
      <c r="O15" s="14">
        <v>0.41</v>
      </c>
      <c r="P15" s="14">
        <v>0.46</v>
      </c>
      <c r="Q15" s="14">
        <v>0.52</v>
      </c>
      <c r="R15" s="14">
        <v>0.32</v>
      </c>
      <c r="S15" s="14">
        <v>0.41</v>
      </c>
      <c r="T15" s="14">
        <v>0.45</v>
      </c>
      <c r="U15" s="14">
        <v>0.5</v>
      </c>
      <c r="V15" s="14">
        <v>0.46</v>
      </c>
      <c r="W15" s="14">
        <v>0.34</v>
      </c>
      <c r="X15" s="14">
        <v>0.5</v>
      </c>
      <c r="Y15" s="14">
        <v>0.46</v>
      </c>
      <c r="Z15" s="14">
        <v>0.5</v>
      </c>
      <c r="AA15" s="14">
        <v>0.51</v>
      </c>
      <c r="AB15" s="14">
        <v>0.44</v>
      </c>
      <c r="AC15" s="14">
        <v>0.38</v>
      </c>
      <c r="AD15" s="14">
        <v>0.53</v>
      </c>
      <c r="AE15" s="14">
        <v>0.46</v>
      </c>
      <c r="AF15" s="14">
        <v>0.45</v>
      </c>
    </row>
    <row r="16" spans="1:32">
      <c r="A16" s="20"/>
      <c r="B16" s="11" t="s">
        <v>795</v>
      </c>
      <c r="C16" s="12">
        <v>6128</v>
      </c>
      <c r="D16" s="12">
        <v>206</v>
      </c>
      <c r="E16" s="12">
        <v>187</v>
      </c>
      <c r="F16" s="12">
        <v>277</v>
      </c>
      <c r="G16" s="12">
        <v>214</v>
      </c>
      <c r="H16" s="12">
        <v>373</v>
      </c>
      <c r="I16" s="12">
        <v>451</v>
      </c>
      <c r="J16" s="12">
        <v>79</v>
      </c>
      <c r="K16" s="12">
        <v>325</v>
      </c>
      <c r="L16" s="12">
        <v>168</v>
      </c>
      <c r="M16" s="12">
        <v>170</v>
      </c>
      <c r="N16" s="12">
        <v>265</v>
      </c>
      <c r="O16" s="12">
        <v>209</v>
      </c>
      <c r="P16" s="12">
        <v>233</v>
      </c>
      <c r="Q16" s="12">
        <v>192</v>
      </c>
      <c r="R16" s="12">
        <v>58</v>
      </c>
      <c r="S16" s="12">
        <v>245</v>
      </c>
      <c r="T16" s="12">
        <v>198</v>
      </c>
      <c r="U16" s="12">
        <v>60</v>
      </c>
      <c r="V16" s="12">
        <v>236</v>
      </c>
      <c r="W16" s="12">
        <v>61</v>
      </c>
      <c r="X16" s="12">
        <v>204</v>
      </c>
      <c r="Y16" s="12">
        <v>161</v>
      </c>
      <c r="Z16" s="12">
        <v>257</v>
      </c>
      <c r="AA16" s="12">
        <v>223</v>
      </c>
      <c r="AB16" s="12">
        <v>261</v>
      </c>
      <c r="AC16" s="12">
        <v>271</v>
      </c>
      <c r="AD16" s="12">
        <v>208</v>
      </c>
      <c r="AE16" s="12">
        <v>223</v>
      </c>
      <c r="AF16" s="12">
        <v>168</v>
      </c>
    </row>
    <row r="17" spans="1:32">
      <c r="A17" s="20"/>
      <c r="B17" s="13" t="s">
        <v>796</v>
      </c>
      <c r="C17" s="14">
        <v>0.23</v>
      </c>
      <c r="D17" s="14">
        <v>0.2</v>
      </c>
      <c r="E17" s="14">
        <v>0.18</v>
      </c>
      <c r="F17" s="14">
        <v>0.28000000000000003</v>
      </c>
      <c r="G17" s="14">
        <v>0.21</v>
      </c>
      <c r="H17" s="14">
        <v>0.31</v>
      </c>
      <c r="I17" s="14">
        <v>0.3</v>
      </c>
      <c r="J17" s="14">
        <v>0.27</v>
      </c>
      <c r="K17" s="14">
        <v>0.32</v>
      </c>
      <c r="L17" s="14">
        <v>0.17</v>
      </c>
      <c r="M17" s="14">
        <v>0.17</v>
      </c>
      <c r="N17" s="14">
        <v>0.26</v>
      </c>
      <c r="O17" s="14">
        <v>0.21</v>
      </c>
      <c r="P17" s="14">
        <v>0.23</v>
      </c>
      <c r="Q17" s="14">
        <v>0.19</v>
      </c>
      <c r="R17" s="14">
        <v>0.12</v>
      </c>
      <c r="S17" s="14">
        <v>0.24</v>
      </c>
      <c r="T17" s="14">
        <v>0.19</v>
      </c>
      <c r="U17" s="14">
        <v>0.12</v>
      </c>
      <c r="V17" s="14">
        <v>0.23</v>
      </c>
      <c r="W17" s="14">
        <v>0.12</v>
      </c>
      <c r="X17" s="14">
        <v>0.2</v>
      </c>
      <c r="Y17" s="14">
        <v>0.16</v>
      </c>
      <c r="Z17" s="14">
        <v>0.25</v>
      </c>
      <c r="AA17" s="14">
        <v>0.21</v>
      </c>
      <c r="AB17" s="14">
        <v>0.25</v>
      </c>
      <c r="AC17" s="14">
        <v>0.27</v>
      </c>
      <c r="AD17" s="14">
        <v>0.21</v>
      </c>
      <c r="AE17" s="14">
        <v>0.22</v>
      </c>
      <c r="AF17" s="14">
        <v>0.16</v>
      </c>
    </row>
    <row r="18" spans="1:32">
      <c r="A18" s="20"/>
      <c r="B18" s="11" t="s">
        <v>797</v>
      </c>
      <c r="C18" s="12">
        <v>3007</v>
      </c>
      <c r="D18" s="12">
        <v>107</v>
      </c>
      <c r="E18" s="12">
        <v>102</v>
      </c>
      <c r="F18" s="12">
        <v>173</v>
      </c>
      <c r="G18" s="12">
        <v>94</v>
      </c>
      <c r="H18" s="12">
        <v>137</v>
      </c>
      <c r="I18" s="12">
        <v>169</v>
      </c>
      <c r="J18" s="12">
        <v>32</v>
      </c>
      <c r="K18" s="12">
        <v>193</v>
      </c>
      <c r="L18" s="12">
        <v>119</v>
      </c>
      <c r="M18" s="12">
        <v>91</v>
      </c>
      <c r="N18" s="12">
        <v>167</v>
      </c>
      <c r="O18" s="12">
        <v>165</v>
      </c>
      <c r="P18" s="12">
        <v>107</v>
      </c>
      <c r="Q18" s="12">
        <v>42</v>
      </c>
      <c r="R18" s="12">
        <v>30</v>
      </c>
      <c r="S18" s="12">
        <v>186</v>
      </c>
      <c r="T18" s="12">
        <v>181</v>
      </c>
      <c r="U18" s="12">
        <v>52</v>
      </c>
      <c r="V18" s="12">
        <v>153</v>
      </c>
      <c r="W18" s="12">
        <v>17</v>
      </c>
      <c r="X18" s="12">
        <v>54</v>
      </c>
      <c r="Y18" s="12">
        <v>139</v>
      </c>
      <c r="Z18" s="12">
        <v>108</v>
      </c>
      <c r="AA18" s="12">
        <v>72</v>
      </c>
      <c r="AB18" s="12">
        <v>127</v>
      </c>
      <c r="AC18" s="12">
        <v>201</v>
      </c>
      <c r="AD18" s="12">
        <v>78</v>
      </c>
      <c r="AE18" s="12">
        <v>137</v>
      </c>
      <c r="AF18" s="12">
        <v>48</v>
      </c>
    </row>
    <row r="19" spans="1:32">
      <c r="A19" s="20"/>
      <c r="B19" s="13" t="s">
        <v>798</v>
      </c>
      <c r="C19" s="14">
        <v>0.12</v>
      </c>
      <c r="D19" s="14">
        <v>0.11</v>
      </c>
      <c r="E19" s="14">
        <v>0.1</v>
      </c>
      <c r="F19" s="14">
        <v>0.17</v>
      </c>
      <c r="G19" s="14">
        <v>0.09</v>
      </c>
      <c r="H19" s="14">
        <v>0.11</v>
      </c>
      <c r="I19" s="14">
        <v>0.11</v>
      </c>
      <c r="J19" s="14">
        <v>0.11</v>
      </c>
      <c r="K19" s="14">
        <v>0.19</v>
      </c>
      <c r="L19" s="14">
        <v>0.12</v>
      </c>
      <c r="M19" s="14">
        <v>0.09</v>
      </c>
      <c r="N19" s="14">
        <v>0.17</v>
      </c>
      <c r="O19" s="14">
        <v>0.16</v>
      </c>
      <c r="P19" s="14">
        <v>0.11</v>
      </c>
      <c r="Q19" s="14">
        <v>0.04</v>
      </c>
      <c r="R19" s="14">
        <v>0.06</v>
      </c>
      <c r="S19" s="14">
        <v>0.18</v>
      </c>
      <c r="T19" s="14">
        <v>0.18</v>
      </c>
      <c r="U19" s="14">
        <v>0.1</v>
      </c>
      <c r="V19" s="14">
        <v>0.15</v>
      </c>
      <c r="W19" s="14">
        <v>0.04</v>
      </c>
      <c r="X19" s="14">
        <v>0.05</v>
      </c>
      <c r="Y19" s="14">
        <v>0.14000000000000001</v>
      </c>
      <c r="Z19" s="14">
        <v>0.11</v>
      </c>
      <c r="AA19" s="14">
        <v>7.0000000000000007E-2</v>
      </c>
      <c r="AB19" s="14">
        <v>0.12</v>
      </c>
      <c r="AC19" s="14">
        <v>0.2</v>
      </c>
      <c r="AD19" s="14">
        <v>0.08</v>
      </c>
      <c r="AE19" s="14">
        <v>0.14000000000000001</v>
      </c>
      <c r="AF19" s="14">
        <v>0.05</v>
      </c>
    </row>
    <row r="20" spans="1:32">
      <c r="A20" s="20"/>
      <c r="B20" s="11" t="s">
        <v>468</v>
      </c>
      <c r="C20" s="12">
        <v>488</v>
      </c>
      <c r="D20" s="12">
        <v>11</v>
      </c>
      <c r="E20" s="12">
        <v>19</v>
      </c>
      <c r="F20" s="12">
        <v>15</v>
      </c>
      <c r="G20" s="12">
        <v>37</v>
      </c>
      <c r="H20" s="12">
        <v>17</v>
      </c>
      <c r="I20" s="12">
        <v>19</v>
      </c>
      <c r="J20" s="12">
        <v>2</v>
      </c>
      <c r="K20" s="12">
        <v>17</v>
      </c>
      <c r="L20" s="12">
        <v>44</v>
      </c>
      <c r="M20" s="12">
        <v>6</v>
      </c>
      <c r="N20" s="12">
        <v>10</v>
      </c>
      <c r="O20" s="12">
        <v>40</v>
      </c>
      <c r="P20" s="12">
        <v>12</v>
      </c>
      <c r="Q20" s="12">
        <v>12</v>
      </c>
      <c r="R20" s="12">
        <v>5</v>
      </c>
      <c r="S20" s="12">
        <v>30</v>
      </c>
      <c r="T20" s="12">
        <v>27</v>
      </c>
      <c r="U20" s="12">
        <v>3</v>
      </c>
      <c r="V20" s="12">
        <v>11</v>
      </c>
      <c r="W20" s="12">
        <v>11</v>
      </c>
      <c r="X20" s="12">
        <v>5</v>
      </c>
      <c r="Y20" s="12">
        <v>20</v>
      </c>
      <c r="Z20" s="12">
        <v>20</v>
      </c>
      <c r="AA20" s="12">
        <v>49</v>
      </c>
      <c r="AB20" s="12">
        <v>31</v>
      </c>
      <c r="AC20" s="12">
        <v>6</v>
      </c>
      <c r="AD20" s="12">
        <v>12</v>
      </c>
      <c r="AE20" s="12">
        <v>9</v>
      </c>
      <c r="AF20" s="12">
        <v>0</v>
      </c>
    </row>
    <row r="21" spans="1:32">
      <c r="A21" s="20"/>
      <c r="B21" s="13" t="s">
        <v>469</v>
      </c>
      <c r="C21" s="14">
        <v>0.02</v>
      </c>
      <c r="D21" s="14">
        <v>0.01</v>
      </c>
      <c r="E21" s="14">
        <v>0.02</v>
      </c>
      <c r="F21" s="14">
        <v>0.01</v>
      </c>
      <c r="G21" s="14">
        <v>0.04</v>
      </c>
      <c r="H21" s="14">
        <v>0.01</v>
      </c>
      <c r="I21" s="14">
        <v>0.01</v>
      </c>
      <c r="J21" s="14">
        <v>0.01</v>
      </c>
      <c r="K21" s="14">
        <v>0.02</v>
      </c>
      <c r="L21" s="14">
        <v>0.04</v>
      </c>
      <c r="M21" s="14">
        <v>0.01</v>
      </c>
      <c r="N21" s="14">
        <v>0.01</v>
      </c>
      <c r="O21" s="14">
        <v>0.04</v>
      </c>
      <c r="P21" s="14">
        <v>0.01</v>
      </c>
      <c r="Q21" s="14">
        <v>0.01</v>
      </c>
      <c r="R21" s="14">
        <v>0.01</v>
      </c>
      <c r="S21" s="14">
        <v>0.03</v>
      </c>
      <c r="T21" s="14">
        <v>0.03</v>
      </c>
      <c r="U21" s="14">
        <v>0.01</v>
      </c>
      <c r="V21" s="14">
        <v>0.01</v>
      </c>
      <c r="W21" s="14">
        <v>0.02</v>
      </c>
      <c r="X21" s="14">
        <v>0.01</v>
      </c>
      <c r="Y21" s="14">
        <v>0.02</v>
      </c>
      <c r="Z21" s="14">
        <v>0.02</v>
      </c>
      <c r="AA21" s="14">
        <v>0.05</v>
      </c>
      <c r="AB21" s="14">
        <v>0.03</v>
      </c>
      <c r="AC21" s="15" t="s">
        <v>459</v>
      </c>
      <c r="AD21" s="14">
        <v>0.01</v>
      </c>
      <c r="AE21" s="14">
        <v>0.01</v>
      </c>
      <c r="AF21" s="15" t="s">
        <v>459</v>
      </c>
    </row>
    <row r="22" spans="1:32">
      <c r="A22" s="20"/>
      <c r="B22" s="11" t="s">
        <v>799</v>
      </c>
      <c r="C22" s="12">
        <v>16696</v>
      </c>
      <c r="D22" s="12">
        <v>679</v>
      </c>
      <c r="E22" s="12">
        <v>710</v>
      </c>
      <c r="F22" s="12">
        <v>540</v>
      </c>
      <c r="G22" s="12">
        <v>659</v>
      </c>
      <c r="H22" s="12">
        <v>690</v>
      </c>
      <c r="I22" s="12">
        <v>870</v>
      </c>
      <c r="J22" s="12">
        <v>181</v>
      </c>
      <c r="K22" s="12">
        <v>472</v>
      </c>
      <c r="L22" s="12">
        <v>676</v>
      </c>
      <c r="M22" s="12">
        <v>735</v>
      </c>
      <c r="N22" s="12">
        <v>563</v>
      </c>
      <c r="O22" s="12">
        <v>589</v>
      </c>
      <c r="P22" s="12">
        <v>671</v>
      </c>
      <c r="Q22" s="12">
        <v>773</v>
      </c>
      <c r="R22" s="12">
        <v>407</v>
      </c>
      <c r="S22" s="12">
        <v>547</v>
      </c>
      <c r="T22" s="12">
        <v>608</v>
      </c>
      <c r="U22" s="12">
        <v>391</v>
      </c>
      <c r="V22" s="12">
        <v>618</v>
      </c>
      <c r="W22" s="12">
        <v>415</v>
      </c>
      <c r="X22" s="12">
        <v>758</v>
      </c>
      <c r="Y22" s="12">
        <v>689</v>
      </c>
      <c r="Z22" s="12">
        <v>623</v>
      </c>
      <c r="AA22" s="12">
        <v>710</v>
      </c>
      <c r="AB22" s="12">
        <v>620</v>
      </c>
      <c r="AC22" s="12">
        <v>532</v>
      </c>
      <c r="AD22" s="12">
        <v>708</v>
      </c>
      <c r="AE22" s="12">
        <v>632</v>
      </c>
      <c r="AF22" s="12">
        <v>804</v>
      </c>
    </row>
    <row r="23" spans="1:32">
      <c r="A23" s="20"/>
      <c r="B23" s="13" t="s">
        <v>800</v>
      </c>
      <c r="C23" s="14">
        <v>0.63</v>
      </c>
      <c r="D23" s="14">
        <v>0.68</v>
      </c>
      <c r="E23" s="14">
        <v>0.70000000000000007</v>
      </c>
      <c r="F23" s="14">
        <v>0.54</v>
      </c>
      <c r="G23" s="14">
        <v>0.66</v>
      </c>
      <c r="H23" s="14">
        <v>0.57000000000000006</v>
      </c>
      <c r="I23" s="14">
        <v>0.57999999999999996</v>
      </c>
      <c r="J23" s="14">
        <v>0.61</v>
      </c>
      <c r="K23" s="14">
        <v>0.47</v>
      </c>
      <c r="L23" s="14">
        <v>0.67</v>
      </c>
      <c r="M23" s="14">
        <v>0.73</v>
      </c>
      <c r="N23" s="14">
        <v>0.56000000000000005</v>
      </c>
      <c r="O23" s="14">
        <v>0.59</v>
      </c>
      <c r="P23" s="14">
        <v>0.65</v>
      </c>
      <c r="Q23" s="14">
        <v>0.76</v>
      </c>
      <c r="R23" s="14">
        <v>0.81</v>
      </c>
      <c r="S23" s="14">
        <v>0.55000000000000004</v>
      </c>
      <c r="T23" s="14">
        <v>0.6</v>
      </c>
      <c r="U23" s="14">
        <v>0.77</v>
      </c>
      <c r="V23" s="14">
        <v>0.61</v>
      </c>
      <c r="W23" s="14">
        <v>0.82000000000000006</v>
      </c>
      <c r="X23" s="14">
        <v>0.74</v>
      </c>
      <c r="Y23" s="14">
        <v>0.68</v>
      </c>
      <c r="Z23" s="14">
        <v>0.62</v>
      </c>
      <c r="AA23" s="14">
        <v>0.67</v>
      </c>
      <c r="AB23" s="14">
        <v>0.6</v>
      </c>
      <c r="AC23" s="14">
        <v>0.53</v>
      </c>
      <c r="AD23" s="14">
        <v>0.70000000000000007</v>
      </c>
      <c r="AE23" s="14">
        <v>0.63</v>
      </c>
      <c r="AF23" s="14">
        <v>0.79</v>
      </c>
    </row>
    <row r="24" spans="1:32">
      <c r="A24" s="20"/>
      <c r="B24" s="11" t="s">
        <v>801</v>
      </c>
      <c r="C24" s="12">
        <v>9135</v>
      </c>
      <c r="D24" s="12">
        <v>313</v>
      </c>
      <c r="E24" s="12">
        <v>289</v>
      </c>
      <c r="F24" s="12">
        <v>450</v>
      </c>
      <c r="G24" s="12">
        <v>308</v>
      </c>
      <c r="H24" s="12">
        <v>510</v>
      </c>
      <c r="I24" s="12">
        <v>620</v>
      </c>
      <c r="J24" s="12">
        <v>111</v>
      </c>
      <c r="K24" s="12">
        <v>518</v>
      </c>
      <c r="L24" s="12">
        <v>287</v>
      </c>
      <c r="M24" s="12">
        <v>261</v>
      </c>
      <c r="N24" s="12">
        <v>432</v>
      </c>
      <c r="O24" s="12">
        <v>374</v>
      </c>
      <c r="P24" s="12">
        <v>340</v>
      </c>
      <c r="Q24" s="12">
        <v>234</v>
      </c>
      <c r="R24" s="12">
        <v>88</v>
      </c>
      <c r="S24" s="12">
        <v>431</v>
      </c>
      <c r="T24" s="12">
        <v>379</v>
      </c>
      <c r="U24" s="12">
        <v>112</v>
      </c>
      <c r="V24" s="12">
        <v>389</v>
      </c>
      <c r="W24" s="12">
        <v>78</v>
      </c>
      <c r="X24" s="12">
        <v>258</v>
      </c>
      <c r="Y24" s="12">
        <v>300</v>
      </c>
      <c r="Z24" s="12">
        <v>365</v>
      </c>
      <c r="AA24" s="12">
        <v>295</v>
      </c>
      <c r="AB24" s="12">
        <v>388</v>
      </c>
      <c r="AC24" s="12">
        <v>472</v>
      </c>
      <c r="AD24" s="12">
        <v>286</v>
      </c>
      <c r="AE24" s="12">
        <v>360</v>
      </c>
      <c r="AF24" s="12">
        <v>216</v>
      </c>
    </row>
    <row r="25" spans="1:32">
      <c r="A25" s="20"/>
      <c r="B25" s="13" t="s">
        <v>802</v>
      </c>
      <c r="C25" s="14">
        <v>0.35</v>
      </c>
      <c r="D25" s="14">
        <v>0.31</v>
      </c>
      <c r="E25" s="14">
        <v>0.28000000000000003</v>
      </c>
      <c r="F25" s="14">
        <v>0.45</v>
      </c>
      <c r="G25" s="14">
        <v>0.3</v>
      </c>
      <c r="H25" s="14">
        <v>0.42</v>
      </c>
      <c r="I25" s="14">
        <v>0.41</v>
      </c>
      <c r="J25" s="14">
        <v>0.38</v>
      </c>
      <c r="K25" s="14">
        <v>0.51</v>
      </c>
      <c r="L25" s="14">
        <v>0.28999999999999998</v>
      </c>
      <c r="M25" s="14">
        <v>0.26</v>
      </c>
      <c r="N25" s="14">
        <v>0.43</v>
      </c>
      <c r="O25" s="14">
        <v>0.37</v>
      </c>
      <c r="P25" s="14">
        <v>0.34</v>
      </c>
      <c r="Q25" s="14">
        <v>0.23</v>
      </c>
      <c r="R25" s="14">
        <v>0.18</v>
      </c>
      <c r="S25" s="14">
        <v>0.42</v>
      </c>
      <c r="T25" s="14">
        <v>0.37</v>
      </c>
      <c r="U25" s="14">
        <v>0.22</v>
      </c>
      <c r="V25" s="14">
        <v>0.38</v>
      </c>
      <c r="W25" s="14">
        <v>0.16</v>
      </c>
      <c r="X25" s="14">
        <v>0.25</v>
      </c>
      <c r="Y25" s="14">
        <v>0.3</v>
      </c>
      <c r="Z25" s="14">
        <v>0.36</v>
      </c>
      <c r="AA25" s="14">
        <v>0.28000000000000003</v>
      </c>
      <c r="AB25" s="14">
        <v>0.37</v>
      </c>
      <c r="AC25" s="14">
        <v>0.47</v>
      </c>
      <c r="AD25" s="14">
        <v>0.28999999999999998</v>
      </c>
      <c r="AE25" s="14">
        <v>0.36</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807</v>
      </c>
      <c r="C3" s="18"/>
      <c r="D3" s="18"/>
      <c r="E3" s="18"/>
      <c r="F3" s="18"/>
      <c r="H3" s="18" t="s">
        <v>808</v>
      </c>
      <c r="I3" s="18"/>
      <c r="J3" s="18"/>
      <c r="K3" s="18"/>
      <c r="L3" s="18"/>
    </row>
    <row r="4" spans="1:32" ht="27" customHeight="1">
      <c r="B4" s="18" t="s">
        <v>809</v>
      </c>
      <c r="C4" s="18"/>
      <c r="D4" s="18"/>
      <c r="E4" s="18"/>
      <c r="F4" s="18"/>
      <c r="H4" s="18" t="s">
        <v>810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791</v>
      </c>
      <c r="C12" s="12">
        <v>4817</v>
      </c>
      <c r="D12" s="12">
        <v>199</v>
      </c>
      <c r="E12" s="12">
        <v>299</v>
      </c>
      <c r="F12" s="12">
        <v>106</v>
      </c>
      <c r="G12" s="12">
        <v>271</v>
      </c>
      <c r="H12" s="12">
        <v>190</v>
      </c>
      <c r="I12" s="12">
        <v>246</v>
      </c>
      <c r="J12" s="12">
        <v>57</v>
      </c>
      <c r="K12" s="12">
        <v>98</v>
      </c>
      <c r="L12" s="12">
        <v>296</v>
      </c>
      <c r="M12" s="12">
        <v>242</v>
      </c>
      <c r="N12" s="12">
        <v>163</v>
      </c>
      <c r="O12" s="12">
        <v>165</v>
      </c>
      <c r="P12" s="12">
        <v>205</v>
      </c>
      <c r="Q12" s="12">
        <v>234</v>
      </c>
      <c r="R12" s="12">
        <v>231</v>
      </c>
      <c r="S12" s="12">
        <v>110</v>
      </c>
      <c r="T12" s="12">
        <v>161</v>
      </c>
      <c r="U12" s="12">
        <v>127</v>
      </c>
      <c r="V12" s="12">
        <v>138</v>
      </c>
      <c r="W12" s="12">
        <v>239</v>
      </c>
      <c r="X12" s="12">
        <v>244</v>
      </c>
      <c r="Y12" s="12">
        <v>237</v>
      </c>
      <c r="Z12" s="12">
        <v>121</v>
      </c>
      <c r="AA12" s="12">
        <v>182</v>
      </c>
      <c r="AB12" s="12">
        <v>167</v>
      </c>
      <c r="AC12" s="12">
        <v>135</v>
      </c>
      <c r="AD12" s="12">
        <v>173</v>
      </c>
      <c r="AE12" s="12">
        <v>126</v>
      </c>
      <c r="AF12" s="12">
        <v>320</v>
      </c>
    </row>
    <row r="13" spans="1:32">
      <c r="A13" s="20"/>
      <c r="B13" s="13" t="s">
        <v>792</v>
      </c>
      <c r="C13" s="14">
        <v>0.18</v>
      </c>
      <c r="D13" s="14">
        <v>0.2</v>
      </c>
      <c r="E13" s="14">
        <v>0.28999999999999998</v>
      </c>
      <c r="F13" s="14">
        <v>0.11</v>
      </c>
      <c r="G13" s="14">
        <v>0.27</v>
      </c>
      <c r="H13" s="14">
        <v>0.16</v>
      </c>
      <c r="I13" s="14">
        <v>0.16</v>
      </c>
      <c r="J13" s="14">
        <v>0.19</v>
      </c>
      <c r="K13" s="14">
        <v>0.1</v>
      </c>
      <c r="L13" s="14">
        <v>0.28999999999999998</v>
      </c>
      <c r="M13" s="14">
        <v>0.24</v>
      </c>
      <c r="N13" s="14">
        <v>0.16</v>
      </c>
      <c r="O13" s="14">
        <v>0.16</v>
      </c>
      <c r="P13" s="14">
        <v>0.2</v>
      </c>
      <c r="Q13" s="14">
        <v>0.23</v>
      </c>
      <c r="R13" s="14">
        <v>0.46</v>
      </c>
      <c r="S13" s="14">
        <v>0.11</v>
      </c>
      <c r="T13" s="14">
        <v>0.16</v>
      </c>
      <c r="U13" s="14">
        <v>0.25</v>
      </c>
      <c r="V13" s="14">
        <v>0.14000000000000001</v>
      </c>
      <c r="W13" s="14">
        <v>0.48</v>
      </c>
      <c r="X13" s="14">
        <v>0.24</v>
      </c>
      <c r="Y13" s="14">
        <v>0.24</v>
      </c>
      <c r="Z13" s="14">
        <v>0.12</v>
      </c>
      <c r="AA13" s="14">
        <v>0.17</v>
      </c>
      <c r="AB13" s="14">
        <v>0.16</v>
      </c>
      <c r="AC13" s="14">
        <v>0.13</v>
      </c>
      <c r="AD13" s="14">
        <v>0.17</v>
      </c>
      <c r="AE13" s="14">
        <v>0.13</v>
      </c>
      <c r="AF13" s="14">
        <v>0.31</v>
      </c>
    </row>
    <row r="14" spans="1:32">
      <c r="A14" s="20"/>
      <c r="B14" s="11" t="s">
        <v>793</v>
      </c>
      <c r="C14" s="12">
        <v>11535</v>
      </c>
      <c r="D14" s="12">
        <v>483</v>
      </c>
      <c r="E14" s="12">
        <v>386</v>
      </c>
      <c r="F14" s="12">
        <v>408</v>
      </c>
      <c r="G14" s="12">
        <v>354</v>
      </c>
      <c r="H14" s="12">
        <v>478</v>
      </c>
      <c r="I14" s="12">
        <v>588</v>
      </c>
      <c r="J14" s="12">
        <v>110</v>
      </c>
      <c r="K14" s="12">
        <v>340</v>
      </c>
      <c r="L14" s="12">
        <v>388</v>
      </c>
      <c r="M14" s="12">
        <v>459</v>
      </c>
      <c r="N14" s="12">
        <v>383</v>
      </c>
      <c r="O14" s="12">
        <v>406</v>
      </c>
      <c r="P14" s="12">
        <v>467</v>
      </c>
      <c r="Q14" s="12">
        <v>533</v>
      </c>
      <c r="R14" s="12">
        <v>155</v>
      </c>
      <c r="S14" s="12">
        <v>364</v>
      </c>
      <c r="T14" s="12">
        <v>432</v>
      </c>
      <c r="U14" s="12">
        <v>262</v>
      </c>
      <c r="V14" s="12">
        <v>468</v>
      </c>
      <c r="W14" s="12">
        <v>163</v>
      </c>
      <c r="X14" s="12">
        <v>508</v>
      </c>
      <c r="Y14" s="12">
        <v>437</v>
      </c>
      <c r="Z14" s="12">
        <v>529</v>
      </c>
      <c r="AA14" s="12">
        <v>524</v>
      </c>
      <c r="AB14" s="12">
        <v>439</v>
      </c>
      <c r="AC14" s="12">
        <v>360</v>
      </c>
      <c r="AD14" s="12">
        <v>506</v>
      </c>
      <c r="AE14" s="12">
        <v>451</v>
      </c>
      <c r="AF14" s="12">
        <v>460</v>
      </c>
    </row>
    <row r="15" spans="1:32">
      <c r="A15" s="20"/>
      <c r="B15" s="13" t="s">
        <v>794</v>
      </c>
      <c r="C15" s="14">
        <v>0.44</v>
      </c>
      <c r="D15" s="14">
        <v>0.48</v>
      </c>
      <c r="E15" s="14">
        <v>0.38</v>
      </c>
      <c r="F15" s="14">
        <v>0.41</v>
      </c>
      <c r="G15" s="14">
        <v>0.35</v>
      </c>
      <c r="H15" s="14">
        <v>0.39</v>
      </c>
      <c r="I15" s="14">
        <v>0.39</v>
      </c>
      <c r="J15" s="14">
        <v>0.37</v>
      </c>
      <c r="K15" s="14">
        <v>0.34</v>
      </c>
      <c r="L15" s="14">
        <v>0.39</v>
      </c>
      <c r="M15" s="14">
        <v>0.46</v>
      </c>
      <c r="N15" s="14">
        <v>0.38</v>
      </c>
      <c r="O15" s="14">
        <v>0.41</v>
      </c>
      <c r="P15" s="14">
        <v>0.46</v>
      </c>
      <c r="Q15" s="14">
        <v>0.52</v>
      </c>
      <c r="R15" s="14">
        <v>0.31</v>
      </c>
      <c r="S15" s="14">
        <v>0.36</v>
      </c>
      <c r="T15" s="14">
        <v>0.43</v>
      </c>
      <c r="U15" s="14">
        <v>0.52</v>
      </c>
      <c r="V15" s="14">
        <v>0.46</v>
      </c>
      <c r="W15" s="14">
        <v>0.32</v>
      </c>
      <c r="X15" s="14">
        <v>0.5</v>
      </c>
      <c r="Y15" s="14">
        <v>0.43</v>
      </c>
      <c r="Z15" s="14">
        <v>0.53</v>
      </c>
      <c r="AA15" s="14">
        <v>0.5</v>
      </c>
      <c r="AB15" s="14">
        <v>0.42</v>
      </c>
      <c r="AC15" s="14">
        <v>0.36</v>
      </c>
      <c r="AD15" s="14">
        <v>0.5</v>
      </c>
      <c r="AE15" s="14">
        <v>0.45</v>
      </c>
      <c r="AF15" s="14">
        <v>0.45</v>
      </c>
    </row>
    <row r="16" spans="1:32">
      <c r="A16" s="20"/>
      <c r="B16" s="11" t="s">
        <v>795</v>
      </c>
      <c r="C16" s="12">
        <v>6306</v>
      </c>
      <c r="D16" s="12">
        <v>203</v>
      </c>
      <c r="E16" s="12">
        <v>196</v>
      </c>
      <c r="F16" s="12">
        <v>306</v>
      </c>
      <c r="G16" s="12">
        <v>222</v>
      </c>
      <c r="H16" s="12">
        <v>379</v>
      </c>
      <c r="I16" s="12">
        <v>466</v>
      </c>
      <c r="J16" s="12">
        <v>88</v>
      </c>
      <c r="K16" s="12">
        <v>335</v>
      </c>
      <c r="L16" s="12">
        <v>166</v>
      </c>
      <c r="M16" s="12">
        <v>182</v>
      </c>
      <c r="N16" s="12">
        <v>279</v>
      </c>
      <c r="O16" s="12">
        <v>213</v>
      </c>
      <c r="P16" s="12">
        <v>245</v>
      </c>
      <c r="Q16" s="12">
        <v>192</v>
      </c>
      <c r="R16" s="12">
        <v>69</v>
      </c>
      <c r="S16" s="12">
        <v>305</v>
      </c>
      <c r="T16" s="12">
        <v>206</v>
      </c>
      <c r="U16" s="12">
        <v>69</v>
      </c>
      <c r="V16" s="12">
        <v>241</v>
      </c>
      <c r="W16" s="12">
        <v>70</v>
      </c>
      <c r="X16" s="12">
        <v>205</v>
      </c>
      <c r="Y16" s="12">
        <v>180</v>
      </c>
      <c r="Z16" s="12">
        <v>243</v>
      </c>
      <c r="AA16" s="12">
        <v>229</v>
      </c>
      <c r="AB16" s="12">
        <v>262</v>
      </c>
      <c r="AC16" s="12">
        <v>299</v>
      </c>
      <c r="AD16" s="12">
        <v>231</v>
      </c>
      <c r="AE16" s="12">
        <v>262</v>
      </c>
      <c r="AF16" s="12">
        <v>188</v>
      </c>
    </row>
    <row r="17" spans="1:32">
      <c r="A17" s="20"/>
      <c r="B17" s="13" t="s">
        <v>796</v>
      </c>
      <c r="C17" s="14">
        <v>0.24</v>
      </c>
      <c r="D17" s="14">
        <v>0.2</v>
      </c>
      <c r="E17" s="14">
        <v>0.19</v>
      </c>
      <c r="F17" s="14">
        <v>0.3</v>
      </c>
      <c r="G17" s="14">
        <v>0.22</v>
      </c>
      <c r="H17" s="14">
        <v>0.31</v>
      </c>
      <c r="I17" s="14">
        <v>0.31</v>
      </c>
      <c r="J17" s="14">
        <v>0.3</v>
      </c>
      <c r="K17" s="14">
        <v>0.33</v>
      </c>
      <c r="L17" s="14">
        <v>0.16</v>
      </c>
      <c r="M17" s="14">
        <v>0.18</v>
      </c>
      <c r="N17" s="14">
        <v>0.28000000000000003</v>
      </c>
      <c r="O17" s="14">
        <v>0.21</v>
      </c>
      <c r="P17" s="14">
        <v>0.24</v>
      </c>
      <c r="Q17" s="14">
        <v>0.19</v>
      </c>
      <c r="R17" s="14">
        <v>0.14000000000000001</v>
      </c>
      <c r="S17" s="14">
        <v>0.3</v>
      </c>
      <c r="T17" s="14">
        <v>0.2</v>
      </c>
      <c r="U17" s="14">
        <v>0.14000000000000001</v>
      </c>
      <c r="V17" s="14">
        <v>0.24</v>
      </c>
      <c r="W17" s="14">
        <v>0.14000000000000001</v>
      </c>
      <c r="X17" s="14">
        <v>0.2</v>
      </c>
      <c r="Y17" s="14">
        <v>0.18</v>
      </c>
      <c r="Z17" s="14">
        <v>0.24</v>
      </c>
      <c r="AA17" s="14">
        <v>0.22</v>
      </c>
      <c r="AB17" s="14">
        <v>0.25</v>
      </c>
      <c r="AC17" s="14">
        <v>0.28999999999999998</v>
      </c>
      <c r="AD17" s="14">
        <v>0.23</v>
      </c>
      <c r="AE17" s="14">
        <v>0.26</v>
      </c>
      <c r="AF17" s="14">
        <v>0.19</v>
      </c>
    </row>
    <row r="18" spans="1:32">
      <c r="A18" s="20"/>
      <c r="B18" s="11" t="s">
        <v>797</v>
      </c>
      <c r="C18" s="12">
        <v>3122</v>
      </c>
      <c r="D18" s="12">
        <v>105</v>
      </c>
      <c r="E18" s="12">
        <v>109</v>
      </c>
      <c r="F18" s="12">
        <v>173</v>
      </c>
      <c r="G18" s="12">
        <v>116</v>
      </c>
      <c r="H18" s="12">
        <v>149</v>
      </c>
      <c r="I18" s="12">
        <v>186</v>
      </c>
      <c r="J18" s="12">
        <v>37</v>
      </c>
      <c r="K18" s="12">
        <v>214</v>
      </c>
      <c r="L18" s="12">
        <v>111</v>
      </c>
      <c r="M18" s="12">
        <v>114</v>
      </c>
      <c r="N18" s="12">
        <v>169</v>
      </c>
      <c r="O18" s="12">
        <v>171</v>
      </c>
      <c r="P18" s="12">
        <v>95</v>
      </c>
      <c r="Q18" s="12">
        <v>48</v>
      </c>
      <c r="R18" s="12">
        <v>36</v>
      </c>
      <c r="S18" s="12">
        <v>186</v>
      </c>
      <c r="T18" s="12">
        <v>180</v>
      </c>
      <c r="U18" s="12">
        <v>48</v>
      </c>
      <c r="V18" s="12">
        <v>156</v>
      </c>
      <c r="W18" s="12">
        <v>21</v>
      </c>
      <c r="X18" s="12">
        <v>58</v>
      </c>
      <c r="Y18" s="12">
        <v>135</v>
      </c>
      <c r="Z18" s="12">
        <v>94</v>
      </c>
      <c r="AA18" s="12">
        <v>73</v>
      </c>
      <c r="AB18" s="12">
        <v>140</v>
      </c>
      <c r="AC18" s="12">
        <v>209</v>
      </c>
      <c r="AD18" s="12">
        <v>81</v>
      </c>
      <c r="AE18" s="12">
        <v>149</v>
      </c>
      <c r="AF18" s="12">
        <v>51</v>
      </c>
    </row>
    <row r="19" spans="1:32">
      <c r="A19" s="20"/>
      <c r="B19" s="13" t="s">
        <v>798</v>
      </c>
      <c r="C19" s="14">
        <v>0.12</v>
      </c>
      <c r="D19" s="14">
        <v>0.11</v>
      </c>
      <c r="E19" s="14">
        <v>0.11</v>
      </c>
      <c r="F19" s="14">
        <v>0.17</v>
      </c>
      <c r="G19" s="14">
        <v>0.12</v>
      </c>
      <c r="H19" s="14">
        <v>0.12</v>
      </c>
      <c r="I19" s="14">
        <v>0.12</v>
      </c>
      <c r="J19" s="14">
        <v>0.13</v>
      </c>
      <c r="K19" s="14">
        <v>0.21</v>
      </c>
      <c r="L19" s="14">
        <v>0.11</v>
      </c>
      <c r="M19" s="14">
        <v>0.11</v>
      </c>
      <c r="N19" s="14">
        <v>0.17</v>
      </c>
      <c r="O19" s="14">
        <v>0.17</v>
      </c>
      <c r="P19" s="14">
        <v>0.09</v>
      </c>
      <c r="Q19" s="14">
        <v>0.05</v>
      </c>
      <c r="R19" s="14">
        <v>7.0000000000000007E-2</v>
      </c>
      <c r="S19" s="14">
        <v>0.19</v>
      </c>
      <c r="T19" s="14">
        <v>0.18</v>
      </c>
      <c r="U19" s="14">
        <v>0.09</v>
      </c>
      <c r="V19" s="14">
        <v>0.15</v>
      </c>
      <c r="W19" s="14">
        <v>0.04</v>
      </c>
      <c r="X19" s="14">
        <v>0.06</v>
      </c>
      <c r="Y19" s="14">
        <v>0.13</v>
      </c>
      <c r="Z19" s="14">
        <v>0.09</v>
      </c>
      <c r="AA19" s="14">
        <v>7.0000000000000007E-2</v>
      </c>
      <c r="AB19" s="14">
        <v>0.14000000000000001</v>
      </c>
      <c r="AC19" s="14">
        <v>0.21</v>
      </c>
      <c r="AD19" s="14">
        <v>0.08</v>
      </c>
      <c r="AE19" s="14">
        <v>0.15</v>
      </c>
      <c r="AF19" s="14">
        <v>0.05</v>
      </c>
    </row>
    <row r="20" spans="1:32">
      <c r="A20" s="20"/>
      <c r="B20" s="11" t="s">
        <v>468</v>
      </c>
      <c r="C20" s="12">
        <v>539</v>
      </c>
      <c r="D20" s="12">
        <v>13</v>
      </c>
      <c r="E20" s="12">
        <v>28</v>
      </c>
      <c r="F20" s="12">
        <v>12</v>
      </c>
      <c r="G20" s="12">
        <v>41</v>
      </c>
      <c r="H20" s="12">
        <v>20</v>
      </c>
      <c r="I20" s="12">
        <v>23</v>
      </c>
      <c r="J20" s="12">
        <v>3</v>
      </c>
      <c r="K20" s="12">
        <v>19</v>
      </c>
      <c r="L20" s="12">
        <v>46</v>
      </c>
      <c r="M20" s="12">
        <v>6</v>
      </c>
      <c r="N20" s="12">
        <v>10</v>
      </c>
      <c r="O20" s="12">
        <v>48</v>
      </c>
      <c r="P20" s="12">
        <v>10</v>
      </c>
      <c r="Q20" s="12">
        <v>11</v>
      </c>
      <c r="R20" s="12">
        <v>10</v>
      </c>
      <c r="S20" s="12">
        <v>43</v>
      </c>
      <c r="T20" s="12">
        <v>34</v>
      </c>
      <c r="U20" s="12">
        <v>1</v>
      </c>
      <c r="V20" s="12">
        <v>14</v>
      </c>
      <c r="W20" s="12">
        <v>10</v>
      </c>
      <c r="X20" s="12">
        <v>6</v>
      </c>
      <c r="Y20" s="12">
        <v>19</v>
      </c>
      <c r="Z20" s="12">
        <v>20</v>
      </c>
      <c r="AA20" s="12">
        <v>45</v>
      </c>
      <c r="AB20" s="12">
        <v>30</v>
      </c>
      <c r="AC20" s="12">
        <v>8</v>
      </c>
      <c r="AD20" s="12">
        <v>15</v>
      </c>
      <c r="AE20" s="12">
        <v>13</v>
      </c>
      <c r="AF20" s="12">
        <v>0</v>
      </c>
    </row>
    <row r="21" spans="1:32">
      <c r="A21" s="20"/>
      <c r="B21" s="13" t="s">
        <v>469</v>
      </c>
      <c r="C21" s="14">
        <v>0.02</v>
      </c>
      <c r="D21" s="14">
        <v>0.01</v>
      </c>
      <c r="E21" s="14">
        <v>0.03</v>
      </c>
      <c r="F21" s="14">
        <v>0.01</v>
      </c>
      <c r="G21" s="14">
        <v>0.04</v>
      </c>
      <c r="H21" s="14">
        <v>0.02</v>
      </c>
      <c r="I21" s="14">
        <v>0.02</v>
      </c>
      <c r="J21" s="14">
        <v>0.01</v>
      </c>
      <c r="K21" s="14">
        <v>0.02</v>
      </c>
      <c r="L21" s="14">
        <v>0.05</v>
      </c>
      <c r="M21" s="14">
        <v>0.01</v>
      </c>
      <c r="N21" s="14">
        <v>0.01</v>
      </c>
      <c r="O21" s="14">
        <v>0.05</v>
      </c>
      <c r="P21" s="14">
        <v>0.01</v>
      </c>
      <c r="Q21" s="14">
        <v>0.01</v>
      </c>
      <c r="R21" s="14">
        <v>0.02</v>
      </c>
      <c r="S21" s="14">
        <v>0.04</v>
      </c>
      <c r="T21" s="14">
        <v>0.03</v>
      </c>
      <c r="U21" s="15" t="s">
        <v>459</v>
      </c>
      <c r="V21" s="14">
        <v>0.01</v>
      </c>
      <c r="W21" s="14">
        <v>0.02</v>
      </c>
      <c r="X21" s="15" t="s">
        <v>459</v>
      </c>
      <c r="Y21" s="14">
        <v>0.02</v>
      </c>
      <c r="Z21" s="14">
        <v>0.02</v>
      </c>
      <c r="AA21" s="14">
        <v>0.04</v>
      </c>
      <c r="AB21" s="14">
        <v>0.03</v>
      </c>
      <c r="AC21" s="14">
        <v>0.01</v>
      </c>
      <c r="AD21" s="14">
        <v>0.02</v>
      </c>
      <c r="AE21" s="14">
        <v>0.01</v>
      </c>
      <c r="AF21" s="15" t="s">
        <v>459</v>
      </c>
    </row>
    <row r="22" spans="1:32">
      <c r="A22" s="20"/>
      <c r="B22" s="11" t="s">
        <v>799</v>
      </c>
      <c r="C22" s="12">
        <v>16352</v>
      </c>
      <c r="D22" s="12">
        <v>682</v>
      </c>
      <c r="E22" s="12">
        <v>685</v>
      </c>
      <c r="F22" s="12">
        <v>514</v>
      </c>
      <c r="G22" s="12">
        <v>625</v>
      </c>
      <c r="H22" s="12">
        <v>668</v>
      </c>
      <c r="I22" s="12">
        <v>834</v>
      </c>
      <c r="J22" s="12">
        <v>167</v>
      </c>
      <c r="K22" s="12">
        <v>438</v>
      </c>
      <c r="L22" s="12">
        <v>684</v>
      </c>
      <c r="M22" s="12">
        <v>701</v>
      </c>
      <c r="N22" s="12">
        <v>546</v>
      </c>
      <c r="O22" s="12">
        <v>571</v>
      </c>
      <c r="P22" s="12">
        <v>672</v>
      </c>
      <c r="Q22" s="12">
        <v>767</v>
      </c>
      <c r="R22" s="12">
        <v>386</v>
      </c>
      <c r="S22" s="12">
        <v>474</v>
      </c>
      <c r="T22" s="12">
        <v>593</v>
      </c>
      <c r="U22" s="12">
        <v>389</v>
      </c>
      <c r="V22" s="12">
        <v>606</v>
      </c>
      <c r="W22" s="12">
        <v>402</v>
      </c>
      <c r="X22" s="12">
        <v>752</v>
      </c>
      <c r="Y22" s="12">
        <v>674</v>
      </c>
      <c r="Z22" s="12">
        <v>650</v>
      </c>
      <c r="AA22" s="12">
        <v>706</v>
      </c>
      <c r="AB22" s="12">
        <v>606</v>
      </c>
      <c r="AC22" s="12">
        <v>495</v>
      </c>
      <c r="AD22" s="12">
        <v>679</v>
      </c>
      <c r="AE22" s="12">
        <v>577</v>
      </c>
      <c r="AF22" s="12">
        <v>780</v>
      </c>
    </row>
    <row r="23" spans="1:32">
      <c r="A23" s="20"/>
      <c r="B23" s="13" t="s">
        <v>800</v>
      </c>
      <c r="C23" s="14">
        <v>0.62</v>
      </c>
      <c r="D23" s="14">
        <v>0.68</v>
      </c>
      <c r="E23" s="14">
        <v>0.67</v>
      </c>
      <c r="F23" s="14">
        <v>0.52</v>
      </c>
      <c r="G23" s="14">
        <v>0.62</v>
      </c>
      <c r="H23" s="14">
        <v>0.55000000000000004</v>
      </c>
      <c r="I23" s="14">
        <v>0.55000000000000004</v>
      </c>
      <c r="J23" s="14">
        <v>0.56000000000000005</v>
      </c>
      <c r="K23" s="14">
        <v>0.44</v>
      </c>
      <c r="L23" s="14">
        <v>0.68</v>
      </c>
      <c r="M23" s="14">
        <v>0.70000000000000007</v>
      </c>
      <c r="N23" s="14">
        <v>0.54</v>
      </c>
      <c r="O23" s="14">
        <v>0.57000000000000006</v>
      </c>
      <c r="P23" s="14">
        <v>0.66</v>
      </c>
      <c r="Q23" s="14">
        <v>0.75</v>
      </c>
      <c r="R23" s="14">
        <v>0.77</v>
      </c>
      <c r="S23" s="14">
        <v>0.47</v>
      </c>
      <c r="T23" s="14">
        <v>0.59</v>
      </c>
      <c r="U23" s="14">
        <v>0.77</v>
      </c>
      <c r="V23" s="14">
        <v>0.6</v>
      </c>
      <c r="W23" s="14">
        <v>0.8</v>
      </c>
      <c r="X23" s="14">
        <v>0.74</v>
      </c>
      <c r="Y23" s="14">
        <v>0.67</v>
      </c>
      <c r="Z23" s="14">
        <v>0.65</v>
      </c>
      <c r="AA23" s="14">
        <v>0.67</v>
      </c>
      <c r="AB23" s="14">
        <v>0.57999999999999996</v>
      </c>
      <c r="AC23" s="14">
        <v>0.49</v>
      </c>
      <c r="AD23" s="14">
        <v>0.67</v>
      </c>
      <c r="AE23" s="14">
        <v>0.57999999999999996</v>
      </c>
      <c r="AF23" s="14">
        <v>0.76</v>
      </c>
    </row>
    <row r="24" spans="1:32">
      <c r="A24" s="20"/>
      <c r="B24" s="11" t="s">
        <v>801</v>
      </c>
      <c r="C24" s="12">
        <v>9428</v>
      </c>
      <c r="D24" s="12">
        <v>308</v>
      </c>
      <c r="E24" s="12">
        <v>305</v>
      </c>
      <c r="F24" s="12">
        <v>479</v>
      </c>
      <c r="G24" s="12">
        <v>338</v>
      </c>
      <c r="H24" s="12">
        <v>528</v>
      </c>
      <c r="I24" s="12">
        <v>652</v>
      </c>
      <c r="J24" s="12">
        <v>125</v>
      </c>
      <c r="K24" s="12">
        <v>549</v>
      </c>
      <c r="L24" s="12">
        <v>277</v>
      </c>
      <c r="M24" s="12">
        <v>296</v>
      </c>
      <c r="N24" s="12">
        <v>448</v>
      </c>
      <c r="O24" s="12">
        <v>384</v>
      </c>
      <c r="P24" s="12">
        <v>340</v>
      </c>
      <c r="Q24" s="12">
        <v>240</v>
      </c>
      <c r="R24" s="12">
        <v>105</v>
      </c>
      <c r="S24" s="12">
        <v>491</v>
      </c>
      <c r="T24" s="12">
        <v>386</v>
      </c>
      <c r="U24" s="12">
        <v>117</v>
      </c>
      <c r="V24" s="12">
        <v>397</v>
      </c>
      <c r="W24" s="12">
        <v>91</v>
      </c>
      <c r="X24" s="12">
        <v>263</v>
      </c>
      <c r="Y24" s="12">
        <v>315</v>
      </c>
      <c r="Z24" s="12">
        <v>337</v>
      </c>
      <c r="AA24" s="12">
        <v>302</v>
      </c>
      <c r="AB24" s="12">
        <v>402</v>
      </c>
      <c r="AC24" s="12">
        <v>508</v>
      </c>
      <c r="AD24" s="12">
        <v>312</v>
      </c>
      <c r="AE24" s="12">
        <v>411</v>
      </c>
      <c r="AF24" s="12">
        <v>239</v>
      </c>
    </row>
    <row r="25" spans="1:32">
      <c r="A25" s="20"/>
      <c r="B25" s="13" t="s">
        <v>802</v>
      </c>
      <c r="C25" s="14">
        <v>0.36</v>
      </c>
      <c r="D25" s="14">
        <v>0.31</v>
      </c>
      <c r="E25" s="14">
        <v>0.3</v>
      </c>
      <c r="F25" s="14">
        <v>0.47</v>
      </c>
      <c r="G25" s="14">
        <v>0.34</v>
      </c>
      <c r="H25" s="14">
        <v>0.43</v>
      </c>
      <c r="I25" s="14">
        <v>0.43</v>
      </c>
      <c r="J25" s="14">
        <v>0.43</v>
      </c>
      <c r="K25" s="14">
        <v>0.54</v>
      </c>
      <c r="L25" s="14">
        <v>0.27</v>
      </c>
      <c r="M25" s="14">
        <v>0.28999999999999998</v>
      </c>
      <c r="N25" s="14">
        <v>0.45</v>
      </c>
      <c r="O25" s="14">
        <v>0.38</v>
      </c>
      <c r="P25" s="14">
        <v>0.33</v>
      </c>
      <c r="Q25" s="14">
        <v>0.24</v>
      </c>
      <c r="R25" s="14">
        <v>0.21</v>
      </c>
      <c r="S25" s="14">
        <v>0.49</v>
      </c>
      <c r="T25" s="14">
        <v>0.38</v>
      </c>
      <c r="U25" s="14">
        <v>0.23</v>
      </c>
      <c r="V25" s="14">
        <v>0.39</v>
      </c>
      <c r="W25" s="14">
        <v>0.18</v>
      </c>
      <c r="X25" s="14">
        <v>0.26</v>
      </c>
      <c r="Y25" s="14">
        <v>0.31</v>
      </c>
      <c r="Z25" s="14">
        <v>0.33</v>
      </c>
      <c r="AA25" s="14">
        <v>0.28999999999999998</v>
      </c>
      <c r="AB25" s="14">
        <v>0.39</v>
      </c>
      <c r="AC25" s="14">
        <v>0.5</v>
      </c>
      <c r="AD25" s="14">
        <v>0.31</v>
      </c>
      <c r="AE25" s="14">
        <v>0.41</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811</v>
      </c>
      <c r="C3" s="18"/>
      <c r="D3" s="18"/>
      <c r="E3" s="18"/>
      <c r="F3" s="18"/>
      <c r="H3" s="18" t="s">
        <v>812</v>
      </c>
      <c r="I3" s="18"/>
      <c r="J3" s="18"/>
      <c r="K3" s="18"/>
      <c r="L3" s="18"/>
    </row>
    <row r="4" spans="1:32" ht="27" customHeight="1">
      <c r="B4" s="18" t="s">
        <v>813</v>
      </c>
      <c r="C4" s="18"/>
      <c r="D4" s="18"/>
      <c r="E4" s="18"/>
      <c r="F4" s="18"/>
      <c r="H4" s="18" t="s">
        <v>814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791</v>
      </c>
      <c r="C12" s="12">
        <v>3614</v>
      </c>
      <c r="D12" s="12">
        <v>126</v>
      </c>
      <c r="E12" s="12">
        <v>147</v>
      </c>
      <c r="F12" s="12">
        <v>75</v>
      </c>
      <c r="G12" s="12">
        <v>122</v>
      </c>
      <c r="H12" s="12">
        <v>122</v>
      </c>
      <c r="I12" s="12">
        <v>154</v>
      </c>
      <c r="J12" s="12">
        <v>32</v>
      </c>
      <c r="K12" s="12">
        <v>63</v>
      </c>
      <c r="L12" s="12">
        <v>267</v>
      </c>
      <c r="M12" s="12">
        <v>160</v>
      </c>
      <c r="N12" s="12">
        <v>132</v>
      </c>
      <c r="O12" s="12">
        <v>122</v>
      </c>
      <c r="P12" s="12">
        <v>164</v>
      </c>
      <c r="Q12" s="12">
        <v>218</v>
      </c>
      <c r="R12" s="12">
        <v>183</v>
      </c>
      <c r="S12" s="12">
        <v>74</v>
      </c>
      <c r="T12" s="12">
        <v>102</v>
      </c>
      <c r="U12" s="12">
        <v>88</v>
      </c>
      <c r="V12" s="12">
        <v>145</v>
      </c>
      <c r="W12" s="12">
        <v>186</v>
      </c>
      <c r="X12" s="12">
        <v>129</v>
      </c>
      <c r="Y12" s="12">
        <v>184</v>
      </c>
      <c r="Z12" s="12">
        <v>108</v>
      </c>
      <c r="AA12" s="12">
        <v>129</v>
      </c>
      <c r="AB12" s="12">
        <v>169</v>
      </c>
      <c r="AC12" s="12">
        <v>78</v>
      </c>
      <c r="AD12" s="12">
        <v>156</v>
      </c>
      <c r="AE12" s="12">
        <v>92</v>
      </c>
      <c r="AF12" s="12">
        <v>166</v>
      </c>
    </row>
    <row r="13" spans="1:32">
      <c r="A13" s="20"/>
      <c r="B13" s="13" t="s">
        <v>792</v>
      </c>
      <c r="C13" s="14">
        <v>0.14000000000000001</v>
      </c>
      <c r="D13" s="14">
        <v>0.13</v>
      </c>
      <c r="E13" s="14">
        <v>0.14000000000000001</v>
      </c>
      <c r="F13" s="14">
        <v>0.08</v>
      </c>
      <c r="G13" s="14">
        <v>0.12</v>
      </c>
      <c r="H13" s="14">
        <v>0.1</v>
      </c>
      <c r="I13" s="14">
        <v>0.1</v>
      </c>
      <c r="J13" s="14">
        <v>0.11</v>
      </c>
      <c r="K13" s="14">
        <v>0.06</v>
      </c>
      <c r="L13" s="14">
        <v>0.26</v>
      </c>
      <c r="M13" s="14">
        <v>0.16</v>
      </c>
      <c r="N13" s="14">
        <v>0.13</v>
      </c>
      <c r="O13" s="14">
        <v>0.12</v>
      </c>
      <c r="P13" s="14">
        <v>0.16</v>
      </c>
      <c r="Q13" s="14">
        <v>0.21</v>
      </c>
      <c r="R13" s="14">
        <v>0.37</v>
      </c>
      <c r="S13" s="14">
        <v>7.0000000000000007E-2</v>
      </c>
      <c r="T13" s="14">
        <v>0.1</v>
      </c>
      <c r="U13" s="14">
        <v>0.17</v>
      </c>
      <c r="V13" s="14">
        <v>0.14000000000000001</v>
      </c>
      <c r="W13" s="14">
        <v>0.37</v>
      </c>
      <c r="X13" s="14">
        <v>0.12</v>
      </c>
      <c r="Y13" s="14">
        <v>0.18</v>
      </c>
      <c r="Z13" s="14">
        <v>0.11</v>
      </c>
      <c r="AA13" s="14">
        <v>0.12</v>
      </c>
      <c r="AB13" s="14">
        <v>0.16</v>
      </c>
      <c r="AC13" s="14">
        <v>0.08</v>
      </c>
      <c r="AD13" s="14">
        <v>0.16</v>
      </c>
      <c r="AE13" s="14">
        <v>0.09</v>
      </c>
      <c r="AF13" s="14">
        <v>0.16</v>
      </c>
    </row>
    <row r="14" spans="1:32">
      <c r="A14" s="20"/>
      <c r="B14" s="11" t="s">
        <v>793</v>
      </c>
      <c r="C14" s="12">
        <v>10370</v>
      </c>
      <c r="D14" s="12">
        <v>467</v>
      </c>
      <c r="E14" s="12">
        <v>363</v>
      </c>
      <c r="F14" s="12">
        <v>363</v>
      </c>
      <c r="G14" s="12">
        <v>272</v>
      </c>
      <c r="H14" s="12">
        <v>401</v>
      </c>
      <c r="I14" s="12">
        <v>498</v>
      </c>
      <c r="J14" s="12">
        <v>97</v>
      </c>
      <c r="K14" s="12">
        <v>257</v>
      </c>
      <c r="L14" s="12">
        <v>349</v>
      </c>
      <c r="M14" s="12">
        <v>385</v>
      </c>
      <c r="N14" s="12">
        <v>338</v>
      </c>
      <c r="O14" s="12">
        <v>364</v>
      </c>
      <c r="P14" s="12">
        <v>432</v>
      </c>
      <c r="Q14" s="12">
        <v>526</v>
      </c>
      <c r="R14" s="12">
        <v>129</v>
      </c>
      <c r="S14" s="12">
        <v>304</v>
      </c>
      <c r="T14" s="12">
        <v>410</v>
      </c>
      <c r="U14" s="12">
        <v>250</v>
      </c>
      <c r="V14" s="12">
        <v>424</v>
      </c>
      <c r="W14" s="12">
        <v>175</v>
      </c>
      <c r="X14" s="12">
        <v>396</v>
      </c>
      <c r="Y14" s="12">
        <v>384</v>
      </c>
      <c r="Z14" s="12">
        <v>488</v>
      </c>
      <c r="AA14" s="12">
        <v>532</v>
      </c>
      <c r="AB14" s="12">
        <v>417</v>
      </c>
      <c r="AC14" s="12">
        <v>293</v>
      </c>
      <c r="AD14" s="12">
        <v>418</v>
      </c>
      <c r="AE14" s="12">
        <v>327</v>
      </c>
      <c r="AF14" s="12">
        <v>386</v>
      </c>
    </row>
    <row r="15" spans="1:32">
      <c r="A15" s="20"/>
      <c r="B15" s="13" t="s">
        <v>794</v>
      </c>
      <c r="C15" s="14">
        <v>0.39</v>
      </c>
      <c r="D15" s="14">
        <v>0.46</v>
      </c>
      <c r="E15" s="14">
        <v>0.36</v>
      </c>
      <c r="F15" s="14">
        <v>0.36</v>
      </c>
      <c r="G15" s="14">
        <v>0.27</v>
      </c>
      <c r="H15" s="14">
        <v>0.33</v>
      </c>
      <c r="I15" s="14">
        <v>0.33</v>
      </c>
      <c r="J15" s="14">
        <v>0.33</v>
      </c>
      <c r="K15" s="14">
        <v>0.25</v>
      </c>
      <c r="L15" s="14">
        <v>0.35</v>
      </c>
      <c r="M15" s="14">
        <v>0.38</v>
      </c>
      <c r="N15" s="14">
        <v>0.34</v>
      </c>
      <c r="O15" s="14">
        <v>0.36</v>
      </c>
      <c r="P15" s="14">
        <v>0.42</v>
      </c>
      <c r="Q15" s="14">
        <v>0.52</v>
      </c>
      <c r="R15" s="14">
        <v>0.26</v>
      </c>
      <c r="S15" s="14">
        <v>0.3</v>
      </c>
      <c r="T15" s="14">
        <v>0.4</v>
      </c>
      <c r="U15" s="14">
        <v>0.49</v>
      </c>
      <c r="V15" s="14">
        <v>0.42</v>
      </c>
      <c r="W15" s="14">
        <v>0.35</v>
      </c>
      <c r="X15" s="14">
        <v>0.39</v>
      </c>
      <c r="Y15" s="14">
        <v>0.38</v>
      </c>
      <c r="Z15" s="14">
        <v>0.48</v>
      </c>
      <c r="AA15" s="14">
        <v>0.51</v>
      </c>
      <c r="AB15" s="14">
        <v>0.4</v>
      </c>
      <c r="AC15" s="14">
        <v>0.28999999999999998</v>
      </c>
      <c r="AD15" s="14">
        <v>0.42</v>
      </c>
      <c r="AE15" s="14">
        <v>0.33</v>
      </c>
      <c r="AF15" s="14">
        <v>0.38</v>
      </c>
    </row>
    <row r="16" spans="1:32">
      <c r="A16" s="20"/>
      <c r="B16" s="11" t="s">
        <v>795</v>
      </c>
      <c r="C16" s="12">
        <v>7841</v>
      </c>
      <c r="D16" s="12">
        <v>265</v>
      </c>
      <c r="E16" s="12">
        <v>306</v>
      </c>
      <c r="F16" s="12">
        <v>323</v>
      </c>
      <c r="G16" s="12">
        <v>384</v>
      </c>
      <c r="H16" s="12">
        <v>467</v>
      </c>
      <c r="I16" s="12">
        <v>581</v>
      </c>
      <c r="J16" s="12">
        <v>113</v>
      </c>
      <c r="K16" s="12">
        <v>409</v>
      </c>
      <c r="L16" s="12">
        <v>218</v>
      </c>
      <c r="M16" s="12">
        <v>296</v>
      </c>
      <c r="N16" s="12">
        <v>326</v>
      </c>
      <c r="O16" s="12">
        <v>274</v>
      </c>
      <c r="P16" s="12">
        <v>281</v>
      </c>
      <c r="Q16" s="12">
        <v>211</v>
      </c>
      <c r="R16" s="12">
        <v>106</v>
      </c>
      <c r="S16" s="12">
        <v>359</v>
      </c>
      <c r="T16" s="12">
        <v>249</v>
      </c>
      <c r="U16" s="12">
        <v>99</v>
      </c>
      <c r="V16" s="12">
        <v>266</v>
      </c>
      <c r="W16" s="12">
        <v>105</v>
      </c>
      <c r="X16" s="12">
        <v>345</v>
      </c>
      <c r="Y16" s="12">
        <v>244</v>
      </c>
      <c r="Z16" s="12">
        <v>283</v>
      </c>
      <c r="AA16" s="12">
        <v>263</v>
      </c>
      <c r="AB16" s="12">
        <v>272</v>
      </c>
      <c r="AC16" s="12">
        <v>339</v>
      </c>
      <c r="AD16" s="12">
        <v>297</v>
      </c>
      <c r="AE16" s="12">
        <v>362</v>
      </c>
      <c r="AF16" s="12">
        <v>334</v>
      </c>
    </row>
    <row r="17" spans="1:32">
      <c r="A17" s="20"/>
      <c r="B17" s="13" t="s">
        <v>796</v>
      </c>
      <c r="C17" s="14">
        <v>0.3</v>
      </c>
      <c r="D17" s="14">
        <v>0.26</v>
      </c>
      <c r="E17" s="14">
        <v>0.3</v>
      </c>
      <c r="F17" s="14">
        <v>0.32</v>
      </c>
      <c r="G17" s="14">
        <v>0.38</v>
      </c>
      <c r="H17" s="14">
        <v>0.38</v>
      </c>
      <c r="I17" s="14">
        <v>0.38</v>
      </c>
      <c r="J17" s="14">
        <v>0.39</v>
      </c>
      <c r="K17" s="14">
        <v>0.41</v>
      </c>
      <c r="L17" s="14">
        <v>0.22</v>
      </c>
      <c r="M17" s="14">
        <v>0.3</v>
      </c>
      <c r="N17" s="14">
        <v>0.33</v>
      </c>
      <c r="O17" s="14">
        <v>0.28000000000000003</v>
      </c>
      <c r="P17" s="14">
        <v>0.28000000000000003</v>
      </c>
      <c r="Q17" s="14">
        <v>0.21</v>
      </c>
      <c r="R17" s="14">
        <v>0.21</v>
      </c>
      <c r="S17" s="14">
        <v>0.36</v>
      </c>
      <c r="T17" s="14">
        <v>0.25</v>
      </c>
      <c r="U17" s="14">
        <v>0.2</v>
      </c>
      <c r="V17" s="14">
        <v>0.26</v>
      </c>
      <c r="W17" s="14">
        <v>0.21</v>
      </c>
      <c r="X17" s="14">
        <v>0.34</v>
      </c>
      <c r="Y17" s="14">
        <v>0.24</v>
      </c>
      <c r="Z17" s="14">
        <v>0.28000000000000003</v>
      </c>
      <c r="AA17" s="14">
        <v>0.25</v>
      </c>
      <c r="AB17" s="14">
        <v>0.26</v>
      </c>
      <c r="AC17" s="14">
        <v>0.33</v>
      </c>
      <c r="AD17" s="14">
        <v>0.28999999999999998</v>
      </c>
      <c r="AE17" s="14">
        <v>0.36</v>
      </c>
      <c r="AF17" s="14">
        <v>0.33</v>
      </c>
    </row>
    <row r="18" spans="1:32">
      <c r="A18" s="20"/>
      <c r="B18" s="11" t="s">
        <v>797</v>
      </c>
      <c r="C18" s="12">
        <v>3943</v>
      </c>
      <c r="D18" s="12">
        <v>139</v>
      </c>
      <c r="E18" s="12">
        <v>185</v>
      </c>
      <c r="F18" s="12">
        <v>233</v>
      </c>
      <c r="G18" s="12">
        <v>191</v>
      </c>
      <c r="H18" s="12">
        <v>206</v>
      </c>
      <c r="I18" s="12">
        <v>254</v>
      </c>
      <c r="J18" s="12">
        <v>49</v>
      </c>
      <c r="K18" s="12">
        <v>258</v>
      </c>
      <c r="L18" s="12">
        <v>124</v>
      </c>
      <c r="M18" s="12">
        <v>154</v>
      </c>
      <c r="N18" s="12">
        <v>195</v>
      </c>
      <c r="O18" s="12">
        <v>193</v>
      </c>
      <c r="P18" s="12">
        <v>131</v>
      </c>
      <c r="Q18" s="12">
        <v>51</v>
      </c>
      <c r="R18" s="12">
        <v>66</v>
      </c>
      <c r="S18" s="12">
        <v>228</v>
      </c>
      <c r="T18" s="12">
        <v>219</v>
      </c>
      <c r="U18" s="12">
        <v>66</v>
      </c>
      <c r="V18" s="12">
        <v>168</v>
      </c>
      <c r="W18" s="12">
        <v>27</v>
      </c>
      <c r="X18" s="12">
        <v>142</v>
      </c>
      <c r="Y18" s="12">
        <v>179</v>
      </c>
      <c r="Z18" s="12">
        <v>108</v>
      </c>
      <c r="AA18" s="12">
        <v>76</v>
      </c>
      <c r="AB18" s="12">
        <v>152</v>
      </c>
      <c r="AC18" s="12">
        <v>293</v>
      </c>
      <c r="AD18" s="12">
        <v>124</v>
      </c>
      <c r="AE18" s="12">
        <v>207</v>
      </c>
      <c r="AF18" s="12">
        <v>132</v>
      </c>
    </row>
    <row r="19" spans="1:32">
      <c r="A19" s="20"/>
      <c r="B19" s="13" t="s">
        <v>798</v>
      </c>
      <c r="C19" s="14">
        <v>0.15</v>
      </c>
      <c r="D19" s="14">
        <v>0.14000000000000001</v>
      </c>
      <c r="E19" s="14">
        <v>0.18</v>
      </c>
      <c r="F19" s="14">
        <v>0.23</v>
      </c>
      <c r="G19" s="14">
        <v>0.19</v>
      </c>
      <c r="H19" s="14">
        <v>0.17</v>
      </c>
      <c r="I19" s="14">
        <v>0.17</v>
      </c>
      <c r="J19" s="14">
        <v>0.16</v>
      </c>
      <c r="K19" s="14">
        <v>0.26</v>
      </c>
      <c r="L19" s="14">
        <v>0.12</v>
      </c>
      <c r="M19" s="14">
        <v>0.15</v>
      </c>
      <c r="N19" s="14">
        <v>0.19</v>
      </c>
      <c r="O19" s="14">
        <v>0.19</v>
      </c>
      <c r="P19" s="14">
        <v>0.13</v>
      </c>
      <c r="Q19" s="14">
        <v>0.05</v>
      </c>
      <c r="R19" s="14">
        <v>0.13</v>
      </c>
      <c r="S19" s="14">
        <v>0.23</v>
      </c>
      <c r="T19" s="14">
        <v>0.22</v>
      </c>
      <c r="U19" s="14">
        <v>0.13</v>
      </c>
      <c r="V19" s="14">
        <v>0.17</v>
      </c>
      <c r="W19" s="14">
        <v>0.05</v>
      </c>
      <c r="X19" s="14">
        <v>0.14000000000000001</v>
      </c>
      <c r="Y19" s="14">
        <v>0.18</v>
      </c>
      <c r="Z19" s="14">
        <v>0.11</v>
      </c>
      <c r="AA19" s="14">
        <v>7.0000000000000007E-2</v>
      </c>
      <c r="AB19" s="14">
        <v>0.15</v>
      </c>
      <c r="AC19" s="14">
        <v>0.28999999999999998</v>
      </c>
      <c r="AD19" s="14">
        <v>0.12</v>
      </c>
      <c r="AE19" s="14">
        <v>0.21</v>
      </c>
      <c r="AF19" s="14">
        <v>0.13</v>
      </c>
    </row>
    <row r="20" spans="1:32">
      <c r="A20" s="20"/>
      <c r="B20" s="11" t="s">
        <v>468</v>
      </c>
      <c r="C20" s="12">
        <v>551</v>
      </c>
      <c r="D20" s="12">
        <v>6</v>
      </c>
      <c r="E20" s="12">
        <v>18</v>
      </c>
      <c r="F20" s="12">
        <v>11</v>
      </c>
      <c r="G20" s="12">
        <v>34</v>
      </c>
      <c r="H20" s="12">
        <v>20</v>
      </c>
      <c r="I20" s="12">
        <v>23</v>
      </c>
      <c r="J20" s="12">
        <v>3</v>
      </c>
      <c r="K20" s="12">
        <v>20</v>
      </c>
      <c r="L20" s="12">
        <v>49</v>
      </c>
      <c r="M20" s="12">
        <v>9</v>
      </c>
      <c r="N20" s="12">
        <v>13</v>
      </c>
      <c r="O20" s="12">
        <v>49</v>
      </c>
      <c r="P20" s="12">
        <v>14</v>
      </c>
      <c r="Q20" s="12">
        <v>12</v>
      </c>
      <c r="R20" s="12">
        <v>16</v>
      </c>
      <c r="S20" s="12">
        <v>43</v>
      </c>
      <c r="T20" s="12">
        <v>34</v>
      </c>
      <c r="U20" s="12">
        <v>4</v>
      </c>
      <c r="V20" s="12">
        <v>14</v>
      </c>
      <c r="W20" s="12">
        <v>11</v>
      </c>
      <c r="X20" s="12">
        <v>9</v>
      </c>
      <c r="Y20" s="12">
        <v>18</v>
      </c>
      <c r="Z20" s="12">
        <v>20</v>
      </c>
      <c r="AA20" s="12">
        <v>52</v>
      </c>
      <c r="AB20" s="12">
        <v>29</v>
      </c>
      <c r="AC20" s="12">
        <v>7</v>
      </c>
      <c r="AD20" s="12">
        <v>12</v>
      </c>
      <c r="AE20" s="12">
        <v>13</v>
      </c>
      <c r="AF20" s="12">
        <v>1</v>
      </c>
    </row>
    <row r="21" spans="1:32">
      <c r="A21" s="20"/>
      <c r="B21" s="13" t="s">
        <v>469</v>
      </c>
      <c r="C21" s="14">
        <v>0.02</v>
      </c>
      <c r="D21" s="14">
        <v>0.01</v>
      </c>
      <c r="E21" s="14">
        <v>0.02</v>
      </c>
      <c r="F21" s="14">
        <v>0.01</v>
      </c>
      <c r="G21" s="14">
        <v>0.04</v>
      </c>
      <c r="H21" s="14">
        <v>0.02</v>
      </c>
      <c r="I21" s="14">
        <v>0.02</v>
      </c>
      <c r="J21" s="14">
        <v>0.01</v>
      </c>
      <c r="K21" s="14">
        <v>0.02</v>
      </c>
      <c r="L21" s="14">
        <v>0.05</v>
      </c>
      <c r="M21" s="14">
        <v>0.01</v>
      </c>
      <c r="N21" s="14">
        <v>0.01</v>
      </c>
      <c r="O21" s="14">
        <v>0.05</v>
      </c>
      <c r="P21" s="14">
        <v>0.01</v>
      </c>
      <c r="Q21" s="14">
        <v>0.01</v>
      </c>
      <c r="R21" s="14">
        <v>0.03</v>
      </c>
      <c r="S21" s="14">
        <v>0.04</v>
      </c>
      <c r="T21" s="14">
        <v>0.03</v>
      </c>
      <c r="U21" s="14">
        <v>0.01</v>
      </c>
      <c r="V21" s="14">
        <v>0.01</v>
      </c>
      <c r="W21" s="14">
        <v>0.02</v>
      </c>
      <c r="X21" s="14">
        <v>0.01</v>
      </c>
      <c r="Y21" s="14">
        <v>0.02</v>
      </c>
      <c r="Z21" s="14">
        <v>0.02</v>
      </c>
      <c r="AA21" s="14">
        <v>0.05</v>
      </c>
      <c r="AB21" s="14">
        <v>0.03</v>
      </c>
      <c r="AC21" s="14">
        <v>0.01</v>
      </c>
      <c r="AD21" s="14">
        <v>0.01</v>
      </c>
      <c r="AE21" s="14">
        <v>0.01</v>
      </c>
      <c r="AF21" s="15" t="s">
        <v>459</v>
      </c>
    </row>
    <row r="22" spans="1:32">
      <c r="A22" s="20"/>
      <c r="B22" s="11" t="s">
        <v>799</v>
      </c>
      <c r="C22" s="12">
        <v>13984</v>
      </c>
      <c r="D22" s="12">
        <v>593</v>
      </c>
      <c r="E22" s="12">
        <v>510</v>
      </c>
      <c r="F22" s="12">
        <v>438</v>
      </c>
      <c r="G22" s="12">
        <v>394</v>
      </c>
      <c r="H22" s="12">
        <v>523</v>
      </c>
      <c r="I22" s="12">
        <v>652</v>
      </c>
      <c r="J22" s="12">
        <v>129</v>
      </c>
      <c r="K22" s="12">
        <v>320</v>
      </c>
      <c r="L22" s="12">
        <v>616</v>
      </c>
      <c r="M22" s="12">
        <v>545</v>
      </c>
      <c r="N22" s="12">
        <v>470</v>
      </c>
      <c r="O22" s="12">
        <v>486</v>
      </c>
      <c r="P22" s="12">
        <v>596</v>
      </c>
      <c r="Q22" s="12">
        <v>744</v>
      </c>
      <c r="R22" s="12">
        <v>312</v>
      </c>
      <c r="S22" s="12">
        <v>378</v>
      </c>
      <c r="T22" s="12">
        <v>512</v>
      </c>
      <c r="U22" s="12">
        <v>338</v>
      </c>
      <c r="V22" s="12">
        <v>569</v>
      </c>
      <c r="W22" s="12">
        <v>361</v>
      </c>
      <c r="X22" s="12">
        <v>525</v>
      </c>
      <c r="Y22" s="12">
        <v>568</v>
      </c>
      <c r="Z22" s="12">
        <v>596</v>
      </c>
      <c r="AA22" s="12">
        <v>661</v>
      </c>
      <c r="AB22" s="12">
        <v>586</v>
      </c>
      <c r="AC22" s="12">
        <v>371</v>
      </c>
      <c r="AD22" s="12">
        <v>574</v>
      </c>
      <c r="AE22" s="12">
        <v>419</v>
      </c>
      <c r="AF22" s="12">
        <v>552</v>
      </c>
    </row>
    <row r="23" spans="1:32">
      <c r="A23" s="20"/>
      <c r="B23" s="13" t="s">
        <v>800</v>
      </c>
      <c r="C23" s="14">
        <v>0.53</v>
      </c>
      <c r="D23" s="14">
        <v>0.59</v>
      </c>
      <c r="E23" s="14">
        <v>0.5</v>
      </c>
      <c r="F23" s="14">
        <v>0.44</v>
      </c>
      <c r="G23" s="14">
        <v>0.39</v>
      </c>
      <c r="H23" s="14">
        <v>0.43</v>
      </c>
      <c r="I23" s="14">
        <v>0.43</v>
      </c>
      <c r="J23" s="14">
        <v>0.44</v>
      </c>
      <c r="K23" s="14">
        <v>0.31</v>
      </c>
      <c r="L23" s="14">
        <v>0.61</v>
      </c>
      <c r="M23" s="14">
        <v>0.54</v>
      </c>
      <c r="N23" s="14">
        <v>0.47</v>
      </c>
      <c r="O23" s="14">
        <v>0.48</v>
      </c>
      <c r="P23" s="14">
        <v>0.57999999999999996</v>
      </c>
      <c r="Q23" s="14">
        <v>0.73</v>
      </c>
      <c r="R23" s="14">
        <v>0.63</v>
      </c>
      <c r="S23" s="14">
        <v>0.37</v>
      </c>
      <c r="T23" s="14">
        <v>0.5</v>
      </c>
      <c r="U23" s="14">
        <v>0.66</v>
      </c>
      <c r="V23" s="14">
        <v>0.56000000000000005</v>
      </c>
      <c r="W23" s="14">
        <v>0.72</v>
      </c>
      <c r="X23" s="14">
        <v>0.51</v>
      </c>
      <c r="Y23" s="14">
        <v>0.56000000000000005</v>
      </c>
      <c r="Z23" s="14">
        <v>0.59</v>
      </c>
      <c r="AA23" s="14">
        <v>0.63</v>
      </c>
      <c r="AB23" s="14">
        <v>0.56000000000000005</v>
      </c>
      <c r="AC23" s="14">
        <v>0.37</v>
      </c>
      <c r="AD23" s="14">
        <v>0.57999999999999996</v>
      </c>
      <c r="AE23" s="14">
        <v>0.42</v>
      </c>
      <c r="AF23" s="14">
        <v>0.54</v>
      </c>
    </row>
    <row r="24" spans="1:32">
      <c r="A24" s="20"/>
      <c r="B24" s="11" t="s">
        <v>801</v>
      </c>
      <c r="C24" s="12">
        <v>11784</v>
      </c>
      <c r="D24" s="12">
        <v>404</v>
      </c>
      <c r="E24" s="12">
        <v>491</v>
      </c>
      <c r="F24" s="12">
        <v>556</v>
      </c>
      <c r="G24" s="12">
        <v>575</v>
      </c>
      <c r="H24" s="12">
        <v>673</v>
      </c>
      <c r="I24" s="12">
        <v>835</v>
      </c>
      <c r="J24" s="12">
        <v>162</v>
      </c>
      <c r="K24" s="12">
        <v>667</v>
      </c>
      <c r="L24" s="12">
        <v>342</v>
      </c>
      <c r="M24" s="12">
        <v>450</v>
      </c>
      <c r="N24" s="12">
        <v>521</v>
      </c>
      <c r="O24" s="12">
        <v>467</v>
      </c>
      <c r="P24" s="12">
        <v>412</v>
      </c>
      <c r="Q24" s="12">
        <v>262</v>
      </c>
      <c r="R24" s="12">
        <v>172</v>
      </c>
      <c r="S24" s="12">
        <v>587</v>
      </c>
      <c r="T24" s="12">
        <v>468</v>
      </c>
      <c r="U24" s="12">
        <v>165</v>
      </c>
      <c r="V24" s="12">
        <v>434</v>
      </c>
      <c r="W24" s="12">
        <v>132</v>
      </c>
      <c r="X24" s="12">
        <v>487</v>
      </c>
      <c r="Y24" s="12">
        <v>423</v>
      </c>
      <c r="Z24" s="12">
        <v>391</v>
      </c>
      <c r="AA24" s="12">
        <v>339</v>
      </c>
      <c r="AB24" s="12">
        <v>424</v>
      </c>
      <c r="AC24" s="12">
        <v>632</v>
      </c>
      <c r="AD24" s="12">
        <v>421</v>
      </c>
      <c r="AE24" s="12">
        <v>569</v>
      </c>
      <c r="AF24" s="12">
        <v>466</v>
      </c>
    </row>
    <row r="25" spans="1:32">
      <c r="A25" s="20"/>
      <c r="B25" s="13" t="s">
        <v>802</v>
      </c>
      <c r="C25" s="14">
        <v>0.45</v>
      </c>
      <c r="D25" s="14">
        <v>0.4</v>
      </c>
      <c r="E25" s="14">
        <v>0.48</v>
      </c>
      <c r="F25" s="14">
        <v>0.55000000000000004</v>
      </c>
      <c r="G25" s="14">
        <v>0.57000000000000006</v>
      </c>
      <c r="H25" s="14">
        <v>0.55000000000000004</v>
      </c>
      <c r="I25" s="14">
        <v>0.55000000000000004</v>
      </c>
      <c r="J25" s="14">
        <v>0.55000000000000004</v>
      </c>
      <c r="K25" s="14">
        <v>0.67</v>
      </c>
      <c r="L25" s="14">
        <v>0.34</v>
      </c>
      <c r="M25" s="14">
        <v>0.45</v>
      </c>
      <c r="N25" s="14">
        <v>0.52</v>
      </c>
      <c r="O25" s="14">
        <v>0.47</v>
      </c>
      <c r="P25" s="14">
        <v>0.41</v>
      </c>
      <c r="Q25" s="14">
        <v>0.26</v>
      </c>
      <c r="R25" s="14">
        <v>0.34</v>
      </c>
      <c r="S25" s="14">
        <v>0.59</v>
      </c>
      <c r="T25" s="14">
        <v>0.47</v>
      </c>
      <c r="U25" s="14">
        <v>0.33</v>
      </c>
      <c r="V25" s="14">
        <v>0.43</v>
      </c>
      <c r="W25" s="14">
        <v>0.26</v>
      </c>
      <c r="X25" s="14">
        <v>0.48</v>
      </c>
      <c r="Y25" s="14">
        <v>0.42</v>
      </c>
      <c r="Z25" s="14">
        <v>0.39</v>
      </c>
      <c r="AA25" s="14">
        <v>0.32</v>
      </c>
      <c r="AB25" s="14">
        <v>0.41</v>
      </c>
      <c r="AC25" s="14">
        <v>0.62</v>
      </c>
      <c r="AD25" s="14">
        <v>0.41</v>
      </c>
      <c r="AE25" s="14">
        <v>0.57000000000000006</v>
      </c>
      <c r="AF25" s="14">
        <v>0.46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107</v>
      </c>
      <c r="C3" s="18"/>
      <c r="D3" s="18"/>
      <c r="E3" s="18"/>
      <c r="F3" s="18"/>
      <c r="H3" s="18" t="s">
        <v>108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799</v>
      </c>
      <c r="C12" s="12">
        <v>19200</v>
      </c>
      <c r="D12" s="12">
        <v>808</v>
      </c>
      <c r="E12" s="12">
        <v>813</v>
      </c>
      <c r="F12" s="12">
        <v>643</v>
      </c>
      <c r="G12" s="12">
        <v>731</v>
      </c>
      <c r="H12" s="12">
        <v>807</v>
      </c>
      <c r="I12" s="12">
        <v>1013</v>
      </c>
      <c r="J12" s="12">
        <v>206</v>
      </c>
      <c r="K12" s="12">
        <v>569</v>
      </c>
      <c r="L12" s="12">
        <v>731</v>
      </c>
      <c r="M12" s="12">
        <v>810</v>
      </c>
      <c r="N12" s="12">
        <v>620</v>
      </c>
      <c r="O12" s="12">
        <v>687</v>
      </c>
      <c r="P12" s="12">
        <v>794</v>
      </c>
      <c r="Q12" s="12">
        <v>848</v>
      </c>
      <c r="R12" s="12">
        <v>431</v>
      </c>
      <c r="S12" s="12">
        <v>637</v>
      </c>
      <c r="T12" s="12">
        <v>673</v>
      </c>
      <c r="U12" s="12">
        <v>432</v>
      </c>
      <c r="V12" s="12">
        <v>719</v>
      </c>
      <c r="W12" s="12">
        <v>460</v>
      </c>
      <c r="X12" s="12">
        <v>866</v>
      </c>
      <c r="Y12" s="12">
        <v>783</v>
      </c>
      <c r="Z12" s="12">
        <v>778</v>
      </c>
      <c r="AA12" s="12">
        <v>770</v>
      </c>
      <c r="AB12" s="12">
        <v>793</v>
      </c>
      <c r="AC12" s="12">
        <v>631</v>
      </c>
      <c r="AD12" s="12">
        <v>789</v>
      </c>
      <c r="AE12" s="12">
        <v>728</v>
      </c>
      <c r="AF12" s="12">
        <v>898</v>
      </c>
    </row>
    <row r="13" spans="1:32">
      <c r="A13" s="20"/>
      <c r="B13" s="13" t="s">
        <v>800</v>
      </c>
      <c r="C13" s="14">
        <v>0.73</v>
      </c>
      <c r="D13" s="14">
        <v>0.81</v>
      </c>
      <c r="E13" s="14">
        <v>0.8</v>
      </c>
      <c r="F13" s="14">
        <v>0.64</v>
      </c>
      <c r="G13" s="14">
        <v>0.73</v>
      </c>
      <c r="H13" s="14">
        <v>0.66</v>
      </c>
      <c r="I13" s="14">
        <v>0.67</v>
      </c>
      <c r="J13" s="14">
        <v>0.70000000000000007</v>
      </c>
      <c r="K13" s="14">
        <v>0.57000000000000006</v>
      </c>
      <c r="L13" s="14">
        <v>0.73</v>
      </c>
      <c r="M13" s="14">
        <v>0.81</v>
      </c>
      <c r="N13" s="14">
        <v>0.62</v>
      </c>
      <c r="O13" s="14">
        <v>0.68</v>
      </c>
      <c r="P13" s="14">
        <v>0.78</v>
      </c>
      <c r="Q13" s="14">
        <v>0.83000000000000007</v>
      </c>
      <c r="R13" s="14">
        <v>0.86</v>
      </c>
      <c r="S13" s="14">
        <v>0.63</v>
      </c>
      <c r="T13" s="14">
        <v>0.66</v>
      </c>
      <c r="U13" s="14">
        <v>0.85</v>
      </c>
      <c r="V13" s="14">
        <v>0.71</v>
      </c>
      <c r="W13" s="14">
        <v>0.91</v>
      </c>
      <c r="X13" s="14">
        <v>0.85</v>
      </c>
      <c r="Y13" s="14">
        <v>0.78</v>
      </c>
      <c r="Z13" s="14">
        <v>0.77</v>
      </c>
      <c r="AA13" s="14">
        <v>0.73</v>
      </c>
      <c r="AB13" s="14">
        <v>0.76</v>
      </c>
      <c r="AC13" s="14">
        <v>0.63</v>
      </c>
      <c r="AD13" s="14">
        <v>0.78</v>
      </c>
      <c r="AE13" s="14">
        <v>0.73</v>
      </c>
      <c r="AF13" s="14">
        <v>0.88</v>
      </c>
    </row>
    <row r="14" spans="1:32">
      <c r="A14" s="20"/>
      <c r="B14" s="11" t="s">
        <v>801</v>
      </c>
      <c r="C14" s="12">
        <v>6784</v>
      </c>
      <c r="D14" s="12">
        <v>192</v>
      </c>
      <c r="E14" s="12">
        <v>195</v>
      </c>
      <c r="F14" s="12">
        <v>352</v>
      </c>
      <c r="G14" s="12">
        <v>243</v>
      </c>
      <c r="H14" s="12">
        <v>400</v>
      </c>
      <c r="I14" s="12">
        <v>488</v>
      </c>
      <c r="J14" s="12">
        <v>87</v>
      </c>
      <c r="K14" s="12">
        <v>426</v>
      </c>
      <c r="L14" s="12">
        <v>237</v>
      </c>
      <c r="M14" s="12">
        <v>192</v>
      </c>
      <c r="N14" s="12">
        <v>377</v>
      </c>
      <c r="O14" s="12">
        <v>288</v>
      </c>
      <c r="P14" s="12">
        <v>221</v>
      </c>
      <c r="Q14" s="12">
        <v>160</v>
      </c>
      <c r="R14" s="12">
        <v>65</v>
      </c>
      <c r="S14" s="12">
        <v>351</v>
      </c>
      <c r="T14" s="12">
        <v>315</v>
      </c>
      <c r="U14" s="12">
        <v>75</v>
      </c>
      <c r="V14" s="12">
        <v>291</v>
      </c>
      <c r="W14" s="12">
        <v>34</v>
      </c>
      <c r="X14" s="12">
        <v>152</v>
      </c>
      <c r="Y14" s="12">
        <v>210</v>
      </c>
      <c r="Z14" s="12">
        <v>217</v>
      </c>
      <c r="AA14" s="12">
        <v>253</v>
      </c>
      <c r="AB14" s="12">
        <v>221</v>
      </c>
      <c r="AC14" s="12">
        <v>377</v>
      </c>
      <c r="AD14" s="12">
        <v>212</v>
      </c>
      <c r="AE14" s="12">
        <v>269</v>
      </c>
      <c r="AF14" s="12">
        <v>122</v>
      </c>
    </row>
    <row r="15" spans="1:32">
      <c r="A15" s="20"/>
      <c r="B15" s="13" t="s">
        <v>802</v>
      </c>
      <c r="C15" s="14">
        <v>0.26</v>
      </c>
      <c r="D15" s="14">
        <v>0.19</v>
      </c>
      <c r="E15" s="14">
        <v>0.19</v>
      </c>
      <c r="F15" s="14">
        <v>0.35</v>
      </c>
      <c r="G15" s="14">
        <v>0.24</v>
      </c>
      <c r="H15" s="14">
        <v>0.33</v>
      </c>
      <c r="I15" s="14">
        <v>0.32</v>
      </c>
      <c r="J15" s="14">
        <v>0.3</v>
      </c>
      <c r="K15" s="14">
        <v>0.42</v>
      </c>
      <c r="L15" s="14">
        <v>0.23</v>
      </c>
      <c r="M15" s="14">
        <v>0.19</v>
      </c>
      <c r="N15" s="14">
        <v>0.37</v>
      </c>
      <c r="O15" s="14">
        <v>0.28999999999999998</v>
      </c>
      <c r="P15" s="14">
        <v>0.21</v>
      </c>
      <c r="Q15" s="14">
        <v>0.16</v>
      </c>
      <c r="R15" s="14">
        <v>0.13</v>
      </c>
      <c r="S15" s="14">
        <v>0.35</v>
      </c>
      <c r="T15" s="14">
        <v>0.31</v>
      </c>
      <c r="U15" s="14">
        <v>0.15</v>
      </c>
      <c r="V15" s="14">
        <v>0.28000000000000003</v>
      </c>
      <c r="W15" s="14">
        <v>7.0000000000000007E-2</v>
      </c>
      <c r="X15" s="14">
        <v>0.15</v>
      </c>
      <c r="Y15" s="14">
        <v>0.21</v>
      </c>
      <c r="Z15" s="14">
        <v>0.22</v>
      </c>
      <c r="AA15" s="14">
        <v>0.24</v>
      </c>
      <c r="AB15" s="14">
        <v>0.21</v>
      </c>
      <c r="AC15" s="14">
        <v>0.37</v>
      </c>
      <c r="AD15" s="14">
        <v>0.21</v>
      </c>
      <c r="AE15" s="14">
        <v>0.27</v>
      </c>
      <c r="AF15" s="14">
        <v>0.12</v>
      </c>
    </row>
    <row r="16" spans="1:32">
      <c r="A16" s="20"/>
      <c r="B16" s="11" t="s">
        <v>769</v>
      </c>
      <c r="C16" s="12">
        <v>335</v>
      </c>
      <c r="D16" s="12">
        <v>4</v>
      </c>
      <c r="E16" s="12">
        <v>10</v>
      </c>
      <c r="F16" s="12">
        <v>10</v>
      </c>
      <c r="G16" s="12">
        <v>30</v>
      </c>
      <c r="H16" s="12">
        <v>8</v>
      </c>
      <c r="I16" s="12">
        <v>9</v>
      </c>
      <c r="J16" s="12">
        <v>1</v>
      </c>
      <c r="K16" s="12">
        <v>12</v>
      </c>
      <c r="L16" s="12">
        <v>39</v>
      </c>
      <c r="M16" s="12">
        <v>1</v>
      </c>
      <c r="N16" s="12">
        <v>7</v>
      </c>
      <c r="O16" s="12">
        <v>28</v>
      </c>
      <c r="P16" s="12">
        <v>7</v>
      </c>
      <c r="Q16" s="12">
        <v>11</v>
      </c>
      <c r="R16" s="12">
        <v>4</v>
      </c>
      <c r="S16" s="12">
        <v>20</v>
      </c>
      <c r="T16" s="12">
        <v>26</v>
      </c>
      <c r="U16" s="12">
        <v>0</v>
      </c>
      <c r="V16" s="12">
        <v>7</v>
      </c>
      <c r="W16" s="12">
        <v>8</v>
      </c>
      <c r="X16" s="12">
        <v>4</v>
      </c>
      <c r="Y16" s="12">
        <v>15</v>
      </c>
      <c r="Z16" s="12">
        <v>12</v>
      </c>
      <c r="AA16" s="12">
        <v>30</v>
      </c>
      <c r="AB16" s="12">
        <v>25</v>
      </c>
      <c r="AC16" s="12">
        <v>2</v>
      </c>
      <c r="AD16" s="12">
        <v>5</v>
      </c>
      <c r="AE16" s="12">
        <v>4</v>
      </c>
      <c r="AF16" s="12">
        <v>0</v>
      </c>
    </row>
    <row r="17" spans="1:32">
      <c r="A17" s="20"/>
      <c r="B17" s="13" t="s">
        <v>770</v>
      </c>
      <c r="C17" s="14">
        <v>0.01</v>
      </c>
      <c r="D17" s="15" t="s">
        <v>459</v>
      </c>
      <c r="E17" s="14">
        <v>0.01</v>
      </c>
      <c r="F17" s="14">
        <v>0.01</v>
      </c>
      <c r="G17" s="14">
        <v>0.03</v>
      </c>
      <c r="H17" s="14">
        <v>0.01</v>
      </c>
      <c r="I17" s="14">
        <v>0.01</v>
      </c>
      <c r="J17" s="15" t="s">
        <v>459</v>
      </c>
      <c r="K17" s="14">
        <v>0.01</v>
      </c>
      <c r="L17" s="14">
        <v>0.04</v>
      </c>
      <c r="M17" s="15" t="s">
        <v>459</v>
      </c>
      <c r="N17" s="14">
        <v>0.01</v>
      </c>
      <c r="O17" s="14">
        <v>0.03</v>
      </c>
      <c r="P17" s="14">
        <v>0.01</v>
      </c>
      <c r="Q17" s="14">
        <v>0.01</v>
      </c>
      <c r="R17" s="14">
        <v>0.01</v>
      </c>
      <c r="S17" s="14">
        <v>0.02</v>
      </c>
      <c r="T17" s="14">
        <v>0.03</v>
      </c>
      <c r="U17" s="15" t="s">
        <v>459</v>
      </c>
      <c r="V17" s="14">
        <v>0.01</v>
      </c>
      <c r="W17" s="14">
        <v>0.02</v>
      </c>
      <c r="X17" s="15" t="s">
        <v>459</v>
      </c>
      <c r="Y17" s="14">
        <v>0.01</v>
      </c>
      <c r="Z17" s="14">
        <v>0.01</v>
      </c>
      <c r="AA17" s="14">
        <v>0.03</v>
      </c>
      <c r="AB17" s="14">
        <v>0.03</v>
      </c>
      <c r="AC17" s="15" t="s">
        <v>459</v>
      </c>
      <c r="AD17" s="14">
        <v>0.01</v>
      </c>
      <c r="AE17" s="15" t="s">
        <v>459</v>
      </c>
      <c r="AF17" s="15" t="s">
        <v>459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109</v>
      </c>
      <c r="C3" s="18"/>
      <c r="D3" s="18"/>
      <c r="E3" s="18"/>
      <c r="F3" s="18"/>
      <c r="H3" s="18" t="s">
        <v>110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721</v>
      </c>
      <c r="C12" s="12">
        <v>849</v>
      </c>
      <c r="D12" s="12">
        <v>34</v>
      </c>
      <c r="E12" s="12">
        <v>40</v>
      </c>
      <c r="F12" s="12">
        <v>25</v>
      </c>
      <c r="G12" s="12">
        <v>94</v>
      </c>
      <c r="H12" s="12">
        <v>32</v>
      </c>
      <c r="I12" s="12">
        <v>41</v>
      </c>
      <c r="J12" s="12">
        <v>8</v>
      </c>
      <c r="K12" s="12">
        <v>47</v>
      </c>
      <c r="L12" s="12">
        <v>89</v>
      </c>
      <c r="M12" s="12">
        <v>29</v>
      </c>
      <c r="N12" s="12">
        <v>31</v>
      </c>
      <c r="O12" s="12">
        <v>34</v>
      </c>
      <c r="P12" s="12">
        <v>33</v>
      </c>
      <c r="Q12" s="12">
        <v>24</v>
      </c>
      <c r="R12" s="12">
        <v>22</v>
      </c>
      <c r="S12" s="12">
        <v>54</v>
      </c>
      <c r="T12" s="12">
        <v>44</v>
      </c>
      <c r="U12" s="12">
        <v>48</v>
      </c>
      <c r="V12" s="12">
        <v>19</v>
      </c>
      <c r="W12" s="12">
        <v>73</v>
      </c>
      <c r="X12" s="12">
        <v>53</v>
      </c>
      <c r="Y12" s="12">
        <v>81</v>
      </c>
      <c r="Z12" s="12">
        <v>15</v>
      </c>
      <c r="AA12" s="12">
        <v>7</v>
      </c>
      <c r="AB12" s="12">
        <v>26</v>
      </c>
      <c r="AC12" s="12">
        <v>73</v>
      </c>
      <c r="AD12" s="12">
        <v>40</v>
      </c>
      <c r="AE12" s="12">
        <v>57</v>
      </c>
      <c r="AF12" s="12">
        <v>58</v>
      </c>
    </row>
    <row r="13" spans="1:32">
      <c r="A13" s="20"/>
      <c r="B13" s="13" t="s">
        <v>722</v>
      </c>
      <c r="C13" s="14">
        <v>0.03</v>
      </c>
      <c r="D13" s="14">
        <v>0.03</v>
      </c>
      <c r="E13" s="14">
        <v>0.04</v>
      </c>
      <c r="F13" s="14">
        <v>0.03</v>
      </c>
      <c r="G13" s="14">
        <v>0.09</v>
      </c>
      <c r="H13" s="14">
        <v>0.03</v>
      </c>
      <c r="I13" s="14">
        <v>0.03</v>
      </c>
      <c r="J13" s="14">
        <v>0.03</v>
      </c>
      <c r="K13" s="14">
        <v>0.05</v>
      </c>
      <c r="L13" s="14">
        <v>0.09</v>
      </c>
      <c r="M13" s="14">
        <v>0.03</v>
      </c>
      <c r="N13" s="14">
        <v>0.03</v>
      </c>
      <c r="O13" s="14">
        <v>0.03</v>
      </c>
      <c r="P13" s="14">
        <v>0.03</v>
      </c>
      <c r="Q13" s="14">
        <v>0.02</v>
      </c>
      <c r="R13" s="14">
        <v>0.04</v>
      </c>
      <c r="S13" s="14">
        <v>0.05</v>
      </c>
      <c r="T13" s="14">
        <v>0.05</v>
      </c>
      <c r="U13" s="14">
        <v>0.1</v>
      </c>
      <c r="V13" s="14">
        <v>0.02</v>
      </c>
      <c r="W13" s="14">
        <v>0.15</v>
      </c>
      <c r="X13" s="14">
        <v>0.05</v>
      </c>
      <c r="Y13" s="14">
        <v>0.08</v>
      </c>
      <c r="Z13" s="14">
        <v>0.02</v>
      </c>
      <c r="AA13" s="14">
        <v>0.01</v>
      </c>
      <c r="AB13" s="14">
        <v>0.02</v>
      </c>
      <c r="AC13" s="14">
        <v>7.0000000000000007E-2</v>
      </c>
      <c r="AD13" s="14">
        <v>0.04</v>
      </c>
      <c r="AE13" s="14">
        <v>0.06</v>
      </c>
      <c r="AF13" s="14">
        <v>0.06</v>
      </c>
    </row>
    <row r="14" spans="1:32">
      <c r="A14" s="20"/>
      <c r="B14" s="11" t="s">
        <v>815</v>
      </c>
      <c r="C14" s="12">
        <v>7689</v>
      </c>
      <c r="D14" s="12">
        <v>339</v>
      </c>
      <c r="E14" s="12">
        <v>208</v>
      </c>
      <c r="F14" s="12">
        <v>214</v>
      </c>
      <c r="G14" s="12">
        <v>504</v>
      </c>
      <c r="H14" s="12">
        <v>407</v>
      </c>
      <c r="I14" s="12">
        <v>489</v>
      </c>
      <c r="J14" s="12">
        <v>82</v>
      </c>
      <c r="K14" s="12">
        <v>267</v>
      </c>
      <c r="L14" s="12">
        <v>278</v>
      </c>
      <c r="M14" s="12">
        <v>159</v>
      </c>
      <c r="N14" s="12">
        <v>271</v>
      </c>
      <c r="O14" s="12">
        <v>218</v>
      </c>
      <c r="P14" s="12">
        <v>292</v>
      </c>
      <c r="Q14" s="12">
        <v>263</v>
      </c>
      <c r="R14" s="12">
        <v>137</v>
      </c>
      <c r="S14" s="12">
        <v>300</v>
      </c>
      <c r="T14" s="12">
        <v>388</v>
      </c>
      <c r="U14" s="12">
        <v>220</v>
      </c>
      <c r="V14" s="12">
        <v>314</v>
      </c>
      <c r="W14" s="12">
        <v>142</v>
      </c>
      <c r="X14" s="12">
        <v>403</v>
      </c>
      <c r="Y14" s="12">
        <v>336</v>
      </c>
      <c r="Z14" s="12">
        <v>367</v>
      </c>
      <c r="AA14" s="12">
        <v>212</v>
      </c>
      <c r="AB14" s="12">
        <v>288</v>
      </c>
      <c r="AC14" s="12">
        <v>493</v>
      </c>
      <c r="AD14" s="12">
        <v>401</v>
      </c>
      <c r="AE14" s="12">
        <v>304</v>
      </c>
      <c r="AF14" s="12">
        <v>457</v>
      </c>
    </row>
    <row r="15" spans="1:32">
      <c r="A15" s="20"/>
      <c r="B15" s="13" t="s">
        <v>816</v>
      </c>
      <c r="C15" s="14">
        <v>0.28999999999999998</v>
      </c>
      <c r="D15" s="14">
        <v>0.34</v>
      </c>
      <c r="E15" s="14">
        <v>0.21</v>
      </c>
      <c r="F15" s="14">
        <v>0.21</v>
      </c>
      <c r="G15" s="14">
        <v>0.5</v>
      </c>
      <c r="H15" s="14">
        <v>0.34</v>
      </c>
      <c r="I15" s="14">
        <v>0.32</v>
      </c>
      <c r="J15" s="14">
        <v>0.28000000000000003</v>
      </c>
      <c r="K15" s="14">
        <v>0.27</v>
      </c>
      <c r="L15" s="14">
        <v>0.28000000000000003</v>
      </c>
      <c r="M15" s="14">
        <v>0.16</v>
      </c>
      <c r="N15" s="14">
        <v>0.27</v>
      </c>
      <c r="O15" s="14">
        <v>0.22</v>
      </c>
      <c r="P15" s="14">
        <v>0.28999999999999998</v>
      </c>
      <c r="Q15" s="14">
        <v>0.26</v>
      </c>
      <c r="R15" s="14">
        <v>0.28000000000000003</v>
      </c>
      <c r="S15" s="14">
        <v>0.3</v>
      </c>
      <c r="T15" s="14">
        <v>0.38</v>
      </c>
      <c r="U15" s="14">
        <v>0.43</v>
      </c>
      <c r="V15" s="14">
        <v>0.31</v>
      </c>
      <c r="W15" s="14">
        <v>0.28000000000000003</v>
      </c>
      <c r="X15" s="14">
        <v>0.4</v>
      </c>
      <c r="Y15" s="14">
        <v>0.33</v>
      </c>
      <c r="Z15" s="14">
        <v>0.36</v>
      </c>
      <c r="AA15" s="14">
        <v>0.2</v>
      </c>
      <c r="AB15" s="14">
        <v>0.28000000000000003</v>
      </c>
      <c r="AC15" s="14">
        <v>0.49</v>
      </c>
      <c r="AD15" s="14">
        <v>0.4</v>
      </c>
      <c r="AE15" s="14">
        <v>0.3</v>
      </c>
      <c r="AF15" s="14">
        <v>0.45</v>
      </c>
    </row>
    <row r="16" spans="1:32">
      <c r="A16" s="20"/>
      <c r="B16" s="11" t="s">
        <v>725</v>
      </c>
      <c r="C16" s="12">
        <v>12416</v>
      </c>
      <c r="D16" s="12">
        <v>496</v>
      </c>
      <c r="E16" s="12">
        <v>512</v>
      </c>
      <c r="F16" s="12">
        <v>473</v>
      </c>
      <c r="G16" s="12">
        <v>331</v>
      </c>
      <c r="H16" s="12">
        <v>588</v>
      </c>
      <c r="I16" s="12">
        <v>744</v>
      </c>
      <c r="J16" s="12">
        <v>157</v>
      </c>
      <c r="K16" s="12">
        <v>538</v>
      </c>
      <c r="L16" s="12">
        <v>417</v>
      </c>
      <c r="M16" s="12">
        <v>450</v>
      </c>
      <c r="N16" s="12">
        <v>460</v>
      </c>
      <c r="O16" s="12">
        <v>447</v>
      </c>
      <c r="P16" s="12">
        <v>478</v>
      </c>
      <c r="Q16" s="12">
        <v>543</v>
      </c>
      <c r="R16" s="12">
        <v>221</v>
      </c>
      <c r="S16" s="12">
        <v>483</v>
      </c>
      <c r="T16" s="12">
        <v>460</v>
      </c>
      <c r="U16" s="12">
        <v>186</v>
      </c>
      <c r="V16" s="12">
        <v>437</v>
      </c>
      <c r="W16" s="12">
        <v>183</v>
      </c>
      <c r="X16" s="12">
        <v>490</v>
      </c>
      <c r="Y16" s="12">
        <v>340</v>
      </c>
      <c r="Z16" s="12">
        <v>466</v>
      </c>
      <c r="AA16" s="12">
        <v>559</v>
      </c>
      <c r="AB16" s="12">
        <v>480</v>
      </c>
      <c r="AC16" s="12">
        <v>356</v>
      </c>
      <c r="AD16" s="12">
        <v>435</v>
      </c>
      <c r="AE16" s="12">
        <v>550</v>
      </c>
      <c r="AF16" s="12">
        <v>421</v>
      </c>
    </row>
    <row r="17" spans="1:32">
      <c r="A17" s="20"/>
      <c r="B17" s="13" t="s">
        <v>726</v>
      </c>
      <c r="C17" s="14">
        <v>0.47</v>
      </c>
      <c r="D17" s="14">
        <v>0.5</v>
      </c>
      <c r="E17" s="14">
        <v>0.5</v>
      </c>
      <c r="F17" s="14">
        <v>0.47</v>
      </c>
      <c r="G17" s="14">
        <v>0.33</v>
      </c>
      <c r="H17" s="14">
        <v>0.48</v>
      </c>
      <c r="I17" s="14">
        <v>0.49</v>
      </c>
      <c r="J17" s="14">
        <v>0.53</v>
      </c>
      <c r="K17" s="14">
        <v>0.53</v>
      </c>
      <c r="L17" s="14">
        <v>0.41</v>
      </c>
      <c r="M17" s="14">
        <v>0.45</v>
      </c>
      <c r="N17" s="14">
        <v>0.46</v>
      </c>
      <c r="O17" s="14">
        <v>0.44</v>
      </c>
      <c r="P17" s="14">
        <v>0.47</v>
      </c>
      <c r="Q17" s="14">
        <v>0.53</v>
      </c>
      <c r="R17" s="14">
        <v>0.44</v>
      </c>
      <c r="S17" s="14">
        <v>0.48</v>
      </c>
      <c r="T17" s="14">
        <v>0.45</v>
      </c>
      <c r="U17" s="14">
        <v>0.37</v>
      </c>
      <c r="V17" s="14">
        <v>0.43</v>
      </c>
      <c r="W17" s="14">
        <v>0.36</v>
      </c>
      <c r="X17" s="14">
        <v>0.48</v>
      </c>
      <c r="Y17" s="14">
        <v>0.34</v>
      </c>
      <c r="Z17" s="14">
        <v>0.46</v>
      </c>
      <c r="AA17" s="14">
        <v>0.53</v>
      </c>
      <c r="AB17" s="14">
        <v>0.46</v>
      </c>
      <c r="AC17" s="14">
        <v>0.35</v>
      </c>
      <c r="AD17" s="14">
        <v>0.43</v>
      </c>
      <c r="AE17" s="14">
        <v>0.55000000000000004</v>
      </c>
      <c r="AF17" s="14">
        <v>0.41</v>
      </c>
    </row>
    <row r="18" spans="1:32">
      <c r="A18" s="20"/>
      <c r="B18" s="11" t="s">
        <v>817</v>
      </c>
      <c r="C18" s="12">
        <v>5269</v>
      </c>
      <c r="D18" s="12">
        <v>133</v>
      </c>
      <c r="E18" s="12">
        <v>255</v>
      </c>
      <c r="F18" s="12">
        <v>278</v>
      </c>
      <c r="G18" s="12">
        <v>58</v>
      </c>
      <c r="H18" s="12">
        <v>186</v>
      </c>
      <c r="I18" s="12">
        <v>232</v>
      </c>
      <c r="J18" s="12">
        <v>46</v>
      </c>
      <c r="K18" s="12">
        <v>151</v>
      </c>
      <c r="L18" s="12">
        <v>218</v>
      </c>
      <c r="M18" s="12">
        <v>365</v>
      </c>
      <c r="N18" s="12">
        <v>243</v>
      </c>
      <c r="O18" s="12">
        <v>298</v>
      </c>
      <c r="P18" s="12">
        <v>219</v>
      </c>
      <c r="Q18" s="12">
        <v>185</v>
      </c>
      <c r="R18" s="12">
        <v>117</v>
      </c>
      <c r="S18" s="12">
        <v>170</v>
      </c>
      <c r="T18" s="12">
        <v>119</v>
      </c>
      <c r="U18" s="12">
        <v>51</v>
      </c>
      <c r="V18" s="12">
        <v>246</v>
      </c>
      <c r="W18" s="12">
        <v>93</v>
      </c>
      <c r="X18" s="12">
        <v>75</v>
      </c>
      <c r="Y18" s="12">
        <v>250</v>
      </c>
      <c r="Z18" s="12">
        <v>157</v>
      </c>
      <c r="AA18" s="12">
        <v>262</v>
      </c>
      <c r="AB18" s="12">
        <v>238</v>
      </c>
      <c r="AC18" s="12">
        <v>88</v>
      </c>
      <c r="AD18" s="12">
        <v>126</v>
      </c>
      <c r="AE18" s="12">
        <v>88</v>
      </c>
      <c r="AF18" s="12">
        <v>83</v>
      </c>
    </row>
    <row r="19" spans="1:32">
      <c r="A19" s="20"/>
      <c r="B19" s="13" t="s">
        <v>818</v>
      </c>
      <c r="C19" s="14">
        <v>0.2</v>
      </c>
      <c r="D19" s="14">
        <v>0.13</v>
      </c>
      <c r="E19" s="14">
        <v>0.25</v>
      </c>
      <c r="F19" s="14">
        <v>0.28000000000000003</v>
      </c>
      <c r="G19" s="14">
        <v>0.06</v>
      </c>
      <c r="H19" s="14">
        <v>0.15</v>
      </c>
      <c r="I19" s="14">
        <v>0.16</v>
      </c>
      <c r="J19" s="14">
        <v>0.16</v>
      </c>
      <c r="K19" s="14">
        <v>0.15</v>
      </c>
      <c r="L19" s="14">
        <v>0.22</v>
      </c>
      <c r="M19" s="14">
        <v>0.36</v>
      </c>
      <c r="N19" s="14">
        <v>0.24</v>
      </c>
      <c r="O19" s="14">
        <v>0.3</v>
      </c>
      <c r="P19" s="14">
        <v>0.21</v>
      </c>
      <c r="Q19" s="14">
        <v>0.18</v>
      </c>
      <c r="R19" s="14">
        <v>0.24</v>
      </c>
      <c r="S19" s="14">
        <v>0.17</v>
      </c>
      <c r="T19" s="14">
        <v>0.12</v>
      </c>
      <c r="U19" s="14">
        <v>0.1</v>
      </c>
      <c r="V19" s="14">
        <v>0.24</v>
      </c>
      <c r="W19" s="14">
        <v>0.19</v>
      </c>
      <c r="X19" s="14">
        <v>7.0000000000000007E-2</v>
      </c>
      <c r="Y19" s="14">
        <v>0.25</v>
      </c>
      <c r="Z19" s="14">
        <v>0.16</v>
      </c>
      <c r="AA19" s="14">
        <v>0.25</v>
      </c>
      <c r="AB19" s="14">
        <v>0.23</v>
      </c>
      <c r="AC19" s="14">
        <v>0.09</v>
      </c>
      <c r="AD19" s="14">
        <v>0.13</v>
      </c>
      <c r="AE19" s="14">
        <v>0.09</v>
      </c>
      <c r="AF19" s="14">
        <v>0.08</v>
      </c>
    </row>
    <row r="20" spans="1:32">
      <c r="A20" s="20"/>
      <c r="B20" s="11" t="s">
        <v>468</v>
      </c>
      <c r="C20" s="12">
        <v>96</v>
      </c>
      <c r="D20" s="12">
        <v>0</v>
      </c>
      <c r="E20" s="12">
        <v>4</v>
      </c>
      <c r="F20" s="12">
        <v>15</v>
      </c>
      <c r="G20" s="12">
        <v>17</v>
      </c>
      <c r="H20" s="12">
        <v>3</v>
      </c>
      <c r="I20" s="12">
        <v>3</v>
      </c>
      <c r="J20" s="12">
        <v>1</v>
      </c>
      <c r="K20" s="12">
        <v>3</v>
      </c>
      <c r="L20" s="12">
        <v>5</v>
      </c>
      <c r="M20" s="12">
        <v>0</v>
      </c>
      <c r="N20" s="12">
        <v>0</v>
      </c>
      <c r="O20" s="12">
        <v>7</v>
      </c>
      <c r="P20" s="12">
        <v>0</v>
      </c>
      <c r="Q20" s="12">
        <v>4</v>
      </c>
      <c r="R20" s="12">
        <v>2</v>
      </c>
      <c r="S20" s="12">
        <v>1</v>
      </c>
      <c r="T20" s="12">
        <v>3</v>
      </c>
      <c r="U20" s="12">
        <v>2</v>
      </c>
      <c r="V20" s="12">
        <v>1</v>
      </c>
      <c r="W20" s="12">
        <v>12</v>
      </c>
      <c r="X20" s="12">
        <v>0</v>
      </c>
      <c r="Y20" s="12">
        <v>1</v>
      </c>
      <c r="Z20" s="12">
        <v>4</v>
      </c>
      <c r="AA20" s="12">
        <v>13</v>
      </c>
      <c r="AB20" s="12">
        <v>7</v>
      </c>
      <c r="AC20" s="12">
        <v>0</v>
      </c>
      <c r="AD20" s="12">
        <v>4</v>
      </c>
      <c r="AE20" s="12">
        <v>2</v>
      </c>
      <c r="AF20" s="12">
        <v>0</v>
      </c>
    </row>
    <row r="21" spans="1:32">
      <c r="A21" s="20"/>
      <c r="B21" s="13" t="s">
        <v>469</v>
      </c>
      <c r="C21" s="14">
        <v>0.01</v>
      </c>
      <c r="D21" s="15" t="s">
        <v>459</v>
      </c>
      <c r="E21" s="15" t="s">
        <v>459</v>
      </c>
      <c r="F21" s="14">
        <v>0.01</v>
      </c>
      <c r="G21" s="14">
        <v>0.02</v>
      </c>
      <c r="H21" s="15" t="s">
        <v>459</v>
      </c>
      <c r="I21" s="15" t="s">
        <v>459</v>
      </c>
      <c r="J21" s="15" t="s">
        <v>459</v>
      </c>
      <c r="K21" s="15" t="s">
        <v>459</v>
      </c>
      <c r="L21" s="15" t="s">
        <v>459</v>
      </c>
      <c r="M21" s="15" t="s">
        <v>459</v>
      </c>
      <c r="N21" s="15" t="s">
        <v>459</v>
      </c>
      <c r="O21" s="14">
        <v>0.01</v>
      </c>
      <c r="P21" s="15" t="s">
        <v>459</v>
      </c>
      <c r="Q21" s="14">
        <v>0.01</v>
      </c>
      <c r="R21" s="15" t="s">
        <v>459</v>
      </c>
      <c r="S21" s="15" t="s">
        <v>459</v>
      </c>
      <c r="T21" s="15" t="s">
        <v>459</v>
      </c>
      <c r="U21" s="15" t="s">
        <v>459</v>
      </c>
      <c r="V21" s="15" t="s">
        <v>459</v>
      </c>
      <c r="W21" s="14">
        <v>0.02</v>
      </c>
      <c r="X21" s="15" t="s">
        <v>459</v>
      </c>
      <c r="Y21" s="15" t="s">
        <v>459</v>
      </c>
      <c r="Z21" s="15" t="s">
        <v>459</v>
      </c>
      <c r="AA21" s="14">
        <v>0.01</v>
      </c>
      <c r="AB21" s="14">
        <v>0.01</v>
      </c>
      <c r="AC21" s="15" t="s">
        <v>459</v>
      </c>
      <c r="AD21" s="15" t="s">
        <v>459</v>
      </c>
      <c r="AE21" s="15" t="s">
        <v>459</v>
      </c>
      <c r="AF21" s="15" t="s">
        <v>459</v>
      </c>
    </row>
    <row r="22" spans="1:32">
      <c r="A22" s="20"/>
      <c r="B22" s="11" t="s">
        <v>819</v>
      </c>
      <c r="C22" s="12">
        <v>8538</v>
      </c>
      <c r="D22" s="12">
        <v>373</v>
      </c>
      <c r="E22" s="12">
        <v>248</v>
      </c>
      <c r="F22" s="12">
        <v>239</v>
      </c>
      <c r="G22" s="12">
        <v>598</v>
      </c>
      <c r="H22" s="12">
        <v>439</v>
      </c>
      <c r="I22" s="12">
        <v>530</v>
      </c>
      <c r="J22" s="12">
        <v>90</v>
      </c>
      <c r="K22" s="12">
        <v>314</v>
      </c>
      <c r="L22" s="12">
        <v>367</v>
      </c>
      <c r="M22" s="12">
        <v>188</v>
      </c>
      <c r="N22" s="12">
        <v>302</v>
      </c>
      <c r="O22" s="12">
        <v>252</v>
      </c>
      <c r="P22" s="12">
        <v>325</v>
      </c>
      <c r="Q22" s="12">
        <v>287</v>
      </c>
      <c r="R22" s="12">
        <v>159</v>
      </c>
      <c r="S22" s="12">
        <v>354</v>
      </c>
      <c r="T22" s="12">
        <v>432</v>
      </c>
      <c r="U22" s="12">
        <v>268</v>
      </c>
      <c r="V22" s="12">
        <v>333</v>
      </c>
      <c r="W22" s="12">
        <v>215</v>
      </c>
      <c r="X22" s="12">
        <v>456</v>
      </c>
      <c r="Y22" s="12">
        <v>417</v>
      </c>
      <c r="Z22" s="12">
        <v>382</v>
      </c>
      <c r="AA22" s="12">
        <v>219</v>
      </c>
      <c r="AB22" s="12">
        <v>314</v>
      </c>
      <c r="AC22" s="12">
        <v>566</v>
      </c>
      <c r="AD22" s="12">
        <v>441</v>
      </c>
      <c r="AE22" s="12">
        <v>361</v>
      </c>
      <c r="AF22" s="12">
        <v>515</v>
      </c>
    </row>
    <row r="23" spans="1:32">
      <c r="A23" s="20"/>
      <c r="B23" s="13" t="s">
        <v>820</v>
      </c>
      <c r="C23" s="14">
        <v>0.32</v>
      </c>
      <c r="D23" s="14">
        <v>0.37</v>
      </c>
      <c r="E23" s="14">
        <v>0.25</v>
      </c>
      <c r="F23" s="14">
        <v>0.24</v>
      </c>
      <c r="G23" s="14">
        <v>0.59</v>
      </c>
      <c r="H23" s="14">
        <v>0.37</v>
      </c>
      <c r="I23" s="14">
        <v>0.35</v>
      </c>
      <c r="J23" s="14">
        <v>0.31</v>
      </c>
      <c r="K23" s="14">
        <v>0.32</v>
      </c>
      <c r="L23" s="14">
        <v>0.37</v>
      </c>
      <c r="M23" s="14">
        <v>0.19</v>
      </c>
      <c r="N23" s="14">
        <v>0.3</v>
      </c>
      <c r="O23" s="14">
        <v>0.25</v>
      </c>
      <c r="P23" s="14">
        <v>0.32</v>
      </c>
      <c r="Q23" s="14">
        <v>0.28000000000000003</v>
      </c>
      <c r="R23" s="14">
        <v>0.32</v>
      </c>
      <c r="S23" s="14">
        <v>0.35</v>
      </c>
      <c r="T23" s="14">
        <v>0.43</v>
      </c>
      <c r="U23" s="14">
        <v>0.53</v>
      </c>
      <c r="V23" s="14">
        <v>0.33</v>
      </c>
      <c r="W23" s="14">
        <v>0.43</v>
      </c>
      <c r="X23" s="14">
        <v>0.45</v>
      </c>
      <c r="Y23" s="14">
        <v>0.41</v>
      </c>
      <c r="Z23" s="14">
        <v>0.38</v>
      </c>
      <c r="AA23" s="14">
        <v>0.21</v>
      </c>
      <c r="AB23" s="14">
        <v>0.3</v>
      </c>
      <c r="AC23" s="14">
        <v>0.56000000000000005</v>
      </c>
      <c r="AD23" s="14">
        <v>0.44</v>
      </c>
      <c r="AE23" s="14">
        <v>0.36</v>
      </c>
      <c r="AF23" s="14">
        <v>0.51</v>
      </c>
    </row>
    <row r="24" spans="1:32">
      <c r="A24" s="20"/>
      <c r="B24" s="11" t="s">
        <v>821</v>
      </c>
      <c r="C24" s="12">
        <v>17685</v>
      </c>
      <c r="D24" s="12">
        <v>629</v>
      </c>
      <c r="E24" s="12">
        <v>767</v>
      </c>
      <c r="F24" s="12">
        <v>751</v>
      </c>
      <c r="G24" s="12">
        <v>389</v>
      </c>
      <c r="H24" s="12">
        <v>774</v>
      </c>
      <c r="I24" s="12">
        <v>976</v>
      </c>
      <c r="J24" s="12">
        <v>203</v>
      </c>
      <c r="K24" s="12">
        <v>689</v>
      </c>
      <c r="L24" s="12">
        <v>635</v>
      </c>
      <c r="M24" s="12">
        <v>815</v>
      </c>
      <c r="N24" s="12">
        <v>703</v>
      </c>
      <c r="O24" s="12">
        <v>745</v>
      </c>
      <c r="P24" s="12">
        <v>697</v>
      </c>
      <c r="Q24" s="12">
        <v>728</v>
      </c>
      <c r="R24" s="12">
        <v>338</v>
      </c>
      <c r="S24" s="12">
        <v>653</v>
      </c>
      <c r="T24" s="12">
        <v>579</v>
      </c>
      <c r="U24" s="12">
        <v>237</v>
      </c>
      <c r="V24" s="12">
        <v>683</v>
      </c>
      <c r="W24" s="12">
        <v>276</v>
      </c>
      <c r="X24" s="12">
        <v>565</v>
      </c>
      <c r="Y24" s="12">
        <v>590</v>
      </c>
      <c r="Z24" s="12">
        <v>623</v>
      </c>
      <c r="AA24" s="12">
        <v>821</v>
      </c>
      <c r="AB24" s="12">
        <v>718</v>
      </c>
      <c r="AC24" s="12">
        <v>444</v>
      </c>
      <c r="AD24" s="12">
        <v>561</v>
      </c>
      <c r="AE24" s="12">
        <v>638</v>
      </c>
      <c r="AF24" s="12">
        <v>504</v>
      </c>
    </row>
    <row r="25" spans="1:32">
      <c r="A25" s="20"/>
      <c r="B25" s="13" t="s">
        <v>822</v>
      </c>
      <c r="C25" s="14">
        <v>0.67</v>
      </c>
      <c r="D25" s="14">
        <v>0.63</v>
      </c>
      <c r="E25" s="14">
        <v>0.75</v>
      </c>
      <c r="F25" s="14">
        <v>0.75</v>
      </c>
      <c r="G25" s="14">
        <v>0.39</v>
      </c>
      <c r="H25" s="14">
        <v>0.63</v>
      </c>
      <c r="I25" s="14">
        <v>0.65</v>
      </c>
      <c r="J25" s="14">
        <v>0.69000000000000006</v>
      </c>
      <c r="K25" s="14">
        <v>0.68</v>
      </c>
      <c r="L25" s="14">
        <v>0.63</v>
      </c>
      <c r="M25" s="14">
        <v>0.81</v>
      </c>
      <c r="N25" s="14">
        <v>0.70000000000000007</v>
      </c>
      <c r="O25" s="14">
        <v>0.74</v>
      </c>
      <c r="P25" s="14">
        <v>0.68</v>
      </c>
      <c r="Q25" s="14">
        <v>0.71</v>
      </c>
      <c r="R25" s="14">
        <v>0.68</v>
      </c>
      <c r="S25" s="14">
        <v>0.65</v>
      </c>
      <c r="T25" s="14">
        <v>0.57000000000000006</v>
      </c>
      <c r="U25" s="14">
        <v>0.47</v>
      </c>
      <c r="V25" s="14">
        <v>0.67</v>
      </c>
      <c r="W25" s="14">
        <v>0.55000000000000004</v>
      </c>
      <c r="X25" s="14">
        <v>0.55000000000000004</v>
      </c>
      <c r="Y25" s="14">
        <v>0.59</v>
      </c>
      <c r="Z25" s="14">
        <v>0.62</v>
      </c>
      <c r="AA25" s="14">
        <v>0.78</v>
      </c>
      <c r="AB25" s="14">
        <v>0.69000000000000006</v>
      </c>
      <c r="AC25" s="14">
        <v>0.44</v>
      </c>
      <c r="AD25" s="14">
        <v>0.56000000000000005</v>
      </c>
      <c r="AE25" s="14">
        <v>0.64</v>
      </c>
      <c r="AF25" s="14">
        <v>0.49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111</v>
      </c>
      <c r="C3" s="18"/>
      <c r="D3" s="18"/>
      <c r="E3" s="18"/>
      <c r="F3" s="18"/>
      <c r="H3" s="18" t="s">
        <v>112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823</v>
      </c>
      <c r="C12" s="12">
        <v>5413</v>
      </c>
      <c r="D12" s="12">
        <v>238</v>
      </c>
      <c r="E12" s="12">
        <v>149</v>
      </c>
      <c r="F12" s="12">
        <v>152</v>
      </c>
      <c r="G12" s="12">
        <v>269</v>
      </c>
      <c r="H12" s="12">
        <v>335</v>
      </c>
      <c r="I12" s="12">
        <v>402</v>
      </c>
      <c r="J12" s="12">
        <v>68</v>
      </c>
      <c r="K12" s="12">
        <v>216</v>
      </c>
      <c r="L12" s="12">
        <v>204</v>
      </c>
      <c r="M12" s="12">
        <v>150</v>
      </c>
      <c r="N12" s="12">
        <v>220</v>
      </c>
      <c r="O12" s="12">
        <v>180</v>
      </c>
      <c r="P12" s="12">
        <v>177</v>
      </c>
      <c r="Q12" s="12">
        <v>150</v>
      </c>
      <c r="R12" s="12">
        <v>49</v>
      </c>
      <c r="S12" s="12">
        <v>162</v>
      </c>
      <c r="T12" s="12">
        <v>218</v>
      </c>
      <c r="U12" s="12">
        <v>128</v>
      </c>
      <c r="V12" s="12">
        <v>177</v>
      </c>
      <c r="W12" s="12">
        <v>138</v>
      </c>
      <c r="X12" s="12">
        <v>388</v>
      </c>
      <c r="Y12" s="12">
        <v>216</v>
      </c>
      <c r="Z12" s="12">
        <v>166</v>
      </c>
      <c r="AA12" s="12">
        <v>204</v>
      </c>
      <c r="AB12" s="12">
        <v>104</v>
      </c>
      <c r="AC12" s="12">
        <v>308</v>
      </c>
      <c r="AD12" s="12">
        <v>164</v>
      </c>
      <c r="AE12" s="12">
        <v>323</v>
      </c>
      <c r="AF12" s="12">
        <v>278</v>
      </c>
    </row>
    <row r="13" spans="1:32">
      <c r="A13" s="20"/>
      <c r="B13" s="13" t="s">
        <v>824</v>
      </c>
      <c r="C13" s="14">
        <v>0.21</v>
      </c>
      <c r="D13" s="14">
        <v>0.24</v>
      </c>
      <c r="E13" s="14">
        <v>0.15</v>
      </c>
      <c r="F13" s="14">
        <v>0.15</v>
      </c>
      <c r="G13" s="14">
        <v>0.27</v>
      </c>
      <c r="H13" s="14">
        <v>0.27</v>
      </c>
      <c r="I13" s="14">
        <v>0.27</v>
      </c>
      <c r="J13" s="14">
        <v>0.23</v>
      </c>
      <c r="K13" s="14">
        <v>0.21</v>
      </c>
      <c r="L13" s="14">
        <v>0.2</v>
      </c>
      <c r="M13" s="14">
        <v>0.15</v>
      </c>
      <c r="N13" s="14">
        <v>0.22</v>
      </c>
      <c r="O13" s="14">
        <v>0.18</v>
      </c>
      <c r="P13" s="14">
        <v>0.17</v>
      </c>
      <c r="Q13" s="14">
        <v>0.15</v>
      </c>
      <c r="R13" s="14">
        <v>0.1</v>
      </c>
      <c r="S13" s="14">
        <v>0.16</v>
      </c>
      <c r="T13" s="14">
        <v>0.21</v>
      </c>
      <c r="U13" s="14">
        <v>0.25</v>
      </c>
      <c r="V13" s="14">
        <v>0.17</v>
      </c>
      <c r="W13" s="14">
        <v>0.27</v>
      </c>
      <c r="X13" s="14">
        <v>0.38</v>
      </c>
      <c r="Y13" s="14">
        <v>0.21</v>
      </c>
      <c r="Z13" s="14">
        <v>0.16</v>
      </c>
      <c r="AA13" s="14">
        <v>0.19</v>
      </c>
      <c r="AB13" s="14">
        <v>0.1</v>
      </c>
      <c r="AC13" s="14">
        <v>0.31</v>
      </c>
      <c r="AD13" s="14">
        <v>0.16</v>
      </c>
      <c r="AE13" s="14">
        <v>0.32</v>
      </c>
      <c r="AF13" s="14">
        <v>0.27</v>
      </c>
    </row>
    <row r="14" spans="1:32">
      <c r="A14" s="20"/>
      <c r="B14" s="11" t="s">
        <v>825</v>
      </c>
      <c r="C14" s="12">
        <v>2030</v>
      </c>
      <c r="D14" s="12">
        <v>88</v>
      </c>
      <c r="E14" s="12">
        <v>93</v>
      </c>
      <c r="F14" s="12">
        <v>62</v>
      </c>
      <c r="G14" s="12">
        <v>102</v>
      </c>
      <c r="H14" s="12">
        <v>101</v>
      </c>
      <c r="I14" s="12">
        <v>126</v>
      </c>
      <c r="J14" s="12">
        <v>25</v>
      </c>
      <c r="K14" s="12">
        <v>50</v>
      </c>
      <c r="L14" s="12">
        <v>54</v>
      </c>
      <c r="M14" s="12">
        <v>63</v>
      </c>
      <c r="N14" s="12">
        <v>71</v>
      </c>
      <c r="O14" s="12">
        <v>56</v>
      </c>
      <c r="P14" s="12">
        <v>52</v>
      </c>
      <c r="Q14" s="12">
        <v>106</v>
      </c>
      <c r="R14" s="12">
        <v>48</v>
      </c>
      <c r="S14" s="12">
        <v>64</v>
      </c>
      <c r="T14" s="12">
        <v>54</v>
      </c>
      <c r="U14" s="12">
        <v>38</v>
      </c>
      <c r="V14" s="12">
        <v>79</v>
      </c>
      <c r="W14" s="12">
        <v>42</v>
      </c>
      <c r="X14" s="12">
        <v>56</v>
      </c>
      <c r="Y14" s="12">
        <v>60</v>
      </c>
      <c r="Z14" s="12">
        <v>90</v>
      </c>
      <c r="AA14" s="12">
        <v>49</v>
      </c>
      <c r="AB14" s="12">
        <v>93</v>
      </c>
      <c r="AC14" s="12">
        <v>38</v>
      </c>
      <c r="AD14" s="12">
        <v>53</v>
      </c>
      <c r="AE14" s="12">
        <v>57</v>
      </c>
      <c r="AF14" s="12">
        <v>120</v>
      </c>
    </row>
    <row r="15" spans="1:32">
      <c r="A15" s="20"/>
      <c r="B15" s="13" t="s">
        <v>826</v>
      </c>
      <c r="C15" s="14">
        <v>0.08</v>
      </c>
      <c r="D15" s="14">
        <v>0.09</v>
      </c>
      <c r="E15" s="14">
        <v>0.09</v>
      </c>
      <c r="F15" s="14">
        <v>0.06</v>
      </c>
      <c r="G15" s="14">
        <v>0.1</v>
      </c>
      <c r="H15" s="14">
        <v>0.08</v>
      </c>
      <c r="I15" s="14">
        <v>0.08</v>
      </c>
      <c r="J15" s="14">
        <v>0.09</v>
      </c>
      <c r="K15" s="14">
        <v>0.05</v>
      </c>
      <c r="L15" s="14">
        <v>0.05</v>
      </c>
      <c r="M15" s="14">
        <v>0.06</v>
      </c>
      <c r="N15" s="14">
        <v>7.0000000000000007E-2</v>
      </c>
      <c r="O15" s="14">
        <v>0.06</v>
      </c>
      <c r="P15" s="14">
        <v>0.05</v>
      </c>
      <c r="Q15" s="14">
        <v>0.1</v>
      </c>
      <c r="R15" s="14">
        <v>0.1</v>
      </c>
      <c r="S15" s="14">
        <v>0.06</v>
      </c>
      <c r="T15" s="14">
        <v>0.05</v>
      </c>
      <c r="U15" s="14">
        <v>0.08</v>
      </c>
      <c r="V15" s="14">
        <v>0.08</v>
      </c>
      <c r="W15" s="14">
        <v>0.08</v>
      </c>
      <c r="X15" s="14">
        <v>0.05</v>
      </c>
      <c r="Y15" s="14">
        <v>0.06</v>
      </c>
      <c r="Z15" s="14">
        <v>0.09</v>
      </c>
      <c r="AA15" s="14">
        <v>0.05</v>
      </c>
      <c r="AB15" s="14">
        <v>0.09</v>
      </c>
      <c r="AC15" s="14">
        <v>0.04</v>
      </c>
      <c r="AD15" s="14">
        <v>0.05</v>
      </c>
      <c r="AE15" s="14">
        <v>0.06</v>
      </c>
      <c r="AF15" s="14">
        <v>0.12</v>
      </c>
    </row>
    <row r="16" spans="1:32" ht="24.95">
      <c r="A16" s="20"/>
      <c r="B16" s="11" t="s">
        <v>827</v>
      </c>
      <c r="C16" s="12">
        <v>3782</v>
      </c>
      <c r="D16" s="12">
        <v>122</v>
      </c>
      <c r="E16" s="12">
        <v>150</v>
      </c>
      <c r="F16" s="12">
        <v>138</v>
      </c>
      <c r="G16" s="12">
        <v>197</v>
      </c>
      <c r="H16" s="12">
        <v>207</v>
      </c>
      <c r="I16" s="12">
        <v>250</v>
      </c>
      <c r="J16" s="12">
        <v>42</v>
      </c>
      <c r="K16" s="12">
        <v>113</v>
      </c>
      <c r="L16" s="12">
        <v>159</v>
      </c>
      <c r="M16" s="12">
        <v>190</v>
      </c>
      <c r="N16" s="12">
        <v>137</v>
      </c>
      <c r="O16" s="12">
        <v>157</v>
      </c>
      <c r="P16" s="12">
        <v>112</v>
      </c>
      <c r="Q16" s="12">
        <v>159</v>
      </c>
      <c r="R16" s="12">
        <v>46</v>
      </c>
      <c r="S16" s="12">
        <v>95</v>
      </c>
      <c r="T16" s="12">
        <v>94</v>
      </c>
      <c r="U16" s="12">
        <v>68</v>
      </c>
      <c r="V16" s="12">
        <v>127</v>
      </c>
      <c r="W16" s="12">
        <v>45</v>
      </c>
      <c r="X16" s="12">
        <v>140</v>
      </c>
      <c r="Y16" s="12">
        <v>133</v>
      </c>
      <c r="Z16" s="12">
        <v>90</v>
      </c>
      <c r="AA16" s="12">
        <v>154</v>
      </c>
      <c r="AB16" s="12">
        <v>102</v>
      </c>
      <c r="AC16" s="12">
        <v>72</v>
      </c>
      <c r="AD16" s="12">
        <v>115</v>
      </c>
      <c r="AE16" s="12">
        <v>136</v>
      </c>
      <c r="AF16" s="12">
        <v>186</v>
      </c>
    </row>
    <row r="17" spans="1:32">
      <c r="A17" s="20"/>
      <c r="B17" s="13" t="s">
        <v>828</v>
      </c>
      <c r="C17" s="14">
        <v>0.14000000000000001</v>
      </c>
      <c r="D17" s="14">
        <v>0.12</v>
      </c>
      <c r="E17" s="14">
        <v>0.15</v>
      </c>
      <c r="F17" s="14">
        <v>0.14000000000000001</v>
      </c>
      <c r="G17" s="14">
        <v>0.2</v>
      </c>
      <c r="H17" s="14">
        <v>0.17</v>
      </c>
      <c r="I17" s="14">
        <v>0.17</v>
      </c>
      <c r="J17" s="14">
        <v>0.14000000000000001</v>
      </c>
      <c r="K17" s="14">
        <v>0.11</v>
      </c>
      <c r="L17" s="14">
        <v>0.16</v>
      </c>
      <c r="M17" s="14">
        <v>0.19</v>
      </c>
      <c r="N17" s="14">
        <v>0.14000000000000001</v>
      </c>
      <c r="O17" s="14">
        <v>0.16</v>
      </c>
      <c r="P17" s="14">
        <v>0.11</v>
      </c>
      <c r="Q17" s="14">
        <v>0.15</v>
      </c>
      <c r="R17" s="14">
        <v>0.09</v>
      </c>
      <c r="S17" s="14">
        <v>0.09</v>
      </c>
      <c r="T17" s="14">
        <v>0.09</v>
      </c>
      <c r="U17" s="14">
        <v>0.13</v>
      </c>
      <c r="V17" s="14">
        <v>0.13</v>
      </c>
      <c r="W17" s="14">
        <v>0.09</v>
      </c>
      <c r="X17" s="14">
        <v>0.14000000000000001</v>
      </c>
      <c r="Y17" s="14">
        <v>0.13</v>
      </c>
      <c r="Z17" s="14">
        <v>0.09</v>
      </c>
      <c r="AA17" s="14">
        <v>0.15</v>
      </c>
      <c r="AB17" s="14">
        <v>0.1</v>
      </c>
      <c r="AC17" s="14">
        <v>7.0000000000000007E-2</v>
      </c>
      <c r="AD17" s="14">
        <v>0.11</v>
      </c>
      <c r="AE17" s="14">
        <v>0.13</v>
      </c>
      <c r="AF17" s="14">
        <v>0.18</v>
      </c>
    </row>
    <row r="18" spans="1:32">
      <c r="A18" s="20"/>
      <c r="B18" s="11" t="s">
        <v>829</v>
      </c>
      <c r="C18" s="12">
        <v>2933</v>
      </c>
      <c r="D18" s="12">
        <v>115</v>
      </c>
      <c r="E18" s="12">
        <v>94</v>
      </c>
      <c r="F18" s="12">
        <v>161</v>
      </c>
      <c r="G18" s="12">
        <v>168</v>
      </c>
      <c r="H18" s="12">
        <v>129</v>
      </c>
      <c r="I18" s="12">
        <v>165</v>
      </c>
      <c r="J18" s="12">
        <v>36</v>
      </c>
      <c r="K18" s="12">
        <v>164</v>
      </c>
      <c r="L18" s="12">
        <v>48</v>
      </c>
      <c r="M18" s="12">
        <v>174</v>
      </c>
      <c r="N18" s="12">
        <v>93</v>
      </c>
      <c r="O18" s="12">
        <v>101</v>
      </c>
      <c r="P18" s="12">
        <v>76</v>
      </c>
      <c r="Q18" s="12">
        <v>101</v>
      </c>
      <c r="R18" s="12">
        <v>58</v>
      </c>
      <c r="S18" s="12">
        <v>172</v>
      </c>
      <c r="T18" s="12">
        <v>229</v>
      </c>
      <c r="U18" s="12">
        <v>60</v>
      </c>
      <c r="V18" s="12">
        <v>94</v>
      </c>
      <c r="W18" s="12">
        <v>31</v>
      </c>
      <c r="X18" s="12">
        <v>104</v>
      </c>
      <c r="Y18" s="12">
        <v>73</v>
      </c>
      <c r="Z18" s="12">
        <v>150</v>
      </c>
      <c r="AA18" s="12">
        <v>125</v>
      </c>
      <c r="AB18" s="12">
        <v>135</v>
      </c>
      <c r="AC18" s="12">
        <v>104</v>
      </c>
      <c r="AD18" s="12">
        <v>134</v>
      </c>
      <c r="AE18" s="12">
        <v>119</v>
      </c>
      <c r="AF18" s="12">
        <v>108</v>
      </c>
    </row>
    <row r="19" spans="1:32">
      <c r="A19" s="20"/>
      <c r="B19" s="13" t="s">
        <v>830</v>
      </c>
      <c r="C19" s="14">
        <v>0.11</v>
      </c>
      <c r="D19" s="14">
        <v>0.12</v>
      </c>
      <c r="E19" s="14">
        <v>0.09</v>
      </c>
      <c r="F19" s="14">
        <v>0.16</v>
      </c>
      <c r="G19" s="14">
        <v>0.17</v>
      </c>
      <c r="H19" s="14">
        <v>0.11</v>
      </c>
      <c r="I19" s="14">
        <v>0.11</v>
      </c>
      <c r="J19" s="14">
        <v>0.12</v>
      </c>
      <c r="K19" s="14">
        <v>0.16</v>
      </c>
      <c r="L19" s="14">
        <v>0.05</v>
      </c>
      <c r="M19" s="14">
        <v>0.17</v>
      </c>
      <c r="N19" s="14">
        <v>0.09</v>
      </c>
      <c r="O19" s="14">
        <v>0.1</v>
      </c>
      <c r="P19" s="14">
        <v>7.0000000000000007E-2</v>
      </c>
      <c r="Q19" s="14">
        <v>0.1</v>
      </c>
      <c r="R19" s="14">
        <v>0.12</v>
      </c>
      <c r="S19" s="14">
        <v>0.17</v>
      </c>
      <c r="T19" s="14">
        <v>0.23</v>
      </c>
      <c r="U19" s="14">
        <v>0.12</v>
      </c>
      <c r="V19" s="14">
        <v>0.09</v>
      </c>
      <c r="W19" s="14">
        <v>0.06</v>
      </c>
      <c r="X19" s="14">
        <v>0.1</v>
      </c>
      <c r="Y19" s="14">
        <v>7.0000000000000007E-2</v>
      </c>
      <c r="Z19" s="14">
        <v>0.15</v>
      </c>
      <c r="AA19" s="14">
        <v>0.12</v>
      </c>
      <c r="AB19" s="14">
        <v>0.13</v>
      </c>
      <c r="AC19" s="14">
        <v>0.1</v>
      </c>
      <c r="AD19" s="14">
        <v>0.13</v>
      </c>
      <c r="AE19" s="14">
        <v>0.12</v>
      </c>
      <c r="AF19" s="14">
        <v>0.11</v>
      </c>
    </row>
    <row r="20" spans="1:32" ht="24.95">
      <c r="A20" s="20"/>
      <c r="B20" s="11" t="s">
        <v>831</v>
      </c>
      <c r="C20" s="12">
        <v>1353</v>
      </c>
      <c r="D20" s="12">
        <v>75</v>
      </c>
      <c r="E20" s="12">
        <v>52</v>
      </c>
      <c r="F20" s="12">
        <v>44</v>
      </c>
      <c r="G20" s="12">
        <v>30</v>
      </c>
      <c r="H20" s="12">
        <v>41</v>
      </c>
      <c r="I20" s="12">
        <v>50</v>
      </c>
      <c r="J20" s="12">
        <v>9</v>
      </c>
      <c r="K20" s="12">
        <v>29</v>
      </c>
      <c r="L20" s="12">
        <v>32</v>
      </c>
      <c r="M20" s="12">
        <v>48</v>
      </c>
      <c r="N20" s="12">
        <v>38</v>
      </c>
      <c r="O20" s="12">
        <v>80</v>
      </c>
      <c r="P20" s="12">
        <v>65</v>
      </c>
      <c r="Q20" s="12">
        <v>48</v>
      </c>
      <c r="R20" s="12">
        <v>17</v>
      </c>
      <c r="S20" s="12">
        <v>28</v>
      </c>
      <c r="T20" s="12">
        <v>19</v>
      </c>
      <c r="U20" s="12">
        <v>32</v>
      </c>
      <c r="V20" s="12">
        <v>75</v>
      </c>
      <c r="W20" s="12">
        <v>33</v>
      </c>
      <c r="X20" s="12">
        <v>33</v>
      </c>
      <c r="Y20" s="12">
        <v>74</v>
      </c>
      <c r="Z20" s="12">
        <v>69</v>
      </c>
      <c r="AA20" s="12">
        <v>46</v>
      </c>
      <c r="AB20" s="12">
        <v>66</v>
      </c>
      <c r="AC20" s="12">
        <v>44</v>
      </c>
      <c r="AD20" s="12">
        <v>66</v>
      </c>
      <c r="AE20" s="12">
        <v>44</v>
      </c>
      <c r="AF20" s="12">
        <v>44</v>
      </c>
    </row>
    <row r="21" spans="1:32">
      <c r="A21" s="20"/>
      <c r="B21" s="13" t="s">
        <v>832</v>
      </c>
      <c r="C21" s="14">
        <v>0.05</v>
      </c>
      <c r="D21" s="14">
        <v>0.08</v>
      </c>
      <c r="E21" s="14">
        <v>0.05</v>
      </c>
      <c r="F21" s="14">
        <v>0.04</v>
      </c>
      <c r="G21" s="14">
        <v>0.03</v>
      </c>
      <c r="H21" s="14">
        <v>0.03</v>
      </c>
      <c r="I21" s="14">
        <v>0.03</v>
      </c>
      <c r="J21" s="14">
        <v>0.03</v>
      </c>
      <c r="K21" s="14">
        <v>0.03</v>
      </c>
      <c r="L21" s="14">
        <v>0.03</v>
      </c>
      <c r="M21" s="14">
        <v>0.05</v>
      </c>
      <c r="N21" s="14">
        <v>0.04</v>
      </c>
      <c r="O21" s="14">
        <v>0.08</v>
      </c>
      <c r="P21" s="14">
        <v>0.06</v>
      </c>
      <c r="Q21" s="14">
        <v>0.05</v>
      </c>
      <c r="R21" s="14">
        <v>0.03</v>
      </c>
      <c r="S21" s="14">
        <v>0.03</v>
      </c>
      <c r="T21" s="14">
        <v>0.02</v>
      </c>
      <c r="U21" s="14">
        <v>0.06</v>
      </c>
      <c r="V21" s="14">
        <v>7.0000000000000007E-2</v>
      </c>
      <c r="W21" s="14">
        <v>7.0000000000000007E-2</v>
      </c>
      <c r="X21" s="14">
        <v>0.03</v>
      </c>
      <c r="Y21" s="14">
        <v>7.0000000000000007E-2</v>
      </c>
      <c r="Z21" s="14">
        <v>7.0000000000000007E-2</v>
      </c>
      <c r="AA21" s="14">
        <v>0.04</v>
      </c>
      <c r="AB21" s="14">
        <v>0.06</v>
      </c>
      <c r="AC21" s="14">
        <v>0.04</v>
      </c>
      <c r="AD21" s="14">
        <v>7.0000000000000007E-2</v>
      </c>
      <c r="AE21" s="14">
        <v>0.04</v>
      </c>
      <c r="AF21" s="14">
        <v>0.04</v>
      </c>
    </row>
    <row r="22" spans="1:32" ht="24.95">
      <c r="A22" s="20"/>
      <c r="B22" s="11" t="s">
        <v>833</v>
      </c>
      <c r="C22" s="12">
        <v>1162</v>
      </c>
      <c r="D22" s="12">
        <v>57</v>
      </c>
      <c r="E22" s="12">
        <v>23</v>
      </c>
      <c r="F22" s="12">
        <v>52</v>
      </c>
      <c r="G22" s="12">
        <v>83</v>
      </c>
      <c r="H22" s="12">
        <v>44</v>
      </c>
      <c r="I22" s="12">
        <v>60</v>
      </c>
      <c r="J22" s="12">
        <v>15</v>
      </c>
      <c r="K22" s="12">
        <v>29</v>
      </c>
      <c r="L22" s="12">
        <v>57</v>
      </c>
      <c r="M22" s="12">
        <v>22</v>
      </c>
      <c r="N22" s="12">
        <v>47</v>
      </c>
      <c r="O22" s="12">
        <v>37</v>
      </c>
      <c r="P22" s="12">
        <v>73</v>
      </c>
      <c r="Q22" s="12">
        <v>49</v>
      </c>
      <c r="R22" s="12">
        <v>17</v>
      </c>
      <c r="S22" s="12">
        <v>37</v>
      </c>
      <c r="T22" s="12">
        <v>16</v>
      </c>
      <c r="U22" s="12">
        <v>12</v>
      </c>
      <c r="V22" s="12">
        <v>60</v>
      </c>
      <c r="W22" s="12">
        <v>29</v>
      </c>
      <c r="X22" s="12">
        <v>36</v>
      </c>
      <c r="Y22" s="12">
        <v>52</v>
      </c>
      <c r="Z22" s="12">
        <v>46</v>
      </c>
      <c r="AA22" s="12">
        <v>32</v>
      </c>
      <c r="AB22" s="12">
        <v>60</v>
      </c>
      <c r="AC22" s="12">
        <v>30</v>
      </c>
      <c r="AD22" s="12">
        <v>52</v>
      </c>
      <c r="AE22" s="12">
        <v>49</v>
      </c>
      <c r="AF22" s="12">
        <v>55</v>
      </c>
    </row>
    <row r="23" spans="1:32" ht="24.95">
      <c r="A23" s="20"/>
      <c r="B23" s="13" t="s">
        <v>834</v>
      </c>
      <c r="C23" s="14">
        <v>0.05</v>
      </c>
      <c r="D23" s="14">
        <v>0.06</v>
      </c>
      <c r="E23" s="14">
        <v>0.02</v>
      </c>
      <c r="F23" s="14">
        <v>0.05</v>
      </c>
      <c r="G23" s="14">
        <v>0.08</v>
      </c>
      <c r="H23" s="14">
        <v>0.04</v>
      </c>
      <c r="I23" s="14">
        <v>0.04</v>
      </c>
      <c r="J23" s="14">
        <v>0.05</v>
      </c>
      <c r="K23" s="14">
        <v>0.03</v>
      </c>
      <c r="L23" s="14">
        <v>0.06</v>
      </c>
      <c r="M23" s="14">
        <v>0.02</v>
      </c>
      <c r="N23" s="14">
        <v>0.05</v>
      </c>
      <c r="O23" s="14">
        <v>0.04</v>
      </c>
      <c r="P23" s="14">
        <v>7.0000000000000007E-2</v>
      </c>
      <c r="Q23" s="14">
        <v>0.05</v>
      </c>
      <c r="R23" s="14">
        <v>0.03</v>
      </c>
      <c r="S23" s="14">
        <v>0.04</v>
      </c>
      <c r="T23" s="14">
        <v>0.02</v>
      </c>
      <c r="U23" s="14">
        <v>0.02</v>
      </c>
      <c r="V23" s="14">
        <v>0.06</v>
      </c>
      <c r="W23" s="14">
        <v>0.06</v>
      </c>
      <c r="X23" s="14">
        <v>0.04</v>
      </c>
      <c r="Y23" s="14">
        <v>0.05</v>
      </c>
      <c r="Z23" s="14">
        <v>0.04</v>
      </c>
      <c r="AA23" s="14">
        <v>0.03</v>
      </c>
      <c r="AB23" s="14">
        <v>0.06</v>
      </c>
      <c r="AC23" s="14">
        <v>0.03</v>
      </c>
      <c r="AD23" s="14">
        <v>0.05</v>
      </c>
      <c r="AE23" s="14">
        <v>0.05</v>
      </c>
      <c r="AF23" s="14">
        <v>0.06</v>
      </c>
    </row>
    <row r="24" spans="1:32">
      <c r="A24" s="20"/>
      <c r="B24" s="11" t="s">
        <v>835</v>
      </c>
      <c r="C24" s="12">
        <v>2613</v>
      </c>
      <c r="D24" s="12">
        <v>60</v>
      </c>
      <c r="E24" s="12">
        <v>170</v>
      </c>
      <c r="F24" s="12">
        <v>147</v>
      </c>
      <c r="G24" s="12">
        <v>56</v>
      </c>
      <c r="H24" s="12">
        <v>118</v>
      </c>
      <c r="I24" s="12">
        <v>136</v>
      </c>
      <c r="J24" s="12">
        <v>18</v>
      </c>
      <c r="K24" s="12">
        <v>110</v>
      </c>
      <c r="L24" s="12">
        <v>205</v>
      </c>
      <c r="M24" s="12">
        <v>111</v>
      </c>
      <c r="N24" s="12">
        <v>60</v>
      </c>
      <c r="O24" s="12">
        <v>34</v>
      </c>
      <c r="P24" s="12">
        <v>282</v>
      </c>
      <c r="Q24" s="12">
        <v>94</v>
      </c>
      <c r="R24" s="12">
        <v>71</v>
      </c>
      <c r="S24" s="12">
        <v>109</v>
      </c>
      <c r="T24" s="12">
        <v>141</v>
      </c>
      <c r="U24" s="12">
        <v>42</v>
      </c>
      <c r="V24" s="12">
        <v>165</v>
      </c>
      <c r="W24" s="12">
        <v>72</v>
      </c>
      <c r="X24" s="12">
        <v>148</v>
      </c>
      <c r="Y24" s="12">
        <v>77</v>
      </c>
      <c r="Z24" s="12">
        <v>178</v>
      </c>
      <c r="AA24" s="12">
        <v>99</v>
      </c>
      <c r="AB24" s="12">
        <v>165</v>
      </c>
      <c r="AC24" s="12">
        <v>173</v>
      </c>
      <c r="AD24" s="12">
        <v>196</v>
      </c>
      <c r="AE24" s="12">
        <v>78</v>
      </c>
      <c r="AF24" s="12">
        <v>108</v>
      </c>
    </row>
    <row r="25" spans="1:32">
      <c r="A25" s="20"/>
      <c r="B25" s="13" t="s">
        <v>836</v>
      </c>
      <c r="C25" s="14">
        <v>0.1</v>
      </c>
      <c r="D25" s="14">
        <v>0.06</v>
      </c>
      <c r="E25" s="14">
        <v>0.17</v>
      </c>
      <c r="F25" s="14">
        <v>0.15</v>
      </c>
      <c r="G25" s="14">
        <v>0.06</v>
      </c>
      <c r="H25" s="14">
        <v>0.1</v>
      </c>
      <c r="I25" s="14">
        <v>0.09</v>
      </c>
      <c r="J25" s="14">
        <v>0.06</v>
      </c>
      <c r="K25" s="14">
        <v>0.11</v>
      </c>
      <c r="L25" s="14">
        <v>0.2</v>
      </c>
      <c r="M25" s="14">
        <v>0.11</v>
      </c>
      <c r="N25" s="14">
        <v>0.06</v>
      </c>
      <c r="O25" s="14">
        <v>0.03</v>
      </c>
      <c r="P25" s="14">
        <v>0.28000000000000003</v>
      </c>
      <c r="Q25" s="14">
        <v>0.09</v>
      </c>
      <c r="R25" s="14">
        <v>0.14000000000000001</v>
      </c>
      <c r="S25" s="14">
        <v>0.11</v>
      </c>
      <c r="T25" s="14">
        <v>0.14000000000000001</v>
      </c>
      <c r="U25" s="14">
        <v>0.08</v>
      </c>
      <c r="V25" s="14">
        <v>0.16</v>
      </c>
      <c r="W25" s="14">
        <v>0.14000000000000001</v>
      </c>
      <c r="X25" s="14">
        <v>0.15</v>
      </c>
      <c r="Y25" s="14">
        <v>0.08</v>
      </c>
      <c r="Z25" s="14">
        <v>0.18</v>
      </c>
      <c r="AA25" s="14">
        <v>0.09</v>
      </c>
      <c r="AB25" s="14">
        <v>0.16</v>
      </c>
      <c r="AC25" s="14">
        <v>0.17</v>
      </c>
      <c r="AD25" s="14">
        <v>0.2</v>
      </c>
      <c r="AE25" s="14">
        <v>0.08</v>
      </c>
      <c r="AF25" s="14">
        <v>0.11</v>
      </c>
    </row>
    <row r="26" spans="1:32">
      <c r="A26" s="20"/>
      <c r="B26" s="11" t="s">
        <v>837</v>
      </c>
      <c r="C26" s="12">
        <v>2195</v>
      </c>
      <c r="D26" s="12">
        <v>139</v>
      </c>
      <c r="E26" s="12">
        <v>90</v>
      </c>
      <c r="F26" s="12">
        <v>62</v>
      </c>
      <c r="G26" s="12">
        <v>31</v>
      </c>
      <c r="H26" s="12">
        <v>82</v>
      </c>
      <c r="I26" s="12">
        <v>108</v>
      </c>
      <c r="J26" s="12">
        <v>26</v>
      </c>
      <c r="K26" s="12">
        <v>89</v>
      </c>
      <c r="L26" s="12">
        <v>87</v>
      </c>
      <c r="M26" s="12">
        <v>51</v>
      </c>
      <c r="N26" s="12">
        <v>102</v>
      </c>
      <c r="O26" s="12">
        <v>118</v>
      </c>
      <c r="P26" s="12">
        <v>69</v>
      </c>
      <c r="Q26" s="12">
        <v>88</v>
      </c>
      <c r="R26" s="12">
        <v>29</v>
      </c>
      <c r="S26" s="12">
        <v>100</v>
      </c>
      <c r="T26" s="12">
        <v>69</v>
      </c>
      <c r="U26" s="12">
        <v>54</v>
      </c>
      <c r="V26" s="12">
        <v>59</v>
      </c>
      <c r="W26" s="12">
        <v>34</v>
      </c>
      <c r="X26" s="12">
        <v>66</v>
      </c>
      <c r="Y26" s="12">
        <v>62</v>
      </c>
      <c r="Z26" s="12">
        <v>42</v>
      </c>
      <c r="AA26" s="12">
        <v>86</v>
      </c>
      <c r="AB26" s="12">
        <v>100</v>
      </c>
      <c r="AC26" s="12">
        <v>95</v>
      </c>
      <c r="AD26" s="12">
        <v>66</v>
      </c>
      <c r="AE26" s="12">
        <v>121</v>
      </c>
      <c r="AF26" s="12">
        <v>74</v>
      </c>
    </row>
    <row r="27" spans="1:32">
      <c r="A27" s="20"/>
      <c r="B27" s="13" t="s">
        <v>838</v>
      </c>
      <c r="C27" s="14">
        <v>0.08</v>
      </c>
      <c r="D27" s="14">
        <v>0.14000000000000001</v>
      </c>
      <c r="E27" s="14">
        <v>0.09</v>
      </c>
      <c r="F27" s="14">
        <v>0.06</v>
      </c>
      <c r="G27" s="14">
        <v>0.03</v>
      </c>
      <c r="H27" s="14">
        <v>7.0000000000000007E-2</v>
      </c>
      <c r="I27" s="14">
        <v>7.0000000000000007E-2</v>
      </c>
      <c r="J27" s="14">
        <v>0.09</v>
      </c>
      <c r="K27" s="14">
        <v>0.09</v>
      </c>
      <c r="L27" s="14">
        <v>0.09</v>
      </c>
      <c r="M27" s="14">
        <v>0.05</v>
      </c>
      <c r="N27" s="14">
        <v>0.1</v>
      </c>
      <c r="O27" s="14">
        <v>0.12</v>
      </c>
      <c r="P27" s="14">
        <v>7.0000000000000007E-2</v>
      </c>
      <c r="Q27" s="14">
        <v>0.09</v>
      </c>
      <c r="R27" s="14">
        <v>0.06</v>
      </c>
      <c r="S27" s="14">
        <v>0.1</v>
      </c>
      <c r="T27" s="14">
        <v>7.0000000000000007E-2</v>
      </c>
      <c r="U27" s="14">
        <v>0.11</v>
      </c>
      <c r="V27" s="14">
        <v>0.06</v>
      </c>
      <c r="W27" s="14">
        <v>7.0000000000000007E-2</v>
      </c>
      <c r="X27" s="14">
        <v>0.06</v>
      </c>
      <c r="Y27" s="14">
        <v>0.06</v>
      </c>
      <c r="Z27" s="14">
        <v>0.04</v>
      </c>
      <c r="AA27" s="14">
        <v>0.08</v>
      </c>
      <c r="AB27" s="14">
        <v>0.1</v>
      </c>
      <c r="AC27" s="14">
        <v>0.1</v>
      </c>
      <c r="AD27" s="14">
        <v>7.0000000000000007E-2</v>
      </c>
      <c r="AE27" s="14">
        <v>0.12</v>
      </c>
      <c r="AF27" s="14">
        <v>7.0000000000000007E-2</v>
      </c>
    </row>
    <row r="28" spans="1:32">
      <c r="A28" s="20"/>
      <c r="B28" s="11" t="s">
        <v>839</v>
      </c>
      <c r="C28" s="12">
        <v>1070</v>
      </c>
      <c r="D28" s="12">
        <v>44</v>
      </c>
      <c r="E28" s="12">
        <v>33</v>
      </c>
      <c r="F28" s="12">
        <v>26</v>
      </c>
      <c r="G28" s="12">
        <v>15</v>
      </c>
      <c r="H28" s="12">
        <v>20</v>
      </c>
      <c r="I28" s="12">
        <v>28</v>
      </c>
      <c r="J28" s="12">
        <v>8</v>
      </c>
      <c r="K28" s="12">
        <v>27</v>
      </c>
      <c r="L28" s="12">
        <v>44</v>
      </c>
      <c r="M28" s="12">
        <v>34</v>
      </c>
      <c r="N28" s="12">
        <v>39</v>
      </c>
      <c r="O28" s="12">
        <v>44</v>
      </c>
      <c r="P28" s="12">
        <v>36</v>
      </c>
      <c r="Q28" s="12">
        <v>50</v>
      </c>
      <c r="R28" s="12">
        <v>59</v>
      </c>
      <c r="S28" s="12">
        <v>27</v>
      </c>
      <c r="T28" s="12">
        <v>31</v>
      </c>
      <c r="U28" s="12">
        <v>14</v>
      </c>
      <c r="V28" s="12">
        <v>55</v>
      </c>
      <c r="W28" s="12">
        <v>42</v>
      </c>
      <c r="X28" s="12">
        <v>21</v>
      </c>
      <c r="Y28" s="12">
        <v>19</v>
      </c>
      <c r="Z28" s="12">
        <v>80</v>
      </c>
      <c r="AA28" s="12">
        <v>61</v>
      </c>
      <c r="AB28" s="12">
        <v>99</v>
      </c>
      <c r="AC28" s="12">
        <v>34</v>
      </c>
      <c r="AD28" s="12">
        <v>31</v>
      </c>
      <c r="AE28" s="12">
        <v>7</v>
      </c>
      <c r="AF28" s="12">
        <v>4</v>
      </c>
    </row>
    <row r="29" spans="1:32">
      <c r="A29" s="20"/>
      <c r="B29" s="13" t="s">
        <v>840</v>
      </c>
      <c r="C29" s="14">
        <v>0.04</v>
      </c>
      <c r="D29" s="14">
        <v>0.04</v>
      </c>
      <c r="E29" s="14">
        <v>0.03</v>
      </c>
      <c r="F29" s="14">
        <v>0.03</v>
      </c>
      <c r="G29" s="14">
        <v>0.01</v>
      </c>
      <c r="H29" s="14">
        <v>0.02</v>
      </c>
      <c r="I29" s="14">
        <v>0.02</v>
      </c>
      <c r="J29" s="14">
        <v>0.03</v>
      </c>
      <c r="K29" s="14">
        <v>0.03</v>
      </c>
      <c r="L29" s="14">
        <v>0.04</v>
      </c>
      <c r="M29" s="14">
        <v>0.04</v>
      </c>
      <c r="N29" s="14">
        <v>0.04</v>
      </c>
      <c r="O29" s="14">
        <v>0.04</v>
      </c>
      <c r="P29" s="14">
        <v>0.04</v>
      </c>
      <c r="Q29" s="14">
        <v>0.05</v>
      </c>
      <c r="R29" s="14">
        <v>0.12</v>
      </c>
      <c r="S29" s="14">
        <v>0.03</v>
      </c>
      <c r="T29" s="14">
        <v>0.03</v>
      </c>
      <c r="U29" s="14">
        <v>0.03</v>
      </c>
      <c r="V29" s="14">
        <v>0.06</v>
      </c>
      <c r="W29" s="14">
        <v>0.08</v>
      </c>
      <c r="X29" s="14">
        <v>0.02</v>
      </c>
      <c r="Y29" s="14">
        <v>0.02</v>
      </c>
      <c r="Z29" s="14">
        <v>0.08</v>
      </c>
      <c r="AA29" s="14">
        <v>0.06</v>
      </c>
      <c r="AB29" s="14">
        <v>0.09</v>
      </c>
      <c r="AC29" s="14">
        <v>0.03</v>
      </c>
      <c r="AD29" s="14">
        <v>0.03</v>
      </c>
      <c r="AE29" s="14">
        <v>0.01</v>
      </c>
      <c r="AF29" s="15" t="s">
        <v>459</v>
      </c>
    </row>
    <row r="30" spans="1:32">
      <c r="A30" s="20"/>
      <c r="B30" s="11" t="s">
        <v>709</v>
      </c>
      <c r="C30" s="12">
        <v>1159</v>
      </c>
      <c r="D30" s="12">
        <v>34</v>
      </c>
      <c r="E30" s="12">
        <v>41</v>
      </c>
      <c r="F30" s="12">
        <v>38</v>
      </c>
      <c r="G30" s="12">
        <v>14</v>
      </c>
      <c r="H30" s="12">
        <v>23</v>
      </c>
      <c r="I30" s="12">
        <v>38</v>
      </c>
      <c r="J30" s="12">
        <v>15</v>
      </c>
      <c r="K30" s="12">
        <v>60</v>
      </c>
      <c r="L30" s="12">
        <v>47</v>
      </c>
      <c r="M30" s="12">
        <v>57</v>
      </c>
      <c r="N30" s="12">
        <v>75</v>
      </c>
      <c r="O30" s="12">
        <v>49</v>
      </c>
      <c r="P30" s="12">
        <v>31</v>
      </c>
      <c r="Q30" s="12">
        <v>71</v>
      </c>
      <c r="R30" s="12">
        <v>36</v>
      </c>
      <c r="S30" s="12">
        <v>46</v>
      </c>
      <c r="T30" s="12">
        <v>21</v>
      </c>
      <c r="U30" s="12">
        <v>33</v>
      </c>
      <c r="V30" s="12">
        <v>42</v>
      </c>
      <c r="W30" s="12">
        <v>29</v>
      </c>
      <c r="X30" s="12">
        <v>5</v>
      </c>
      <c r="Y30" s="12">
        <v>55</v>
      </c>
      <c r="Z30" s="12">
        <v>38</v>
      </c>
      <c r="AA30" s="12">
        <v>44</v>
      </c>
      <c r="AB30" s="12">
        <v>40</v>
      </c>
      <c r="AC30" s="12">
        <v>32</v>
      </c>
      <c r="AD30" s="12">
        <v>45</v>
      </c>
      <c r="AE30" s="12">
        <v>9</v>
      </c>
      <c r="AF30" s="12">
        <v>13</v>
      </c>
    </row>
    <row r="31" spans="1:32">
      <c r="A31" s="20"/>
      <c r="B31" s="13" t="s">
        <v>710</v>
      </c>
      <c r="C31" s="14">
        <v>0.04</v>
      </c>
      <c r="D31" s="14">
        <v>0.03</v>
      </c>
      <c r="E31" s="14">
        <v>0.04</v>
      </c>
      <c r="F31" s="14">
        <v>0.04</v>
      </c>
      <c r="G31" s="14">
        <v>0.01</v>
      </c>
      <c r="H31" s="14">
        <v>0.02</v>
      </c>
      <c r="I31" s="14">
        <v>0.03</v>
      </c>
      <c r="J31" s="14">
        <v>0.05</v>
      </c>
      <c r="K31" s="14">
        <v>0.06</v>
      </c>
      <c r="L31" s="14">
        <v>0.05</v>
      </c>
      <c r="M31" s="14">
        <v>0.06</v>
      </c>
      <c r="N31" s="14">
        <v>7.0000000000000007E-2</v>
      </c>
      <c r="O31" s="14">
        <v>0.05</v>
      </c>
      <c r="P31" s="14">
        <v>0.03</v>
      </c>
      <c r="Q31" s="14">
        <v>7.0000000000000007E-2</v>
      </c>
      <c r="R31" s="14">
        <v>7.0000000000000007E-2</v>
      </c>
      <c r="S31" s="14">
        <v>0.05</v>
      </c>
      <c r="T31" s="14">
        <v>0.02</v>
      </c>
      <c r="U31" s="14">
        <v>7.0000000000000007E-2</v>
      </c>
      <c r="V31" s="14">
        <v>0.04</v>
      </c>
      <c r="W31" s="14">
        <v>0.06</v>
      </c>
      <c r="X31" s="14">
        <v>0.01</v>
      </c>
      <c r="Y31" s="14">
        <v>0.06</v>
      </c>
      <c r="Z31" s="14">
        <v>0.04</v>
      </c>
      <c r="AA31" s="14">
        <v>0.04</v>
      </c>
      <c r="AB31" s="14">
        <v>0.04</v>
      </c>
      <c r="AC31" s="14">
        <v>0.03</v>
      </c>
      <c r="AD31" s="14">
        <v>0.05</v>
      </c>
      <c r="AE31" s="14">
        <v>0.01</v>
      </c>
      <c r="AF31" s="14">
        <v>0.01</v>
      </c>
    </row>
    <row r="32" spans="1:32">
      <c r="A32" s="20"/>
      <c r="B32" s="11" t="s">
        <v>519</v>
      </c>
      <c r="C32" s="12">
        <v>93</v>
      </c>
      <c r="D32" s="12">
        <v>3</v>
      </c>
      <c r="E32" s="12">
        <v>4</v>
      </c>
      <c r="F32" s="12">
        <v>1</v>
      </c>
      <c r="G32" s="12">
        <v>3</v>
      </c>
      <c r="H32" s="12">
        <v>6</v>
      </c>
      <c r="I32" s="12">
        <v>7</v>
      </c>
      <c r="J32" s="12">
        <v>1</v>
      </c>
      <c r="K32" s="12">
        <v>7</v>
      </c>
      <c r="L32" s="12">
        <v>5</v>
      </c>
      <c r="M32" s="12">
        <v>3</v>
      </c>
      <c r="N32" s="12">
        <v>5</v>
      </c>
      <c r="O32" s="12">
        <v>0</v>
      </c>
      <c r="P32" s="12">
        <v>0</v>
      </c>
      <c r="Q32" s="12">
        <v>0</v>
      </c>
      <c r="R32" s="12">
        <v>1</v>
      </c>
      <c r="S32" s="12">
        <v>15</v>
      </c>
      <c r="T32" s="12">
        <v>11</v>
      </c>
      <c r="U32" s="12">
        <v>1</v>
      </c>
      <c r="V32" s="12">
        <v>4</v>
      </c>
      <c r="W32" s="12">
        <v>1</v>
      </c>
      <c r="X32" s="12">
        <v>3</v>
      </c>
      <c r="Y32" s="12">
        <v>15</v>
      </c>
      <c r="Z32" s="12">
        <v>1</v>
      </c>
      <c r="AA32" s="12">
        <v>9</v>
      </c>
      <c r="AB32" s="12">
        <v>9</v>
      </c>
      <c r="AC32" s="12">
        <v>10</v>
      </c>
      <c r="AD32" s="12">
        <v>12</v>
      </c>
      <c r="AE32" s="12">
        <v>2</v>
      </c>
      <c r="AF32" s="12">
        <v>4</v>
      </c>
    </row>
    <row r="33" spans="1:32">
      <c r="A33" s="20"/>
      <c r="B33" s="13" t="s">
        <v>520</v>
      </c>
      <c r="C33" s="15" t="s">
        <v>459</v>
      </c>
      <c r="D33" s="15" t="s">
        <v>459</v>
      </c>
      <c r="E33" s="15" t="s">
        <v>459</v>
      </c>
      <c r="F33" s="15" t="s">
        <v>459</v>
      </c>
      <c r="G33" s="15" t="s">
        <v>459</v>
      </c>
      <c r="H33" s="15" t="s">
        <v>459</v>
      </c>
      <c r="I33" s="15" t="s">
        <v>459</v>
      </c>
      <c r="J33" s="15" t="s">
        <v>459</v>
      </c>
      <c r="K33" s="14">
        <v>0.01</v>
      </c>
      <c r="L33" s="15" t="s">
        <v>459</v>
      </c>
      <c r="M33" s="15" t="s">
        <v>459</v>
      </c>
      <c r="N33" s="14">
        <v>0.01</v>
      </c>
      <c r="O33" s="15" t="s">
        <v>459</v>
      </c>
      <c r="P33" s="15" t="s">
        <v>459</v>
      </c>
      <c r="Q33" s="15" t="s">
        <v>459</v>
      </c>
      <c r="R33" s="15" t="s">
        <v>459</v>
      </c>
      <c r="S33" s="14">
        <v>0.01</v>
      </c>
      <c r="T33" s="14">
        <v>0.01</v>
      </c>
      <c r="U33" s="15" t="s">
        <v>459</v>
      </c>
      <c r="V33" s="15" t="s">
        <v>459</v>
      </c>
      <c r="W33" s="15" t="s">
        <v>459</v>
      </c>
      <c r="X33" s="15" t="s">
        <v>459</v>
      </c>
      <c r="Y33" s="14">
        <v>0.02</v>
      </c>
      <c r="Z33" s="15" t="s">
        <v>459</v>
      </c>
      <c r="AA33" s="14">
        <v>0.01</v>
      </c>
      <c r="AB33" s="14">
        <v>0.01</v>
      </c>
      <c r="AC33" s="14">
        <v>0.01</v>
      </c>
      <c r="AD33" s="14">
        <v>0.01</v>
      </c>
      <c r="AE33" s="15" t="s">
        <v>459</v>
      </c>
      <c r="AF33" s="15" t="s">
        <v>459</v>
      </c>
    </row>
    <row r="34" spans="1:32" ht="24.95">
      <c r="A34" s="20"/>
      <c r="B34" s="11" t="s">
        <v>551</v>
      </c>
      <c r="C34" s="12">
        <v>1217</v>
      </c>
      <c r="D34" s="12">
        <v>12</v>
      </c>
      <c r="E34" s="12">
        <v>58</v>
      </c>
      <c r="F34" s="12">
        <v>62</v>
      </c>
      <c r="G34" s="12">
        <v>5</v>
      </c>
      <c r="H34" s="12">
        <v>66</v>
      </c>
      <c r="I34" s="12">
        <v>88</v>
      </c>
      <c r="J34" s="12">
        <v>22</v>
      </c>
      <c r="K34" s="12">
        <v>64</v>
      </c>
      <c r="L34" s="12">
        <v>39</v>
      </c>
      <c r="M34" s="12">
        <v>70</v>
      </c>
      <c r="N34" s="12">
        <v>54</v>
      </c>
      <c r="O34" s="12">
        <v>52</v>
      </c>
      <c r="P34" s="12">
        <v>26</v>
      </c>
      <c r="Q34" s="12">
        <v>53</v>
      </c>
      <c r="R34" s="12">
        <v>40</v>
      </c>
      <c r="S34" s="12">
        <v>69</v>
      </c>
      <c r="T34" s="12">
        <v>48</v>
      </c>
      <c r="U34" s="12">
        <v>18</v>
      </c>
      <c r="V34" s="12">
        <v>41</v>
      </c>
      <c r="W34" s="12">
        <v>1</v>
      </c>
      <c r="X34" s="12">
        <v>12</v>
      </c>
      <c r="Y34" s="12">
        <v>142</v>
      </c>
      <c r="Z34" s="12">
        <v>18</v>
      </c>
      <c r="AA34" s="12">
        <v>42</v>
      </c>
      <c r="AB34" s="12">
        <v>23</v>
      </c>
      <c r="AC34" s="12">
        <v>53</v>
      </c>
      <c r="AD34" s="12">
        <v>39</v>
      </c>
      <c r="AE34" s="12">
        <v>18</v>
      </c>
      <c r="AF34" s="12">
        <v>12</v>
      </c>
    </row>
    <row r="35" spans="1:32">
      <c r="A35" s="20"/>
      <c r="B35" s="13" t="s">
        <v>522</v>
      </c>
      <c r="C35" s="14">
        <v>0.05</v>
      </c>
      <c r="D35" s="14">
        <v>0.01</v>
      </c>
      <c r="E35" s="14">
        <v>0.06</v>
      </c>
      <c r="F35" s="14">
        <v>0.06</v>
      </c>
      <c r="G35" s="14">
        <v>0.01</v>
      </c>
      <c r="H35" s="14">
        <v>0.05</v>
      </c>
      <c r="I35" s="14">
        <v>0.06</v>
      </c>
      <c r="J35" s="14">
        <v>0.08</v>
      </c>
      <c r="K35" s="14">
        <v>0.06</v>
      </c>
      <c r="L35" s="14">
        <v>0.04</v>
      </c>
      <c r="M35" s="14">
        <v>7.0000000000000007E-2</v>
      </c>
      <c r="N35" s="14">
        <v>0.05</v>
      </c>
      <c r="O35" s="14">
        <v>0.05</v>
      </c>
      <c r="P35" s="14">
        <v>0.03</v>
      </c>
      <c r="Q35" s="14">
        <v>0.05</v>
      </c>
      <c r="R35" s="14">
        <v>0.08</v>
      </c>
      <c r="S35" s="14">
        <v>7.0000000000000007E-2</v>
      </c>
      <c r="T35" s="14">
        <v>0.05</v>
      </c>
      <c r="U35" s="14">
        <v>0.04</v>
      </c>
      <c r="V35" s="14">
        <v>0.04</v>
      </c>
      <c r="W35" s="15" t="s">
        <v>459</v>
      </c>
      <c r="X35" s="14">
        <v>0.01</v>
      </c>
      <c r="Y35" s="14">
        <v>0.14000000000000001</v>
      </c>
      <c r="Z35" s="14">
        <v>0.02</v>
      </c>
      <c r="AA35" s="14">
        <v>0.04</v>
      </c>
      <c r="AB35" s="14">
        <v>0.02</v>
      </c>
      <c r="AC35" s="14">
        <v>0.05</v>
      </c>
      <c r="AD35" s="14">
        <v>0.04</v>
      </c>
      <c r="AE35" s="14">
        <v>0.02</v>
      </c>
      <c r="AF35" s="14">
        <v>0.01</v>
      </c>
    </row>
    <row r="36" spans="1:32">
      <c r="A36" s="20"/>
      <c r="B36" s="11" t="s">
        <v>468</v>
      </c>
      <c r="C36" s="12">
        <v>1298</v>
      </c>
      <c r="D36" s="12">
        <v>14</v>
      </c>
      <c r="E36" s="12">
        <v>62</v>
      </c>
      <c r="F36" s="12">
        <v>59</v>
      </c>
      <c r="G36" s="12">
        <v>30</v>
      </c>
      <c r="H36" s="12">
        <v>43</v>
      </c>
      <c r="I36" s="12">
        <v>52</v>
      </c>
      <c r="J36" s="12">
        <v>9</v>
      </c>
      <c r="K36" s="12">
        <v>46</v>
      </c>
      <c r="L36" s="12">
        <v>26</v>
      </c>
      <c r="M36" s="12">
        <v>29</v>
      </c>
      <c r="N36" s="12">
        <v>63</v>
      </c>
      <c r="O36" s="12">
        <v>93</v>
      </c>
      <c r="P36" s="12">
        <v>22</v>
      </c>
      <c r="Q36" s="12">
        <v>51</v>
      </c>
      <c r="R36" s="12">
        <v>29</v>
      </c>
      <c r="S36" s="12">
        <v>84</v>
      </c>
      <c r="T36" s="12">
        <v>62</v>
      </c>
      <c r="U36" s="12">
        <v>6</v>
      </c>
      <c r="V36" s="12">
        <v>39</v>
      </c>
      <c r="W36" s="12">
        <v>8</v>
      </c>
      <c r="X36" s="12">
        <v>8</v>
      </c>
      <c r="Y36" s="12">
        <v>29</v>
      </c>
      <c r="Z36" s="12">
        <v>40</v>
      </c>
      <c r="AA36" s="12">
        <v>103</v>
      </c>
      <c r="AB36" s="12">
        <v>43</v>
      </c>
      <c r="AC36" s="12">
        <v>17</v>
      </c>
      <c r="AD36" s="12">
        <v>31</v>
      </c>
      <c r="AE36" s="12">
        <v>39</v>
      </c>
      <c r="AF36" s="12">
        <v>15</v>
      </c>
    </row>
    <row r="37" spans="1:32">
      <c r="A37" s="20"/>
      <c r="B37" s="13" t="s">
        <v>469</v>
      </c>
      <c r="C37" s="14">
        <v>0.05</v>
      </c>
      <c r="D37" s="14">
        <v>0.01</v>
      </c>
      <c r="E37" s="14">
        <v>0.06</v>
      </c>
      <c r="F37" s="14">
        <v>0.06</v>
      </c>
      <c r="G37" s="14">
        <v>0.03</v>
      </c>
      <c r="H37" s="14">
        <v>0.04</v>
      </c>
      <c r="I37" s="14">
        <v>0.03</v>
      </c>
      <c r="J37" s="14">
        <v>0.03</v>
      </c>
      <c r="K37" s="14">
        <v>0.05</v>
      </c>
      <c r="L37" s="14">
        <v>0.03</v>
      </c>
      <c r="M37" s="14">
        <v>0.03</v>
      </c>
      <c r="N37" s="14">
        <v>0.06</v>
      </c>
      <c r="O37" s="14">
        <v>0.09</v>
      </c>
      <c r="P37" s="14">
        <v>0.02</v>
      </c>
      <c r="Q37" s="14">
        <v>0.05</v>
      </c>
      <c r="R37" s="14">
        <v>0.06</v>
      </c>
      <c r="S37" s="14">
        <v>0.08</v>
      </c>
      <c r="T37" s="14">
        <v>0.06</v>
      </c>
      <c r="U37" s="14">
        <v>0.01</v>
      </c>
      <c r="V37" s="14">
        <v>0.04</v>
      </c>
      <c r="W37" s="14">
        <v>0.02</v>
      </c>
      <c r="X37" s="14">
        <v>0.01</v>
      </c>
      <c r="Y37" s="14">
        <v>0.03</v>
      </c>
      <c r="Z37" s="14">
        <v>0.04</v>
      </c>
      <c r="AA37" s="14">
        <v>0.1</v>
      </c>
      <c r="AB37" s="14">
        <v>0.04</v>
      </c>
      <c r="AC37" s="14">
        <v>0.02</v>
      </c>
      <c r="AD37" s="14">
        <v>0.03</v>
      </c>
      <c r="AE37" s="14">
        <v>0.04</v>
      </c>
      <c r="AF37" s="14">
        <v>0.02</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113</v>
      </c>
      <c r="C3" s="18"/>
      <c r="D3" s="18"/>
      <c r="E3" s="18"/>
      <c r="F3" s="18"/>
      <c r="H3" s="18" t="s">
        <v>114</v>
      </c>
      <c r="I3" s="18"/>
      <c r="J3" s="18"/>
      <c r="K3" s="18"/>
      <c r="L3" s="18"/>
    </row>
    <row r="4" spans="1:32" ht="27" customHeight="1">
      <c r="B4" s="18"/>
      <c r="C4" s="18"/>
      <c r="D4" s="18"/>
      <c r="E4" s="18"/>
      <c r="F4" s="18"/>
      <c r="H4" s="18"/>
      <c r="I4" s="18"/>
      <c r="J4" s="18"/>
      <c r="K4" s="18"/>
      <c r="L4" s="18"/>
    </row>
    <row r="5" spans="1:32" ht="12" customHeight="1">
      <c r="B5" s="18" t="s">
        <v>841</v>
      </c>
      <c r="C5" s="18"/>
      <c r="D5" s="18"/>
      <c r="E5" s="18"/>
      <c r="F5" s="18"/>
      <c r="H5" s="18" t="s">
        <v>842</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23803</v>
      </c>
      <c r="D10" s="10">
        <v>977</v>
      </c>
      <c r="E10" s="10">
        <v>898</v>
      </c>
      <c r="F10" s="10">
        <v>884</v>
      </c>
      <c r="G10" s="10">
        <v>969</v>
      </c>
      <c r="H10" s="10">
        <v>1107</v>
      </c>
      <c r="I10" s="10">
        <v>1370</v>
      </c>
      <c r="J10" s="10">
        <v>263</v>
      </c>
      <c r="K10" s="10">
        <v>896</v>
      </c>
      <c r="L10" s="10">
        <v>942</v>
      </c>
      <c r="M10" s="10">
        <v>904</v>
      </c>
      <c r="N10" s="10">
        <v>888</v>
      </c>
      <c r="O10" s="10">
        <v>857</v>
      </c>
      <c r="P10" s="10">
        <v>974</v>
      </c>
      <c r="Q10" s="10">
        <v>916</v>
      </c>
      <c r="R10" s="10">
        <v>431</v>
      </c>
      <c r="S10" s="10">
        <v>855</v>
      </c>
      <c r="T10" s="10">
        <v>904</v>
      </c>
      <c r="U10" s="10">
        <v>483</v>
      </c>
      <c r="V10" s="10">
        <v>937</v>
      </c>
      <c r="W10" s="10">
        <v>495</v>
      </c>
      <c r="X10" s="10">
        <v>1001</v>
      </c>
      <c r="Y10" s="10">
        <v>836</v>
      </c>
      <c r="Z10" s="10">
        <v>950</v>
      </c>
      <c r="AA10" s="10">
        <v>908</v>
      </c>
      <c r="AB10" s="10">
        <v>972</v>
      </c>
      <c r="AC10" s="10">
        <v>940</v>
      </c>
      <c r="AD10" s="10">
        <v>936</v>
      </c>
      <c r="AE10" s="10">
        <v>944</v>
      </c>
      <c r="AF10" s="10">
        <v>993</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823</v>
      </c>
      <c r="C12" s="12">
        <v>6520</v>
      </c>
      <c r="D12" s="12">
        <v>200</v>
      </c>
      <c r="E12" s="12">
        <v>262</v>
      </c>
      <c r="F12" s="12">
        <v>228</v>
      </c>
      <c r="G12" s="12">
        <v>304</v>
      </c>
      <c r="H12" s="12">
        <v>321</v>
      </c>
      <c r="I12" s="12">
        <v>398</v>
      </c>
      <c r="J12" s="12">
        <v>77</v>
      </c>
      <c r="K12" s="12">
        <v>246</v>
      </c>
      <c r="L12" s="12">
        <v>294</v>
      </c>
      <c r="M12" s="12">
        <v>319</v>
      </c>
      <c r="N12" s="12">
        <v>249</v>
      </c>
      <c r="O12" s="12">
        <v>222</v>
      </c>
      <c r="P12" s="12">
        <v>357</v>
      </c>
      <c r="Q12" s="12">
        <v>244</v>
      </c>
      <c r="R12" s="12">
        <v>133</v>
      </c>
      <c r="S12" s="12">
        <v>170</v>
      </c>
      <c r="T12" s="12">
        <v>301</v>
      </c>
      <c r="U12" s="12">
        <v>114</v>
      </c>
      <c r="V12" s="12">
        <v>310</v>
      </c>
      <c r="W12" s="12">
        <v>136</v>
      </c>
      <c r="X12" s="12">
        <v>271</v>
      </c>
      <c r="Y12" s="12">
        <v>271</v>
      </c>
      <c r="Z12" s="12">
        <v>219</v>
      </c>
      <c r="AA12" s="12">
        <v>246</v>
      </c>
      <c r="AB12" s="12">
        <v>222</v>
      </c>
      <c r="AC12" s="12">
        <v>260</v>
      </c>
      <c r="AD12" s="12">
        <v>280</v>
      </c>
      <c r="AE12" s="12">
        <v>259</v>
      </c>
      <c r="AF12" s="12">
        <v>309</v>
      </c>
    </row>
    <row r="13" spans="1:32">
      <c r="A13" s="20"/>
      <c r="B13" s="13" t="s">
        <v>824</v>
      </c>
      <c r="C13" s="14">
        <v>0.35</v>
      </c>
      <c r="D13" s="14">
        <v>0.27</v>
      </c>
      <c r="E13" s="14">
        <v>0.35</v>
      </c>
      <c r="F13" s="14">
        <v>0.31</v>
      </c>
      <c r="G13" s="14">
        <v>0.43</v>
      </c>
      <c r="H13" s="14">
        <v>0.41</v>
      </c>
      <c r="I13" s="14">
        <v>0.41</v>
      </c>
      <c r="J13" s="14">
        <v>0.4</v>
      </c>
      <c r="K13" s="14">
        <v>0.36</v>
      </c>
      <c r="L13" s="14">
        <v>0.4</v>
      </c>
      <c r="M13" s="14">
        <v>0.42</v>
      </c>
      <c r="N13" s="14">
        <v>0.37</v>
      </c>
      <c r="O13" s="14">
        <v>0.33</v>
      </c>
      <c r="P13" s="14">
        <v>0.45</v>
      </c>
      <c r="Q13" s="14">
        <v>0.32</v>
      </c>
      <c r="R13" s="14">
        <v>0.35</v>
      </c>
      <c r="S13" s="14">
        <v>0.25</v>
      </c>
      <c r="T13" s="14">
        <v>0.44</v>
      </c>
      <c r="U13" s="14">
        <v>0.32</v>
      </c>
      <c r="V13" s="14">
        <v>0.41</v>
      </c>
      <c r="W13" s="14">
        <v>0.38</v>
      </c>
      <c r="X13" s="14">
        <v>0.44</v>
      </c>
      <c r="Y13" s="14">
        <v>0.44</v>
      </c>
      <c r="Z13" s="14">
        <v>0.28000000000000003</v>
      </c>
      <c r="AA13" s="14">
        <v>0.35</v>
      </c>
      <c r="AB13" s="14">
        <v>0.26</v>
      </c>
      <c r="AC13" s="14">
        <v>0.41</v>
      </c>
      <c r="AD13" s="14">
        <v>0.36</v>
      </c>
      <c r="AE13" s="14">
        <v>0.42</v>
      </c>
      <c r="AF13" s="14">
        <v>0.43</v>
      </c>
    </row>
    <row r="14" spans="1:32">
      <c r="A14" s="20"/>
      <c r="B14" s="11" t="s">
        <v>825</v>
      </c>
      <c r="C14" s="12">
        <v>4604</v>
      </c>
      <c r="D14" s="12">
        <v>177</v>
      </c>
      <c r="E14" s="12">
        <v>196</v>
      </c>
      <c r="F14" s="12">
        <v>158</v>
      </c>
      <c r="G14" s="12">
        <v>278</v>
      </c>
      <c r="H14" s="12">
        <v>267</v>
      </c>
      <c r="I14" s="12">
        <v>315</v>
      </c>
      <c r="J14" s="12">
        <v>47</v>
      </c>
      <c r="K14" s="12">
        <v>135</v>
      </c>
      <c r="L14" s="12">
        <v>178</v>
      </c>
      <c r="M14" s="12">
        <v>165</v>
      </c>
      <c r="N14" s="12">
        <v>154</v>
      </c>
      <c r="O14" s="12">
        <v>112</v>
      </c>
      <c r="P14" s="12">
        <v>185</v>
      </c>
      <c r="Q14" s="12">
        <v>199</v>
      </c>
      <c r="R14" s="12">
        <v>98</v>
      </c>
      <c r="S14" s="12">
        <v>87</v>
      </c>
      <c r="T14" s="12">
        <v>167</v>
      </c>
      <c r="U14" s="12">
        <v>108</v>
      </c>
      <c r="V14" s="12">
        <v>188</v>
      </c>
      <c r="W14" s="12">
        <v>114</v>
      </c>
      <c r="X14" s="12">
        <v>195</v>
      </c>
      <c r="Y14" s="12">
        <v>187</v>
      </c>
      <c r="Z14" s="12">
        <v>178</v>
      </c>
      <c r="AA14" s="12">
        <v>144</v>
      </c>
      <c r="AB14" s="12">
        <v>196</v>
      </c>
      <c r="AC14" s="12">
        <v>107</v>
      </c>
      <c r="AD14" s="12">
        <v>167</v>
      </c>
      <c r="AE14" s="12">
        <v>169</v>
      </c>
      <c r="AF14" s="12">
        <v>261</v>
      </c>
    </row>
    <row r="15" spans="1:32">
      <c r="A15" s="20"/>
      <c r="B15" s="13" t="s">
        <v>826</v>
      </c>
      <c r="C15" s="14">
        <v>0.21</v>
      </c>
      <c r="D15" s="14">
        <v>0.2</v>
      </c>
      <c r="E15" s="14">
        <v>0.24</v>
      </c>
      <c r="F15" s="14">
        <v>0.19</v>
      </c>
      <c r="G15" s="14">
        <v>0.32</v>
      </c>
      <c r="H15" s="14">
        <v>0.27</v>
      </c>
      <c r="I15" s="14">
        <v>0.25</v>
      </c>
      <c r="J15" s="14">
        <v>0.2</v>
      </c>
      <c r="K15" s="14">
        <v>0.16</v>
      </c>
      <c r="L15" s="14">
        <v>0.2</v>
      </c>
      <c r="M15" s="14">
        <v>0.2</v>
      </c>
      <c r="N15" s="14">
        <v>0.19</v>
      </c>
      <c r="O15" s="14">
        <v>0.14000000000000001</v>
      </c>
      <c r="P15" s="14">
        <v>0.2</v>
      </c>
      <c r="Q15" s="14">
        <v>0.25</v>
      </c>
      <c r="R15" s="14">
        <v>0.26</v>
      </c>
      <c r="S15" s="14">
        <v>0.11</v>
      </c>
      <c r="T15" s="14">
        <v>0.2</v>
      </c>
      <c r="U15" s="14">
        <v>0.24</v>
      </c>
      <c r="V15" s="14">
        <v>0.22</v>
      </c>
      <c r="W15" s="14">
        <v>0.25</v>
      </c>
      <c r="X15" s="14">
        <v>0.21</v>
      </c>
      <c r="Y15" s="14">
        <v>0.24</v>
      </c>
      <c r="Z15" s="14">
        <v>0.21</v>
      </c>
      <c r="AA15" s="14">
        <v>0.17</v>
      </c>
      <c r="AB15" s="14">
        <v>0.22</v>
      </c>
      <c r="AC15" s="14">
        <v>0.12</v>
      </c>
      <c r="AD15" s="14">
        <v>0.19</v>
      </c>
      <c r="AE15" s="14">
        <v>0.19</v>
      </c>
      <c r="AF15" s="14">
        <v>0.3</v>
      </c>
    </row>
    <row r="16" spans="1:32" ht="24.95">
      <c r="A16" s="20"/>
      <c r="B16" s="11" t="s">
        <v>827</v>
      </c>
      <c r="C16" s="12">
        <v>5973</v>
      </c>
      <c r="D16" s="12">
        <v>220</v>
      </c>
      <c r="E16" s="12">
        <v>239</v>
      </c>
      <c r="F16" s="12">
        <v>201</v>
      </c>
      <c r="G16" s="12">
        <v>353</v>
      </c>
      <c r="H16" s="12">
        <v>322</v>
      </c>
      <c r="I16" s="12">
        <v>404</v>
      </c>
      <c r="J16" s="12">
        <v>82</v>
      </c>
      <c r="K16" s="12">
        <v>190</v>
      </c>
      <c r="L16" s="12">
        <v>278</v>
      </c>
      <c r="M16" s="12">
        <v>277</v>
      </c>
      <c r="N16" s="12">
        <v>203</v>
      </c>
      <c r="O16" s="12">
        <v>193</v>
      </c>
      <c r="P16" s="12">
        <v>251</v>
      </c>
      <c r="Q16" s="12">
        <v>235</v>
      </c>
      <c r="R16" s="12">
        <v>70</v>
      </c>
      <c r="S16" s="12">
        <v>121</v>
      </c>
      <c r="T16" s="12">
        <v>248</v>
      </c>
      <c r="U16" s="12">
        <v>142</v>
      </c>
      <c r="V16" s="12">
        <v>243</v>
      </c>
      <c r="W16" s="12">
        <v>110</v>
      </c>
      <c r="X16" s="12">
        <v>274</v>
      </c>
      <c r="Y16" s="12">
        <v>271</v>
      </c>
      <c r="Z16" s="12">
        <v>145</v>
      </c>
      <c r="AA16" s="12">
        <v>274</v>
      </c>
      <c r="AB16" s="12">
        <v>210</v>
      </c>
      <c r="AC16" s="12">
        <v>154</v>
      </c>
      <c r="AD16" s="12">
        <v>232</v>
      </c>
      <c r="AE16" s="12">
        <v>252</v>
      </c>
      <c r="AF16" s="12">
        <v>304</v>
      </c>
    </row>
    <row r="17" spans="1:32">
      <c r="A17" s="20"/>
      <c r="B17" s="13" t="s">
        <v>828</v>
      </c>
      <c r="C17" s="14">
        <v>0.3</v>
      </c>
      <c r="D17" s="14">
        <v>0.26</v>
      </c>
      <c r="E17" s="14">
        <v>0.32</v>
      </c>
      <c r="F17" s="14">
        <v>0.27</v>
      </c>
      <c r="G17" s="14">
        <v>0.46</v>
      </c>
      <c r="H17" s="14">
        <v>0.36</v>
      </c>
      <c r="I17" s="14">
        <v>0.36</v>
      </c>
      <c r="J17" s="14">
        <v>0.37</v>
      </c>
      <c r="K17" s="14">
        <v>0.24</v>
      </c>
      <c r="L17" s="14">
        <v>0.36</v>
      </c>
      <c r="M17" s="14">
        <v>0.39</v>
      </c>
      <c r="N17" s="14">
        <v>0.27</v>
      </c>
      <c r="O17" s="14">
        <v>0.28000000000000003</v>
      </c>
      <c r="P17" s="14">
        <v>0.28999999999999998</v>
      </c>
      <c r="Q17" s="14">
        <v>0.31</v>
      </c>
      <c r="R17" s="14">
        <v>0.18</v>
      </c>
      <c r="S17" s="14">
        <v>0.16</v>
      </c>
      <c r="T17" s="14">
        <v>0.31</v>
      </c>
      <c r="U17" s="14">
        <v>0.34</v>
      </c>
      <c r="V17" s="14">
        <v>0.3</v>
      </c>
      <c r="W17" s="14">
        <v>0.24</v>
      </c>
      <c r="X17" s="14">
        <v>0.32</v>
      </c>
      <c r="Y17" s="14">
        <v>0.39</v>
      </c>
      <c r="Z17" s="14">
        <v>0.17</v>
      </c>
      <c r="AA17" s="14">
        <v>0.36</v>
      </c>
      <c r="AB17" s="14">
        <v>0.24</v>
      </c>
      <c r="AC17" s="14">
        <v>0.18</v>
      </c>
      <c r="AD17" s="14">
        <v>0.28000000000000003</v>
      </c>
      <c r="AE17" s="14">
        <v>0.31</v>
      </c>
      <c r="AF17" s="14">
        <v>0.38</v>
      </c>
    </row>
    <row r="18" spans="1:32">
      <c r="A18" s="20"/>
      <c r="B18" s="11" t="s">
        <v>829</v>
      </c>
      <c r="C18" s="12">
        <v>6183</v>
      </c>
      <c r="D18" s="12">
        <v>203</v>
      </c>
      <c r="E18" s="12">
        <v>198</v>
      </c>
      <c r="F18" s="12">
        <v>239</v>
      </c>
      <c r="G18" s="12">
        <v>361</v>
      </c>
      <c r="H18" s="12">
        <v>309</v>
      </c>
      <c r="I18" s="12">
        <v>377</v>
      </c>
      <c r="J18" s="12">
        <v>68</v>
      </c>
      <c r="K18" s="12">
        <v>235</v>
      </c>
      <c r="L18" s="12">
        <v>191</v>
      </c>
      <c r="M18" s="12">
        <v>307</v>
      </c>
      <c r="N18" s="12">
        <v>188</v>
      </c>
      <c r="O18" s="12">
        <v>203</v>
      </c>
      <c r="P18" s="12">
        <v>275</v>
      </c>
      <c r="Q18" s="12">
        <v>252</v>
      </c>
      <c r="R18" s="12">
        <v>115</v>
      </c>
      <c r="S18" s="12">
        <v>168</v>
      </c>
      <c r="T18" s="12">
        <v>247</v>
      </c>
      <c r="U18" s="12">
        <v>105</v>
      </c>
      <c r="V18" s="12">
        <v>240</v>
      </c>
      <c r="W18" s="12">
        <v>100</v>
      </c>
      <c r="X18" s="12">
        <v>283</v>
      </c>
      <c r="Y18" s="12">
        <v>249</v>
      </c>
      <c r="Z18" s="12">
        <v>238</v>
      </c>
      <c r="AA18" s="12">
        <v>194</v>
      </c>
      <c r="AB18" s="12">
        <v>257</v>
      </c>
      <c r="AC18" s="12">
        <v>182</v>
      </c>
      <c r="AD18" s="12">
        <v>301</v>
      </c>
      <c r="AE18" s="12">
        <v>262</v>
      </c>
      <c r="AF18" s="12">
        <v>326</v>
      </c>
    </row>
    <row r="19" spans="1:32">
      <c r="A19" s="20"/>
      <c r="B19" s="13" t="s">
        <v>830</v>
      </c>
      <c r="C19" s="14">
        <v>0.3</v>
      </c>
      <c r="D19" s="14">
        <v>0.24</v>
      </c>
      <c r="E19" s="14">
        <v>0.25</v>
      </c>
      <c r="F19" s="14">
        <v>0.33</v>
      </c>
      <c r="G19" s="14">
        <v>0.45</v>
      </c>
      <c r="H19" s="14">
        <v>0.32</v>
      </c>
      <c r="I19" s="14">
        <v>0.31</v>
      </c>
      <c r="J19" s="14">
        <v>0.3</v>
      </c>
      <c r="K19" s="14">
        <v>0.32</v>
      </c>
      <c r="L19" s="14">
        <v>0.21</v>
      </c>
      <c r="M19" s="14">
        <v>0.42</v>
      </c>
      <c r="N19" s="14">
        <v>0.24</v>
      </c>
      <c r="O19" s="14">
        <v>0.27</v>
      </c>
      <c r="P19" s="14">
        <v>0.31</v>
      </c>
      <c r="Q19" s="14">
        <v>0.31</v>
      </c>
      <c r="R19" s="14">
        <v>0.31</v>
      </c>
      <c r="S19" s="14">
        <v>0.25</v>
      </c>
      <c r="T19" s="14">
        <v>0.37</v>
      </c>
      <c r="U19" s="14">
        <v>0.25</v>
      </c>
      <c r="V19" s="14">
        <v>0.28000000000000003</v>
      </c>
      <c r="W19" s="14">
        <v>0.22</v>
      </c>
      <c r="X19" s="14">
        <v>0.32</v>
      </c>
      <c r="Y19" s="14">
        <v>0.33</v>
      </c>
      <c r="Z19" s="14">
        <v>0.3</v>
      </c>
      <c r="AA19" s="14">
        <v>0.25</v>
      </c>
      <c r="AB19" s="14">
        <v>0.31</v>
      </c>
      <c r="AC19" s="14">
        <v>0.22</v>
      </c>
      <c r="AD19" s="14">
        <v>0.38</v>
      </c>
      <c r="AE19" s="14">
        <v>0.32</v>
      </c>
      <c r="AF19" s="14">
        <v>0.37</v>
      </c>
    </row>
    <row r="20" spans="1:32" ht="24.95">
      <c r="A20" s="20"/>
      <c r="B20" s="11" t="s">
        <v>831</v>
      </c>
      <c r="C20" s="12">
        <v>4464</v>
      </c>
      <c r="D20" s="12">
        <v>183</v>
      </c>
      <c r="E20" s="12">
        <v>201</v>
      </c>
      <c r="F20" s="12">
        <v>206</v>
      </c>
      <c r="G20" s="12">
        <v>286</v>
      </c>
      <c r="H20" s="12">
        <v>190</v>
      </c>
      <c r="I20" s="12">
        <v>238</v>
      </c>
      <c r="J20" s="12">
        <v>48</v>
      </c>
      <c r="K20" s="12">
        <v>114</v>
      </c>
      <c r="L20" s="12">
        <v>164</v>
      </c>
      <c r="M20" s="12">
        <v>163</v>
      </c>
      <c r="N20" s="12">
        <v>133</v>
      </c>
      <c r="O20" s="12">
        <v>165</v>
      </c>
      <c r="P20" s="12">
        <v>256</v>
      </c>
      <c r="Q20" s="12">
        <v>184</v>
      </c>
      <c r="R20" s="12">
        <v>50</v>
      </c>
      <c r="S20" s="12">
        <v>81</v>
      </c>
      <c r="T20" s="12">
        <v>137</v>
      </c>
      <c r="U20" s="12">
        <v>71</v>
      </c>
      <c r="V20" s="12">
        <v>192</v>
      </c>
      <c r="W20" s="12">
        <v>91</v>
      </c>
      <c r="X20" s="12">
        <v>216</v>
      </c>
      <c r="Y20" s="12">
        <v>206</v>
      </c>
      <c r="Z20" s="12">
        <v>129</v>
      </c>
      <c r="AA20" s="12">
        <v>203</v>
      </c>
      <c r="AB20" s="12">
        <v>189</v>
      </c>
      <c r="AC20" s="12">
        <v>124</v>
      </c>
      <c r="AD20" s="12">
        <v>181</v>
      </c>
      <c r="AE20" s="12">
        <v>173</v>
      </c>
      <c r="AF20" s="12">
        <v>286</v>
      </c>
    </row>
    <row r="21" spans="1:32">
      <c r="A21" s="20"/>
      <c r="B21" s="13" t="s">
        <v>832</v>
      </c>
      <c r="C21" s="14">
        <v>0.2</v>
      </c>
      <c r="D21" s="14">
        <v>0.2</v>
      </c>
      <c r="E21" s="14">
        <v>0.24</v>
      </c>
      <c r="F21" s="14">
        <v>0.25</v>
      </c>
      <c r="G21" s="14">
        <v>0.3</v>
      </c>
      <c r="H21" s="14">
        <v>0.18</v>
      </c>
      <c r="I21" s="14">
        <v>0.18</v>
      </c>
      <c r="J21" s="14">
        <v>0.19</v>
      </c>
      <c r="K21" s="14">
        <v>0.13</v>
      </c>
      <c r="L21" s="14">
        <v>0.18</v>
      </c>
      <c r="M21" s="14">
        <v>0.19</v>
      </c>
      <c r="N21" s="14">
        <v>0.16</v>
      </c>
      <c r="O21" s="14">
        <v>0.21</v>
      </c>
      <c r="P21" s="14">
        <v>0.28000000000000003</v>
      </c>
      <c r="Q21" s="14">
        <v>0.21</v>
      </c>
      <c r="R21" s="14">
        <v>0.12</v>
      </c>
      <c r="S21" s="14">
        <v>0.1</v>
      </c>
      <c r="T21" s="14">
        <v>0.16</v>
      </c>
      <c r="U21" s="14">
        <v>0.16</v>
      </c>
      <c r="V21" s="14">
        <v>0.22</v>
      </c>
      <c r="W21" s="14">
        <v>0.2</v>
      </c>
      <c r="X21" s="14">
        <v>0.22</v>
      </c>
      <c r="Y21" s="14">
        <v>0.27</v>
      </c>
      <c r="Z21" s="14">
        <v>0.15</v>
      </c>
      <c r="AA21" s="14">
        <v>0.24</v>
      </c>
      <c r="AB21" s="14">
        <v>0.21</v>
      </c>
      <c r="AC21" s="14">
        <v>0.14000000000000001</v>
      </c>
      <c r="AD21" s="14">
        <v>0.21</v>
      </c>
      <c r="AE21" s="14">
        <v>0.19</v>
      </c>
      <c r="AF21" s="14">
        <v>0.3</v>
      </c>
    </row>
    <row r="22" spans="1:32" ht="24.95">
      <c r="A22" s="20"/>
      <c r="B22" s="11" t="s">
        <v>833</v>
      </c>
      <c r="C22" s="12">
        <v>4597</v>
      </c>
      <c r="D22" s="12">
        <v>188</v>
      </c>
      <c r="E22" s="12">
        <v>157</v>
      </c>
      <c r="F22" s="12">
        <v>139</v>
      </c>
      <c r="G22" s="12">
        <v>352</v>
      </c>
      <c r="H22" s="12">
        <v>234</v>
      </c>
      <c r="I22" s="12">
        <v>286</v>
      </c>
      <c r="J22" s="12">
        <v>52</v>
      </c>
      <c r="K22" s="12">
        <v>110</v>
      </c>
      <c r="L22" s="12">
        <v>201</v>
      </c>
      <c r="M22" s="12">
        <v>194</v>
      </c>
      <c r="N22" s="12">
        <v>98</v>
      </c>
      <c r="O22" s="12">
        <v>136</v>
      </c>
      <c r="P22" s="12">
        <v>289</v>
      </c>
      <c r="Q22" s="12">
        <v>186</v>
      </c>
      <c r="R22" s="12">
        <v>83</v>
      </c>
      <c r="S22" s="12">
        <v>83</v>
      </c>
      <c r="T22" s="12">
        <v>116</v>
      </c>
      <c r="U22" s="12">
        <v>73</v>
      </c>
      <c r="V22" s="12">
        <v>255</v>
      </c>
      <c r="W22" s="12">
        <v>79</v>
      </c>
      <c r="X22" s="12">
        <v>265</v>
      </c>
      <c r="Y22" s="12">
        <v>231</v>
      </c>
      <c r="Z22" s="12">
        <v>157</v>
      </c>
      <c r="AA22" s="12">
        <v>120</v>
      </c>
      <c r="AB22" s="12">
        <v>183</v>
      </c>
      <c r="AC22" s="12">
        <v>119</v>
      </c>
      <c r="AD22" s="12">
        <v>229</v>
      </c>
      <c r="AE22" s="12">
        <v>243</v>
      </c>
      <c r="AF22" s="12">
        <v>358</v>
      </c>
    </row>
    <row r="23" spans="1:32" ht="24.95">
      <c r="A23" s="20"/>
      <c r="B23" s="13" t="s">
        <v>834</v>
      </c>
      <c r="C23" s="14">
        <v>0.2</v>
      </c>
      <c r="D23" s="14">
        <v>0.2</v>
      </c>
      <c r="E23" s="14">
        <v>0.18</v>
      </c>
      <c r="F23" s="14">
        <v>0.17</v>
      </c>
      <c r="G23" s="14">
        <v>0.4</v>
      </c>
      <c r="H23" s="14">
        <v>0.22</v>
      </c>
      <c r="I23" s="14">
        <v>0.22</v>
      </c>
      <c r="J23" s="14">
        <v>0.21</v>
      </c>
      <c r="K23" s="14">
        <v>0.13</v>
      </c>
      <c r="L23" s="14">
        <v>0.23</v>
      </c>
      <c r="M23" s="14">
        <v>0.22</v>
      </c>
      <c r="N23" s="14">
        <v>0.12</v>
      </c>
      <c r="O23" s="14">
        <v>0.17</v>
      </c>
      <c r="P23" s="14">
        <v>0.32</v>
      </c>
      <c r="Q23" s="14">
        <v>0.21</v>
      </c>
      <c r="R23" s="14">
        <v>0.2</v>
      </c>
      <c r="S23" s="14">
        <v>0.1</v>
      </c>
      <c r="T23" s="14">
        <v>0.13</v>
      </c>
      <c r="U23" s="14">
        <v>0.16</v>
      </c>
      <c r="V23" s="14">
        <v>0.28999999999999998</v>
      </c>
      <c r="W23" s="14">
        <v>0.17</v>
      </c>
      <c r="X23" s="14">
        <v>0.27</v>
      </c>
      <c r="Y23" s="14">
        <v>0.28999999999999998</v>
      </c>
      <c r="Z23" s="14">
        <v>0.17</v>
      </c>
      <c r="AA23" s="14">
        <v>0.14000000000000001</v>
      </c>
      <c r="AB23" s="14">
        <v>0.2</v>
      </c>
      <c r="AC23" s="14">
        <v>0.13</v>
      </c>
      <c r="AD23" s="14">
        <v>0.26</v>
      </c>
      <c r="AE23" s="14">
        <v>0.27</v>
      </c>
      <c r="AF23" s="14">
        <v>0.38</v>
      </c>
    </row>
    <row r="24" spans="1:32">
      <c r="A24" s="20"/>
      <c r="B24" s="11" t="s">
        <v>835</v>
      </c>
      <c r="C24" s="12">
        <v>5961</v>
      </c>
      <c r="D24" s="12">
        <v>179</v>
      </c>
      <c r="E24" s="12">
        <v>246</v>
      </c>
      <c r="F24" s="12">
        <v>222</v>
      </c>
      <c r="G24" s="12">
        <v>210</v>
      </c>
      <c r="H24" s="12">
        <v>343</v>
      </c>
      <c r="I24" s="12">
        <v>416</v>
      </c>
      <c r="J24" s="12">
        <v>73</v>
      </c>
      <c r="K24" s="12">
        <v>237</v>
      </c>
      <c r="L24" s="12">
        <v>324</v>
      </c>
      <c r="M24" s="12">
        <v>270</v>
      </c>
      <c r="N24" s="12">
        <v>177</v>
      </c>
      <c r="O24" s="12">
        <v>142</v>
      </c>
      <c r="P24" s="12">
        <v>341</v>
      </c>
      <c r="Q24" s="12">
        <v>194</v>
      </c>
      <c r="R24" s="12">
        <v>108</v>
      </c>
      <c r="S24" s="12">
        <v>160</v>
      </c>
      <c r="T24" s="12">
        <v>283</v>
      </c>
      <c r="U24" s="12">
        <v>104</v>
      </c>
      <c r="V24" s="12">
        <v>301</v>
      </c>
      <c r="W24" s="12">
        <v>169</v>
      </c>
      <c r="X24" s="12">
        <v>335</v>
      </c>
      <c r="Y24" s="12">
        <v>306</v>
      </c>
      <c r="Z24" s="12">
        <v>236</v>
      </c>
      <c r="AA24" s="12">
        <v>259</v>
      </c>
      <c r="AB24" s="12">
        <v>278</v>
      </c>
      <c r="AC24" s="12">
        <v>312</v>
      </c>
      <c r="AD24" s="12">
        <v>305</v>
      </c>
      <c r="AE24" s="12">
        <v>214</v>
      </c>
      <c r="AF24" s="12">
        <v>270</v>
      </c>
    </row>
    <row r="25" spans="1:32">
      <c r="A25" s="20"/>
      <c r="B25" s="13" t="s">
        <v>836</v>
      </c>
      <c r="C25" s="14">
        <v>0.28000000000000003</v>
      </c>
      <c r="D25" s="14">
        <v>0.2</v>
      </c>
      <c r="E25" s="14">
        <v>0.34</v>
      </c>
      <c r="F25" s="14">
        <v>0.3</v>
      </c>
      <c r="G25" s="14">
        <v>0.23</v>
      </c>
      <c r="H25" s="14">
        <v>0.35</v>
      </c>
      <c r="I25" s="14">
        <v>0.34</v>
      </c>
      <c r="J25" s="14">
        <v>0.3</v>
      </c>
      <c r="K25" s="14">
        <v>0.3</v>
      </c>
      <c r="L25" s="14">
        <v>0.44</v>
      </c>
      <c r="M25" s="14">
        <v>0.34</v>
      </c>
      <c r="N25" s="14">
        <v>0.21</v>
      </c>
      <c r="O25" s="14">
        <v>0.17</v>
      </c>
      <c r="P25" s="14">
        <v>0.49</v>
      </c>
      <c r="Q25" s="14">
        <v>0.24</v>
      </c>
      <c r="R25" s="14">
        <v>0.3</v>
      </c>
      <c r="S25" s="14">
        <v>0.21</v>
      </c>
      <c r="T25" s="14">
        <v>0.37</v>
      </c>
      <c r="U25" s="14">
        <v>0.24</v>
      </c>
      <c r="V25" s="14">
        <v>0.39</v>
      </c>
      <c r="W25" s="14">
        <v>0.4</v>
      </c>
      <c r="X25" s="14">
        <v>0.39</v>
      </c>
      <c r="Y25" s="14">
        <v>0.4</v>
      </c>
      <c r="Z25" s="14">
        <v>0.31</v>
      </c>
      <c r="AA25" s="14">
        <v>0.32</v>
      </c>
      <c r="AB25" s="14">
        <v>0.34</v>
      </c>
      <c r="AC25" s="14">
        <v>0.41</v>
      </c>
      <c r="AD25" s="14">
        <v>0.41</v>
      </c>
      <c r="AE25" s="14">
        <v>0.25</v>
      </c>
      <c r="AF25" s="14">
        <v>0.3</v>
      </c>
    </row>
    <row r="26" spans="1:32">
      <c r="A26" s="20"/>
      <c r="B26" s="11" t="s">
        <v>837</v>
      </c>
      <c r="C26" s="12">
        <v>4083</v>
      </c>
      <c r="D26" s="12">
        <v>165</v>
      </c>
      <c r="E26" s="12">
        <v>198</v>
      </c>
      <c r="F26" s="12">
        <v>170</v>
      </c>
      <c r="G26" s="12">
        <v>201</v>
      </c>
      <c r="H26" s="12">
        <v>169</v>
      </c>
      <c r="I26" s="12">
        <v>205</v>
      </c>
      <c r="J26" s="12">
        <v>36</v>
      </c>
      <c r="K26" s="12">
        <v>169</v>
      </c>
      <c r="L26" s="12">
        <v>169</v>
      </c>
      <c r="M26" s="12">
        <v>172</v>
      </c>
      <c r="N26" s="12">
        <v>152</v>
      </c>
      <c r="O26" s="12">
        <v>137</v>
      </c>
      <c r="P26" s="12">
        <v>194</v>
      </c>
      <c r="Q26" s="12">
        <v>194</v>
      </c>
      <c r="R26" s="12">
        <v>72</v>
      </c>
      <c r="S26" s="12">
        <v>92</v>
      </c>
      <c r="T26" s="12">
        <v>143</v>
      </c>
      <c r="U26" s="12">
        <v>79</v>
      </c>
      <c r="V26" s="12">
        <v>186</v>
      </c>
      <c r="W26" s="12">
        <v>98</v>
      </c>
      <c r="X26" s="12">
        <v>216</v>
      </c>
      <c r="Y26" s="12">
        <v>118</v>
      </c>
      <c r="Z26" s="12">
        <v>116</v>
      </c>
      <c r="AA26" s="12">
        <v>88</v>
      </c>
      <c r="AB26" s="12">
        <v>150</v>
      </c>
      <c r="AC26" s="12">
        <v>121</v>
      </c>
      <c r="AD26" s="12">
        <v>245</v>
      </c>
      <c r="AE26" s="12">
        <v>212</v>
      </c>
      <c r="AF26" s="12">
        <v>218</v>
      </c>
    </row>
    <row r="27" spans="1:32">
      <c r="A27" s="20"/>
      <c r="B27" s="13" t="s">
        <v>838</v>
      </c>
      <c r="C27" s="14">
        <v>0.19</v>
      </c>
      <c r="D27" s="14">
        <v>0.2</v>
      </c>
      <c r="E27" s="14">
        <v>0.25</v>
      </c>
      <c r="F27" s="14">
        <v>0.21</v>
      </c>
      <c r="G27" s="14">
        <v>0.21</v>
      </c>
      <c r="H27" s="14">
        <v>0.16</v>
      </c>
      <c r="I27" s="14">
        <v>0.16</v>
      </c>
      <c r="J27" s="14">
        <v>0.15</v>
      </c>
      <c r="K27" s="14">
        <v>0.21</v>
      </c>
      <c r="L27" s="14">
        <v>0.2</v>
      </c>
      <c r="M27" s="14">
        <v>0.2</v>
      </c>
      <c r="N27" s="14">
        <v>0.19</v>
      </c>
      <c r="O27" s="14">
        <v>0.19</v>
      </c>
      <c r="P27" s="14">
        <v>0.21</v>
      </c>
      <c r="Q27" s="14">
        <v>0.23</v>
      </c>
      <c r="R27" s="14">
        <v>0.18</v>
      </c>
      <c r="S27" s="14">
        <v>0.12</v>
      </c>
      <c r="T27" s="14">
        <v>0.17</v>
      </c>
      <c r="U27" s="14">
        <v>0.19</v>
      </c>
      <c r="V27" s="14">
        <v>0.21</v>
      </c>
      <c r="W27" s="14">
        <v>0.21</v>
      </c>
      <c r="X27" s="14">
        <v>0.23</v>
      </c>
      <c r="Y27" s="14">
        <v>0.15</v>
      </c>
      <c r="Z27" s="14">
        <v>0.13</v>
      </c>
      <c r="AA27" s="14">
        <v>0.11</v>
      </c>
      <c r="AB27" s="14">
        <v>0.17</v>
      </c>
      <c r="AC27" s="14">
        <v>0.14000000000000001</v>
      </c>
      <c r="AD27" s="14">
        <v>0.28000000000000003</v>
      </c>
      <c r="AE27" s="14">
        <v>0.26</v>
      </c>
      <c r="AF27" s="14">
        <v>0.24</v>
      </c>
    </row>
    <row r="28" spans="1:32">
      <c r="A28" s="20"/>
      <c r="B28" s="11" t="s">
        <v>839</v>
      </c>
      <c r="C28" s="12">
        <v>2742</v>
      </c>
      <c r="D28" s="12">
        <v>132</v>
      </c>
      <c r="E28" s="12">
        <v>134</v>
      </c>
      <c r="F28" s="12">
        <v>87</v>
      </c>
      <c r="G28" s="12">
        <v>112</v>
      </c>
      <c r="H28" s="12">
        <v>88</v>
      </c>
      <c r="I28" s="12">
        <v>107</v>
      </c>
      <c r="J28" s="12">
        <v>19</v>
      </c>
      <c r="K28" s="12">
        <v>88</v>
      </c>
      <c r="L28" s="12">
        <v>115</v>
      </c>
      <c r="M28" s="12">
        <v>111</v>
      </c>
      <c r="N28" s="12">
        <v>103</v>
      </c>
      <c r="O28" s="12">
        <v>106</v>
      </c>
      <c r="P28" s="12">
        <v>141</v>
      </c>
      <c r="Q28" s="12">
        <v>127</v>
      </c>
      <c r="R28" s="12">
        <v>130</v>
      </c>
      <c r="S28" s="12">
        <v>94</v>
      </c>
      <c r="T28" s="12">
        <v>97</v>
      </c>
      <c r="U28" s="12">
        <v>57</v>
      </c>
      <c r="V28" s="12">
        <v>125</v>
      </c>
      <c r="W28" s="12">
        <v>127</v>
      </c>
      <c r="X28" s="12">
        <v>88</v>
      </c>
      <c r="Y28" s="12">
        <v>110</v>
      </c>
      <c r="Z28" s="12">
        <v>99</v>
      </c>
      <c r="AA28" s="12">
        <v>92</v>
      </c>
      <c r="AB28" s="12">
        <v>196</v>
      </c>
      <c r="AC28" s="12">
        <v>72</v>
      </c>
      <c r="AD28" s="12">
        <v>166</v>
      </c>
      <c r="AE28" s="12">
        <v>44</v>
      </c>
      <c r="AF28" s="12">
        <v>80</v>
      </c>
    </row>
    <row r="29" spans="1:32">
      <c r="A29" s="20"/>
      <c r="B29" s="13" t="s">
        <v>840</v>
      </c>
      <c r="C29" s="14">
        <v>0.12</v>
      </c>
      <c r="D29" s="14">
        <v>0.14000000000000001</v>
      </c>
      <c r="E29" s="14">
        <v>0.15</v>
      </c>
      <c r="F29" s="14">
        <v>0.1</v>
      </c>
      <c r="G29" s="14">
        <v>0.12</v>
      </c>
      <c r="H29" s="14">
        <v>0.08</v>
      </c>
      <c r="I29" s="14">
        <v>0.08</v>
      </c>
      <c r="J29" s="14">
        <v>7.0000000000000007E-2</v>
      </c>
      <c r="K29" s="14">
        <v>0.1</v>
      </c>
      <c r="L29" s="14">
        <v>0.13</v>
      </c>
      <c r="M29" s="14">
        <v>0.13</v>
      </c>
      <c r="N29" s="14">
        <v>0.12</v>
      </c>
      <c r="O29" s="14">
        <v>0.13</v>
      </c>
      <c r="P29" s="14">
        <v>0.15</v>
      </c>
      <c r="Q29" s="14">
        <v>0.15</v>
      </c>
      <c r="R29" s="14">
        <v>0.35</v>
      </c>
      <c r="S29" s="14">
        <v>0.11</v>
      </c>
      <c r="T29" s="14">
        <v>0.11</v>
      </c>
      <c r="U29" s="14">
        <v>0.12</v>
      </c>
      <c r="V29" s="14">
        <v>0.14000000000000001</v>
      </c>
      <c r="W29" s="14">
        <v>0.28000000000000003</v>
      </c>
      <c r="X29" s="14">
        <v>0.09</v>
      </c>
      <c r="Y29" s="14">
        <v>0.13</v>
      </c>
      <c r="Z29" s="14">
        <v>0.11</v>
      </c>
      <c r="AA29" s="14">
        <v>0.11</v>
      </c>
      <c r="AB29" s="14">
        <v>0.22</v>
      </c>
      <c r="AC29" s="14">
        <v>0.08</v>
      </c>
      <c r="AD29" s="14">
        <v>0.18</v>
      </c>
      <c r="AE29" s="14">
        <v>0.05</v>
      </c>
      <c r="AF29" s="14">
        <v>0.08</v>
      </c>
    </row>
    <row r="30" spans="1:32">
      <c r="A30" s="20"/>
      <c r="B30" s="11" t="s">
        <v>709</v>
      </c>
      <c r="C30" s="12">
        <v>3489</v>
      </c>
      <c r="D30" s="12">
        <v>101</v>
      </c>
      <c r="E30" s="12">
        <v>175</v>
      </c>
      <c r="F30" s="12">
        <v>154</v>
      </c>
      <c r="G30" s="12">
        <v>128</v>
      </c>
      <c r="H30" s="12">
        <v>159</v>
      </c>
      <c r="I30" s="12">
        <v>214</v>
      </c>
      <c r="J30" s="12">
        <v>55</v>
      </c>
      <c r="K30" s="12">
        <v>183</v>
      </c>
      <c r="L30" s="12">
        <v>183</v>
      </c>
      <c r="M30" s="12">
        <v>224</v>
      </c>
      <c r="N30" s="12">
        <v>150</v>
      </c>
      <c r="O30" s="12">
        <v>108</v>
      </c>
      <c r="P30" s="12">
        <v>175</v>
      </c>
      <c r="Q30" s="12">
        <v>163</v>
      </c>
      <c r="R30" s="12">
        <v>159</v>
      </c>
      <c r="S30" s="12">
        <v>132</v>
      </c>
      <c r="T30" s="12">
        <v>166</v>
      </c>
      <c r="U30" s="12">
        <v>62</v>
      </c>
      <c r="V30" s="12">
        <v>191</v>
      </c>
      <c r="W30" s="12">
        <v>81</v>
      </c>
      <c r="X30" s="12">
        <v>71</v>
      </c>
      <c r="Y30" s="12">
        <v>125</v>
      </c>
      <c r="Z30" s="12">
        <v>78</v>
      </c>
      <c r="AA30" s="12">
        <v>162</v>
      </c>
      <c r="AB30" s="12">
        <v>123</v>
      </c>
      <c r="AC30" s="12">
        <v>113</v>
      </c>
      <c r="AD30" s="12">
        <v>146</v>
      </c>
      <c r="AE30" s="12">
        <v>99</v>
      </c>
      <c r="AF30" s="12">
        <v>87</v>
      </c>
    </row>
    <row r="31" spans="1:32">
      <c r="A31" s="20"/>
      <c r="B31" s="13" t="s">
        <v>710</v>
      </c>
      <c r="C31" s="14">
        <v>0.15</v>
      </c>
      <c r="D31" s="14">
        <v>0.11</v>
      </c>
      <c r="E31" s="14">
        <v>0.2</v>
      </c>
      <c r="F31" s="14">
        <v>0.18</v>
      </c>
      <c r="G31" s="14">
        <v>0.13</v>
      </c>
      <c r="H31" s="14">
        <v>0.15</v>
      </c>
      <c r="I31" s="14">
        <v>0.16</v>
      </c>
      <c r="J31" s="14">
        <v>0.22</v>
      </c>
      <c r="K31" s="14">
        <v>0.22</v>
      </c>
      <c r="L31" s="14">
        <v>0.2</v>
      </c>
      <c r="M31" s="14">
        <v>0.26</v>
      </c>
      <c r="N31" s="14">
        <v>0.18</v>
      </c>
      <c r="O31" s="14">
        <v>0.13</v>
      </c>
      <c r="P31" s="14">
        <v>0.19</v>
      </c>
      <c r="Q31" s="14">
        <v>0.19</v>
      </c>
      <c r="R31" s="14">
        <v>0.4</v>
      </c>
      <c r="S31" s="14">
        <v>0.16</v>
      </c>
      <c r="T31" s="14">
        <v>0.19</v>
      </c>
      <c r="U31" s="14">
        <v>0.14000000000000001</v>
      </c>
      <c r="V31" s="14">
        <v>0.21</v>
      </c>
      <c r="W31" s="14">
        <v>0.17</v>
      </c>
      <c r="X31" s="14">
        <v>7.0000000000000007E-2</v>
      </c>
      <c r="Y31" s="14">
        <v>0.16</v>
      </c>
      <c r="Z31" s="14">
        <v>0.09</v>
      </c>
      <c r="AA31" s="14">
        <v>0.19</v>
      </c>
      <c r="AB31" s="14">
        <v>0.13</v>
      </c>
      <c r="AC31" s="14">
        <v>0.12</v>
      </c>
      <c r="AD31" s="14">
        <v>0.16</v>
      </c>
      <c r="AE31" s="14">
        <v>0.11</v>
      </c>
      <c r="AF31" s="14">
        <v>0.09</v>
      </c>
    </row>
    <row r="32" spans="1:32">
      <c r="A32" s="20"/>
      <c r="B32" s="11" t="s">
        <v>519</v>
      </c>
      <c r="C32" s="12">
        <v>103</v>
      </c>
      <c r="D32" s="12">
        <v>5</v>
      </c>
      <c r="E32" s="12">
        <v>5</v>
      </c>
      <c r="F32" s="12">
        <v>1</v>
      </c>
      <c r="G32" s="12">
        <v>1</v>
      </c>
      <c r="H32" s="12">
        <v>8</v>
      </c>
      <c r="I32" s="12">
        <v>11</v>
      </c>
      <c r="J32" s="12">
        <v>2</v>
      </c>
      <c r="K32" s="12">
        <v>10</v>
      </c>
      <c r="L32" s="12">
        <v>3</v>
      </c>
      <c r="M32" s="12">
        <v>3</v>
      </c>
      <c r="N32" s="12">
        <v>6</v>
      </c>
      <c r="O32" s="12">
        <v>0</v>
      </c>
      <c r="P32" s="12">
        <v>0</v>
      </c>
      <c r="Q32" s="12">
        <v>1</v>
      </c>
      <c r="R32" s="12">
        <v>0</v>
      </c>
      <c r="S32" s="12">
        <v>22</v>
      </c>
      <c r="T32" s="12">
        <v>12</v>
      </c>
      <c r="U32" s="12">
        <v>5</v>
      </c>
      <c r="V32" s="12">
        <v>2</v>
      </c>
      <c r="W32" s="12">
        <v>0</v>
      </c>
      <c r="X32" s="12">
        <v>2</v>
      </c>
      <c r="Y32" s="12">
        <v>24</v>
      </c>
      <c r="Z32" s="12">
        <v>1</v>
      </c>
      <c r="AA32" s="12">
        <v>5</v>
      </c>
      <c r="AB32" s="12">
        <v>5</v>
      </c>
      <c r="AC32" s="12">
        <v>5</v>
      </c>
      <c r="AD32" s="12">
        <v>10</v>
      </c>
      <c r="AE32" s="12">
        <v>0</v>
      </c>
      <c r="AF32" s="12">
        <v>3</v>
      </c>
    </row>
    <row r="33" spans="1:32">
      <c r="A33" s="20"/>
      <c r="B33" s="13" t="s">
        <v>520</v>
      </c>
      <c r="C33" s="15" t="s">
        <v>459</v>
      </c>
      <c r="D33" s="15" t="s">
        <v>459</v>
      </c>
      <c r="E33" s="14">
        <v>0.01</v>
      </c>
      <c r="F33" s="15" t="s">
        <v>459</v>
      </c>
      <c r="G33" s="15" t="s">
        <v>459</v>
      </c>
      <c r="H33" s="14">
        <v>0.01</v>
      </c>
      <c r="I33" s="14">
        <v>0.01</v>
      </c>
      <c r="J33" s="14">
        <v>0.01</v>
      </c>
      <c r="K33" s="14">
        <v>0.01</v>
      </c>
      <c r="L33" s="15" t="s">
        <v>459</v>
      </c>
      <c r="M33" s="15" t="s">
        <v>459</v>
      </c>
      <c r="N33" s="14">
        <v>0.01</v>
      </c>
      <c r="O33" s="15" t="s">
        <v>459</v>
      </c>
      <c r="P33" s="15" t="s">
        <v>459</v>
      </c>
      <c r="Q33" s="15" t="s">
        <v>459</v>
      </c>
      <c r="R33" s="15" t="s">
        <v>459</v>
      </c>
      <c r="S33" s="14">
        <v>0.03</v>
      </c>
      <c r="T33" s="14">
        <v>0.01</v>
      </c>
      <c r="U33" s="14">
        <v>0.01</v>
      </c>
      <c r="V33" s="15" t="s">
        <v>459</v>
      </c>
      <c r="W33" s="15" t="s">
        <v>459</v>
      </c>
      <c r="X33" s="15" t="s">
        <v>459</v>
      </c>
      <c r="Y33" s="14">
        <v>0.03</v>
      </c>
      <c r="Z33" s="15" t="s">
        <v>459</v>
      </c>
      <c r="AA33" s="14">
        <v>0.01</v>
      </c>
      <c r="AB33" s="14">
        <v>0.01</v>
      </c>
      <c r="AC33" s="14">
        <v>0.01</v>
      </c>
      <c r="AD33" s="14">
        <v>0.01</v>
      </c>
      <c r="AE33" s="15" t="s">
        <v>459</v>
      </c>
      <c r="AF33" s="15" t="s">
        <v>459</v>
      </c>
    </row>
    <row r="34" spans="1:32" ht="24.95">
      <c r="A34" s="20"/>
      <c r="B34" s="11" t="s">
        <v>551</v>
      </c>
      <c r="C34" s="12">
        <v>730</v>
      </c>
      <c r="D34" s="12">
        <v>13</v>
      </c>
      <c r="E34" s="12">
        <v>12</v>
      </c>
      <c r="F34" s="12">
        <v>17</v>
      </c>
      <c r="G34" s="12">
        <v>22</v>
      </c>
      <c r="H34" s="12">
        <v>22</v>
      </c>
      <c r="I34" s="12">
        <v>36</v>
      </c>
      <c r="J34" s="12">
        <v>14</v>
      </c>
      <c r="K34" s="12">
        <v>29</v>
      </c>
      <c r="L34" s="12">
        <v>18</v>
      </c>
      <c r="M34" s="12">
        <v>24</v>
      </c>
      <c r="N34" s="12">
        <v>43</v>
      </c>
      <c r="O34" s="12">
        <v>56</v>
      </c>
      <c r="P34" s="12">
        <v>2</v>
      </c>
      <c r="Q34" s="12">
        <v>23</v>
      </c>
      <c r="R34" s="12">
        <v>20</v>
      </c>
      <c r="S34" s="12">
        <v>36</v>
      </c>
      <c r="T34" s="12">
        <v>14</v>
      </c>
      <c r="U34" s="12">
        <v>21</v>
      </c>
      <c r="V34" s="12">
        <v>11</v>
      </c>
      <c r="W34" s="12">
        <v>7</v>
      </c>
      <c r="X34" s="12">
        <v>17</v>
      </c>
      <c r="Y34" s="12">
        <v>50</v>
      </c>
      <c r="Z34" s="12">
        <v>3</v>
      </c>
      <c r="AA34" s="12">
        <v>12</v>
      </c>
      <c r="AB34" s="12">
        <v>12</v>
      </c>
      <c r="AC34" s="12">
        <v>34</v>
      </c>
      <c r="AD34" s="12">
        <v>24</v>
      </c>
      <c r="AE34" s="12">
        <v>20</v>
      </c>
      <c r="AF34" s="12">
        <v>55</v>
      </c>
    </row>
    <row r="35" spans="1:32">
      <c r="A35" s="20"/>
      <c r="B35" s="13" t="s">
        <v>522</v>
      </c>
      <c r="C35" s="14">
        <v>0.03</v>
      </c>
      <c r="D35" s="14">
        <v>0.01</v>
      </c>
      <c r="E35" s="14">
        <v>0.01</v>
      </c>
      <c r="F35" s="14">
        <v>0.02</v>
      </c>
      <c r="G35" s="14">
        <v>0.02</v>
      </c>
      <c r="H35" s="14">
        <v>0.02</v>
      </c>
      <c r="I35" s="14">
        <v>0.03</v>
      </c>
      <c r="J35" s="14">
        <v>0.05</v>
      </c>
      <c r="K35" s="14">
        <v>0.03</v>
      </c>
      <c r="L35" s="14">
        <v>0.02</v>
      </c>
      <c r="M35" s="14">
        <v>0.03</v>
      </c>
      <c r="N35" s="14">
        <v>0.05</v>
      </c>
      <c r="O35" s="14">
        <v>7.0000000000000007E-2</v>
      </c>
      <c r="P35" s="15" t="s">
        <v>459</v>
      </c>
      <c r="Q35" s="14">
        <v>0.02</v>
      </c>
      <c r="R35" s="14">
        <v>0.05</v>
      </c>
      <c r="S35" s="14">
        <v>0.04</v>
      </c>
      <c r="T35" s="14">
        <v>0.02</v>
      </c>
      <c r="U35" s="14">
        <v>0.04</v>
      </c>
      <c r="V35" s="14">
        <v>0.01</v>
      </c>
      <c r="W35" s="14">
        <v>0.01</v>
      </c>
      <c r="X35" s="14">
        <v>0.02</v>
      </c>
      <c r="Y35" s="14">
        <v>0.06</v>
      </c>
      <c r="Z35" s="15" t="s">
        <v>459</v>
      </c>
      <c r="AA35" s="14">
        <v>0.01</v>
      </c>
      <c r="AB35" s="14">
        <v>0.01</v>
      </c>
      <c r="AC35" s="14">
        <v>0.04</v>
      </c>
      <c r="AD35" s="14">
        <v>0.03</v>
      </c>
      <c r="AE35" s="14">
        <v>0.02</v>
      </c>
      <c r="AF35" s="14">
        <v>0.06</v>
      </c>
    </row>
    <row r="36" spans="1:32">
      <c r="A36" s="20"/>
      <c r="B36" s="11" t="s">
        <v>468</v>
      </c>
      <c r="C36" s="12">
        <v>450</v>
      </c>
      <c r="D36" s="12">
        <v>5</v>
      </c>
      <c r="E36" s="12">
        <v>26</v>
      </c>
      <c r="F36" s="12">
        <v>15</v>
      </c>
      <c r="G36" s="12">
        <v>6</v>
      </c>
      <c r="H36" s="12">
        <v>14</v>
      </c>
      <c r="I36" s="12">
        <v>18</v>
      </c>
      <c r="J36" s="12">
        <v>4</v>
      </c>
      <c r="K36" s="12">
        <v>33</v>
      </c>
      <c r="L36" s="12">
        <v>9</v>
      </c>
      <c r="M36" s="12">
        <v>11</v>
      </c>
      <c r="N36" s="12">
        <v>29</v>
      </c>
      <c r="O36" s="12">
        <v>34</v>
      </c>
      <c r="P36" s="12">
        <v>5</v>
      </c>
      <c r="Q36" s="12">
        <v>6</v>
      </c>
      <c r="R36" s="12">
        <v>5</v>
      </c>
      <c r="S36" s="12">
        <v>65</v>
      </c>
      <c r="T36" s="12">
        <v>9</v>
      </c>
      <c r="U36" s="12">
        <v>1</v>
      </c>
      <c r="V36" s="12">
        <v>13</v>
      </c>
      <c r="W36" s="12">
        <v>4</v>
      </c>
      <c r="X36" s="12">
        <v>3</v>
      </c>
      <c r="Y36" s="12">
        <v>14</v>
      </c>
      <c r="Z36" s="12">
        <v>14</v>
      </c>
      <c r="AA36" s="12">
        <v>49</v>
      </c>
      <c r="AB36" s="12">
        <v>10</v>
      </c>
      <c r="AC36" s="12">
        <v>10</v>
      </c>
      <c r="AD36" s="12">
        <v>18</v>
      </c>
      <c r="AE36" s="12">
        <v>24</v>
      </c>
      <c r="AF36" s="12">
        <v>8</v>
      </c>
    </row>
    <row r="37" spans="1:32">
      <c r="A37" s="20"/>
      <c r="B37" s="13" t="s">
        <v>469</v>
      </c>
      <c r="C37" s="14">
        <v>0.02</v>
      </c>
      <c r="D37" s="15" t="s">
        <v>459</v>
      </c>
      <c r="E37" s="14">
        <v>0.03</v>
      </c>
      <c r="F37" s="14">
        <v>0.02</v>
      </c>
      <c r="G37" s="14">
        <v>0.01</v>
      </c>
      <c r="H37" s="14">
        <v>0.01</v>
      </c>
      <c r="I37" s="14">
        <v>0.01</v>
      </c>
      <c r="J37" s="14">
        <v>0.02</v>
      </c>
      <c r="K37" s="14">
        <v>0.04</v>
      </c>
      <c r="L37" s="14">
        <v>0.01</v>
      </c>
      <c r="M37" s="14">
        <v>0.01</v>
      </c>
      <c r="N37" s="14">
        <v>0.03</v>
      </c>
      <c r="O37" s="14">
        <v>0.04</v>
      </c>
      <c r="P37" s="15" t="s">
        <v>459</v>
      </c>
      <c r="Q37" s="14">
        <v>0.01</v>
      </c>
      <c r="R37" s="14">
        <v>0.01</v>
      </c>
      <c r="S37" s="14">
        <v>0.08</v>
      </c>
      <c r="T37" s="14">
        <v>0.01</v>
      </c>
      <c r="U37" s="15" t="s">
        <v>459</v>
      </c>
      <c r="V37" s="14">
        <v>0.01</v>
      </c>
      <c r="W37" s="14">
        <v>0.01</v>
      </c>
      <c r="X37" s="15" t="s">
        <v>459</v>
      </c>
      <c r="Y37" s="14">
        <v>0.02</v>
      </c>
      <c r="Z37" s="14">
        <v>0.01</v>
      </c>
      <c r="AA37" s="14">
        <v>0.05</v>
      </c>
      <c r="AB37" s="14">
        <v>0.01</v>
      </c>
      <c r="AC37" s="14">
        <v>0.01</v>
      </c>
      <c r="AD37" s="14">
        <v>0.02</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115</v>
      </c>
      <c r="C3" s="18"/>
      <c r="D3" s="18"/>
      <c r="E3" s="18"/>
      <c r="F3" s="18"/>
      <c r="H3" s="18" t="s">
        <v>116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HYPERLINK("#Content!A59","&lt;&lt;Back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823</v>
      </c>
      <c r="C12" s="12">
        <v>11934</v>
      </c>
      <c r="D12" s="12">
        <v>437</v>
      </c>
      <c r="E12" s="12">
        <v>411</v>
      </c>
      <c r="F12" s="12">
        <v>379</v>
      </c>
      <c r="G12" s="12">
        <v>573</v>
      </c>
      <c r="H12" s="12">
        <v>655</v>
      </c>
      <c r="I12" s="12">
        <v>800</v>
      </c>
      <c r="J12" s="12">
        <v>145</v>
      </c>
      <c r="K12" s="12">
        <v>462</v>
      </c>
      <c r="L12" s="12">
        <v>498</v>
      </c>
      <c r="M12" s="12">
        <v>470</v>
      </c>
      <c r="N12" s="12">
        <v>469</v>
      </c>
      <c r="O12" s="12">
        <v>402</v>
      </c>
      <c r="P12" s="12">
        <v>534</v>
      </c>
      <c r="Q12" s="12">
        <v>394</v>
      </c>
      <c r="R12" s="12">
        <v>181</v>
      </c>
      <c r="S12" s="12">
        <v>332</v>
      </c>
      <c r="T12" s="12">
        <v>519</v>
      </c>
      <c r="U12" s="12">
        <v>242</v>
      </c>
      <c r="V12" s="12">
        <v>487</v>
      </c>
      <c r="W12" s="12">
        <v>274</v>
      </c>
      <c r="X12" s="12">
        <v>660</v>
      </c>
      <c r="Y12" s="12">
        <v>486</v>
      </c>
      <c r="Z12" s="12">
        <v>385</v>
      </c>
      <c r="AA12" s="12">
        <v>450</v>
      </c>
      <c r="AB12" s="12">
        <v>326</v>
      </c>
      <c r="AC12" s="12">
        <v>568</v>
      </c>
      <c r="AD12" s="12">
        <v>445</v>
      </c>
      <c r="AE12" s="12">
        <v>582</v>
      </c>
      <c r="AF12" s="12">
        <v>587</v>
      </c>
    </row>
    <row r="13" spans="1:32">
      <c r="A13" s="20"/>
      <c r="B13" s="13" t="s">
        <v>824</v>
      </c>
      <c r="C13" s="14">
        <v>0.45</v>
      </c>
      <c r="D13" s="14">
        <v>0.44</v>
      </c>
      <c r="E13" s="14">
        <v>0.4</v>
      </c>
      <c r="F13" s="14">
        <v>0.38</v>
      </c>
      <c r="G13" s="14">
        <v>0.57000000000000006</v>
      </c>
      <c r="H13" s="14">
        <v>0.54</v>
      </c>
      <c r="I13" s="14">
        <v>0.53</v>
      </c>
      <c r="J13" s="14">
        <v>0.49</v>
      </c>
      <c r="K13" s="14">
        <v>0.46</v>
      </c>
      <c r="L13" s="14">
        <v>0.49</v>
      </c>
      <c r="M13" s="14">
        <v>0.47</v>
      </c>
      <c r="N13" s="14">
        <v>0.47</v>
      </c>
      <c r="O13" s="14">
        <v>0.4</v>
      </c>
      <c r="P13" s="14">
        <v>0.52</v>
      </c>
      <c r="Q13" s="14">
        <v>0.39</v>
      </c>
      <c r="R13" s="14">
        <v>0.36</v>
      </c>
      <c r="S13" s="14">
        <v>0.33</v>
      </c>
      <c r="T13" s="14">
        <v>0.51</v>
      </c>
      <c r="U13" s="14">
        <v>0.48</v>
      </c>
      <c r="V13" s="14">
        <v>0.48</v>
      </c>
      <c r="W13" s="14">
        <v>0.55000000000000004</v>
      </c>
      <c r="X13" s="14">
        <v>0.65</v>
      </c>
      <c r="Y13" s="14">
        <v>0.48</v>
      </c>
      <c r="Z13" s="14">
        <v>0.38</v>
      </c>
      <c r="AA13" s="14">
        <v>0.43</v>
      </c>
      <c r="AB13" s="14">
        <v>0.31</v>
      </c>
      <c r="AC13" s="14">
        <v>0.56000000000000005</v>
      </c>
      <c r="AD13" s="14">
        <v>0.44</v>
      </c>
      <c r="AE13" s="14">
        <v>0.57999999999999996</v>
      </c>
      <c r="AF13" s="14">
        <v>0.57999999999999996</v>
      </c>
    </row>
    <row r="14" spans="1:32">
      <c r="A14" s="20"/>
      <c r="B14" s="11" t="s">
        <v>825</v>
      </c>
      <c r="C14" s="12">
        <v>6634</v>
      </c>
      <c r="D14" s="12">
        <v>266</v>
      </c>
      <c r="E14" s="12">
        <v>289</v>
      </c>
      <c r="F14" s="12">
        <v>220</v>
      </c>
      <c r="G14" s="12">
        <v>380</v>
      </c>
      <c r="H14" s="12">
        <v>369</v>
      </c>
      <c r="I14" s="12">
        <v>441</v>
      </c>
      <c r="J14" s="12">
        <v>72</v>
      </c>
      <c r="K14" s="12">
        <v>185</v>
      </c>
      <c r="L14" s="12">
        <v>232</v>
      </c>
      <c r="M14" s="12">
        <v>228</v>
      </c>
      <c r="N14" s="12">
        <v>225</v>
      </c>
      <c r="O14" s="12">
        <v>167</v>
      </c>
      <c r="P14" s="12">
        <v>237</v>
      </c>
      <c r="Q14" s="12">
        <v>305</v>
      </c>
      <c r="R14" s="12">
        <v>146</v>
      </c>
      <c r="S14" s="12">
        <v>150</v>
      </c>
      <c r="T14" s="12">
        <v>221</v>
      </c>
      <c r="U14" s="12">
        <v>146</v>
      </c>
      <c r="V14" s="12">
        <v>268</v>
      </c>
      <c r="W14" s="12">
        <v>157</v>
      </c>
      <c r="X14" s="12">
        <v>251</v>
      </c>
      <c r="Y14" s="12">
        <v>246</v>
      </c>
      <c r="Z14" s="12">
        <v>268</v>
      </c>
      <c r="AA14" s="12">
        <v>193</v>
      </c>
      <c r="AB14" s="12">
        <v>289</v>
      </c>
      <c r="AC14" s="12">
        <v>145</v>
      </c>
      <c r="AD14" s="12">
        <v>220</v>
      </c>
      <c r="AE14" s="12">
        <v>225</v>
      </c>
      <c r="AF14" s="12">
        <v>382</v>
      </c>
    </row>
    <row r="15" spans="1:32">
      <c r="A15" s="20"/>
      <c r="B15" s="13" t="s">
        <v>826</v>
      </c>
      <c r="C15" s="14">
        <v>0.25</v>
      </c>
      <c r="D15" s="14">
        <v>0.26</v>
      </c>
      <c r="E15" s="14">
        <v>0.28000000000000003</v>
      </c>
      <c r="F15" s="14">
        <v>0.22</v>
      </c>
      <c r="G15" s="14">
        <v>0.38</v>
      </c>
      <c r="H15" s="14">
        <v>0.3</v>
      </c>
      <c r="I15" s="14">
        <v>0.28999999999999998</v>
      </c>
      <c r="J15" s="14">
        <v>0.25</v>
      </c>
      <c r="K15" s="14">
        <v>0.18</v>
      </c>
      <c r="L15" s="14">
        <v>0.23</v>
      </c>
      <c r="M15" s="14">
        <v>0.23</v>
      </c>
      <c r="N15" s="14">
        <v>0.22</v>
      </c>
      <c r="O15" s="14">
        <v>0.17</v>
      </c>
      <c r="P15" s="14">
        <v>0.23</v>
      </c>
      <c r="Q15" s="14">
        <v>0.3</v>
      </c>
      <c r="R15" s="14">
        <v>0.28999999999999998</v>
      </c>
      <c r="S15" s="14">
        <v>0.15</v>
      </c>
      <c r="T15" s="14">
        <v>0.22</v>
      </c>
      <c r="U15" s="14">
        <v>0.28999999999999998</v>
      </c>
      <c r="V15" s="14">
        <v>0.26</v>
      </c>
      <c r="W15" s="14">
        <v>0.31</v>
      </c>
      <c r="X15" s="14">
        <v>0.25</v>
      </c>
      <c r="Y15" s="14">
        <v>0.24</v>
      </c>
      <c r="Z15" s="14">
        <v>0.27</v>
      </c>
      <c r="AA15" s="14">
        <v>0.18</v>
      </c>
      <c r="AB15" s="14">
        <v>0.28000000000000003</v>
      </c>
      <c r="AC15" s="14">
        <v>0.14000000000000001</v>
      </c>
      <c r="AD15" s="14">
        <v>0.22</v>
      </c>
      <c r="AE15" s="14">
        <v>0.23</v>
      </c>
      <c r="AF15" s="14">
        <v>0.37</v>
      </c>
    </row>
    <row r="16" spans="1:32" ht="24.95">
      <c r="A16" s="20"/>
      <c r="B16" s="11" t="s">
        <v>827</v>
      </c>
      <c r="C16" s="12">
        <v>9755</v>
      </c>
      <c r="D16" s="12">
        <v>343</v>
      </c>
      <c r="E16" s="12">
        <v>389</v>
      </c>
      <c r="F16" s="12">
        <v>339</v>
      </c>
      <c r="G16" s="12">
        <v>551</v>
      </c>
      <c r="H16" s="12">
        <v>529</v>
      </c>
      <c r="I16" s="12">
        <v>654</v>
      </c>
      <c r="J16" s="12">
        <v>125</v>
      </c>
      <c r="K16" s="12">
        <v>303</v>
      </c>
      <c r="L16" s="12">
        <v>437</v>
      </c>
      <c r="M16" s="12">
        <v>467</v>
      </c>
      <c r="N16" s="12">
        <v>340</v>
      </c>
      <c r="O16" s="12">
        <v>350</v>
      </c>
      <c r="P16" s="12">
        <v>363</v>
      </c>
      <c r="Q16" s="12">
        <v>394</v>
      </c>
      <c r="R16" s="12">
        <v>116</v>
      </c>
      <c r="S16" s="12">
        <v>216</v>
      </c>
      <c r="T16" s="12">
        <v>342</v>
      </c>
      <c r="U16" s="12">
        <v>210</v>
      </c>
      <c r="V16" s="12">
        <v>370</v>
      </c>
      <c r="W16" s="12">
        <v>155</v>
      </c>
      <c r="X16" s="12">
        <v>414</v>
      </c>
      <c r="Y16" s="12">
        <v>405</v>
      </c>
      <c r="Z16" s="12">
        <v>236</v>
      </c>
      <c r="AA16" s="12">
        <v>428</v>
      </c>
      <c r="AB16" s="12">
        <v>312</v>
      </c>
      <c r="AC16" s="12">
        <v>227</v>
      </c>
      <c r="AD16" s="12">
        <v>347</v>
      </c>
      <c r="AE16" s="12">
        <v>388</v>
      </c>
      <c r="AF16" s="12">
        <v>490</v>
      </c>
    </row>
    <row r="17" spans="1:32">
      <c r="A17" s="20"/>
      <c r="B17" s="13" t="s">
        <v>828</v>
      </c>
      <c r="C17" s="14">
        <v>0.37</v>
      </c>
      <c r="D17" s="14">
        <v>0.34</v>
      </c>
      <c r="E17" s="14">
        <v>0.38</v>
      </c>
      <c r="F17" s="14">
        <v>0.34</v>
      </c>
      <c r="G17" s="14">
        <v>0.55000000000000004</v>
      </c>
      <c r="H17" s="14">
        <v>0.44</v>
      </c>
      <c r="I17" s="14">
        <v>0.43</v>
      </c>
      <c r="J17" s="14">
        <v>0.42</v>
      </c>
      <c r="K17" s="14">
        <v>0.3</v>
      </c>
      <c r="L17" s="14">
        <v>0.43</v>
      </c>
      <c r="M17" s="14">
        <v>0.47</v>
      </c>
      <c r="N17" s="14">
        <v>0.34</v>
      </c>
      <c r="O17" s="14">
        <v>0.35</v>
      </c>
      <c r="P17" s="14">
        <v>0.35</v>
      </c>
      <c r="Q17" s="14">
        <v>0.39</v>
      </c>
      <c r="R17" s="14">
        <v>0.23</v>
      </c>
      <c r="S17" s="14">
        <v>0.21</v>
      </c>
      <c r="T17" s="14">
        <v>0.34</v>
      </c>
      <c r="U17" s="14">
        <v>0.41</v>
      </c>
      <c r="V17" s="14">
        <v>0.36</v>
      </c>
      <c r="W17" s="14">
        <v>0.31</v>
      </c>
      <c r="X17" s="14">
        <v>0.41</v>
      </c>
      <c r="Y17" s="14">
        <v>0.4</v>
      </c>
      <c r="Z17" s="14">
        <v>0.23</v>
      </c>
      <c r="AA17" s="14">
        <v>0.41</v>
      </c>
      <c r="AB17" s="14">
        <v>0.3</v>
      </c>
      <c r="AC17" s="14">
        <v>0.22</v>
      </c>
      <c r="AD17" s="14">
        <v>0.34</v>
      </c>
      <c r="AE17" s="14">
        <v>0.39</v>
      </c>
      <c r="AF17" s="14">
        <v>0.48</v>
      </c>
    </row>
    <row r="18" spans="1:32">
      <c r="A18" s="20"/>
      <c r="B18" s="11" t="s">
        <v>829</v>
      </c>
      <c r="C18" s="12">
        <v>9116</v>
      </c>
      <c r="D18" s="12">
        <v>319</v>
      </c>
      <c r="E18" s="12">
        <v>292</v>
      </c>
      <c r="F18" s="12">
        <v>400</v>
      </c>
      <c r="G18" s="12">
        <v>529</v>
      </c>
      <c r="H18" s="12">
        <v>438</v>
      </c>
      <c r="I18" s="12">
        <v>542</v>
      </c>
      <c r="J18" s="12">
        <v>104</v>
      </c>
      <c r="K18" s="12">
        <v>399</v>
      </c>
      <c r="L18" s="12">
        <v>239</v>
      </c>
      <c r="M18" s="12">
        <v>482</v>
      </c>
      <c r="N18" s="12">
        <v>281</v>
      </c>
      <c r="O18" s="12">
        <v>304</v>
      </c>
      <c r="P18" s="12">
        <v>351</v>
      </c>
      <c r="Q18" s="12">
        <v>353</v>
      </c>
      <c r="R18" s="12">
        <v>173</v>
      </c>
      <c r="S18" s="12">
        <v>340</v>
      </c>
      <c r="T18" s="12">
        <v>476</v>
      </c>
      <c r="U18" s="12">
        <v>165</v>
      </c>
      <c r="V18" s="12">
        <v>334</v>
      </c>
      <c r="W18" s="12">
        <v>131</v>
      </c>
      <c r="X18" s="12">
        <v>387</v>
      </c>
      <c r="Y18" s="12">
        <v>322</v>
      </c>
      <c r="Z18" s="12">
        <v>388</v>
      </c>
      <c r="AA18" s="12">
        <v>320</v>
      </c>
      <c r="AB18" s="12">
        <v>393</v>
      </c>
      <c r="AC18" s="12">
        <v>285</v>
      </c>
      <c r="AD18" s="12">
        <v>435</v>
      </c>
      <c r="AE18" s="12">
        <v>381</v>
      </c>
      <c r="AF18" s="12">
        <v>435</v>
      </c>
    </row>
    <row r="19" spans="1:32">
      <c r="A19" s="20"/>
      <c r="B19" s="13" t="s">
        <v>830</v>
      </c>
      <c r="C19" s="14">
        <v>0.35</v>
      </c>
      <c r="D19" s="14">
        <v>0.32</v>
      </c>
      <c r="E19" s="14">
        <v>0.28999999999999998</v>
      </c>
      <c r="F19" s="14">
        <v>0.4</v>
      </c>
      <c r="G19" s="14">
        <v>0.53</v>
      </c>
      <c r="H19" s="14">
        <v>0.36</v>
      </c>
      <c r="I19" s="14">
        <v>0.36</v>
      </c>
      <c r="J19" s="14">
        <v>0.36</v>
      </c>
      <c r="K19" s="14">
        <v>0.4</v>
      </c>
      <c r="L19" s="14">
        <v>0.24</v>
      </c>
      <c r="M19" s="14">
        <v>0.48</v>
      </c>
      <c r="N19" s="14">
        <v>0.28000000000000003</v>
      </c>
      <c r="O19" s="14">
        <v>0.3</v>
      </c>
      <c r="P19" s="14">
        <v>0.34</v>
      </c>
      <c r="Q19" s="14">
        <v>0.35</v>
      </c>
      <c r="R19" s="14">
        <v>0.35</v>
      </c>
      <c r="S19" s="14">
        <v>0.34</v>
      </c>
      <c r="T19" s="14">
        <v>0.47</v>
      </c>
      <c r="U19" s="14">
        <v>0.33</v>
      </c>
      <c r="V19" s="14">
        <v>0.33</v>
      </c>
      <c r="W19" s="14">
        <v>0.26</v>
      </c>
      <c r="X19" s="14">
        <v>0.38</v>
      </c>
      <c r="Y19" s="14">
        <v>0.32</v>
      </c>
      <c r="Z19" s="14">
        <v>0.39</v>
      </c>
      <c r="AA19" s="14">
        <v>0.3</v>
      </c>
      <c r="AB19" s="14">
        <v>0.38</v>
      </c>
      <c r="AC19" s="14">
        <v>0.28000000000000003</v>
      </c>
      <c r="AD19" s="14">
        <v>0.43</v>
      </c>
      <c r="AE19" s="14">
        <v>0.38</v>
      </c>
      <c r="AF19" s="14">
        <v>0.43</v>
      </c>
    </row>
    <row r="20" spans="1:32" ht="24.95">
      <c r="A20" s="20"/>
      <c r="B20" s="11" t="s">
        <v>831</v>
      </c>
      <c r="C20" s="12">
        <v>5817</v>
      </c>
      <c r="D20" s="12">
        <v>258</v>
      </c>
      <c r="E20" s="12">
        <v>253</v>
      </c>
      <c r="F20" s="12">
        <v>251</v>
      </c>
      <c r="G20" s="12">
        <v>316</v>
      </c>
      <c r="H20" s="12">
        <v>231</v>
      </c>
      <c r="I20" s="12">
        <v>288</v>
      </c>
      <c r="J20" s="12">
        <v>58</v>
      </c>
      <c r="K20" s="12">
        <v>143</v>
      </c>
      <c r="L20" s="12">
        <v>196</v>
      </c>
      <c r="M20" s="12">
        <v>211</v>
      </c>
      <c r="N20" s="12">
        <v>171</v>
      </c>
      <c r="O20" s="12">
        <v>245</v>
      </c>
      <c r="P20" s="12">
        <v>321</v>
      </c>
      <c r="Q20" s="12">
        <v>232</v>
      </c>
      <c r="R20" s="12">
        <v>67</v>
      </c>
      <c r="S20" s="12">
        <v>110</v>
      </c>
      <c r="T20" s="12">
        <v>156</v>
      </c>
      <c r="U20" s="12">
        <v>103</v>
      </c>
      <c r="V20" s="12">
        <v>267</v>
      </c>
      <c r="W20" s="12">
        <v>125</v>
      </c>
      <c r="X20" s="12">
        <v>249</v>
      </c>
      <c r="Y20" s="12">
        <v>280</v>
      </c>
      <c r="Z20" s="12">
        <v>198</v>
      </c>
      <c r="AA20" s="12">
        <v>249</v>
      </c>
      <c r="AB20" s="12">
        <v>255</v>
      </c>
      <c r="AC20" s="12">
        <v>168</v>
      </c>
      <c r="AD20" s="12">
        <v>247</v>
      </c>
      <c r="AE20" s="12">
        <v>217</v>
      </c>
      <c r="AF20" s="12">
        <v>330</v>
      </c>
    </row>
    <row r="21" spans="1:32">
      <c r="A21" s="20"/>
      <c r="B21" s="13" t="s">
        <v>832</v>
      </c>
      <c r="C21" s="14">
        <v>0.22</v>
      </c>
      <c r="D21" s="14">
        <v>0.26</v>
      </c>
      <c r="E21" s="14">
        <v>0.25</v>
      </c>
      <c r="F21" s="14">
        <v>0.25</v>
      </c>
      <c r="G21" s="14">
        <v>0.32</v>
      </c>
      <c r="H21" s="14">
        <v>0.19</v>
      </c>
      <c r="I21" s="14">
        <v>0.19</v>
      </c>
      <c r="J21" s="14">
        <v>0.2</v>
      </c>
      <c r="K21" s="14">
        <v>0.14000000000000001</v>
      </c>
      <c r="L21" s="14">
        <v>0.2</v>
      </c>
      <c r="M21" s="14">
        <v>0.21</v>
      </c>
      <c r="N21" s="14">
        <v>0.17</v>
      </c>
      <c r="O21" s="14">
        <v>0.24</v>
      </c>
      <c r="P21" s="14">
        <v>0.31</v>
      </c>
      <c r="Q21" s="14">
        <v>0.23</v>
      </c>
      <c r="R21" s="14">
        <v>0.13</v>
      </c>
      <c r="S21" s="14">
        <v>0.11</v>
      </c>
      <c r="T21" s="14">
        <v>0.15</v>
      </c>
      <c r="U21" s="14">
        <v>0.2</v>
      </c>
      <c r="V21" s="14">
        <v>0.26</v>
      </c>
      <c r="W21" s="14">
        <v>0.25</v>
      </c>
      <c r="X21" s="14">
        <v>0.24</v>
      </c>
      <c r="Y21" s="14">
        <v>0.28000000000000003</v>
      </c>
      <c r="Z21" s="14">
        <v>0.2</v>
      </c>
      <c r="AA21" s="14">
        <v>0.24</v>
      </c>
      <c r="AB21" s="14">
        <v>0.24</v>
      </c>
      <c r="AC21" s="14">
        <v>0.17</v>
      </c>
      <c r="AD21" s="14">
        <v>0.25</v>
      </c>
      <c r="AE21" s="14">
        <v>0.22</v>
      </c>
      <c r="AF21" s="14">
        <v>0.32</v>
      </c>
    </row>
    <row r="22" spans="1:32" ht="24.95">
      <c r="A22" s="20"/>
      <c r="B22" s="11" t="s">
        <v>833</v>
      </c>
      <c r="C22" s="12">
        <v>5759</v>
      </c>
      <c r="D22" s="12">
        <v>246</v>
      </c>
      <c r="E22" s="12">
        <v>180</v>
      </c>
      <c r="F22" s="12">
        <v>192</v>
      </c>
      <c r="G22" s="12">
        <v>436</v>
      </c>
      <c r="H22" s="12">
        <v>279</v>
      </c>
      <c r="I22" s="12">
        <v>346</v>
      </c>
      <c r="J22" s="12">
        <v>67</v>
      </c>
      <c r="K22" s="12">
        <v>139</v>
      </c>
      <c r="L22" s="12">
        <v>258</v>
      </c>
      <c r="M22" s="12">
        <v>216</v>
      </c>
      <c r="N22" s="12">
        <v>146</v>
      </c>
      <c r="O22" s="12">
        <v>172</v>
      </c>
      <c r="P22" s="12">
        <v>363</v>
      </c>
      <c r="Q22" s="12">
        <v>235</v>
      </c>
      <c r="R22" s="12">
        <v>101</v>
      </c>
      <c r="S22" s="12">
        <v>120</v>
      </c>
      <c r="T22" s="12">
        <v>132</v>
      </c>
      <c r="U22" s="12">
        <v>86</v>
      </c>
      <c r="V22" s="12">
        <v>315</v>
      </c>
      <c r="W22" s="12">
        <v>108</v>
      </c>
      <c r="X22" s="12">
        <v>301</v>
      </c>
      <c r="Y22" s="12">
        <v>283</v>
      </c>
      <c r="Z22" s="12">
        <v>203</v>
      </c>
      <c r="AA22" s="12">
        <v>152</v>
      </c>
      <c r="AB22" s="12">
        <v>243</v>
      </c>
      <c r="AC22" s="12">
        <v>149</v>
      </c>
      <c r="AD22" s="12">
        <v>281</v>
      </c>
      <c r="AE22" s="12">
        <v>292</v>
      </c>
      <c r="AF22" s="12">
        <v>413</v>
      </c>
    </row>
    <row r="23" spans="1:32" ht="24.95">
      <c r="A23" s="20"/>
      <c r="B23" s="13" t="s">
        <v>834</v>
      </c>
      <c r="C23" s="14">
        <v>0.22</v>
      </c>
      <c r="D23" s="14">
        <v>0.24</v>
      </c>
      <c r="E23" s="14">
        <v>0.18</v>
      </c>
      <c r="F23" s="14">
        <v>0.19</v>
      </c>
      <c r="G23" s="14">
        <v>0.43</v>
      </c>
      <c r="H23" s="14">
        <v>0.23</v>
      </c>
      <c r="I23" s="14">
        <v>0.23</v>
      </c>
      <c r="J23" s="14">
        <v>0.23</v>
      </c>
      <c r="K23" s="14">
        <v>0.14000000000000001</v>
      </c>
      <c r="L23" s="14">
        <v>0.26</v>
      </c>
      <c r="M23" s="14">
        <v>0.22</v>
      </c>
      <c r="N23" s="14">
        <v>0.14000000000000001</v>
      </c>
      <c r="O23" s="14">
        <v>0.17</v>
      </c>
      <c r="P23" s="14">
        <v>0.36</v>
      </c>
      <c r="Q23" s="14">
        <v>0.23</v>
      </c>
      <c r="R23" s="14">
        <v>0.2</v>
      </c>
      <c r="S23" s="14">
        <v>0.12</v>
      </c>
      <c r="T23" s="14">
        <v>0.13</v>
      </c>
      <c r="U23" s="14">
        <v>0.17</v>
      </c>
      <c r="V23" s="14">
        <v>0.31</v>
      </c>
      <c r="W23" s="14">
        <v>0.21</v>
      </c>
      <c r="X23" s="14">
        <v>0.3</v>
      </c>
      <c r="Y23" s="14">
        <v>0.28000000000000003</v>
      </c>
      <c r="Z23" s="14">
        <v>0.2</v>
      </c>
      <c r="AA23" s="14">
        <v>0.14000000000000001</v>
      </c>
      <c r="AB23" s="14">
        <v>0.23</v>
      </c>
      <c r="AC23" s="14">
        <v>0.15</v>
      </c>
      <c r="AD23" s="14">
        <v>0.28000000000000003</v>
      </c>
      <c r="AE23" s="14">
        <v>0.28999999999999998</v>
      </c>
      <c r="AF23" s="14">
        <v>0.41</v>
      </c>
    </row>
    <row r="24" spans="1:32">
      <c r="A24" s="20"/>
      <c r="B24" s="11" t="s">
        <v>835</v>
      </c>
      <c r="C24" s="12">
        <v>8574</v>
      </c>
      <c r="D24" s="12">
        <v>239</v>
      </c>
      <c r="E24" s="12">
        <v>416</v>
      </c>
      <c r="F24" s="12">
        <v>369</v>
      </c>
      <c r="G24" s="12">
        <v>267</v>
      </c>
      <c r="H24" s="12">
        <v>461</v>
      </c>
      <c r="I24" s="12">
        <v>553</v>
      </c>
      <c r="J24" s="12">
        <v>91</v>
      </c>
      <c r="K24" s="12">
        <v>348</v>
      </c>
      <c r="L24" s="12">
        <v>529</v>
      </c>
      <c r="M24" s="12">
        <v>381</v>
      </c>
      <c r="N24" s="12">
        <v>237</v>
      </c>
      <c r="O24" s="12">
        <v>176</v>
      </c>
      <c r="P24" s="12">
        <v>623</v>
      </c>
      <c r="Q24" s="12">
        <v>289</v>
      </c>
      <c r="R24" s="12">
        <v>179</v>
      </c>
      <c r="S24" s="12">
        <v>269</v>
      </c>
      <c r="T24" s="12">
        <v>424</v>
      </c>
      <c r="U24" s="12">
        <v>146</v>
      </c>
      <c r="V24" s="12">
        <v>466</v>
      </c>
      <c r="W24" s="12">
        <v>241</v>
      </c>
      <c r="X24" s="12">
        <v>484</v>
      </c>
      <c r="Y24" s="12">
        <v>383</v>
      </c>
      <c r="Z24" s="12">
        <v>414</v>
      </c>
      <c r="AA24" s="12">
        <v>358</v>
      </c>
      <c r="AB24" s="12">
        <v>444</v>
      </c>
      <c r="AC24" s="12">
        <v>486</v>
      </c>
      <c r="AD24" s="12">
        <v>502</v>
      </c>
      <c r="AE24" s="12">
        <v>292</v>
      </c>
      <c r="AF24" s="12">
        <v>378</v>
      </c>
    </row>
    <row r="25" spans="1:32">
      <c r="A25" s="20"/>
      <c r="B25" s="13" t="s">
        <v>836</v>
      </c>
      <c r="C25" s="14">
        <v>0.33</v>
      </c>
      <c r="D25" s="14">
        <v>0.24</v>
      </c>
      <c r="E25" s="14">
        <v>0.41</v>
      </c>
      <c r="F25" s="14">
        <v>0.37</v>
      </c>
      <c r="G25" s="14">
        <v>0.27</v>
      </c>
      <c r="H25" s="14">
        <v>0.38</v>
      </c>
      <c r="I25" s="14">
        <v>0.37</v>
      </c>
      <c r="J25" s="14">
        <v>0.31</v>
      </c>
      <c r="K25" s="14">
        <v>0.35</v>
      </c>
      <c r="L25" s="14">
        <v>0.53</v>
      </c>
      <c r="M25" s="14">
        <v>0.38</v>
      </c>
      <c r="N25" s="14">
        <v>0.24</v>
      </c>
      <c r="O25" s="14">
        <v>0.18</v>
      </c>
      <c r="P25" s="14">
        <v>0.61</v>
      </c>
      <c r="Q25" s="14">
        <v>0.28000000000000003</v>
      </c>
      <c r="R25" s="14">
        <v>0.36</v>
      </c>
      <c r="S25" s="14">
        <v>0.27</v>
      </c>
      <c r="T25" s="14">
        <v>0.42</v>
      </c>
      <c r="U25" s="14">
        <v>0.28999999999999998</v>
      </c>
      <c r="V25" s="14">
        <v>0.46</v>
      </c>
      <c r="W25" s="14">
        <v>0.48</v>
      </c>
      <c r="X25" s="14">
        <v>0.47</v>
      </c>
      <c r="Y25" s="14">
        <v>0.38</v>
      </c>
      <c r="Z25" s="14">
        <v>0.41</v>
      </c>
      <c r="AA25" s="14">
        <v>0.34</v>
      </c>
      <c r="AB25" s="14">
        <v>0.43</v>
      </c>
      <c r="AC25" s="14">
        <v>0.48</v>
      </c>
      <c r="AD25" s="14">
        <v>0.5</v>
      </c>
      <c r="AE25" s="14">
        <v>0.28999999999999998</v>
      </c>
      <c r="AF25" s="14">
        <v>0.37</v>
      </c>
    </row>
    <row r="26" spans="1:32">
      <c r="A26" s="20"/>
      <c r="B26" s="11" t="s">
        <v>837</v>
      </c>
      <c r="C26" s="12">
        <v>6278</v>
      </c>
      <c r="D26" s="12">
        <v>304</v>
      </c>
      <c r="E26" s="12">
        <v>289</v>
      </c>
      <c r="F26" s="12">
        <v>233</v>
      </c>
      <c r="G26" s="12">
        <v>232</v>
      </c>
      <c r="H26" s="12">
        <v>251</v>
      </c>
      <c r="I26" s="12">
        <v>313</v>
      </c>
      <c r="J26" s="12">
        <v>63</v>
      </c>
      <c r="K26" s="12">
        <v>258</v>
      </c>
      <c r="L26" s="12">
        <v>256</v>
      </c>
      <c r="M26" s="12">
        <v>222</v>
      </c>
      <c r="N26" s="12">
        <v>254</v>
      </c>
      <c r="O26" s="12">
        <v>255</v>
      </c>
      <c r="P26" s="12">
        <v>263</v>
      </c>
      <c r="Q26" s="12">
        <v>282</v>
      </c>
      <c r="R26" s="12">
        <v>101</v>
      </c>
      <c r="S26" s="12">
        <v>192</v>
      </c>
      <c r="T26" s="12">
        <v>212</v>
      </c>
      <c r="U26" s="12">
        <v>133</v>
      </c>
      <c r="V26" s="12">
        <v>245</v>
      </c>
      <c r="W26" s="12">
        <v>132</v>
      </c>
      <c r="X26" s="12">
        <v>282</v>
      </c>
      <c r="Y26" s="12">
        <v>180</v>
      </c>
      <c r="Z26" s="12">
        <v>158</v>
      </c>
      <c r="AA26" s="12">
        <v>174</v>
      </c>
      <c r="AB26" s="12">
        <v>250</v>
      </c>
      <c r="AC26" s="12">
        <v>216</v>
      </c>
      <c r="AD26" s="12">
        <v>311</v>
      </c>
      <c r="AE26" s="12">
        <v>333</v>
      </c>
      <c r="AF26" s="12">
        <v>292</v>
      </c>
    </row>
    <row r="27" spans="1:32">
      <c r="A27" s="20"/>
      <c r="B27" s="13" t="s">
        <v>838</v>
      </c>
      <c r="C27" s="14">
        <v>0.24</v>
      </c>
      <c r="D27" s="14">
        <v>0.3</v>
      </c>
      <c r="E27" s="14">
        <v>0.28000000000000003</v>
      </c>
      <c r="F27" s="14">
        <v>0.23</v>
      </c>
      <c r="G27" s="14">
        <v>0.23</v>
      </c>
      <c r="H27" s="14">
        <v>0.21</v>
      </c>
      <c r="I27" s="14">
        <v>0.21</v>
      </c>
      <c r="J27" s="14">
        <v>0.21</v>
      </c>
      <c r="K27" s="14">
        <v>0.26</v>
      </c>
      <c r="L27" s="14">
        <v>0.25</v>
      </c>
      <c r="M27" s="14">
        <v>0.22</v>
      </c>
      <c r="N27" s="14">
        <v>0.25</v>
      </c>
      <c r="O27" s="14">
        <v>0.25</v>
      </c>
      <c r="P27" s="14">
        <v>0.26</v>
      </c>
      <c r="Q27" s="14">
        <v>0.28000000000000003</v>
      </c>
      <c r="R27" s="14">
        <v>0.2</v>
      </c>
      <c r="S27" s="14">
        <v>0.19</v>
      </c>
      <c r="T27" s="14">
        <v>0.21</v>
      </c>
      <c r="U27" s="14">
        <v>0.26</v>
      </c>
      <c r="V27" s="14">
        <v>0.24</v>
      </c>
      <c r="W27" s="14">
        <v>0.26</v>
      </c>
      <c r="X27" s="14">
        <v>0.28000000000000003</v>
      </c>
      <c r="Y27" s="14">
        <v>0.18</v>
      </c>
      <c r="Z27" s="14">
        <v>0.16</v>
      </c>
      <c r="AA27" s="14">
        <v>0.17</v>
      </c>
      <c r="AB27" s="14">
        <v>0.24</v>
      </c>
      <c r="AC27" s="14">
        <v>0.21</v>
      </c>
      <c r="AD27" s="14">
        <v>0.31</v>
      </c>
      <c r="AE27" s="14">
        <v>0.33</v>
      </c>
      <c r="AF27" s="14">
        <v>0.28999999999999998</v>
      </c>
    </row>
    <row r="28" spans="1:32">
      <c r="A28" s="20"/>
      <c r="B28" s="11" t="s">
        <v>839</v>
      </c>
      <c r="C28" s="12">
        <v>3812</v>
      </c>
      <c r="D28" s="12">
        <v>176</v>
      </c>
      <c r="E28" s="12">
        <v>166</v>
      </c>
      <c r="F28" s="12">
        <v>113</v>
      </c>
      <c r="G28" s="12">
        <v>127</v>
      </c>
      <c r="H28" s="12">
        <v>108</v>
      </c>
      <c r="I28" s="12">
        <v>135</v>
      </c>
      <c r="J28" s="12">
        <v>27</v>
      </c>
      <c r="K28" s="12">
        <v>115</v>
      </c>
      <c r="L28" s="12">
        <v>159</v>
      </c>
      <c r="M28" s="12">
        <v>145</v>
      </c>
      <c r="N28" s="12">
        <v>142</v>
      </c>
      <c r="O28" s="12">
        <v>151</v>
      </c>
      <c r="P28" s="12">
        <v>177</v>
      </c>
      <c r="Q28" s="12">
        <v>178</v>
      </c>
      <c r="R28" s="12">
        <v>189</v>
      </c>
      <c r="S28" s="12">
        <v>121</v>
      </c>
      <c r="T28" s="12">
        <v>128</v>
      </c>
      <c r="U28" s="12">
        <v>71</v>
      </c>
      <c r="V28" s="12">
        <v>180</v>
      </c>
      <c r="W28" s="12">
        <v>169</v>
      </c>
      <c r="X28" s="12">
        <v>108</v>
      </c>
      <c r="Y28" s="12">
        <v>129</v>
      </c>
      <c r="Z28" s="12">
        <v>179</v>
      </c>
      <c r="AA28" s="12">
        <v>153</v>
      </c>
      <c r="AB28" s="12">
        <v>295</v>
      </c>
      <c r="AC28" s="12">
        <v>107</v>
      </c>
      <c r="AD28" s="12">
        <v>197</v>
      </c>
      <c r="AE28" s="12">
        <v>51</v>
      </c>
      <c r="AF28" s="12">
        <v>84</v>
      </c>
    </row>
    <row r="29" spans="1:32">
      <c r="A29" s="20"/>
      <c r="B29" s="13" t="s">
        <v>840</v>
      </c>
      <c r="C29" s="14">
        <v>0.14000000000000001</v>
      </c>
      <c r="D29" s="14">
        <v>0.18</v>
      </c>
      <c r="E29" s="14">
        <v>0.16</v>
      </c>
      <c r="F29" s="14">
        <v>0.11</v>
      </c>
      <c r="G29" s="14">
        <v>0.13</v>
      </c>
      <c r="H29" s="14">
        <v>0.09</v>
      </c>
      <c r="I29" s="14">
        <v>0.09</v>
      </c>
      <c r="J29" s="14">
        <v>0.09</v>
      </c>
      <c r="K29" s="14">
        <v>0.11</v>
      </c>
      <c r="L29" s="14">
        <v>0.16</v>
      </c>
      <c r="M29" s="14">
        <v>0.14000000000000001</v>
      </c>
      <c r="N29" s="14">
        <v>0.14000000000000001</v>
      </c>
      <c r="O29" s="14">
        <v>0.15</v>
      </c>
      <c r="P29" s="14">
        <v>0.17</v>
      </c>
      <c r="Q29" s="14">
        <v>0.17</v>
      </c>
      <c r="R29" s="14">
        <v>0.38</v>
      </c>
      <c r="S29" s="14">
        <v>0.12</v>
      </c>
      <c r="T29" s="14">
        <v>0.13</v>
      </c>
      <c r="U29" s="14">
        <v>0.14000000000000001</v>
      </c>
      <c r="V29" s="14">
        <v>0.18</v>
      </c>
      <c r="W29" s="14">
        <v>0.34</v>
      </c>
      <c r="X29" s="14">
        <v>0.11</v>
      </c>
      <c r="Y29" s="14">
        <v>0.13</v>
      </c>
      <c r="Z29" s="14">
        <v>0.18</v>
      </c>
      <c r="AA29" s="14">
        <v>0.15</v>
      </c>
      <c r="AB29" s="14">
        <v>0.28000000000000003</v>
      </c>
      <c r="AC29" s="14">
        <v>0.11</v>
      </c>
      <c r="AD29" s="14">
        <v>0.2</v>
      </c>
      <c r="AE29" s="14">
        <v>0.05</v>
      </c>
      <c r="AF29" s="14">
        <v>0.08</v>
      </c>
    </row>
    <row r="30" spans="1:32">
      <c r="A30" s="20"/>
      <c r="B30" s="11" t="s">
        <v>709</v>
      </c>
      <c r="C30" s="12">
        <v>4648</v>
      </c>
      <c r="D30" s="12">
        <v>135</v>
      </c>
      <c r="E30" s="12">
        <v>215</v>
      </c>
      <c r="F30" s="12">
        <v>193</v>
      </c>
      <c r="G30" s="12">
        <v>141</v>
      </c>
      <c r="H30" s="12">
        <v>182</v>
      </c>
      <c r="I30" s="12">
        <v>251</v>
      </c>
      <c r="J30" s="12">
        <v>69</v>
      </c>
      <c r="K30" s="12">
        <v>243</v>
      </c>
      <c r="L30" s="12">
        <v>230</v>
      </c>
      <c r="M30" s="12">
        <v>281</v>
      </c>
      <c r="N30" s="12">
        <v>225</v>
      </c>
      <c r="O30" s="12">
        <v>158</v>
      </c>
      <c r="P30" s="12">
        <v>207</v>
      </c>
      <c r="Q30" s="12">
        <v>233</v>
      </c>
      <c r="R30" s="12">
        <v>195</v>
      </c>
      <c r="S30" s="12">
        <v>178</v>
      </c>
      <c r="T30" s="12">
        <v>187</v>
      </c>
      <c r="U30" s="12">
        <v>95</v>
      </c>
      <c r="V30" s="12">
        <v>233</v>
      </c>
      <c r="W30" s="12">
        <v>109</v>
      </c>
      <c r="X30" s="12">
        <v>76</v>
      </c>
      <c r="Y30" s="12">
        <v>181</v>
      </c>
      <c r="Z30" s="12">
        <v>116</v>
      </c>
      <c r="AA30" s="12">
        <v>205</v>
      </c>
      <c r="AB30" s="12">
        <v>163</v>
      </c>
      <c r="AC30" s="12">
        <v>145</v>
      </c>
      <c r="AD30" s="12">
        <v>192</v>
      </c>
      <c r="AE30" s="12">
        <v>108</v>
      </c>
      <c r="AF30" s="12">
        <v>101</v>
      </c>
    </row>
    <row r="31" spans="1:32">
      <c r="A31" s="20"/>
      <c r="B31" s="13" t="s">
        <v>710</v>
      </c>
      <c r="C31" s="14">
        <v>0.18</v>
      </c>
      <c r="D31" s="14">
        <v>0.14000000000000001</v>
      </c>
      <c r="E31" s="14">
        <v>0.21</v>
      </c>
      <c r="F31" s="14">
        <v>0.19</v>
      </c>
      <c r="G31" s="14">
        <v>0.14000000000000001</v>
      </c>
      <c r="H31" s="14">
        <v>0.15</v>
      </c>
      <c r="I31" s="14">
        <v>0.17</v>
      </c>
      <c r="J31" s="14">
        <v>0.24</v>
      </c>
      <c r="K31" s="14">
        <v>0.24</v>
      </c>
      <c r="L31" s="14">
        <v>0.23</v>
      </c>
      <c r="M31" s="14">
        <v>0.28000000000000003</v>
      </c>
      <c r="N31" s="14">
        <v>0.22</v>
      </c>
      <c r="O31" s="14">
        <v>0.16</v>
      </c>
      <c r="P31" s="14">
        <v>0.2</v>
      </c>
      <c r="Q31" s="14">
        <v>0.23</v>
      </c>
      <c r="R31" s="14">
        <v>0.39</v>
      </c>
      <c r="S31" s="14">
        <v>0.18</v>
      </c>
      <c r="T31" s="14">
        <v>0.18</v>
      </c>
      <c r="U31" s="14">
        <v>0.19</v>
      </c>
      <c r="V31" s="14">
        <v>0.23</v>
      </c>
      <c r="W31" s="14">
        <v>0.22</v>
      </c>
      <c r="X31" s="14">
        <v>7.0000000000000007E-2</v>
      </c>
      <c r="Y31" s="14">
        <v>0.18</v>
      </c>
      <c r="Z31" s="14">
        <v>0.12</v>
      </c>
      <c r="AA31" s="14">
        <v>0.19</v>
      </c>
      <c r="AB31" s="14">
        <v>0.16</v>
      </c>
      <c r="AC31" s="14">
        <v>0.14000000000000001</v>
      </c>
      <c r="AD31" s="14">
        <v>0.19</v>
      </c>
      <c r="AE31" s="14">
        <v>0.11</v>
      </c>
      <c r="AF31" s="14">
        <v>0.1</v>
      </c>
    </row>
    <row r="32" spans="1:32">
      <c r="A32" s="20"/>
      <c r="B32" s="11" t="s">
        <v>519</v>
      </c>
      <c r="C32" s="12">
        <v>171</v>
      </c>
      <c r="D32" s="12">
        <v>6</v>
      </c>
      <c r="E32" s="12">
        <v>9</v>
      </c>
      <c r="F32" s="12">
        <v>2</v>
      </c>
      <c r="G32" s="12">
        <v>3</v>
      </c>
      <c r="H32" s="12">
        <v>12</v>
      </c>
      <c r="I32" s="12">
        <v>15</v>
      </c>
      <c r="J32" s="12">
        <v>3</v>
      </c>
      <c r="K32" s="12">
        <v>16</v>
      </c>
      <c r="L32" s="12">
        <v>8</v>
      </c>
      <c r="M32" s="12">
        <v>6</v>
      </c>
      <c r="N32" s="12">
        <v>11</v>
      </c>
      <c r="O32" s="12">
        <v>0</v>
      </c>
      <c r="P32" s="12">
        <v>0</v>
      </c>
      <c r="Q32" s="12">
        <v>1</v>
      </c>
      <c r="R32" s="12">
        <v>1</v>
      </c>
      <c r="S32" s="12">
        <v>31</v>
      </c>
      <c r="T32" s="12">
        <v>14</v>
      </c>
      <c r="U32" s="12">
        <v>5</v>
      </c>
      <c r="V32" s="12">
        <v>6</v>
      </c>
      <c r="W32" s="12">
        <v>1</v>
      </c>
      <c r="X32" s="12">
        <v>4</v>
      </c>
      <c r="Y32" s="12">
        <v>36</v>
      </c>
      <c r="Z32" s="12">
        <v>2</v>
      </c>
      <c r="AA32" s="12">
        <v>10</v>
      </c>
      <c r="AB32" s="12">
        <v>12</v>
      </c>
      <c r="AC32" s="12">
        <v>10</v>
      </c>
      <c r="AD32" s="12">
        <v>18</v>
      </c>
      <c r="AE32" s="12">
        <v>2</v>
      </c>
      <c r="AF32" s="12">
        <v>7</v>
      </c>
    </row>
    <row r="33" spans="1:32">
      <c r="A33" s="20"/>
      <c r="B33" s="13" t="s">
        <v>520</v>
      </c>
      <c r="C33" s="14">
        <v>0.01</v>
      </c>
      <c r="D33" s="14">
        <v>0.01</v>
      </c>
      <c r="E33" s="14">
        <v>0.01</v>
      </c>
      <c r="F33" s="15" t="s">
        <v>459</v>
      </c>
      <c r="G33" s="15" t="s">
        <v>459</v>
      </c>
      <c r="H33" s="14">
        <v>0.01</v>
      </c>
      <c r="I33" s="14">
        <v>0.01</v>
      </c>
      <c r="J33" s="14">
        <v>0.01</v>
      </c>
      <c r="K33" s="14">
        <v>0.02</v>
      </c>
      <c r="L33" s="14">
        <v>0.01</v>
      </c>
      <c r="M33" s="14">
        <v>0.01</v>
      </c>
      <c r="N33" s="14">
        <v>0.01</v>
      </c>
      <c r="O33" s="15" t="s">
        <v>459</v>
      </c>
      <c r="P33" s="15" t="s">
        <v>459</v>
      </c>
      <c r="Q33" s="15" t="s">
        <v>459</v>
      </c>
      <c r="R33" s="15" t="s">
        <v>459</v>
      </c>
      <c r="S33" s="14">
        <v>0.03</v>
      </c>
      <c r="T33" s="14">
        <v>0.01</v>
      </c>
      <c r="U33" s="14">
        <v>0.01</v>
      </c>
      <c r="V33" s="14">
        <v>0.01</v>
      </c>
      <c r="W33" s="15" t="s">
        <v>459</v>
      </c>
      <c r="X33" s="15" t="s">
        <v>459</v>
      </c>
      <c r="Y33" s="14">
        <v>0.04</v>
      </c>
      <c r="Z33" s="15" t="s">
        <v>459</v>
      </c>
      <c r="AA33" s="14">
        <v>0.01</v>
      </c>
      <c r="AB33" s="14">
        <v>0.01</v>
      </c>
      <c r="AC33" s="14">
        <v>0.01</v>
      </c>
      <c r="AD33" s="14">
        <v>0.02</v>
      </c>
      <c r="AE33" s="15" t="s">
        <v>459</v>
      </c>
      <c r="AF33" s="14">
        <v>0.01</v>
      </c>
    </row>
    <row r="34" spans="1:32" ht="24.95">
      <c r="A34" s="20"/>
      <c r="B34" s="11" t="s">
        <v>551</v>
      </c>
      <c r="C34" s="12">
        <v>1217</v>
      </c>
      <c r="D34" s="12">
        <v>12</v>
      </c>
      <c r="E34" s="12">
        <v>58</v>
      </c>
      <c r="F34" s="12">
        <v>62</v>
      </c>
      <c r="G34" s="12">
        <v>5</v>
      </c>
      <c r="H34" s="12">
        <v>66</v>
      </c>
      <c r="I34" s="12">
        <v>88</v>
      </c>
      <c r="J34" s="12">
        <v>22</v>
      </c>
      <c r="K34" s="12">
        <v>64</v>
      </c>
      <c r="L34" s="12">
        <v>39</v>
      </c>
      <c r="M34" s="12">
        <v>70</v>
      </c>
      <c r="N34" s="12">
        <v>54</v>
      </c>
      <c r="O34" s="12">
        <v>52</v>
      </c>
      <c r="P34" s="12">
        <v>26</v>
      </c>
      <c r="Q34" s="12">
        <v>53</v>
      </c>
      <c r="R34" s="12">
        <v>40</v>
      </c>
      <c r="S34" s="12">
        <v>69</v>
      </c>
      <c r="T34" s="12">
        <v>48</v>
      </c>
      <c r="U34" s="12">
        <v>18</v>
      </c>
      <c r="V34" s="12">
        <v>41</v>
      </c>
      <c r="W34" s="12">
        <v>1</v>
      </c>
      <c r="X34" s="12">
        <v>12</v>
      </c>
      <c r="Y34" s="12">
        <v>142</v>
      </c>
      <c r="Z34" s="12">
        <v>18</v>
      </c>
      <c r="AA34" s="12">
        <v>42</v>
      </c>
      <c r="AB34" s="12">
        <v>23</v>
      </c>
      <c r="AC34" s="12">
        <v>53</v>
      </c>
      <c r="AD34" s="12">
        <v>39</v>
      </c>
      <c r="AE34" s="12">
        <v>18</v>
      </c>
      <c r="AF34" s="12">
        <v>12</v>
      </c>
    </row>
    <row r="35" spans="1:32">
      <c r="A35" s="20"/>
      <c r="B35" s="13" t="s">
        <v>522</v>
      </c>
      <c r="C35" s="14">
        <v>0.05</v>
      </c>
      <c r="D35" s="14">
        <v>0.01</v>
      </c>
      <c r="E35" s="14">
        <v>0.06</v>
      </c>
      <c r="F35" s="14">
        <v>0.06</v>
      </c>
      <c r="G35" s="15" t="s">
        <v>459</v>
      </c>
      <c r="H35" s="14">
        <v>0.05</v>
      </c>
      <c r="I35" s="14">
        <v>0.06</v>
      </c>
      <c r="J35" s="14">
        <v>0.08</v>
      </c>
      <c r="K35" s="14">
        <v>0.06</v>
      </c>
      <c r="L35" s="14">
        <v>0.04</v>
      </c>
      <c r="M35" s="14">
        <v>7.0000000000000007E-2</v>
      </c>
      <c r="N35" s="14">
        <v>0.05</v>
      </c>
      <c r="O35" s="14">
        <v>0.05</v>
      </c>
      <c r="P35" s="14">
        <v>0.03</v>
      </c>
      <c r="Q35" s="14">
        <v>0.05</v>
      </c>
      <c r="R35" s="14">
        <v>0.08</v>
      </c>
      <c r="S35" s="14">
        <v>7.0000000000000007E-2</v>
      </c>
      <c r="T35" s="14">
        <v>0.05</v>
      </c>
      <c r="U35" s="14">
        <v>0.04</v>
      </c>
      <c r="V35" s="14">
        <v>0.04</v>
      </c>
      <c r="W35" s="15" t="s">
        <v>459</v>
      </c>
      <c r="X35" s="14">
        <v>0.01</v>
      </c>
      <c r="Y35" s="14">
        <v>0.14000000000000001</v>
      </c>
      <c r="Z35" s="14">
        <v>0.02</v>
      </c>
      <c r="AA35" s="14">
        <v>0.04</v>
      </c>
      <c r="AB35" s="14">
        <v>0.02</v>
      </c>
      <c r="AC35" s="14">
        <v>0.05</v>
      </c>
      <c r="AD35" s="14">
        <v>0.04</v>
      </c>
      <c r="AE35" s="14">
        <v>0.02</v>
      </c>
      <c r="AF35" s="14">
        <v>0.01</v>
      </c>
    </row>
    <row r="36" spans="1:32">
      <c r="A36" s="20"/>
      <c r="B36" s="11" t="s">
        <v>468</v>
      </c>
      <c r="C36" s="12">
        <v>1298</v>
      </c>
      <c r="D36" s="12">
        <v>14</v>
      </c>
      <c r="E36" s="12">
        <v>62</v>
      </c>
      <c r="F36" s="12">
        <v>59</v>
      </c>
      <c r="G36" s="12">
        <v>30</v>
      </c>
      <c r="H36" s="12">
        <v>43</v>
      </c>
      <c r="I36" s="12">
        <v>52</v>
      </c>
      <c r="J36" s="12">
        <v>9</v>
      </c>
      <c r="K36" s="12">
        <v>46</v>
      </c>
      <c r="L36" s="12">
        <v>26</v>
      </c>
      <c r="M36" s="12">
        <v>29</v>
      </c>
      <c r="N36" s="12">
        <v>63</v>
      </c>
      <c r="O36" s="12">
        <v>93</v>
      </c>
      <c r="P36" s="12">
        <v>22</v>
      </c>
      <c r="Q36" s="12">
        <v>51</v>
      </c>
      <c r="R36" s="12">
        <v>29</v>
      </c>
      <c r="S36" s="12">
        <v>84</v>
      </c>
      <c r="T36" s="12">
        <v>62</v>
      </c>
      <c r="U36" s="12">
        <v>6</v>
      </c>
      <c r="V36" s="12">
        <v>39</v>
      </c>
      <c r="W36" s="12">
        <v>8</v>
      </c>
      <c r="X36" s="12">
        <v>8</v>
      </c>
      <c r="Y36" s="12">
        <v>29</v>
      </c>
      <c r="Z36" s="12">
        <v>40</v>
      </c>
      <c r="AA36" s="12">
        <v>103</v>
      </c>
      <c r="AB36" s="12">
        <v>43</v>
      </c>
      <c r="AC36" s="12">
        <v>17</v>
      </c>
      <c r="AD36" s="12">
        <v>31</v>
      </c>
      <c r="AE36" s="12">
        <v>39</v>
      </c>
      <c r="AF36" s="12">
        <v>15</v>
      </c>
    </row>
    <row r="37" spans="1:32">
      <c r="A37" s="20"/>
      <c r="B37" s="13" t="s">
        <v>469</v>
      </c>
      <c r="C37" s="14">
        <v>0.05</v>
      </c>
      <c r="D37" s="14">
        <v>0.01</v>
      </c>
      <c r="E37" s="14">
        <v>0.06</v>
      </c>
      <c r="F37" s="14">
        <v>0.06</v>
      </c>
      <c r="G37" s="14">
        <v>0.03</v>
      </c>
      <c r="H37" s="14">
        <v>0.04</v>
      </c>
      <c r="I37" s="14">
        <v>0.03</v>
      </c>
      <c r="J37" s="14">
        <v>0.03</v>
      </c>
      <c r="K37" s="14">
        <v>0.05</v>
      </c>
      <c r="L37" s="14">
        <v>0.03</v>
      </c>
      <c r="M37" s="14">
        <v>0.03</v>
      </c>
      <c r="N37" s="14">
        <v>0.06</v>
      </c>
      <c r="O37" s="14">
        <v>0.09</v>
      </c>
      <c r="P37" s="14">
        <v>0.02</v>
      </c>
      <c r="Q37" s="14">
        <v>0.05</v>
      </c>
      <c r="R37" s="14">
        <v>0.06</v>
      </c>
      <c r="S37" s="14">
        <v>0.08</v>
      </c>
      <c r="T37" s="14">
        <v>0.06</v>
      </c>
      <c r="U37" s="14">
        <v>0.01</v>
      </c>
      <c r="V37" s="14">
        <v>0.04</v>
      </c>
      <c r="W37" s="14">
        <v>0.02</v>
      </c>
      <c r="X37" s="14">
        <v>0.01</v>
      </c>
      <c r="Y37" s="14">
        <v>0.03</v>
      </c>
      <c r="Z37" s="14">
        <v>0.04</v>
      </c>
      <c r="AA37" s="14">
        <v>0.1</v>
      </c>
      <c r="AB37" s="14">
        <v>0.04</v>
      </c>
      <c r="AC37" s="14">
        <v>0.02</v>
      </c>
      <c r="AD37" s="14">
        <v>0.03</v>
      </c>
      <c r="AE37" s="14">
        <v>0.04</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117</v>
      </c>
      <c r="C3" s="18"/>
      <c r="D3" s="18"/>
      <c r="E3" s="18"/>
      <c r="F3" s="18"/>
      <c r="H3" s="18" t="s">
        <v>118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2674</v>
      </c>
      <c r="D12" s="12">
        <v>76</v>
      </c>
      <c r="E12" s="12">
        <v>149</v>
      </c>
      <c r="F12" s="12">
        <v>49</v>
      </c>
      <c r="G12" s="12">
        <v>308</v>
      </c>
      <c r="H12" s="12">
        <v>145</v>
      </c>
      <c r="I12" s="12">
        <v>183</v>
      </c>
      <c r="J12" s="12">
        <v>38</v>
      </c>
      <c r="K12" s="12">
        <v>80</v>
      </c>
      <c r="L12" s="12">
        <v>223</v>
      </c>
      <c r="M12" s="12">
        <v>113</v>
      </c>
      <c r="N12" s="12">
        <v>135</v>
      </c>
      <c r="O12" s="12">
        <v>79</v>
      </c>
      <c r="P12" s="12">
        <v>81</v>
      </c>
      <c r="Q12" s="12">
        <v>35</v>
      </c>
      <c r="R12" s="12">
        <v>77</v>
      </c>
      <c r="S12" s="12">
        <v>149</v>
      </c>
      <c r="T12" s="12">
        <v>243</v>
      </c>
      <c r="U12" s="12">
        <v>77</v>
      </c>
      <c r="V12" s="12">
        <v>52</v>
      </c>
      <c r="W12" s="12">
        <v>118</v>
      </c>
      <c r="X12" s="12">
        <v>163</v>
      </c>
      <c r="Y12" s="12">
        <v>107</v>
      </c>
      <c r="Z12" s="12">
        <v>62</v>
      </c>
      <c r="AA12" s="12">
        <v>87</v>
      </c>
      <c r="AB12" s="12">
        <v>97</v>
      </c>
      <c r="AC12" s="12">
        <v>174</v>
      </c>
      <c r="AD12" s="12">
        <v>115</v>
      </c>
      <c r="AE12" s="12">
        <v>130</v>
      </c>
      <c r="AF12" s="12">
        <v>230</v>
      </c>
    </row>
    <row r="13" spans="1:32">
      <c r="A13" s="20"/>
      <c r="B13" s="13" t="s">
        <v>844</v>
      </c>
      <c r="C13" s="14">
        <v>0.1</v>
      </c>
      <c r="D13" s="14">
        <v>7.0000000000000007E-2</v>
      </c>
      <c r="E13" s="14">
        <v>0.15</v>
      </c>
      <c r="F13" s="14">
        <v>0.05</v>
      </c>
      <c r="G13" s="14">
        <v>0.31</v>
      </c>
      <c r="H13" s="14">
        <v>0.12</v>
      </c>
      <c r="I13" s="14">
        <v>0.12</v>
      </c>
      <c r="J13" s="14">
        <v>0.13</v>
      </c>
      <c r="K13" s="14">
        <v>0.08</v>
      </c>
      <c r="L13" s="14">
        <v>0.22</v>
      </c>
      <c r="M13" s="14">
        <v>0.11</v>
      </c>
      <c r="N13" s="14">
        <v>0.13</v>
      </c>
      <c r="O13" s="14">
        <v>0.08</v>
      </c>
      <c r="P13" s="14">
        <v>0.08</v>
      </c>
      <c r="Q13" s="14">
        <v>0.03</v>
      </c>
      <c r="R13" s="14">
        <v>0.15</v>
      </c>
      <c r="S13" s="14">
        <v>0.15</v>
      </c>
      <c r="T13" s="14">
        <v>0.24</v>
      </c>
      <c r="U13" s="14">
        <v>0.15</v>
      </c>
      <c r="V13" s="14">
        <v>0.05</v>
      </c>
      <c r="W13" s="14">
        <v>0.23</v>
      </c>
      <c r="X13" s="14">
        <v>0.16</v>
      </c>
      <c r="Y13" s="14">
        <v>0.1</v>
      </c>
      <c r="Z13" s="14">
        <v>0.06</v>
      </c>
      <c r="AA13" s="14">
        <v>0.08</v>
      </c>
      <c r="AB13" s="14">
        <v>0.09</v>
      </c>
      <c r="AC13" s="14">
        <v>0.17</v>
      </c>
      <c r="AD13" s="14">
        <v>0.11</v>
      </c>
      <c r="AE13" s="14">
        <v>0.13</v>
      </c>
      <c r="AF13" s="14">
        <v>0.23</v>
      </c>
    </row>
    <row r="14" spans="1:32">
      <c r="A14" s="20"/>
      <c r="B14" s="11" t="s">
        <v>845</v>
      </c>
      <c r="C14" s="12">
        <v>12244</v>
      </c>
      <c r="D14" s="12">
        <v>492</v>
      </c>
      <c r="E14" s="12">
        <v>407</v>
      </c>
      <c r="F14" s="12">
        <v>380</v>
      </c>
      <c r="G14" s="12">
        <v>445</v>
      </c>
      <c r="H14" s="12">
        <v>466</v>
      </c>
      <c r="I14" s="12">
        <v>565</v>
      </c>
      <c r="J14" s="12">
        <v>99</v>
      </c>
      <c r="K14" s="12">
        <v>444</v>
      </c>
      <c r="L14" s="12">
        <v>475</v>
      </c>
      <c r="M14" s="12">
        <v>434</v>
      </c>
      <c r="N14" s="12">
        <v>537</v>
      </c>
      <c r="O14" s="12">
        <v>352</v>
      </c>
      <c r="P14" s="12">
        <v>546</v>
      </c>
      <c r="Q14" s="12">
        <v>505</v>
      </c>
      <c r="R14" s="12">
        <v>270</v>
      </c>
      <c r="S14" s="12">
        <v>505</v>
      </c>
      <c r="T14" s="12">
        <v>507</v>
      </c>
      <c r="U14" s="12">
        <v>228</v>
      </c>
      <c r="V14" s="12">
        <v>601</v>
      </c>
      <c r="W14" s="12">
        <v>230</v>
      </c>
      <c r="X14" s="12">
        <v>542</v>
      </c>
      <c r="Y14" s="12">
        <v>351</v>
      </c>
      <c r="Z14" s="12">
        <v>649</v>
      </c>
      <c r="AA14" s="12">
        <v>534</v>
      </c>
      <c r="AB14" s="12">
        <v>538</v>
      </c>
      <c r="AC14" s="12">
        <v>493</v>
      </c>
      <c r="AD14" s="12">
        <v>458</v>
      </c>
      <c r="AE14" s="12">
        <v>597</v>
      </c>
      <c r="AF14" s="12">
        <v>573</v>
      </c>
    </row>
    <row r="15" spans="1:32">
      <c r="A15" s="20"/>
      <c r="B15" s="13" t="s">
        <v>846</v>
      </c>
      <c r="C15" s="14">
        <v>0.46</v>
      </c>
      <c r="D15" s="14">
        <v>0.49</v>
      </c>
      <c r="E15" s="14">
        <v>0.4</v>
      </c>
      <c r="F15" s="14">
        <v>0.38</v>
      </c>
      <c r="G15" s="14">
        <v>0.44</v>
      </c>
      <c r="H15" s="14">
        <v>0.38</v>
      </c>
      <c r="I15" s="14">
        <v>0.37</v>
      </c>
      <c r="J15" s="14">
        <v>0.34</v>
      </c>
      <c r="K15" s="14">
        <v>0.44</v>
      </c>
      <c r="L15" s="14">
        <v>0.47</v>
      </c>
      <c r="M15" s="14">
        <v>0.43</v>
      </c>
      <c r="N15" s="14">
        <v>0.54</v>
      </c>
      <c r="O15" s="14">
        <v>0.35</v>
      </c>
      <c r="P15" s="14">
        <v>0.53</v>
      </c>
      <c r="Q15" s="14">
        <v>0.5</v>
      </c>
      <c r="R15" s="14">
        <v>0.54</v>
      </c>
      <c r="S15" s="14">
        <v>0.5</v>
      </c>
      <c r="T15" s="14">
        <v>0.5</v>
      </c>
      <c r="U15" s="14">
        <v>0.45</v>
      </c>
      <c r="V15" s="14">
        <v>0.59</v>
      </c>
      <c r="W15" s="14">
        <v>0.46</v>
      </c>
      <c r="X15" s="14">
        <v>0.53</v>
      </c>
      <c r="Y15" s="14">
        <v>0.35</v>
      </c>
      <c r="Z15" s="14">
        <v>0.64</v>
      </c>
      <c r="AA15" s="14">
        <v>0.51</v>
      </c>
      <c r="AB15" s="14">
        <v>0.52</v>
      </c>
      <c r="AC15" s="14">
        <v>0.49</v>
      </c>
      <c r="AD15" s="14">
        <v>0.46</v>
      </c>
      <c r="AE15" s="14">
        <v>0.6</v>
      </c>
      <c r="AF15" s="14">
        <v>0.56000000000000005</v>
      </c>
    </row>
    <row r="16" spans="1:32">
      <c r="A16" s="20"/>
      <c r="B16" s="11" t="s">
        <v>847</v>
      </c>
      <c r="C16" s="12">
        <v>6771</v>
      </c>
      <c r="D16" s="12">
        <v>281</v>
      </c>
      <c r="E16" s="12">
        <v>240</v>
      </c>
      <c r="F16" s="12">
        <v>374</v>
      </c>
      <c r="G16" s="12">
        <v>150</v>
      </c>
      <c r="H16" s="12">
        <v>371</v>
      </c>
      <c r="I16" s="12">
        <v>465</v>
      </c>
      <c r="J16" s="12">
        <v>94</v>
      </c>
      <c r="K16" s="12">
        <v>284</v>
      </c>
      <c r="L16" s="12">
        <v>136</v>
      </c>
      <c r="M16" s="12">
        <v>252</v>
      </c>
      <c r="N16" s="12">
        <v>170</v>
      </c>
      <c r="O16" s="12">
        <v>291</v>
      </c>
      <c r="P16" s="12">
        <v>282</v>
      </c>
      <c r="Q16" s="12">
        <v>338</v>
      </c>
      <c r="R16" s="12">
        <v>100</v>
      </c>
      <c r="S16" s="12">
        <v>218</v>
      </c>
      <c r="T16" s="12">
        <v>154</v>
      </c>
      <c r="U16" s="12">
        <v>109</v>
      </c>
      <c r="V16" s="12">
        <v>228</v>
      </c>
      <c r="W16" s="12">
        <v>100</v>
      </c>
      <c r="X16" s="12">
        <v>214</v>
      </c>
      <c r="Y16" s="12">
        <v>231</v>
      </c>
      <c r="Z16" s="12">
        <v>162</v>
      </c>
      <c r="AA16" s="12">
        <v>268</v>
      </c>
      <c r="AB16" s="12">
        <v>286</v>
      </c>
      <c r="AC16" s="12">
        <v>207</v>
      </c>
      <c r="AD16" s="12">
        <v>260</v>
      </c>
      <c r="AE16" s="12">
        <v>168</v>
      </c>
      <c r="AF16" s="12">
        <v>155</v>
      </c>
    </row>
    <row r="17" spans="1:32">
      <c r="A17" s="20"/>
      <c r="B17" s="13" t="s">
        <v>848</v>
      </c>
      <c r="C17" s="14">
        <v>0.26</v>
      </c>
      <c r="D17" s="14">
        <v>0.28000000000000003</v>
      </c>
      <c r="E17" s="14">
        <v>0.23</v>
      </c>
      <c r="F17" s="14">
        <v>0.37</v>
      </c>
      <c r="G17" s="14">
        <v>0.15</v>
      </c>
      <c r="H17" s="14">
        <v>0.31</v>
      </c>
      <c r="I17" s="14">
        <v>0.31</v>
      </c>
      <c r="J17" s="14">
        <v>0.32</v>
      </c>
      <c r="K17" s="14">
        <v>0.28000000000000003</v>
      </c>
      <c r="L17" s="14">
        <v>0.13</v>
      </c>
      <c r="M17" s="14">
        <v>0.25</v>
      </c>
      <c r="N17" s="14">
        <v>0.17</v>
      </c>
      <c r="O17" s="14">
        <v>0.28999999999999998</v>
      </c>
      <c r="P17" s="14">
        <v>0.28000000000000003</v>
      </c>
      <c r="Q17" s="14">
        <v>0.33</v>
      </c>
      <c r="R17" s="14">
        <v>0.2</v>
      </c>
      <c r="S17" s="14">
        <v>0.22</v>
      </c>
      <c r="T17" s="14">
        <v>0.15</v>
      </c>
      <c r="U17" s="14">
        <v>0.21</v>
      </c>
      <c r="V17" s="14">
        <v>0.23</v>
      </c>
      <c r="W17" s="14">
        <v>0.2</v>
      </c>
      <c r="X17" s="14">
        <v>0.21</v>
      </c>
      <c r="Y17" s="14">
        <v>0.23</v>
      </c>
      <c r="Z17" s="14">
        <v>0.16</v>
      </c>
      <c r="AA17" s="14">
        <v>0.25</v>
      </c>
      <c r="AB17" s="14">
        <v>0.28000000000000003</v>
      </c>
      <c r="AC17" s="14">
        <v>0.21</v>
      </c>
      <c r="AD17" s="14">
        <v>0.26</v>
      </c>
      <c r="AE17" s="14">
        <v>0.17</v>
      </c>
      <c r="AF17" s="14">
        <v>0.15</v>
      </c>
    </row>
    <row r="18" spans="1:32">
      <c r="A18" s="20"/>
      <c r="B18" s="11" t="s">
        <v>849</v>
      </c>
      <c r="C18" s="12">
        <v>3156</v>
      </c>
      <c r="D18" s="12">
        <v>147</v>
      </c>
      <c r="E18" s="12">
        <v>114</v>
      </c>
      <c r="F18" s="12">
        <v>158</v>
      </c>
      <c r="G18" s="12">
        <v>68</v>
      </c>
      <c r="H18" s="12">
        <v>182</v>
      </c>
      <c r="I18" s="12">
        <v>234</v>
      </c>
      <c r="J18" s="12">
        <v>51</v>
      </c>
      <c r="K18" s="12">
        <v>103</v>
      </c>
      <c r="L18" s="12">
        <v>117</v>
      </c>
      <c r="M18" s="12">
        <v>168</v>
      </c>
      <c r="N18" s="12">
        <v>71</v>
      </c>
      <c r="O18" s="12">
        <v>193</v>
      </c>
      <c r="P18" s="12">
        <v>89</v>
      </c>
      <c r="Q18" s="12">
        <v>104</v>
      </c>
      <c r="R18" s="12">
        <v>42</v>
      </c>
      <c r="S18" s="12">
        <v>70</v>
      </c>
      <c r="T18" s="12">
        <v>55</v>
      </c>
      <c r="U18" s="12">
        <v>66</v>
      </c>
      <c r="V18" s="12">
        <v>63</v>
      </c>
      <c r="W18" s="12">
        <v>20</v>
      </c>
      <c r="X18" s="12">
        <v>90</v>
      </c>
      <c r="Y18" s="12">
        <v>268</v>
      </c>
      <c r="Z18" s="12">
        <v>66</v>
      </c>
      <c r="AA18" s="12">
        <v>61</v>
      </c>
      <c r="AB18" s="12">
        <v>66</v>
      </c>
      <c r="AC18" s="12">
        <v>115</v>
      </c>
      <c r="AD18" s="12">
        <v>105</v>
      </c>
      <c r="AE18" s="12">
        <v>63</v>
      </c>
      <c r="AF18" s="12">
        <v>52</v>
      </c>
    </row>
    <row r="19" spans="1:32">
      <c r="A19" s="20"/>
      <c r="B19" s="13" t="s">
        <v>850</v>
      </c>
      <c r="C19" s="14">
        <v>0.12</v>
      </c>
      <c r="D19" s="14">
        <v>0.15</v>
      </c>
      <c r="E19" s="14">
        <v>0.11</v>
      </c>
      <c r="F19" s="14">
        <v>0.16</v>
      </c>
      <c r="G19" s="14">
        <v>7.0000000000000007E-2</v>
      </c>
      <c r="H19" s="14">
        <v>0.15</v>
      </c>
      <c r="I19" s="14">
        <v>0.16</v>
      </c>
      <c r="J19" s="14">
        <v>0.17</v>
      </c>
      <c r="K19" s="14">
        <v>0.1</v>
      </c>
      <c r="L19" s="14">
        <v>0.12</v>
      </c>
      <c r="M19" s="14">
        <v>0.17</v>
      </c>
      <c r="N19" s="14">
        <v>7.0000000000000007E-2</v>
      </c>
      <c r="O19" s="14">
        <v>0.19</v>
      </c>
      <c r="P19" s="14">
        <v>0.09</v>
      </c>
      <c r="Q19" s="14">
        <v>0.1</v>
      </c>
      <c r="R19" s="14">
        <v>0.09</v>
      </c>
      <c r="S19" s="14">
        <v>7.0000000000000007E-2</v>
      </c>
      <c r="T19" s="14">
        <v>0.06</v>
      </c>
      <c r="U19" s="14">
        <v>0.13</v>
      </c>
      <c r="V19" s="14">
        <v>0.06</v>
      </c>
      <c r="W19" s="14">
        <v>0.04</v>
      </c>
      <c r="X19" s="14">
        <v>0.09</v>
      </c>
      <c r="Y19" s="14">
        <v>0.27</v>
      </c>
      <c r="Z19" s="14">
        <v>7.0000000000000007E-2</v>
      </c>
      <c r="AA19" s="14">
        <v>0.06</v>
      </c>
      <c r="AB19" s="14">
        <v>0.06</v>
      </c>
      <c r="AC19" s="14">
        <v>0.11</v>
      </c>
      <c r="AD19" s="14">
        <v>0.1</v>
      </c>
      <c r="AE19" s="14">
        <v>0.06</v>
      </c>
      <c r="AF19" s="14">
        <v>0.05</v>
      </c>
    </row>
    <row r="20" spans="1:32">
      <c r="A20" s="20"/>
      <c r="B20" s="11" t="s">
        <v>468</v>
      </c>
      <c r="C20" s="12">
        <v>1474</v>
      </c>
      <c r="D20" s="12">
        <v>6</v>
      </c>
      <c r="E20" s="12">
        <v>108</v>
      </c>
      <c r="F20" s="12">
        <v>43</v>
      </c>
      <c r="G20" s="12">
        <v>33</v>
      </c>
      <c r="H20" s="12">
        <v>51</v>
      </c>
      <c r="I20" s="12">
        <v>63</v>
      </c>
      <c r="J20" s="12">
        <v>11</v>
      </c>
      <c r="K20" s="12">
        <v>95</v>
      </c>
      <c r="L20" s="12">
        <v>56</v>
      </c>
      <c r="M20" s="12">
        <v>36</v>
      </c>
      <c r="N20" s="12">
        <v>91</v>
      </c>
      <c r="O20" s="12">
        <v>87</v>
      </c>
      <c r="P20" s="12">
        <v>24</v>
      </c>
      <c r="Q20" s="12">
        <v>37</v>
      </c>
      <c r="R20" s="12">
        <v>12</v>
      </c>
      <c r="S20" s="12">
        <v>66</v>
      </c>
      <c r="T20" s="12">
        <v>54</v>
      </c>
      <c r="U20" s="12">
        <v>28</v>
      </c>
      <c r="V20" s="12">
        <v>73</v>
      </c>
      <c r="W20" s="12">
        <v>35</v>
      </c>
      <c r="X20" s="12">
        <v>11</v>
      </c>
      <c r="Y20" s="12">
        <v>51</v>
      </c>
      <c r="Z20" s="12">
        <v>68</v>
      </c>
      <c r="AA20" s="12">
        <v>103</v>
      </c>
      <c r="AB20" s="12">
        <v>52</v>
      </c>
      <c r="AC20" s="12">
        <v>20</v>
      </c>
      <c r="AD20" s="12">
        <v>68</v>
      </c>
      <c r="AE20" s="12">
        <v>42</v>
      </c>
      <c r="AF20" s="12">
        <v>10</v>
      </c>
    </row>
    <row r="21" spans="1:32">
      <c r="A21" s="20"/>
      <c r="B21" s="13" t="s">
        <v>469</v>
      </c>
      <c r="C21" s="14">
        <v>0.06</v>
      </c>
      <c r="D21" s="14">
        <v>0.01</v>
      </c>
      <c r="E21" s="14">
        <v>0.11</v>
      </c>
      <c r="F21" s="14">
        <v>0.04</v>
      </c>
      <c r="G21" s="14">
        <v>0.03</v>
      </c>
      <c r="H21" s="14">
        <v>0.04</v>
      </c>
      <c r="I21" s="14">
        <v>0.04</v>
      </c>
      <c r="J21" s="14">
        <v>0.04</v>
      </c>
      <c r="K21" s="14">
        <v>0.1</v>
      </c>
      <c r="L21" s="14">
        <v>0.06</v>
      </c>
      <c r="M21" s="14">
        <v>0.04</v>
      </c>
      <c r="N21" s="14">
        <v>0.09</v>
      </c>
      <c r="O21" s="14">
        <v>0.09</v>
      </c>
      <c r="P21" s="14">
        <v>0.02</v>
      </c>
      <c r="Q21" s="14">
        <v>0.04</v>
      </c>
      <c r="R21" s="14">
        <v>0.02</v>
      </c>
      <c r="S21" s="14">
        <v>0.06</v>
      </c>
      <c r="T21" s="14">
        <v>0.05</v>
      </c>
      <c r="U21" s="14">
        <v>0.06</v>
      </c>
      <c r="V21" s="14">
        <v>7.0000000000000007E-2</v>
      </c>
      <c r="W21" s="14">
        <v>7.0000000000000007E-2</v>
      </c>
      <c r="X21" s="14">
        <v>0.01</v>
      </c>
      <c r="Y21" s="14">
        <v>0.05</v>
      </c>
      <c r="Z21" s="14">
        <v>7.0000000000000007E-2</v>
      </c>
      <c r="AA21" s="14">
        <v>0.1</v>
      </c>
      <c r="AB21" s="14">
        <v>0.05</v>
      </c>
      <c r="AC21" s="14">
        <v>0.02</v>
      </c>
      <c r="AD21" s="14">
        <v>7.0000000000000007E-2</v>
      </c>
      <c r="AE21" s="14">
        <v>0.04</v>
      </c>
      <c r="AF21" s="14">
        <v>0.01</v>
      </c>
    </row>
    <row r="22" spans="1:32">
      <c r="A22" s="20"/>
      <c r="B22" s="11" t="s">
        <v>851</v>
      </c>
      <c r="C22" s="12">
        <v>14918</v>
      </c>
      <c r="D22" s="12">
        <v>568</v>
      </c>
      <c r="E22" s="12">
        <v>556</v>
      </c>
      <c r="F22" s="12">
        <v>429</v>
      </c>
      <c r="G22" s="12">
        <v>753</v>
      </c>
      <c r="H22" s="12">
        <v>611</v>
      </c>
      <c r="I22" s="12">
        <v>748</v>
      </c>
      <c r="J22" s="12">
        <v>137</v>
      </c>
      <c r="K22" s="12">
        <v>524</v>
      </c>
      <c r="L22" s="12">
        <v>698</v>
      </c>
      <c r="M22" s="12">
        <v>547</v>
      </c>
      <c r="N22" s="12">
        <v>672</v>
      </c>
      <c r="O22" s="12">
        <v>431</v>
      </c>
      <c r="P22" s="12">
        <v>627</v>
      </c>
      <c r="Q22" s="12">
        <v>540</v>
      </c>
      <c r="R22" s="12">
        <v>347</v>
      </c>
      <c r="S22" s="12">
        <v>654</v>
      </c>
      <c r="T22" s="12">
        <v>750</v>
      </c>
      <c r="U22" s="12">
        <v>305</v>
      </c>
      <c r="V22" s="12">
        <v>653</v>
      </c>
      <c r="W22" s="12">
        <v>348</v>
      </c>
      <c r="X22" s="12">
        <v>705</v>
      </c>
      <c r="Y22" s="12">
        <v>458</v>
      </c>
      <c r="Z22" s="12">
        <v>711</v>
      </c>
      <c r="AA22" s="12">
        <v>621</v>
      </c>
      <c r="AB22" s="12">
        <v>635</v>
      </c>
      <c r="AC22" s="12">
        <v>667</v>
      </c>
      <c r="AD22" s="12">
        <v>573</v>
      </c>
      <c r="AE22" s="12">
        <v>727</v>
      </c>
      <c r="AF22" s="12">
        <v>803</v>
      </c>
    </row>
    <row r="23" spans="1:32">
      <c r="A23" s="20"/>
      <c r="B23" s="13" t="s">
        <v>852</v>
      </c>
      <c r="C23" s="14">
        <v>0.56000000000000005</v>
      </c>
      <c r="D23" s="14">
        <v>0.56000000000000005</v>
      </c>
      <c r="E23" s="14">
        <v>0.55000000000000004</v>
      </c>
      <c r="F23" s="14">
        <v>0.43</v>
      </c>
      <c r="G23" s="14">
        <v>0.75</v>
      </c>
      <c r="H23" s="14">
        <v>0.5</v>
      </c>
      <c r="I23" s="14">
        <v>0.49</v>
      </c>
      <c r="J23" s="14">
        <v>0.47</v>
      </c>
      <c r="K23" s="14">
        <v>0.52</v>
      </c>
      <c r="L23" s="14">
        <v>0.69000000000000006</v>
      </c>
      <c r="M23" s="14">
        <v>0.54</v>
      </c>
      <c r="N23" s="14">
        <v>0.67</v>
      </c>
      <c r="O23" s="14">
        <v>0.43</v>
      </c>
      <c r="P23" s="14">
        <v>0.61</v>
      </c>
      <c r="Q23" s="14">
        <v>0.53</v>
      </c>
      <c r="R23" s="14">
        <v>0.69000000000000006</v>
      </c>
      <c r="S23" s="14">
        <v>0.65</v>
      </c>
      <c r="T23" s="14">
        <v>0.74</v>
      </c>
      <c r="U23" s="14">
        <v>0.6</v>
      </c>
      <c r="V23" s="14">
        <v>0.64</v>
      </c>
      <c r="W23" s="14">
        <v>0.69000000000000006</v>
      </c>
      <c r="X23" s="14">
        <v>0.69000000000000006</v>
      </c>
      <c r="Y23" s="14">
        <v>0.45</v>
      </c>
      <c r="Z23" s="14">
        <v>0.70000000000000007</v>
      </c>
      <c r="AA23" s="14">
        <v>0.59</v>
      </c>
      <c r="AB23" s="14">
        <v>0.61</v>
      </c>
      <c r="AC23" s="14">
        <v>0.66</v>
      </c>
      <c r="AD23" s="14">
        <v>0.57000000000000006</v>
      </c>
      <c r="AE23" s="14">
        <v>0.73</v>
      </c>
      <c r="AF23" s="14">
        <v>0.79</v>
      </c>
    </row>
    <row r="24" spans="1:32">
      <c r="A24" s="20"/>
      <c r="B24" s="11" t="s">
        <v>853</v>
      </c>
      <c r="C24" s="12">
        <v>9927</v>
      </c>
      <c r="D24" s="12">
        <v>428</v>
      </c>
      <c r="E24" s="12">
        <v>354</v>
      </c>
      <c r="F24" s="12">
        <v>532</v>
      </c>
      <c r="G24" s="12">
        <v>218</v>
      </c>
      <c r="H24" s="12">
        <v>553</v>
      </c>
      <c r="I24" s="12">
        <v>699</v>
      </c>
      <c r="J24" s="12">
        <v>145</v>
      </c>
      <c r="K24" s="12">
        <v>387</v>
      </c>
      <c r="L24" s="12">
        <v>253</v>
      </c>
      <c r="M24" s="12">
        <v>420</v>
      </c>
      <c r="N24" s="12">
        <v>241</v>
      </c>
      <c r="O24" s="12">
        <v>484</v>
      </c>
      <c r="P24" s="12">
        <v>371</v>
      </c>
      <c r="Q24" s="12">
        <v>442</v>
      </c>
      <c r="R24" s="12">
        <v>142</v>
      </c>
      <c r="S24" s="12">
        <v>288</v>
      </c>
      <c r="T24" s="12">
        <v>209</v>
      </c>
      <c r="U24" s="12">
        <v>175</v>
      </c>
      <c r="V24" s="12">
        <v>291</v>
      </c>
      <c r="W24" s="12">
        <v>120</v>
      </c>
      <c r="X24" s="12">
        <v>304</v>
      </c>
      <c r="Y24" s="12">
        <v>499</v>
      </c>
      <c r="Z24" s="12">
        <v>228</v>
      </c>
      <c r="AA24" s="12">
        <v>329</v>
      </c>
      <c r="AB24" s="12">
        <v>352</v>
      </c>
      <c r="AC24" s="12">
        <v>322</v>
      </c>
      <c r="AD24" s="12">
        <v>365</v>
      </c>
      <c r="AE24" s="12">
        <v>231</v>
      </c>
      <c r="AF24" s="12">
        <v>207</v>
      </c>
    </row>
    <row r="25" spans="1:32">
      <c r="A25" s="20"/>
      <c r="B25" s="13" t="s">
        <v>854</v>
      </c>
      <c r="C25" s="14">
        <v>0.38</v>
      </c>
      <c r="D25" s="14">
        <v>0.43</v>
      </c>
      <c r="E25" s="14">
        <v>0.34</v>
      </c>
      <c r="F25" s="14">
        <v>0.53</v>
      </c>
      <c r="G25" s="14">
        <v>0.22</v>
      </c>
      <c r="H25" s="14">
        <v>0.46</v>
      </c>
      <c r="I25" s="14">
        <v>0.47</v>
      </c>
      <c r="J25" s="14">
        <v>0.49</v>
      </c>
      <c r="K25" s="14">
        <v>0.38</v>
      </c>
      <c r="L25" s="14">
        <v>0.25</v>
      </c>
      <c r="M25" s="14">
        <v>0.42</v>
      </c>
      <c r="N25" s="14">
        <v>0.24</v>
      </c>
      <c r="O25" s="14">
        <v>0.48</v>
      </c>
      <c r="P25" s="14">
        <v>0.37</v>
      </c>
      <c r="Q25" s="14">
        <v>0.43</v>
      </c>
      <c r="R25" s="14">
        <v>0.28999999999999998</v>
      </c>
      <c r="S25" s="14">
        <v>0.28999999999999998</v>
      </c>
      <c r="T25" s="14">
        <v>0.21</v>
      </c>
      <c r="U25" s="14">
        <v>0.34</v>
      </c>
      <c r="V25" s="14">
        <v>0.28999999999999998</v>
      </c>
      <c r="W25" s="14">
        <v>0.24</v>
      </c>
      <c r="X25" s="14">
        <v>0.3</v>
      </c>
      <c r="Y25" s="14">
        <v>0.5</v>
      </c>
      <c r="Z25" s="14">
        <v>0.23</v>
      </c>
      <c r="AA25" s="14">
        <v>0.31</v>
      </c>
      <c r="AB25" s="14">
        <v>0.34</v>
      </c>
      <c r="AC25" s="14">
        <v>0.32</v>
      </c>
      <c r="AD25" s="14">
        <v>0.36</v>
      </c>
      <c r="AE25" s="14">
        <v>0.23</v>
      </c>
      <c r="AF25" s="14">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855</v>
      </c>
      <c r="C3" s="18"/>
      <c r="D3" s="18"/>
      <c r="E3" s="18"/>
      <c r="F3" s="18"/>
      <c r="H3" s="18" t="s">
        <v>856</v>
      </c>
      <c r="I3" s="18"/>
      <c r="J3" s="18"/>
      <c r="K3" s="18"/>
      <c r="L3" s="18"/>
    </row>
    <row r="4" spans="1:32" ht="27" customHeight="1">
      <c r="B4" s="18" t="s">
        <v>857</v>
      </c>
      <c r="C4" s="18"/>
      <c r="D4" s="18"/>
      <c r="E4" s="18"/>
      <c r="F4" s="18"/>
      <c r="H4" s="18" t="s">
        <v>858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859</v>
      </c>
      <c r="C12" s="12">
        <v>4218</v>
      </c>
      <c r="D12" s="12">
        <v>101</v>
      </c>
      <c r="E12" s="12">
        <v>176</v>
      </c>
      <c r="F12" s="12">
        <v>70</v>
      </c>
      <c r="G12" s="12">
        <v>130</v>
      </c>
      <c r="H12" s="12">
        <v>204</v>
      </c>
      <c r="I12" s="12">
        <v>251</v>
      </c>
      <c r="J12" s="12">
        <v>47</v>
      </c>
      <c r="K12" s="12">
        <v>189</v>
      </c>
      <c r="L12" s="12">
        <v>275</v>
      </c>
      <c r="M12" s="12">
        <v>88</v>
      </c>
      <c r="N12" s="12">
        <v>232</v>
      </c>
      <c r="O12" s="12">
        <v>121</v>
      </c>
      <c r="P12" s="12">
        <v>198</v>
      </c>
      <c r="Q12" s="12">
        <v>144</v>
      </c>
      <c r="R12" s="12">
        <v>76</v>
      </c>
      <c r="S12" s="12">
        <v>168</v>
      </c>
      <c r="T12" s="12">
        <v>275</v>
      </c>
      <c r="U12" s="12">
        <v>104</v>
      </c>
      <c r="V12" s="12">
        <v>117</v>
      </c>
      <c r="W12" s="12">
        <v>170</v>
      </c>
      <c r="X12" s="12">
        <v>148</v>
      </c>
      <c r="Y12" s="12">
        <v>193</v>
      </c>
      <c r="Z12" s="12">
        <v>174</v>
      </c>
      <c r="AA12" s="12">
        <v>181</v>
      </c>
      <c r="AB12" s="12">
        <v>238</v>
      </c>
      <c r="AC12" s="12">
        <v>181</v>
      </c>
      <c r="AD12" s="12">
        <v>155</v>
      </c>
      <c r="AE12" s="12">
        <v>114</v>
      </c>
      <c r="AF12" s="12">
        <v>158</v>
      </c>
    </row>
    <row r="13" spans="1:32">
      <c r="A13" s="20"/>
      <c r="B13" s="13" t="s">
        <v>860</v>
      </c>
      <c r="C13" s="14">
        <v>0.16</v>
      </c>
      <c r="D13" s="14">
        <v>0.1</v>
      </c>
      <c r="E13" s="14">
        <v>0.17</v>
      </c>
      <c r="F13" s="14">
        <v>7.0000000000000007E-2</v>
      </c>
      <c r="G13" s="14">
        <v>0.13</v>
      </c>
      <c r="H13" s="14">
        <v>0.17</v>
      </c>
      <c r="I13" s="14">
        <v>0.17</v>
      </c>
      <c r="J13" s="14">
        <v>0.16</v>
      </c>
      <c r="K13" s="14">
        <v>0.19</v>
      </c>
      <c r="L13" s="14">
        <v>0.27</v>
      </c>
      <c r="M13" s="14">
        <v>0.09</v>
      </c>
      <c r="N13" s="14">
        <v>0.23</v>
      </c>
      <c r="O13" s="14">
        <v>0.12</v>
      </c>
      <c r="P13" s="14">
        <v>0.19</v>
      </c>
      <c r="Q13" s="14">
        <v>0.14000000000000001</v>
      </c>
      <c r="R13" s="14">
        <v>0.15</v>
      </c>
      <c r="S13" s="14">
        <v>0.17</v>
      </c>
      <c r="T13" s="14">
        <v>0.27</v>
      </c>
      <c r="U13" s="14">
        <v>0.21</v>
      </c>
      <c r="V13" s="14">
        <v>0.11</v>
      </c>
      <c r="W13" s="14">
        <v>0.34</v>
      </c>
      <c r="X13" s="14">
        <v>0.14000000000000001</v>
      </c>
      <c r="Y13" s="14">
        <v>0.19</v>
      </c>
      <c r="Z13" s="14">
        <v>0.17</v>
      </c>
      <c r="AA13" s="14">
        <v>0.17</v>
      </c>
      <c r="AB13" s="14">
        <v>0.23</v>
      </c>
      <c r="AC13" s="14">
        <v>0.18</v>
      </c>
      <c r="AD13" s="14">
        <v>0.15</v>
      </c>
      <c r="AE13" s="14">
        <v>0.11</v>
      </c>
      <c r="AF13" s="14">
        <v>0.15</v>
      </c>
    </row>
    <row r="14" spans="1:32">
      <c r="A14" s="20"/>
      <c r="B14" s="11" t="s">
        <v>861</v>
      </c>
      <c r="C14" s="12">
        <v>10415</v>
      </c>
      <c r="D14" s="12">
        <v>451</v>
      </c>
      <c r="E14" s="12">
        <v>317</v>
      </c>
      <c r="F14" s="12">
        <v>340</v>
      </c>
      <c r="G14" s="12">
        <v>460</v>
      </c>
      <c r="H14" s="12">
        <v>468</v>
      </c>
      <c r="I14" s="12">
        <v>568</v>
      </c>
      <c r="J14" s="12">
        <v>99</v>
      </c>
      <c r="K14" s="12">
        <v>324</v>
      </c>
      <c r="L14" s="12">
        <v>402</v>
      </c>
      <c r="M14" s="12">
        <v>346</v>
      </c>
      <c r="N14" s="12">
        <v>427</v>
      </c>
      <c r="O14" s="12">
        <v>308</v>
      </c>
      <c r="P14" s="12">
        <v>399</v>
      </c>
      <c r="Q14" s="12">
        <v>381</v>
      </c>
      <c r="R14" s="12">
        <v>227</v>
      </c>
      <c r="S14" s="12">
        <v>421</v>
      </c>
      <c r="T14" s="12">
        <v>274</v>
      </c>
      <c r="U14" s="12">
        <v>204</v>
      </c>
      <c r="V14" s="12">
        <v>474</v>
      </c>
      <c r="W14" s="12">
        <v>199</v>
      </c>
      <c r="X14" s="12">
        <v>486</v>
      </c>
      <c r="Y14" s="12">
        <v>319</v>
      </c>
      <c r="Z14" s="12">
        <v>554</v>
      </c>
      <c r="AA14" s="12">
        <v>477</v>
      </c>
      <c r="AB14" s="12">
        <v>378</v>
      </c>
      <c r="AC14" s="12">
        <v>464</v>
      </c>
      <c r="AD14" s="12">
        <v>443</v>
      </c>
      <c r="AE14" s="12">
        <v>430</v>
      </c>
      <c r="AF14" s="12">
        <v>497</v>
      </c>
    </row>
    <row r="15" spans="1:32">
      <c r="A15" s="20"/>
      <c r="B15" s="13" t="s">
        <v>862</v>
      </c>
      <c r="C15" s="14">
        <v>0.4</v>
      </c>
      <c r="D15" s="14">
        <v>0.45</v>
      </c>
      <c r="E15" s="14">
        <v>0.31</v>
      </c>
      <c r="F15" s="14">
        <v>0.34</v>
      </c>
      <c r="G15" s="14">
        <v>0.46</v>
      </c>
      <c r="H15" s="14">
        <v>0.38</v>
      </c>
      <c r="I15" s="14">
        <v>0.38</v>
      </c>
      <c r="J15" s="14">
        <v>0.34</v>
      </c>
      <c r="K15" s="14">
        <v>0.32</v>
      </c>
      <c r="L15" s="14">
        <v>0.4</v>
      </c>
      <c r="M15" s="14">
        <v>0.35</v>
      </c>
      <c r="N15" s="14">
        <v>0.42</v>
      </c>
      <c r="O15" s="14">
        <v>0.31</v>
      </c>
      <c r="P15" s="14">
        <v>0.39</v>
      </c>
      <c r="Q15" s="14">
        <v>0.37</v>
      </c>
      <c r="R15" s="14">
        <v>0.45</v>
      </c>
      <c r="S15" s="14">
        <v>0.42</v>
      </c>
      <c r="T15" s="14">
        <v>0.27</v>
      </c>
      <c r="U15" s="14">
        <v>0.4</v>
      </c>
      <c r="V15" s="14">
        <v>0.47</v>
      </c>
      <c r="W15" s="14">
        <v>0.4</v>
      </c>
      <c r="X15" s="14">
        <v>0.48</v>
      </c>
      <c r="Y15" s="14">
        <v>0.32</v>
      </c>
      <c r="Z15" s="14">
        <v>0.55000000000000004</v>
      </c>
      <c r="AA15" s="14">
        <v>0.45</v>
      </c>
      <c r="AB15" s="14">
        <v>0.36</v>
      </c>
      <c r="AC15" s="14">
        <v>0.46</v>
      </c>
      <c r="AD15" s="14">
        <v>0.44</v>
      </c>
      <c r="AE15" s="14">
        <v>0.43</v>
      </c>
      <c r="AF15" s="14">
        <v>0.49</v>
      </c>
    </row>
    <row r="16" spans="1:32">
      <c r="A16" s="20"/>
      <c r="B16" s="11" t="s">
        <v>863</v>
      </c>
      <c r="C16" s="12">
        <v>6593</v>
      </c>
      <c r="D16" s="12">
        <v>328</v>
      </c>
      <c r="E16" s="12">
        <v>260</v>
      </c>
      <c r="F16" s="12">
        <v>332</v>
      </c>
      <c r="G16" s="12">
        <v>291</v>
      </c>
      <c r="H16" s="12">
        <v>318</v>
      </c>
      <c r="I16" s="12">
        <v>413</v>
      </c>
      <c r="J16" s="12">
        <v>95</v>
      </c>
      <c r="K16" s="12">
        <v>256</v>
      </c>
      <c r="L16" s="12">
        <v>175</v>
      </c>
      <c r="M16" s="12">
        <v>256</v>
      </c>
      <c r="N16" s="12">
        <v>167</v>
      </c>
      <c r="O16" s="12">
        <v>292</v>
      </c>
      <c r="P16" s="12">
        <v>271</v>
      </c>
      <c r="Q16" s="12">
        <v>295</v>
      </c>
      <c r="R16" s="12">
        <v>109</v>
      </c>
      <c r="S16" s="12">
        <v>161</v>
      </c>
      <c r="T16" s="12">
        <v>257</v>
      </c>
      <c r="U16" s="12">
        <v>111</v>
      </c>
      <c r="V16" s="12">
        <v>249</v>
      </c>
      <c r="W16" s="12">
        <v>80</v>
      </c>
      <c r="X16" s="12">
        <v>276</v>
      </c>
      <c r="Y16" s="12">
        <v>185</v>
      </c>
      <c r="Z16" s="12">
        <v>160</v>
      </c>
      <c r="AA16" s="12">
        <v>237</v>
      </c>
      <c r="AB16" s="12">
        <v>235</v>
      </c>
      <c r="AC16" s="12">
        <v>180</v>
      </c>
      <c r="AD16" s="12">
        <v>228</v>
      </c>
      <c r="AE16" s="12">
        <v>332</v>
      </c>
      <c r="AF16" s="12">
        <v>253</v>
      </c>
    </row>
    <row r="17" spans="1:32">
      <c r="A17" s="20"/>
      <c r="B17" s="13" t="s">
        <v>864</v>
      </c>
      <c r="C17" s="14">
        <v>0.25</v>
      </c>
      <c r="D17" s="14">
        <v>0.33</v>
      </c>
      <c r="E17" s="14">
        <v>0.26</v>
      </c>
      <c r="F17" s="14">
        <v>0.33</v>
      </c>
      <c r="G17" s="14">
        <v>0.28999999999999998</v>
      </c>
      <c r="H17" s="14">
        <v>0.26</v>
      </c>
      <c r="I17" s="14">
        <v>0.27</v>
      </c>
      <c r="J17" s="14">
        <v>0.32</v>
      </c>
      <c r="K17" s="14">
        <v>0.25</v>
      </c>
      <c r="L17" s="14">
        <v>0.17</v>
      </c>
      <c r="M17" s="14">
        <v>0.25</v>
      </c>
      <c r="N17" s="14">
        <v>0.17</v>
      </c>
      <c r="O17" s="14">
        <v>0.28999999999999998</v>
      </c>
      <c r="P17" s="14">
        <v>0.27</v>
      </c>
      <c r="Q17" s="14">
        <v>0.28999999999999998</v>
      </c>
      <c r="R17" s="14">
        <v>0.22</v>
      </c>
      <c r="S17" s="14">
        <v>0.16</v>
      </c>
      <c r="T17" s="14">
        <v>0.25</v>
      </c>
      <c r="U17" s="14">
        <v>0.22</v>
      </c>
      <c r="V17" s="14">
        <v>0.25</v>
      </c>
      <c r="W17" s="14">
        <v>0.16</v>
      </c>
      <c r="X17" s="14">
        <v>0.27</v>
      </c>
      <c r="Y17" s="14">
        <v>0.18</v>
      </c>
      <c r="Z17" s="14">
        <v>0.16</v>
      </c>
      <c r="AA17" s="14">
        <v>0.23</v>
      </c>
      <c r="AB17" s="14">
        <v>0.23</v>
      </c>
      <c r="AC17" s="14">
        <v>0.18</v>
      </c>
      <c r="AD17" s="14">
        <v>0.23</v>
      </c>
      <c r="AE17" s="14">
        <v>0.33</v>
      </c>
      <c r="AF17" s="14">
        <v>0.25</v>
      </c>
    </row>
    <row r="18" spans="1:32">
      <c r="A18" s="20"/>
      <c r="B18" s="11" t="s">
        <v>865</v>
      </c>
      <c r="C18" s="12">
        <v>3686</v>
      </c>
      <c r="D18" s="12">
        <v>106</v>
      </c>
      <c r="E18" s="12">
        <v>173</v>
      </c>
      <c r="F18" s="12">
        <v>223</v>
      </c>
      <c r="G18" s="12">
        <v>83</v>
      </c>
      <c r="H18" s="12">
        <v>165</v>
      </c>
      <c r="I18" s="12">
        <v>212</v>
      </c>
      <c r="J18" s="12">
        <v>47</v>
      </c>
      <c r="K18" s="12">
        <v>189</v>
      </c>
      <c r="L18" s="12">
        <v>116</v>
      </c>
      <c r="M18" s="12">
        <v>264</v>
      </c>
      <c r="N18" s="12">
        <v>110</v>
      </c>
      <c r="O18" s="12">
        <v>182</v>
      </c>
      <c r="P18" s="12">
        <v>137</v>
      </c>
      <c r="Q18" s="12">
        <v>167</v>
      </c>
      <c r="R18" s="12">
        <v>63</v>
      </c>
      <c r="S18" s="12">
        <v>163</v>
      </c>
      <c r="T18" s="12">
        <v>111</v>
      </c>
      <c r="U18" s="12">
        <v>68</v>
      </c>
      <c r="V18" s="12">
        <v>135</v>
      </c>
      <c r="W18" s="12">
        <v>27</v>
      </c>
      <c r="X18" s="12">
        <v>99</v>
      </c>
      <c r="Y18" s="12">
        <v>268</v>
      </c>
      <c r="Z18" s="12">
        <v>82</v>
      </c>
      <c r="AA18" s="12">
        <v>60</v>
      </c>
      <c r="AB18" s="12">
        <v>112</v>
      </c>
      <c r="AC18" s="12">
        <v>155</v>
      </c>
      <c r="AD18" s="12">
        <v>125</v>
      </c>
      <c r="AE18" s="12">
        <v>95</v>
      </c>
      <c r="AF18" s="12">
        <v>91</v>
      </c>
    </row>
    <row r="19" spans="1:32">
      <c r="A19" s="20"/>
      <c r="B19" s="13" t="s">
        <v>866</v>
      </c>
      <c r="C19" s="14">
        <v>0.14000000000000001</v>
      </c>
      <c r="D19" s="14">
        <v>0.1</v>
      </c>
      <c r="E19" s="14">
        <v>0.17</v>
      </c>
      <c r="F19" s="14">
        <v>0.22</v>
      </c>
      <c r="G19" s="14">
        <v>0.08</v>
      </c>
      <c r="H19" s="14">
        <v>0.14000000000000001</v>
      </c>
      <c r="I19" s="14">
        <v>0.14000000000000001</v>
      </c>
      <c r="J19" s="14">
        <v>0.16</v>
      </c>
      <c r="K19" s="14">
        <v>0.19</v>
      </c>
      <c r="L19" s="14">
        <v>0.12</v>
      </c>
      <c r="M19" s="14">
        <v>0.26</v>
      </c>
      <c r="N19" s="14">
        <v>0.11</v>
      </c>
      <c r="O19" s="14">
        <v>0.18</v>
      </c>
      <c r="P19" s="14">
        <v>0.13</v>
      </c>
      <c r="Q19" s="14">
        <v>0.17</v>
      </c>
      <c r="R19" s="14">
        <v>0.13</v>
      </c>
      <c r="S19" s="14">
        <v>0.16</v>
      </c>
      <c r="T19" s="14">
        <v>0.11</v>
      </c>
      <c r="U19" s="14">
        <v>0.13</v>
      </c>
      <c r="V19" s="14">
        <v>0.13</v>
      </c>
      <c r="W19" s="14">
        <v>0.05</v>
      </c>
      <c r="X19" s="14">
        <v>0.1</v>
      </c>
      <c r="Y19" s="14">
        <v>0.27</v>
      </c>
      <c r="Z19" s="14">
        <v>0.08</v>
      </c>
      <c r="AA19" s="14">
        <v>0.06</v>
      </c>
      <c r="AB19" s="14">
        <v>0.11</v>
      </c>
      <c r="AC19" s="14">
        <v>0.15</v>
      </c>
      <c r="AD19" s="14">
        <v>0.12</v>
      </c>
      <c r="AE19" s="14">
        <v>0.1</v>
      </c>
      <c r="AF19" s="14">
        <v>0.09</v>
      </c>
    </row>
    <row r="20" spans="1:32">
      <c r="A20" s="20"/>
      <c r="B20" s="11" t="s">
        <v>468</v>
      </c>
      <c r="C20" s="12">
        <v>1406</v>
      </c>
      <c r="D20" s="12">
        <v>17</v>
      </c>
      <c r="E20" s="12">
        <v>92</v>
      </c>
      <c r="F20" s="12">
        <v>39</v>
      </c>
      <c r="G20" s="12">
        <v>39</v>
      </c>
      <c r="H20" s="12">
        <v>61</v>
      </c>
      <c r="I20" s="12">
        <v>67</v>
      </c>
      <c r="J20" s="12">
        <v>7</v>
      </c>
      <c r="K20" s="12">
        <v>48</v>
      </c>
      <c r="L20" s="12">
        <v>39</v>
      </c>
      <c r="M20" s="12">
        <v>49</v>
      </c>
      <c r="N20" s="12">
        <v>68</v>
      </c>
      <c r="O20" s="12">
        <v>100</v>
      </c>
      <c r="P20" s="12">
        <v>17</v>
      </c>
      <c r="Q20" s="12">
        <v>33</v>
      </c>
      <c r="R20" s="12">
        <v>26</v>
      </c>
      <c r="S20" s="12">
        <v>95</v>
      </c>
      <c r="T20" s="12">
        <v>96</v>
      </c>
      <c r="U20" s="12">
        <v>19</v>
      </c>
      <c r="V20" s="12">
        <v>41</v>
      </c>
      <c r="W20" s="12">
        <v>27</v>
      </c>
      <c r="X20" s="12">
        <v>12</v>
      </c>
      <c r="Y20" s="12">
        <v>43</v>
      </c>
      <c r="Z20" s="12">
        <v>39</v>
      </c>
      <c r="AA20" s="12">
        <v>97</v>
      </c>
      <c r="AB20" s="12">
        <v>76</v>
      </c>
      <c r="AC20" s="12">
        <v>30</v>
      </c>
      <c r="AD20" s="12">
        <v>56</v>
      </c>
      <c r="AE20" s="12">
        <v>30</v>
      </c>
      <c r="AF20" s="12">
        <v>21</v>
      </c>
    </row>
    <row r="21" spans="1:32">
      <c r="A21" s="20"/>
      <c r="B21" s="13" t="s">
        <v>469</v>
      </c>
      <c r="C21" s="14">
        <v>0.05</v>
      </c>
      <c r="D21" s="14">
        <v>0.02</v>
      </c>
      <c r="E21" s="14">
        <v>0.09</v>
      </c>
      <c r="F21" s="14">
        <v>0.04</v>
      </c>
      <c r="G21" s="14">
        <v>0.04</v>
      </c>
      <c r="H21" s="14">
        <v>0.05</v>
      </c>
      <c r="I21" s="14">
        <v>0.04</v>
      </c>
      <c r="J21" s="14">
        <v>0.02</v>
      </c>
      <c r="K21" s="14">
        <v>0.05</v>
      </c>
      <c r="L21" s="14">
        <v>0.04</v>
      </c>
      <c r="M21" s="14">
        <v>0.05</v>
      </c>
      <c r="N21" s="14">
        <v>7.0000000000000007E-2</v>
      </c>
      <c r="O21" s="14">
        <v>0.1</v>
      </c>
      <c r="P21" s="14">
        <v>0.02</v>
      </c>
      <c r="Q21" s="14">
        <v>0.03</v>
      </c>
      <c r="R21" s="14">
        <v>0.05</v>
      </c>
      <c r="S21" s="14">
        <v>0.09</v>
      </c>
      <c r="T21" s="14">
        <v>0.1</v>
      </c>
      <c r="U21" s="14">
        <v>0.04</v>
      </c>
      <c r="V21" s="14">
        <v>0.04</v>
      </c>
      <c r="W21" s="14">
        <v>0.05</v>
      </c>
      <c r="X21" s="14">
        <v>0.01</v>
      </c>
      <c r="Y21" s="14">
        <v>0.04</v>
      </c>
      <c r="Z21" s="14">
        <v>0.04</v>
      </c>
      <c r="AA21" s="14">
        <v>0.09</v>
      </c>
      <c r="AB21" s="14">
        <v>7.0000000000000007E-2</v>
      </c>
      <c r="AC21" s="14">
        <v>0.03</v>
      </c>
      <c r="AD21" s="14">
        <v>0.06</v>
      </c>
      <c r="AE21" s="14">
        <v>0.03</v>
      </c>
      <c r="AF21" s="14">
        <v>0.02</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867</v>
      </c>
      <c r="C3" s="18"/>
      <c r="D3" s="18"/>
      <c r="E3" s="18"/>
      <c r="F3" s="18"/>
      <c r="H3" s="18" t="s">
        <v>868</v>
      </c>
      <c r="I3" s="18"/>
      <c r="J3" s="18"/>
      <c r="K3" s="18"/>
      <c r="L3" s="18"/>
    </row>
    <row r="4" spans="1:32" ht="27" customHeight="1">
      <c r="B4" s="18" t="s">
        <v>869</v>
      </c>
      <c r="C4" s="18"/>
      <c r="D4" s="18"/>
      <c r="E4" s="18"/>
      <c r="F4" s="18"/>
      <c r="H4" s="18" t="s">
        <v>870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859</v>
      </c>
      <c r="C12" s="12">
        <v>2318</v>
      </c>
      <c r="D12" s="12">
        <v>61</v>
      </c>
      <c r="E12" s="12">
        <v>101</v>
      </c>
      <c r="F12" s="12">
        <v>41</v>
      </c>
      <c r="G12" s="12">
        <v>55</v>
      </c>
      <c r="H12" s="12">
        <v>114</v>
      </c>
      <c r="I12" s="12">
        <v>130</v>
      </c>
      <c r="J12" s="12">
        <v>16</v>
      </c>
      <c r="K12" s="12">
        <v>81</v>
      </c>
      <c r="L12" s="12">
        <v>166</v>
      </c>
      <c r="M12" s="12">
        <v>56</v>
      </c>
      <c r="N12" s="12">
        <v>129</v>
      </c>
      <c r="O12" s="12">
        <v>67</v>
      </c>
      <c r="P12" s="12">
        <v>115</v>
      </c>
      <c r="Q12" s="12">
        <v>83</v>
      </c>
      <c r="R12" s="12">
        <v>47</v>
      </c>
      <c r="S12" s="12">
        <v>92</v>
      </c>
      <c r="T12" s="12">
        <v>145</v>
      </c>
      <c r="U12" s="12">
        <v>55</v>
      </c>
      <c r="V12" s="12">
        <v>69</v>
      </c>
      <c r="W12" s="12">
        <v>101</v>
      </c>
      <c r="X12" s="12">
        <v>46</v>
      </c>
      <c r="Y12" s="12">
        <v>110</v>
      </c>
      <c r="Z12" s="12">
        <v>118</v>
      </c>
      <c r="AA12" s="12">
        <v>61</v>
      </c>
      <c r="AB12" s="12">
        <v>144</v>
      </c>
      <c r="AC12" s="12">
        <v>107</v>
      </c>
      <c r="AD12" s="12">
        <v>101</v>
      </c>
      <c r="AE12" s="12">
        <v>41</v>
      </c>
      <c r="AF12" s="12">
        <v>66</v>
      </c>
    </row>
    <row r="13" spans="1:32">
      <c r="A13" s="20"/>
      <c r="B13" s="13" t="s">
        <v>860</v>
      </c>
      <c r="C13" s="14">
        <v>0.09</v>
      </c>
      <c r="D13" s="14">
        <v>0.06</v>
      </c>
      <c r="E13" s="14">
        <v>0.1</v>
      </c>
      <c r="F13" s="14">
        <v>0.04</v>
      </c>
      <c r="G13" s="14">
        <v>0.06</v>
      </c>
      <c r="H13" s="14">
        <v>0.1</v>
      </c>
      <c r="I13" s="14">
        <v>0.09</v>
      </c>
      <c r="J13" s="14">
        <v>0.05</v>
      </c>
      <c r="K13" s="14">
        <v>0.08</v>
      </c>
      <c r="L13" s="14">
        <v>0.16</v>
      </c>
      <c r="M13" s="14">
        <v>0.06</v>
      </c>
      <c r="N13" s="14">
        <v>0.13</v>
      </c>
      <c r="O13" s="14">
        <v>7.0000000000000007E-2</v>
      </c>
      <c r="P13" s="14">
        <v>0.11</v>
      </c>
      <c r="Q13" s="14">
        <v>0.08</v>
      </c>
      <c r="R13" s="14">
        <v>0.09</v>
      </c>
      <c r="S13" s="14">
        <v>0.09</v>
      </c>
      <c r="T13" s="14">
        <v>0.14000000000000001</v>
      </c>
      <c r="U13" s="14">
        <v>0.11</v>
      </c>
      <c r="V13" s="14">
        <v>7.0000000000000007E-2</v>
      </c>
      <c r="W13" s="14">
        <v>0.2</v>
      </c>
      <c r="X13" s="14">
        <v>0.05</v>
      </c>
      <c r="Y13" s="14">
        <v>0.11</v>
      </c>
      <c r="Z13" s="14">
        <v>0.12</v>
      </c>
      <c r="AA13" s="14">
        <v>0.06</v>
      </c>
      <c r="AB13" s="14">
        <v>0.14000000000000001</v>
      </c>
      <c r="AC13" s="14">
        <v>0.1</v>
      </c>
      <c r="AD13" s="14">
        <v>0.1</v>
      </c>
      <c r="AE13" s="14">
        <v>0.04</v>
      </c>
      <c r="AF13" s="14">
        <v>0.06</v>
      </c>
    </row>
    <row r="14" spans="1:32">
      <c r="A14" s="20"/>
      <c r="B14" s="11" t="s">
        <v>861</v>
      </c>
      <c r="C14" s="12">
        <v>7594</v>
      </c>
      <c r="D14" s="12">
        <v>331</v>
      </c>
      <c r="E14" s="12">
        <v>250</v>
      </c>
      <c r="F14" s="12">
        <v>188</v>
      </c>
      <c r="G14" s="12">
        <v>254</v>
      </c>
      <c r="H14" s="12">
        <v>282</v>
      </c>
      <c r="I14" s="12">
        <v>358</v>
      </c>
      <c r="J14" s="12">
        <v>76</v>
      </c>
      <c r="K14" s="12">
        <v>243</v>
      </c>
      <c r="L14" s="12">
        <v>330</v>
      </c>
      <c r="M14" s="12">
        <v>225</v>
      </c>
      <c r="N14" s="12">
        <v>346</v>
      </c>
      <c r="O14" s="12">
        <v>217</v>
      </c>
      <c r="P14" s="12">
        <v>288</v>
      </c>
      <c r="Q14" s="12">
        <v>297</v>
      </c>
      <c r="R14" s="12">
        <v>168</v>
      </c>
      <c r="S14" s="12">
        <v>331</v>
      </c>
      <c r="T14" s="12">
        <v>200</v>
      </c>
      <c r="U14" s="12">
        <v>185</v>
      </c>
      <c r="V14" s="12">
        <v>368</v>
      </c>
      <c r="W14" s="12">
        <v>162</v>
      </c>
      <c r="X14" s="12">
        <v>279</v>
      </c>
      <c r="Y14" s="12">
        <v>256</v>
      </c>
      <c r="Z14" s="12">
        <v>472</v>
      </c>
      <c r="AA14" s="12">
        <v>360</v>
      </c>
      <c r="AB14" s="12">
        <v>367</v>
      </c>
      <c r="AC14" s="12">
        <v>290</v>
      </c>
      <c r="AD14" s="12">
        <v>285</v>
      </c>
      <c r="AE14" s="12">
        <v>243</v>
      </c>
      <c r="AF14" s="12">
        <v>273</v>
      </c>
    </row>
    <row r="15" spans="1:32">
      <c r="A15" s="20"/>
      <c r="B15" s="13" t="s">
        <v>862</v>
      </c>
      <c r="C15" s="14">
        <v>0.28999999999999998</v>
      </c>
      <c r="D15" s="14">
        <v>0.33</v>
      </c>
      <c r="E15" s="14">
        <v>0.25</v>
      </c>
      <c r="F15" s="14">
        <v>0.19</v>
      </c>
      <c r="G15" s="14">
        <v>0.25</v>
      </c>
      <c r="H15" s="14">
        <v>0.23</v>
      </c>
      <c r="I15" s="14">
        <v>0.24</v>
      </c>
      <c r="J15" s="14">
        <v>0.26</v>
      </c>
      <c r="K15" s="14">
        <v>0.24</v>
      </c>
      <c r="L15" s="14">
        <v>0.33</v>
      </c>
      <c r="M15" s="14">
        <v>0.22</v>
      </c>
      <c r="N15" s="14">
        <v>0.34</v>
      </c>
      <c r="O15" s="14">
        <v>0.22</v>
      </c>
      <c r="P15" s="14">
        <v>0.28000000000000003</v>
      </c>
      <c r="Q15" s="14">
        <v>0.28999999999999998</v>
      </c>
      <c r="R15" s="14">
        <v>0.34</v>
      </c>
      <c r="S15" s="14">
        <v>0.33</v>
      </c>
      <c r="T15" s="14">
        <v>0.2</v>
      </c>
      <c r="U15" s="14">
        <v>0.37</v>
      </c>
      <c r="V15" s="14">
        <v>0.36</v>
      </c>
      <c r="W15" s="14">
        <v>0.32</v>
      </c>
      <c r="X15" s="14">
        <v>0.27</v>
      </c>
      <c r="Y15" s="14">
        <v>0.25</v>
      </c>
      <c r="Z15" s="14">
        <v>0.47</v>
      </c>
      <c r="AA15" s="14">
        <v>0.34</v>
      </c>
      <c r="AB15" s="14">
        <v>0.35</v>
      </c>
      <c r="AC15" s="14">
        <v>0.28999999999999998</v>
      </c>
      <c r="AD15" s="14">
        <v>0.28999999999999998</v>
      </c>
      <c r="AE15" s="14">
        <v>0.24</v>
      </c>
      <c r="AF15" s="14">
        <v>0.27</v>
      </c>
    </row>
    <row r="16" spans="1:32">
      <c r="A16" s="20"/>
      <c r="B16" s="11" t="s">
        <v>863</v>
      </c>
      <c r="C16" s="12">
        <v>7900</v>
      </c>
      <c r="D16" s="12">
        <v>409</v>
      </c>
      <c r="E16" s="12">
        <v>258</v>
      </c>
      <c r="F16" s="12">
        <v>320</v>
      </c>
      <c r="G16" s="12">
        <v>373</v>
      </c>
      <c r="H16" s="12">
        <v>367</v>
      </c>
      <c r="I16" s="12">
        <v>465</v>
      </c>
      <c r="J16" s="12">
        <v>98</v>
      </c>
      <c r="K16" s="12">
        <v>283</v>
      </c>
      <c r="L16" s="12">
        <v>268</v>
      </c>
      <c r="M16" s="12">
        <v>269</v>
      </c>
      <c r="N16" s="12">
        <v>231</v>
      </c>
      <c r="O16" s="12">
        <v>350</v>
      </c>
      <c r="P16" s="12">
        <v>239</v>
      </c>
      <c r="Q16" s="12">
        <v>324</v>
      </c>
      <c r="R16" s="12">
        <v>132</v>
      </c>
      <c r="S16" s="12">
        <v>156</v>
      </c>
      <c r="T16" s="12">
        <v>291</v>
      </c>
      <c r="U16" s="12">
        <v>133</v>
      </c>
      <c r="V16" s="12">
        <v>260</v>
      </c>
      <c r="W16" s="12">
        <v>109</v>
      </c>
      <c r="X16" s="12">
        <v>428</v>
      </c>
      <c r="Y16" s="12">
        <v>214</v>
      </c>
      <c r="Z16" s="12">
        <v>220</v>
      </c>
      <c r="AA16" s="12">
        <v>338</v>
      </c>
      <c r="AB16" s="12">
        <v>216</v>
      </c>
      <c r="AC16" s="12">
        <v>291</v>
      </c>
      <c r="AD16" s="12">
        <v>313</v>
      </c>
      <c r="AE16" s="12">
        <v>400</v>
      </c>
      <c r="AF16" s="12">
        <v>420</v>
      </c>
    </row>
    <row r="17" spans="1:32">
      <c r="A17" s="20"/>
      <c r="B17" s="13" t="s">
        <v>864</v>
      </c>
      <c r="C17" s="14">
        <v>0.3</v>
      </c>
      <c r="D17" s="14">
        <v>0.41</v>
      </c>
      <c r="E17" s="14">
        <v>0.25</v>
      </c>
      <c r="F17" s="14">
        <v>0.32</v>
      </c>
      <c r="G17" s="14">
        <v>0.37</v>
      </c>
      <c r="H17" s="14">
        <v>0.3</v>
      </c>
      <c r="I17" s="14">
        <v>0.31</v>
      </c>
      <c r="J17" s="14">
        <v>0.33</v>
      </c>
      <c r="K17" s="14">
        <v>0.28000000000000003</v>
      </c>
      <c r="L17" s="14">
        <v>0.27</v>
      </c>
      <c r="M17" s="14">
        <v>0.27</v>
      </c>
      <c r="N17" s="14">
        <v>0.23</v>
      </c>
      <c r="O17" s="14">
        <v>0.35</v>
      </c>
      <c r="P17" s="14">
        <v>0.24</v>
      </c>
      <c r="Q17" s="14">
        <v>0.32</v>
      </c>
      <c r="R17" s="14">
        <v>0.26</v>
      </c>
      <c r="S17" s="14">
        <v>0.15</v>
      </c>
      <c r="T17" s="14">
        <v>0.28999999999999998</v>
      </c>
      <c r="U17" s="14">
        <v>0.26</v>
      </c>
      <c r="V17" s="14">
        <v>0.26</v>
      </c>
      <c r="W17" s="14">
        <v>0.22</v>
      </c>
      <c r="X17" s="14">
        <v>0.42</v>
      </c>
      <c r="Y17" s="14">
        <v>0.21</v>
      </c>
      <c r="Z17" s="14">
        <v>0.22</v>
      </c>
      <c r="AA17" s="14">
        <v>0.32</v>
      </c>
      <c r="AB17" s="14">
        <v>0.21</v>
      </c>
      <c r="AC17" s="14">
        <v>0.28999999999999998</v>
      </c>
      <c r="AD17" s="14">
        <v>0.31</v>
      </c>
      <c r="AE17" s="14">
        <v>0.4</v>
      </c>
      <c r="AF17" s="14">
        <v>0.41</v>
      </c>
    </row>
    <row r="18" spans="1:32">
      <c r="A18" s="20"/>
      <c r="B18" s="11" t="s">
        <v>865</v>
      </c>
      <c r="C18" s="12">
        <v>7352</v>
      </c>
      <c r="D18" s="12">
        <v>194</v>
      </c>
      <c r="E18" s="12">
        <v>344</v>
      </c>
      <c r="F18" s="12">
        <v>423</v>
      </c>
      <c r="G18" s="12">
        <v>282</v>
      </c>
      <c r="H18" s="12">
        <v>404</v>
      </c>
      <c r="I18" s="12">
        <v>505</v>
      </c>
      <c r="J18" s="12">
        <v>102</v>
      </c>
      <c r="K18" s="12">
        <v>357</v>
      </c>
      <c r="L18" s="12">
        <v>195</v>
      </c>
      <c r="M18" s="12">
        <v>424</v>
      </c>
      <c r="N18" s="12">
        <v>238</v>
      </c>
      <c r="O18" s="12">
        <v>284</v>
      </c>
      <c r="P18" s="12">
        <v>362</v>
      </c>
      <c r="Q18" s="12">
        <v>286</v>
      </c>
      <c r="R18" s="12">
        <v>138</v>
      </c>
      <c r="S18" s="12">
        <v>372</v>
      </c>
      <c r="T18" s="12">
        <v>302</v>
      </c>
      <c r="U18" s="12">
        <v>117</v>
      </c>
      <c r="V18" s="12">
        <v>276</v>
      </c>
      <c r="W18" s="12">
        <v>104</v>
      </c>
      <c r="X18" s="12">
        <v>250</v>
      </c>
      <c r="Y18" s="12">
        <v>400</v>
      </c>
      <c r="Z18" s="12">
        <v>174</v>
      </c>
      <c r="AA18" s="12">
        <v>198</v>
      </c>
      <c r="AB18" s="12">
        <v>263</v>
      </c>
      <c r="AC18" s="12">
        <v>311</v>
      </c>
      <c r="AD18" s="12">
        <v>254</v>
      </c>
      <c r="AE18" s="12">
        <v>294</v>
      </c>
      <c r="AF18" s="12">
        <v>243</v>
      </c>
    </row>
    <row r="19" spans="1:32">
      <c r="A19" s="20"/>
      <c r="B19" s="13" t="s">
        <v>866</v>
      </c>
      <c r="C19" s="14">
        <v>0.28000000000000003</v>
      </c>
      <c r="D19" s="14">
        <v>0.19</v>
      </c>
      <c r="E19" s="14">
        <v>0.34</v>
      </c>
      <c r="F19" s="14">
        <v>0.42</v>
      </c>
      <c r="G19" s="14">
        <v>0.28000000000000003</v>
      </c>
      <c r="H19" s="14">
        <v>0.33</v>
      </c>
      <c r="I19" s="14">
        <v>0.33</v>
      </c>
      <c r="J19" s="14">
        <v>0.35</v>
      </c>
      <c r="K19" s="14">
        <v>0.36</v>
      </c>
      <c r="L19" s="14">
        <v>0.19</v>
      </c>
      <c r="M19" s="14">
        <v>0.42</v>
      </c>
      <c r="N19" s="14">
        <v>0.24</v>
      </c>
      <c r="O19" s="14">
        <v>0.28000000000000003</v>
      </c>
      <c r="P19" s="14">
        <v>0.35</v>
      </c>
      <c r="Q19" s="14">
        <v>0.28000000000000003</v>
      </c>
      <c r="R19" s="14">
        <v>0.28000000000000003</v>
      </c>
      <c r="S19" s="14">
        <v>0.37</v>
      </c>
      <c r="T19" s="14">
        <v>0.3</v>
      </c>
      <c r="U19" s="14">
        <v>0.23</v>
      </c>
      <c r="V19" s="14">
        <v>0.27</v>
      </c>
      <c r="W19" s="14">
        <v>0.21</v>
      </c>
      <c r="X19" s="14">
        <v>0.24</v>
      </c>
      <c r="Y19" s="14">
        <v>0.4</v>
      </c>
      <c r="Z19" s="14">
        <v>0.17</v>
      </c>
      <c r="AA19" s="14">
        <v>0.19</v>
      </c>
      <c r="AB19" s="14">
        <v>0.25</v>
      </c>
      <c r="AC19" s="14">
        <v>0.31</v>
      </c>
      <c r="AD19" s="14">
        <v>0.25</v>
      </c>
      <c r="AE19" s="14">
        <v>0.3</v>
      </c>
      <c r="AF19" s="14">
        <v>0.24</v>
      </c>
    </row>
    <row r="20" spans="1:32">
      <c r="A20" s="20"/>
      <c r="B20" s="11" t="s">
        <v>468</v>
      </c>
      <c r="C20" s="12">
        <v>1155</v>
      </c>
      <c r="D20" s="12">
        <v>9</v>
      </c>
      <c r="E20" s="12">
        <v>64</v>
      </c>
      <c r="F20" s="12">
        <v>33</v>
      </c>
      <c r="G20" s="12">
        <v>40</v>
      </c>
      <c r="H20" s="12">
        <v>50</v>
      </c>
      <c r="I20" s="12">
        <v>52</v>
      </c>
      <c r="J20" s="12">
        <v>2</v>
      </c>
      <c r="K20" s="12">
        <v>43</v>
      </c>
      <c r="L20" s="12">
        <v>49</v>
      </c>
      <c r="M20" s="12">
        <v>28</v>
      </c>
      <c r="N20" s="12">
        <v>60</v>
      </c>
      <c r="O20" s="12">
        <v>85</v>
      </c>
      <c r="P20" s="12">
        <v>18</v>
      </c>
      <c r="Q20" s="12">
        <v>29</v>
      </c>
      <c r="R20" s="12">
        <v>14</v>
      </c>
      <c r="S20" s="12">
        <v>56</v>
      </c>
      <c r="T20" s="12">
        <v>76</v>
      </c>
      <c r="U20" s="12">
        <v>17</v>
      </c>
      <c r="V20" s="12">
        <v>44</v>
      </c>
      <c r="W20" s="12">
        <v>27</v>
      </c>
      <c r="X20" s="12">
        <v>17</v>
      </c>
      <c r="Y20" s="12">
        <v>27</v>
      </c>
      <c r="Z20" s="12">
        <v>25</v>
      </c>
      <c r="AA20" s="12">
        <v>97</v>
      </c>
      <c r="AB20" s="12">
        <v>49</v>
      </c>
      <c r="AC20" s="12">
        <v>11</v>
      </c>
      <c r="AD20" s="12">
        <v>52</v>
      </c>
      <c r="AE20" s="12">
        <v>24</v>
      </c>
      <c r="AF20" s="12">
        <v>18</v>
      </c>
    </row>
    <row r="21" spans="1:32">
      <c r="A21" s="20"/>
      <c r="B21" s="13" t="s">
        <v>469</v>
      </c>
      <c r="C21" s="14">
        <v>0.04</v>
      </c>
      <c r="D21" s="14">
        <v>0.01</v>
      </c>
      <c r="E21" s="14">
        <v>0.06</v>
      </c>
      <c r="F21" s="14">
        <v>0.03</v>
      </c>
      <c r="G21" s="14">
        <v>0.04</v>
      </c>
      <c r="H21" s="14">
        <v>0.04</v>
      </c>
      <c r="I21" s="14">
        <v>0.03</v>
      </c>
      <c r="J21" s="14">
        <v>0.01</v>
      </c>
      <c r="K21" s="14">
        <v>0.04</v>
      </c>
      <c r="L21" s="14">
        <v>0.05</v>
      </c>
      <c r="M21" s="14">
        <v>0.03</v>
      </c>
      <c r="N21" s="14">
        <v>0.06</v>
      </c>
      <c r="O21" s="14">
        <v>0.08</v>
      </c>
      <c r="P21" s="14">
        <v>0.02</v>
      </c>
      <c r="Q21" s="14">
        <v>0.03</v>
      </c>
      <c r="R21" s="14">
        <v>0.03</v>
      </c>
      <c r="S21" s="14">
        <v>0.06</v>
      </c>
      <c r="T21" s="14">
        <v>7.0000000000000007E-2</v>
      </c>
      <c r="U21" s="14">
        <v>0.03</v>
      </c>
      <c r="V21" s="14">
        <v>0.04</v>
      </c>
      <c r="W21" s="14">
        <v>0.05</v>
      </c>
      <c r="X21" s="14">
        <v>0.02</v>
      </c>
      <c r="Y21" s="14">
        <v>0.03</v>
      </c>
      <c r="Z21" s="14">
        <v>0.02</v>
      </c>
      <c r="AA21" s="14">
        <v>0.09</v>
      </c>
      <c r="AB21" s="14">
        <v>0.05</v>
      </c>
      <c r="AC21" s="14">
        <v>0.01</v>
      </c>
      <c r="AD21" s="14">
        <v>0.05</v>
      </c>
      <c r="AE21" s="14">
        <v>0.02</v>
      </c>
      <c r="AF21" s="14">
        <v>0.02</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871</v>
      </c>
      <c r="C3" s="18"/>
      <c r="D3" s="18"/>
      <c r="E3" s="18"/>
      <c r="F3" s="18"/>
      <c r="H3" s="18" t="s">
        <v>872</v>
      </c>
      <c r="I3" s="18"/>
      <c r="J3" s="18"/>
      <c r="K3" s="18"/>
      <c r="L3" s="18"/>
    </row>
    <row r="4" spans="1:32" ht="27" customHeight="1">
      <c r="B4" s="18" t="s">
        <v>873</v>
      </c>
      <c r="C4" s="18"/>
      <c r="D4" s="18"/>
      <c r="E4" s="18"/>
      <c r="F4" s="18"/>
      <c r="H4" s="18" t="s">
        <v>874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2416</v>
      </c>
      <c r="D12" s="12">
        <v>63</v>
      </c>
      <c r="E12" s="12">
        <v>75</v>
      </c>
      <c r="F12" s="12">
        <v>31</v>
      </c>
      <c r="G12" s="12">
        <v>181</v>
      </c>
      <c r="H12" s="12">
        <v>77</v>
      </c>
      <c r="I12" s="12">
        <v>102</v>
      </c>
      <c r="J12" s="12">
        <v>25</v>
      </c>
      <c r="K12" s="12">
        <v>74</v>
      </c>
      <c r="L12" s="12">
        <v>150</v>
      </c>
      <c r="M12" s="12">
        <v>63</v>
      </c>
      <c r="N12" s="12">
        <v>135</v>
      </c>
      <c r="O12" s="12">
        <v>65</v>
      </c>
      <c r="P12" s="12">
        <v>99</v>
      </c>
      <c r="Q12" s="12">
        <v>93</v>
      </c>
      <c r="R12" s="12">
        <v>31</v>
      </c>
      <c r="S12" s="12">
        <v>110</v>
      </c>
      <c r="T12" s="12">
        <v>115</v>
      </c>
      <c r="U12" s="12">
        <v>58</v>
      </c>
      <c r="V12" s="12">
        <v>89</v>
      </c>
      <c r="W12" s="12">
        <v>101</v>
      </c>
      <c r="X12" s="12">
        <v>156</v>
      </c>
      <c r="Y12" s="12">
        <v>86</v>
      </c>
      <c r="Z12" s="12">
        <v>47</v>
      </c>
      <c r="AA12" s="12">
        <v>112</v>
      </c>
      <c r="AB12" s="12">
        <v>134</v>
      </c>
      <c r="AC12" s="12">
        <v>133</v>
      </c>
      <c r="AD12" s="12">
        <v>72</v>
      </c>
      <c r="AE12" s="12">
        <v>123</v>
      </c>
      <c r="AF12" s="12">
        <v>280</v>
      </c>
    </row>
    <row r="13" spans="1:32">
      <c r="A13" s="20"/>
      <c r="B13" s="13" t="s">
        <v>875</v>
      </c>
      <c r="C13" s="14">
        <v>0.09</v>
      </c>
      <c r="D13" s="14">
        <v>0.06</v>
      </c>
      <c r="E13" s="14">
        <v>7.0000000000000007E-2</v>
      </c>
      <c r="F13" s="14">
        <v>0.03</v>
      </c>
      <c r="G13" s="14">
        <v>0.18</v>
      </c>
      <c r="H13" s="14">
        <v>0.06</v>
      </c>
      <c r="I13" s="14">
        <v>7.0000000000000007E-2</v>
      </c>
      <c r="J13" s="14">
        <v>0.08</v>
      </c>
      <c r="K13" s="14">
        <v>0.08</v>
      </c>
      <c r="L13" s="14">
        <v>0.15</v>
      </c>
      <c r="M13" s="14">
        <v>0.06</v>
      </c>
      <c r="N13" s="14">
        <v>0.13</v>
      </c>
      <c r="O13" s="14">
        <v>0.06</v>
      </c>
      <c r="P13" s="14">
        <v>0.1</v>
      </c>
      <c r="Q13" s="14">
        <v>0.09</v>
      </c>
      <c r="R13" s="14">
        <v>0.06</v>
      </c>
      <c r="S13" s="14">
        <v>0.11</v>
      </c>
      <c r="T13" s="14">
        <v>0.11</v>
      </c>
      <c r="U13" s="14">
        <v>0.11</v>
      </c>
      <c r="V13" s="14">
        <v>0.09</v>
      </c>
      <c r="W13" s="14">
        <v>0.2</v>
      </c>
      <c r="X13" s="14">
        <v>0.15</v>
      </c>
      <c r="Y13" s="14">
        <v>0.09</v>
      </c>
      <c r="Z13" s="14">
        <v>0.05</v>
      </c>
      <c r="AA13" s="14">
        <v>0.11</v>
      </c>
      <c r="AB13" s="14">
        <v>0.13</v>
      </c>
      <c r="AC13" s="14">
        <v>0.13</v>
      </c>
      <c r="AD13" s="14">
        <v>7.0000000000000007E-2</v>
      </c>
      <c r="AE13" s="14">
        <v>0.12</v>
      </c>
      <c r="AF13" s="14">
        <v>0.27</v>
      </c>
    </row>
    <row r="14" spans="1:32">
      <c r="A14" s="20"/>
      <c r="B14" s="11" t="s">
        <v>845</v>
      </c>
      <c r="C14" s="12">
        <v>9367</v>
      </c>
      <c r="D14" s="12">
        <v>340</v>
      </c>
      <c r="E14" s="12">
        <v>364</v>
      </c>
      <c r="F14" s="12">
        <v>267</v>
      </c>
      <c r="G14" s="12">
        <v>426</v>
      </c>
      <c r="H14" s="12">
        <v>342</v>
      </c>
      <c r="I14" s="12">
        <v>422</v>
      </c>
      <c r="J14" s="12">
        <v>80</v>
      </c>
      <c r="K14" s="12">
        <v>391</v>
      </c>
      <c r="L14" s="12">
        <v>360</v>
      </c>
      <c r="M14" s="12">
        <v>325</v>
      </c>
      <c r="N14" s="12">
        <v>418</v>
      </c>
      <c r="O14" s="12">
        <v>304</v>
      </c>
      <c r="P14" s="12">
        <v>496</v>
      </c>
      <c r="Q14" s="12">
        <v>392</v>
      </c>
      <c r="R14" s="12">
        <v>140</v>
      </c>
      <c r="S14" s="12">
        <v>348</v>
      </c>
      <c r="T14" s="12">
        <v>344</v>
      </c>
      <c r="U14" s="12">
        <v>207</v>
      </c>
      <c r="V14" s="12">
        <v>411</v>
      </c>
      <c r="W14" s="12">
        <v>185</v>
      </c>
      <c r="X14" s="12">
        <v>445</v>
      </c>
      <c r="Y14" s="12">
        <v>215</v>
      </c>
      <c r="Z14" s="12">
        <v>425</v>
      </c>
      <c r="AA14" s="12">
        <v>445</v>
      </c>
      <c r="AB14" s="12">
        <v>398</v>
      </c>
      <c r="AC14" s="12">
        <v>396</v>
      </c>
      <c r="AD14" s="12">
        <v>383</v>
      </c>
      <c r="AE14" s="12">
        <v>414</v>
      </c>
      <c r="AF14" s="12">
        <v>475</v>
      </c>
    </row>
    <row r="15" spans="1:32">
      <c r="A15" s="20"/>
      <c r="B15" s="13" t="s">
        <v>876</v>
      </c>
      <c r="C15" s="14">
        <v>0.36</v>
      </c>
      <c r="D15" s="14">
        <v>0.34</v>
      </c>
      <c r="E15" s="14">
        <v>0.36</v>
      </c>
      <c r="F15" s="14">
        <v>0.26</v>
      </c>
      <c r="G15" s="14">
        <v>0.42</v>
      </c>
      <c r="H15" s="14">
        <v>0.28000000000000003</v>
      </c>
      <c r="I15" s="14">
        <v>0.28000000000000003</v>
      </c>
      <c r="J15" s="14">
        <v>0.27</v>
      </c>
      <c r="K15" s="14">
        <v>0.39</v>
      </c>
      <c r="L15" s="14">
        <v>0.36</v>
      </c>
      <c r="M15" s="14">
        <v>0.33</v>
      </c>
      <c r="N15" s="14">
        <v>0.42</v>
      </c>
      <c r="O15" s="14">
        <v>0.3</v>
      </c>
      <c r="P15" s="14">
        <v>0.48</v>
      </c>
      <c r="Q15" s="14">
        <v>0.39</v>
      </c>
      <c r="R15" s="14">
        <v>0.28000000000000003</v>
      </c>
      <c r="S15" s="14">
        <v>0.35</v>
      </c>
      <c r="T15" s="14">
        <v>0.34</v>
      </c>
      <c r="U15" s="14">
        <v>0.41</v>
      </c>
      <c r="V15" s="14">
        <v>0.4</v>
      </c>
      <c r="W15" s="14">
        <v>0.37</v>
      </c>
      <c r="X15" s="14">
        <v>0.44</v>
      </c>
      <c r="Y15" s="14">
        <v>0.21</v>
      </c>
      <c r="Z15" s="14">
        <v>0.42</v>
      </c>
      <c r="AA15" s="14">
        <v>0.42</v>
      </c>
      <c r="AB15" s="14">
        <v>0.38</v>
      </c>
      <c r="AC15" s="14">
        <v>0.39</v>
      </c>
      <c r="AD15" s="14">
        <v>0.38</v>
      </c>
      <c r="AE15" s="14">
        <v>0.41</v>
      </c>
      <c r="AF15" s="14">
        <v>0.47</v>
      </c>
    </row>
    <row r="16" spans="1:32">
      <c r="A16" s="20"/>
      <c r="B16" s="11" t="s">
        <v>877</v>
      </c>
      <c r="C16" s="12">
        <v>6977</v>
      </c>
      <c r="D16" s="12">
        <v>324</v>
      </c>
      <c r="E16" s="12">
        <v>224</v>
      </c>
      <c r="F16" s="12">
        <v>298</v>
      </c>
      <c r="G16" s="12">
        <v>204</v>
      </c>
      <c r="H16" s="12">
        <v>418</v>
      </c>
      <c r="I16" s="12">
        <v>515</v>
      </c>
      <c r="J16" s="12">
        <v>97</v>
      </c>
      <c r="K16" s="12">
        <v>273</v>
      </c>
      <c r="L16" s="12">
        <v>181</v>
      </c>
      <c r="M16" s="12">
        <v>223</v>
      </c>
      <c r="N16" s="12">
        <v>162</v>
      </c>
      <c r="O16" s="12">
        <v>247</v>
      </c>
      <c r="P16" s="12">
        <v>276</v>
      </c>
      <c r="Q16" s="12">
        <v>306</v>
      </c>
      <c r="R16" s="12">
        <v>139</v>
      </c>
      <c r="S16" s="12">
        <v>195</v>
      </c>
      <c r="T16" s="12">
        <v>288</v>
      </c>
      <c r="U16" s="12">
        <v>100</v>
      </c>
      <c r="V16" s="12">
        <v>318</v>
      </c>
      <c r="W16" s="12">
        <v>89</v>
      </c>
      <c r="X16" s="12">
        <v>253</v>
      </c>
      <c r="Y16" s="12">
        <v>235</v>
      </c>
      <c r="Z16" s="12">
        <v>283</v>
      </c>
      <c r="AA16" s="12">
        <v>230</v>
      </c>
      <c r="AB16" s="12">
        <v>291</v>
      </c>
      <c r="AC16" s="12">
        <v>200</v>
      </c>
      <c r="AD16" s="12">
        <v>290</v>
      </c>
      <c r="AE16" s="12">
        <v>186</v>
      </c>
      <c r="AF16" s="12">
        <v>142</v>
      </c>
    </row>
    <row r="17" spans="1:32">
      <c r="A17" s="20"/>
      <c r="B17" s="13" t="s">
        <v>878</v>
      </c>
      <c r="C17" s="14">
        <v>0.26</v>
      </c>
      <c r="D17" s="14">
        <v>0.32</v>
      </c>
      <c r="E17" s="14">
        <v>0.22</v>
      </c>
      <c r="F17" s="14">
        <v>0.3</v>
      </c>
      <c r="G17" s="14">
        <v>0.2</v>
      </c>
      <c r="H17" s="14">
        <v>0.35</v>
      </c>
      <c r="I17" s="14">
        <v>0.34</v>
      </c>
      <c r="J17" s="14">
        <v>0.33</v>
      </c>
      <c r="K17" s="14">
        <v>0.27</v>
      </c>
      <c r="L17" s="14">
        <v>0.18</v>
      </c>
      <c r="M17" s="14">
        <v>0.22</v>
      </c>
      <c r="N17" s="14">
        <v>0.16</v>
      </c>
      <c r="O17" s="14">
        <v>0.25</v>
      </c>
      <c r="P17" s="14">
        <v>0.27</v>
      </c>
      <c r="Q17" s="14">
        <v>0.3</v>
      </c>
      <c r="R17" s="14">
        <v>0.28000000000000003</v>
      </c>
      <c r="S17" s="14">
        <v>0.19</v>
      </c>
      <c r="T17" s="14">
        <v>0.28000000000000003</v>
      </c>
      <c r="U17" s="14">
        <v>0.2</v>
      </c>
      <c r="V17" s="14">
        <v>0.31</v>
      </c>
      <c r="W17" s="14">
        <v>0.18</v>
      </c>
      <c r="X17" s="14">
        <v>0.25</v>
      </c>
      <c r="Y17" s="14">
        <v>0.23</v>
      </c>
      <c r="Z17" s="14">
        <v>0.28000000000000003</v>
      </c>
      <c r="AA17" s="14">
        <v>0.22</v>
      </c>
      <c r="AB17" s="14">
        <v>0.28000000000000003</v>
      </c>
      <c r="AC17" s="14">
        <v>0.2</v>
      </c>
      <c r="AD17" s="14">
        <v>0.28999999999999998</v>
      </c>
      <c r="AE17" s="14">
        <v>0.19</v>
      </c>
      <c r="AF17" s="14">
        <v>0.14000000000000001</v>
      </c>
    </row>
    <row r="18" spans="1:32">
      <c r="A18" s="20"/>
      <c r="B18" s="11" t="s">
        <v>879</v>
      </c>
      <c r="C18" s="12">
        <v>4742</v>
      </c>
      <c r="D18" s="12">
        <v>236</v>
      </c>
      <c r="E18" s="12">
        <v>194</v>
      </c>
      <c r="F18" s="12">
        <v>317</v>
      </c>
      <c r="G18" s="12">
        <v>75</v>
      </c>
      <c r="H18" s="12">
        <v>255</v>
      </c>
      <c r="I18" s="12">
        <v>330</v>
      </c>
      <c r="J18" s="12">
        <v>75</v>
      </c>
      <c r="K18" s="12">
        <v>134</v>
      </c>
      <c r="L18" s="12">
        <v>164</v>
      </c>
      <c r="M18" s="12">
        <v>360</v>
      </c>
      <c r="N18" s="12">
        <v>103</v>
      </c>
      <c r="O18" s="12">
        <v>232</v>
      </c>
      <c r="P18" s="12">
        <v>93</v>
      </c>
      <c r="Q18" s="12">
        <v>178</v>
      </c>
      <c r="R18" s="12">
        <v>152</v>
      </c>
      <c r="S18" s="12">
        <v>153</v>
      </c>
      <c r="T18" s="12">
        <v>109</v>
      </c>
      <c r="U18" s="12">
        <v>79</v>
      </c>
      <c r="V18" s="12">
        <v>134</v>
      </c>
      <c r="W18" s="12">
        <v>66</v>
      </c>
      <c r="X18" s="12">
        <v>92</v>
      </c>
      <c r="Y18" s="12">
        <v>411</v>
      </c>
      <c r="Z18" s="12">
        <v>154</v>
      </c>
      <c r="AA18" s="12">
        <v>92</v>
      </c>
      <c r="AB18" s="12">
        <v>108</v>
      </c>
      <c r="AC18" s="12">
        <v>235</v>
      </c>
      <c r="AD18" s="12">
        <v>176</v>
      </c>
      <c r="AE18" s="12">
        <v>79</v>
      </c>
      <c r="AF18" s="12">
        <v>53</v>
      </c>
    </row>
    <row r="19" spans="1:32">
      <c r="A19" s="20"/>
      <c r="B19" s="13" t="s">
        <v>880</v>
      </c>
      <c r="C19" s="14">
        <v>0.18</v>
      </c>
      <c r="D19" s="14">
        <v>0.24</v>
      </c>
      <c r="E19" s="14">
        <v>0.19</v>
      </c>
      <c r="F19" s="14">
        <v>0.32</v>
      </c>
      <c r="G19" s="14">
        <v>0.08</v>
      </c>
      <c r="H19" s="14">
        <v>0.21</v>
      </c>
      <c r="I19" s="14">
        <v>0.22</v>
      </c>
      <c r="J19" s="14">
        <v>0.26</v>
      </c>
      <c r="K19" s="14">
        <v>0.13</v>
      </c>
      <c r="L19" s="14">
        <v>0.16</v>
      </c>
      <c r="M19" s="14">
        <v>0.36</v>
      </c>
      <c r="N19" s="14">
        <v>0.1</v>
      </c>
      <c r="O19" s="14">
        <v>0.23</v>
      </c>
      <c r="P19" s="14">
        <v>0.09</v>
      </c>
      <c r="Q19" s="14">
        <v>0.17</v>
      </c>
      <c r="R19" s="14">
        <v>0.3</v>
      </c>
      <c r="S19" s="14">
        <v>0.15</v>
      </c>
      <c r="T19" s="14">
        <v>0.11</v>
      </c>
      <c r="U19" s="14">
        <v>0.16</v>
      </c>
      <c r="V19" s="14">
        <v>0.13</v>
      </c>
      <c r="W19" s="14">
        <v>0.13</v>
      </c>
      <c r="X19" s="14">
        <v>0.09</v>
      </c>
      <c r="Y19" s="14">
        <v>0.41</v>
      </c>
      <c r="Z19" s="14">
        <v>0.15</v>
      </c>
      <c r="AA19" s="14">
        <v>0.09</v>
      </c>
      <c r="AB19" s="14">
        <v>0.11</v>
      </c>
      <c r="AC19" s="14">
        <v>0.23</v>
      </c>
      <c r="AD19" s="14">
        <v>0.18</v>
      </c>
      <c r="AE19" s="14">
        <v>0.08</v>
      </c>
      <c r="AF19" s="14">
        <v>0.05</v>
      </c>
    </row>
    <row r="20" spans="1:32">
      <c r="A20" s="20"/>
      <c r="B20" s="11" t="s">
        <v>468</v>
      </c>
      <c r="C20" s="12">
        <v>2818</v>
      </c>
      <c r="D20" s="12">
        <v>40</v>
      </c>
      <c r="E20" s="12">
        <v>161</v>
      </c>
      <c r="F20" s="12">
        <v>91</v>
      </c>
      <c r="G20" s="12">
        <v>118</v>
      </c>
      <c r="H20" s="12">
        <v>124</v>
      </c>
      <c r="I20" s="12">
        <v>141</v>
      </c>
      <c r="J20" s="12">
        <v>18</v>
      </c>
      <c r="K20" s="12">
        <v>134</v>
      </c>
      <c r="L20" s="12">
        <v>151</v>
      </c>
      <c r="M20" s="12">
        <v>33</v>
      </c>
      <c r="N20" s="12">
        <v>186</v>
      </c>
      <c r="O20" s="12">
        <v>155</v>
      </c>
      <c r="P20" s="12">
        <v>58</v>
      </c>
      <c r="Q20" s="12">
        <v>49</v>
      </c>
      <c r="R20" s="12">
        <v>38</v>
      </c>
      <c r="S20" s="12">
        <v>202</v>
      </c>
      <c r="T20" s="12">
        <v>158</v>
      </c>
      <c r="U20" s="12">
        <v>63</v>
      </c>
      <c r="V20" s="12">
        <v>66</v>
      </c>
      <c r="W20" s="12">
        <v>62</v>
      </c>
      <c r="X20" s="12">
        <v>75</v>
      </c>
      <c r="Y20" s="12">
        <v>61</v>
      </c>
      <c r="Z20" s="12">
        <v>99</v>
      </c>
      <c r="AA20" s="12">
        <v>173</v>
      </c>
      <c r="AB20" s="12">
        <v>107</v>
      </c>
      <c r="AC20" s="12">
        <v>46</v>
      </c>
      <c r="AD20" s="12">
        <v>85</v>
      </c>
      <c r="AE20" s="12">
        <v>198</v>
      </c>
      <c r="AF20" s="12">
        <v>70</v>
      </c>
    </row>
    <row r="21" spans="1:32">
      <c r="A21" s="20"/>
      <c r="B21" s="13" t="s">
        <v>469</v>
      </c>
      <c r="C21" s="14">
        <v>0.11</v>
      </c>
      <c r="D21" s="14">
        <v>0.04</v>
      </c>
      <c r="E21" s="14">
        <v>0.16</v>
      </c>
      <c r="F21" s="14">
        <v>0.09</v>
      </c>
      <c r="G21" s="14">
        <v>0.12</v>
      </c>
      <c r="H21" s="14">
        <v>0.1</v>
      </c>
      <c r="I21" s="14">
        <v>0.09</v>
      </c>
      <c r="J21" s="14">
        <v>0.06</v>
      </c>
      <c r="K21" s="14">
        <v>0.13</v>
      </c>
      <c r="L21" s="14">
        <v>0.15</v>
      </c>
      <c r="M21" s="14">
        <v>0.03</v>
      </c>
      <c r="N21" s="14">
        <v>0.19</v>
      </c>
      <c r="O21" s="14">
        <v>0.16</v>
      </c>
      <c r="P21" s="14">
        <v>0.06</v>
      </c>
      <c r="Q21" s="14">
        <v>0.05</v>
      </c>
      <c r="R21" s="14">
        <v>0.08</v>
      </c>
      <c r="S21" s="14">
        <v>0.2</v>
      </c>
      <c r="T21" s="14">
        <v>0.16</v>
      </c>
      <c r="U21" s="14">
        <v>0.12</v>
      </c>
      <c r="V21" s="14">
        <v>7.0000000000000007E-2</v>
      </c>
      <c r="W21" s="14">
        <v>0.12</v>
      </c>
      <c r="X21" s="14">
        <v>7.0000000000000007E-2</v>
      </c>
      <c r="Y21" s="14">
        <v>0.06</v>
      </c>
      <c r="Z21" s="14">
        <v>0.1</v>
      </c>
      <c r="AA21" s="14">
        <v>0.16</v>
      </c>
      <c r="AB21" s="14">
        <v>0.1</v>
      </c>
      <c r="AC21" s="14">
        <v>0.05</v>
      </c>
      <c r="AD21" s="14">
        <v>0.08</v>
      </c>
      <c r="AE21" s="14">
        <v>0.2</v>
      </c>
      <c r="AF21" s="14">
        <v>7.0000000000000007E-2</v>
      </c>
    </row>
    <row r="22" spans="1:32">
      <c r="A22" s="20"/>
      <c r="B22" s="11" t="s">
        <v>851</v>
      </c>
      <c r="C22" s="12">
        <v>11783</v>
      </c>
      <c r="D22" s="12">
        <v>403</v>
      </c>
      <c r="E22" s="12">
        <v>439</v>
      </c>
      <c r="F22" s="12">
        <v>298</v>
      </c>
      <c r="G22" s="12">
        <v>607</v>
      </c>
      <c r="H22" s="12">
        <v>419</v>
      </c>
      <c r="I22" s="12">
        <v>524</v>
      </c>
      <c r="J22" s="12">
        <v>105</v>
      </c>
      <c r="K22" s="12">
        <v>465</v>
      </c>
      <c r="L22" s="12">
        <v>510</v>
      </c>
      <c r="M22" s="12">
        <v>388</v>
      </c>
      <c r="N22" s="12">
        <v>553</v>
      </c>
      <c r="O22" s="12">
        <v>369</v>
      </c>
      <c r="P22" s="12">
        <v>595</v>
      </c>
      <c r="Q22" s="12">
        <v>485</v>
      </c>
      <c r="R22" s="12">
        <v>171</v>
      </c>
      <c r="S22" s="12">
        <v>458</v>
      </c>
      <c r="T22" s="12">
        <v>459</v>
      </c>
      <c r="U22" s="12">
        <v>265</v>
      </c>
      <c r="V22" s="12">
        <v>500</v>
      </c>
      <c r="W22" s="12">
        <v>286</v>
      </c>
      <c r="X22" s="12">
        <v>601</v>
      </c>
      <c r="Y22" s="12">
        <v>301</v>
      </c>
      <c r="Z22" s="12">
        <v>472</v>
      </c>
      <c r="AA22" s="12">
        <v>557</v>
      </c>
      <c r="AB22" s="12">
        <v>532</v>
      </c>
      <c r="AC22" s="12">
        <v>529</v>
      </c>
      <c r="AD22" s="12">
        <v>455</v>
      </c>
      <c r="AE22" s="12">
        <v>537</v>
      </c>
      <c r="AF22" s="12">
        <v>755</v>
      </c>
    </row>
    <row r="23" spans="1:32">
      <c r="A23" s="20"/>
      <c r="B23" s="13" t="s">
        <v>852</v>
      </c>
      <c r="C23" s="14">
        <v>0.45</v>
      </c>
      <c r="D23" s="14">
        <v>0.4</v>
      </c>
      <c r="E23" s="14">
        <v>0.43</v>
      </c>
      <c r="F23" s="14">
        <v>0.28999999999999998</v>
      </c>
      <c r="G23" s="14">
        <v>0.6</v>
      </c>
      <c r="H23" s="14">
        <v>0.34</v>
      </c>
      <c r="I23" s="14">
        <v>0.35</v>
      </c>
      <c r="J23" s="14">
        <v>0.35</v>
      </c>
      <c r="K23" s="14">
        <v>0.47</v>
      </c>
      <c r="L23" s="14">
        <v>0.51</v>
      </c>
      <c r="M23" s="14">
        <v>0.39</v>
      </c>
      <c r="N23" s="14">
        <v>0.55000000000000004</v>
      </c>
      <c r="O23" s="14">
        <v>0.36</v>
      </c>
      <c r="P23" s="14">
        <v>0.57999999999999996</v>
      </c>
      <c r="Q23" s="14">
        <v>0.48</v>
      </c>
      <c r="R23" s="14">
        <v>0.34</v>
      </c>
      <c r="S23" s="14">
        <v>0.46</v>
      </c>
      <c r="T23" s="14">
        <v>0.45</v>
      </c>
      <c r="U23" s="14">
        <v>0.52</v>
      </c>
      <c r="V23" s="14">
        <v>0.49</v>
      </c>
      <c r="W23" s="14">
        <v>0.57000000000000006</v>
      </c>
      <c r="X23" s="14">
        <v>0.59</v>
      </c>
      <c r="Y23" s="14">
        <v>0.3</v>
      </c>
      <c r="Z23" s="14">
        <v>0.47</v>
      </c>
      <c r="AA23" s="14">
        <v>0.53</v>
      </c>
      <c r="AB23" s="14">
        <v>0.51</v>
      </c>
      <c r="AC23" s="14">
        <v>0.52</v>
      </c>
      <c r="AD23" s="14">
        <v>0.45</v>
      </c>
      <c r="AE23" s="14">
        <v>0.53</v>
      </c>
      <c r="AF23" s="14">
        <v>0.74</v>
      </c>
    </row>
    <row r="24" spans="1:32">
      <c r="A24" s="20"/>
      <c r="B24" s="11" t="s">
        <v>881</v>
      </c>
      <c r="C24" s="12">
        <v>11719</v>
      </c>
      <c r="D24" s="12">
        <v>560</v>
      </c>
      <c r="E24" s="12">
        <v>418</v>
      </c>
      <c r="F24" s="12">
        <v>615</v>
      </c>
      <c r="G24" s="12">
        <v>279</v>
      </c>
      <c r="H24" s="12">
        <v>673</v>
      </c>
      <c r="I24" s="12">
        <v>845</v>
      </c>
      <c r="J24" s="12">
        <v>172</v>
      </c>
      <c r="K24" s="12">
        <v>407</v>
      </c>
      <c r="L24" s="12">
        <v>345</v>
      </c>
      <c r="M24" s="12">
        <v>583</v>
      </c>
      <c r="N24" s="12">
        <v>265</v>
      </c>
      <c r="O24" s="12">
        <v>479</v>
      </c>
      <c r="P24" s="12">
        <v>369</v>
      </c>
      <c r="Q24" s="12">
        <v>484</v>
      </c>
      <c r="R24" s="12">
        <v>291</v>
      </c>
      <c r="S24" s="12">
        <v>348</v>
      </c>
      <c r="T24" s="12">
        <v>397</v>
      </c>
      <c r="U24" s="12">
        <v>179</v>
      </c>
      <c r="V24" s="12">
        <v>452</v>
      </c>
      <c r="W24" s="12">
        <v>155</v>
      </c>
      <c r="X24" s="12">
        <v>345</v>
      </c>
      <c r="Y24" s="12">
        <v>646</v>
      </c>
      <c r="Z24" s="12">
        <v>437</v>
      </c>
      <c r="AA24" s="12">
        <v>322</v>
      </c>
      <c r="AB24" s="12">
        <v>399</v>
      </c>
      <c r="AC24" s="12">
        <v>435</v>
      </c>
      <c r="AD24" s="12">
        <v>466</v>
      </c>
      <c r="AE24" s="12">
        <v>265</v>
      </c>
      <c r="AF24" s="12">
        <v>195</v>
      </c>
    </row>
    <row r="25" spans="1:32">
      <c r="A25" s="20"/>
      <c r="B25" s="13" t="s">
        <v>882</v>
      </c>
      <c r="C25" s="14">
        <v>0.44</v>
      </c>
      <c r="D25" s="14">
        <v>0.56000000000000005</v>
      </c>
      <c r="E25" s="14">
        <v>0.41</v>
      </c>
      <c r="F25" s="14">
        <v>0.62</v>
      </c>
      <c r="G25" s="14">
        <v>0.28000000000000003</v>
      </c>
      <c r="H25" s="14">
        <v>0.56000000000000005</v>
      </c>
      <c r="I25" s="14">
        <v>0.56000000000000005</v>
      </c>
      <c r="J25" s="14">
        <v>0.59</v>
      </c>
      <c r="K25" s="14">
        <v>0.4</v>
      </c>
      <c r="L25" s="14">
        <v>0.34</v>
      </c>
      <c r="M25" s="14">
        <v>0.57999999999999996</v>
      </c>
      <c r="N25" s="14">
        <v>0.26</v>
      </c>
      <c r="O25" s="14">
        <v>0.48</v>
      </c>
      <c r="P25" s="14">
        <v>0.36</v>
      </c>
      <c r="Q25" s="14">
        <v>0.47</v>
      </c>
      <c r="R25" s="14">
        <v>0.57999999999999996</v>
      </c>
      <c r="S25" s="14">
        <v>0.34</v>
      </c>
      <c r="T25" s="14">
        <v>0.39</v>
      </c>
      <c r="U25" s="14">
        <v>0.36</v>
      </c>
      <c r="V25" s="14">
        <v>0.44</v>
      </c>
      <c r="W25" s="14">
        <v>0.31</v>
      </c>
      <c r="X25" s="14">
        <v>0.34</v>
      </c>
      <c r="Y25" s="14">
        <v>0.64</v>
      </c>
      <c r="Z25" s="14">
        <v>0.43</v>
      </c>
      <c r="AA25" s="14">
        <v>0.31</v>
      </c>
      <c r="AB25" s="14">
        <v>0.39</v>
      </c>
      <c r="AC25" s="14">
        <v>0.43</v>
      </c>
      <c r="AD25" s="14">
        <v>0.47</v>
      </c>
      <c r="AE25" s="14">
        <v>0.27</v>
      </c>
      <c r="AF25" s="14">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883</v>
      </c>
      <c r="C3" s="18"/>
      <c r="D3" s="18"/>
      <c r="E3" s="18"/>
      <c r="F3" s="18"/>
      <c r="H3" s="18" t="s">
        <v>884</v>
      </c>
      <c r="I3" s="18"/>
      <c r="J3" s="18"/>
      <c r="K3" s="18"/>
      <c r="L3" s="18"/>
    </row>
    <row r="4" spans="1:32" ht="27" customHeight="1">
      <c r="B4" s="18" t="s">
        <v>885</v>
      </c>
      <c r="C4" s="18"/>
      <c r="D4" s="18"/>
      <c r="E4" s="18"/>
      <c r="F4" s="18"/>
      <c r="H4" s="18" t="s">
        <v>886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2587</v>
      </c>
      <c r="D12" s="12">
        <v>73</v>
      </c>
      <c r="E12" s="12">
        <v>108</v>
      </c>
      <c r="F12" s="12">
        <v>52</v>
      </c>
      <c r="G12" s="12">
        <v>212</v>
      </c>
      <c r="H12" s="12">
        <v>88</v>
      </c>
      <c r="I12" s="12">
        <v>113</v>
      </c>
      <c r="J12" s="12">
        <v>26</v>
      </c>
      <c r="K12" s="12">
        <v>81</v>
      </c>
      <c r="L12" s="12">
        <v>162</v>
      </c>
      <c r="M12" s="12">
        <v>101</v>
      </c>
      <c r="N12" s="12">
        <v>134</v>
      </c>
      <c r="O12" s="12">
        <v>68</v>
      </c>
      <c r="P12" s="12">
        <v>159</v>
      </c>
      <c r="Q12" s="12">
        <v>66</v>
      </c>
      <c r="R12" s="12">
        <v>43</v>
      </c>
      <c r="S12" s="12">
        <v>128</v>
      </c>
      <c r="T12" s="12">
        <v>128</v>
      </c>
      <c r="U12" s="12">
        <v>66</v>
      </c>
      <c r="V12" s="12">
        <v>122</v>
      </c>
      <c r="W12" s="12">
        <v>89</v>
      </c>
      <c r="X12" s="12">
        <v>166</v>
      </c>
      <c r="Y12" s="12">
        <v>120</v>
      </c>
      <c r="Z12" s="12">
        <v>68</v>
      </c>
      <c r="AA12" s="12">
        <v>115</v>
      </c>
      <c r="AB12" s="12">
        <v>143</v>
      </c>
      <c r="AC12" s="12">
        <v>249</v>
      </c>
      <c r="AD12" s="12">
        <v>82</v>
      </c>
      <c r="AE12" s="12">
        <v>119</v>
      </c>
      <c r="AF12" s="12">
        <v>306</v>
      </c>
    </row>
    <row r="13" spans="1:32">
      <c r="A13" s="20"/>
      <c r="B13" s="13" t="s">
        <v>875</v>
      </c>
      <c r="C13" s="14">
        <v>0.1</v>
      </c>
      <c r="D13" s="14">
        <v>7.0000000000000007E-2</v>
      </c>
      <c r="E13" s="14">
        <v>0.11</v>
      </c>
      <c r="F13" s="14">
        <v>0.05</v>
      </c>
      <c r="G13" s="14">
        <v>0.21</v>
      </c>
      <c r="H13" s="14">
        <v>7.0000000000000007E-2</v>
      </c>
      <c r="I13" s="14">
        <v>0.08</v>
      </c>
      <c r="J13" s="14">
        <v>0.09</v>
      </c>
      <c r="K13" s="14">
        <v>0.08</v>
      </c>
      <c r="L13" s="14">
        <v>0.16</v>
      </c>
      <c r="M13" s="14">
        <v>0.1</v>
      </c>
      <c r="N13" s="14">
        <v>0.13</v>
      </c>
      <c r="O13" s="14">
        <v>7.0000000000000007E-2</v>
      </c>
      <c r="P13" s="14">
        <v>0.15</v>
      </c>
      <c r="Q13" s="14">
        <v>0.06</v>
      </c>
      <c r="R13" s="14">
        <v>0.08</v>
      </c>
      <c r="S13" s="14">
        <v>0.13</v>
      </c>
      <c r="T13" s="14">
        <v>0.13</v>
      </c>
      <c r="U13" s="14">
        <v>0.13</v>
      </c>
      <c r="V13" s="14">
        <v>0.12</v>
      </c>
      <c r="W13" s="14">
        <v>0.18</v>
      </c>
      <c r="X13" s="14">
        <v>0.16</v>
      </c>
      <c r="Y13" s="14">
        <v>0.12</v>
      </c>
      <c r="Z13" s="14">
        <v>7.0000000000000007E-2</v>
      </c>
      <c r="AA13" s="14">
        <v>0.11</v>
      </c>
      <c r="AB13" s="14">
        <v>0.14000000000000001</v>
      </c>
      <c r="AC13" s="14">
        <v>0.25</v>
      </c>
      <c r="AD13" s="14">
        <v>0.08</v>
      </c>
      <c r="AE13" s="14">
        <v>0.12</v>
      </c>
      <c r="AF13" s="14">
        <v>0.3</v>
      </c>
    </row>
    <row r="14" spans="1:32">
      <c r="A14" s="20"/>
      <c r="B14" s="11" t="s">
        <v>845</v>
      </c>
      <c r="C14" s="12">
        <v>10055</v>
      </c>
      <c r="D14" s="12">
        <v>410</v>
      </c>
      <c r="E14" s="12">
        <v>425</v>
      </c>
      <c r="F14" s="12">
        <v>328</v>
      </c>
      <c r="G14" s="12">
        <v>466</v>
      </c>
      <c r="H14" s="12">
        <v>472</v>
      </c>
      <c r="I14" s="12">
        <v>562</v>
      </c>
      <c r="J14" s="12">
        <v>91</v>
      </c>
      <c r="K14" s="12">
        <v>440</v>
      </c>
      <c r="L14" s="12">
        <v>408</v>
      </c>
      <c r="M14" s="12">
        <v>406</v>
      </c>
      <c r="N14" s="12">
        <v>427</v>
      </c>
      <c r="O14" s="12">
        <v>269</v>
      </c>
      <c r="P14" s="12">
        <v>600</v>
      </c>
      <c r="Q14" s="12">
        <v>360</v>
      </c>
      <c r="R14" s="12">
        <v>209</v>
      </c>
      <c r="S14" s="12">
        <v>390</v>
      </c>
      <c r="T14" s="12">
        <v>379</v>
      </c>
      <c r="U14" s="12">
        <v>201</v>
      </c>
      <c r="V14" s="12">
        <v>464</v>
      </c>
      <c r="W14" s="12">
        <v>168</v>
      </c>
      <c r="X14" s="12">
        <v>462</v>
      </c>
      <c r="Y14" s="12">
        <v>284</v>
      </c>
      <c r="Z14" s="12">
        <v>438</v>
      </c>
      <c r="AA14" s="12">
        <v>376</v>
      </c>
      <c r="AB14" s="12">
        <v>452</v>
      </c>
      <c r="AC14" s="12">
        <v>460</v>
      </c>
      <c r="AD14" s="12">
        <v>529</v>
      </c>
      <c r="AE14" s="12">
        <v>451</v>
      </c>
      <c r="AF14" s="12">
        <v>521</v>
      </c>
    </row>
    <row r="15" spans="1:32">
      <c r="A15" s="20"/>
      <c r="B15" s="13" t="s">
        <v>876</v>
      </c>
      <c r="C15" s="14">
        <v>0.38</v>
      </c>
      <c r="D15" s="14">
        <v>0.41</v>
      </c>
      <c r="E15" s="14">
        <v>0.42</v>
      </c>
      <c r="F15" s="14">
        <v>0.33</v>
      </c>
      <c r="G15" s="14">
        <v>0.46</v>
      </c>
      <c r="H15" s="14">
        <v>0.39</v>
      </c>
      <c r="I15" s="14">
        <v>0.37</v>
      </c>
      <c r="J15" s="14">
        <v>0.31</v>
      </c>
      <c r="K15" s="14">
        <v>0.44</v>
      </c>
      <c r="L15" s="14">
        <v>0.41</v>
      </c>
      <c r="M15" s="14">
        <v>0.4</v>
      </c>
      <c r="N15" s="14">
        <v>0.43</v>
      </c>
      <c r="O15" s="14">
        <v>0.27</v>
      </c>
      <c r="P15" s="14">
        <v>0.59</v>
      </c>
      <c r="Q15" s="14">
        <v>0.35</v>
      </c>
      <c r="R15" s="14">
        <v>0.42</v>
      </c>
      <c r="S15" s="14">
        <v>0.39</v>
      </c>
      <c r="T15" s="14">
        <v>0.37</v>
      </c>
      <c r="U15" s="14">
        <v>0.4</v>
      </c>
      <c r="V15" s="14">
        <v>0.45</v>
      </c>
      <c r="W15" s="14">
        <v>0.33</v>
      </c>
      <c r="X15" s="14">
        <v>0.45</v>
      </c>
      <c r="Y15" s="14">
        <v>0.28000000000000003</v>
      </c>
      <c r="Z15" s="14">
        <v>0.43</v>
      </c>
      <c r="AA15" s="14">
        <v>0.36</v>
      </c>
      <c r="AB15" s="14">
        <v>0.43</v>
      </c>
      <c r="AC15" s="14">
        <v>0.45</v>
      </c>
      <c r="AD15" s="14">
        <v>0.53</v>
      </c>
      <c r="AE15" s="14">
        <v>0.45</v>
      </c>
      <c r="AF15" s="14">
        <v>0.51</v>
      </c>
    </row>
    <row r="16" spans="1:32">
      <c r="A16" s="20"/>
      <c r="B16" s="11" t="s">
        <v>877</v>
      </c>
      <c r="C16" s="12">
        <v>6684</v>
      </c>
      <c r="D16" s="12">
        <v>285</v>
      </c>
      <c r="E16" s="12">
        <v>177</v>
      </c>
      <c r="F16" s="12">
        <v>304</v>
      </c>
      <c r="G16" s="12">
        <v>172</v>
      </c>
      <c r="H16" s="12">
        <v>342</v>
      </c>
      <c r="I16" s="12">
        <v>444</v>
      </c>
      <c r="J16" s="12">
        <v>102</v>
      </c>
      <c r="K16" s="12">
        <v>227</v>
      </c>
      <c r="L16" s="12">
        <v>140</v>
      </c>
      <c r="M16" s="12">
        <v>199</v>
      </c>
      <c r="N16" s="12">
        <v>162</v>
      </c>
      <c r="O16" s="12">
        <v>266</v>
      </c>
      <c r="P16" s="12">
        <v>159</v>
      </c>
      <c r="Q16" s="12">
        <v>362</v>
      </c>
      <c r="R16" s="12">
        <v>95</v>
      </c>
      <c r="S16" s="12">
        <v>159</v>
      </c>
      <c r="T16" s="12">
        <v>260</v>
      </c>
      <c r="U16" s="12">
        <v>96</v>
      </c>
      <c r="V16" s="12">
        <v>281</v>
      </c>
      <c r="W16" s="12">
        <v>82</v>
      </c>
      <c r="X16" s="12">
        <v>251</v>
      </c>
      <c r="Y16" s="12">
        <v>203</v>
      </c>
      <c r="Z16" s="12">
        <v>247</v>
      </c>
      <c r="AA16" s="12">
        <v>280</v>
      </c>
      <c r="AB16" s="12">
        <v>238</v>
      </c>
      <c r="AC16" s="12">
        <v>136</v>
      </c>
      <c r="AD16" s="12">
        <v>208</v>
      </c>
      <c r="AE16" s="12">
        <v>178</v>
      </c>
      <c r="AF16" s="12">
        <v>104</v>
      </c>
    </row>
    <row r="17" spans="1:32">
      <c r="A17" s="20"/>
      <c r="B17" s="13" t="s">
        <v>878</v>
      </c>
      <c r="C17" s="14">
        <v>0.25</v>
      </c>
      <c r="D17" s="14">
        <v>0.28999999999999998</v>
      </c>
      <c r="E17" s="14">
        <v>0.17</v>
      </c>
      <c r="F17" s="14">
        <v>0.3</v>
      </c>
      <c r="G17" s="14">
        <v>0.17</v>
      </c>
      <c r="H17" s="14">
        <v>0.28000000000000003</v>
      </c>
      <c r="I17" s="14">
        <v>0.28999999999999998</v>
      </c>
      <c r="J17" s="14">
        <v>0.35</v>
      </c>
      <c r="K17" s="14">
        <v>0.23</v>
      </c>
      <c r="L17" s="14">
        <v>0.14000000000000001</v>
      </c>
      <c r="M17" s="14">
        <v>0.2</v>
      </c>
      <c r="N17" s="14">
        <v>0.16</v>
      </c>
      <c r="O17" s="14">
        <v>0.26</v>
      </c>
      <c r="P17" s="14">
        <v>0.16</v>
      </c>
      <c r="Q17" s="14">
        <v>0.36</v>
      </c>
      <c r="R17" s="14">
        <v>0.19</v>
      </c>
      <c r="S17" s="14">
        <v>0.16</v>
      </c>
      <c r="T17" s="14">
        <v>0.26</v>
      </c>
      <c r="U17" s="14">
        <v>0.19</v>
      </c>
      <c r="V17" s="14">
        <v>0.28000000000000003</v>
      </c>
      <c r="W17" s="14">
        <v>0.17</v>
      </c>
      <c r="X17" s="14">
        <v>0.25</v>
      </c>
      <c r="Y17" s="14">
        <v>0.2</v>
      </c>
      <c r="Z17" s="14">
        <v>0.25</v>
      </c>
      <c r="AA17" s="14">
        <v>0.27</v>
      </c>
      <c r="AB17" s="14">
        <v>0.23</v>
      </c>
      <c r="AC17" s="14">
        <v>0.13</v>
      </c>
      <c r="AD17" s="14">
        <v>0.21</v>
      </c>
      <c r="AE17" s="14">
        <v>0.18</v>
      </c>
      <c r="AF17" s="14">
        <v>0.1</v>
      </c>
    </row>
    <row r="18" spans="1:32">
      <c r="A18" s="20"/>
      <c r="B18" s="11" t="s">
        <v>879</v>
      </c>
      <c r="C18" s="12">
        <v>4092</v>
      </c>
      <c r="D18" s="12">
        <v>192</v>
      </c>
      <c r="E18" s="12">
        <v>148</v>
      </c>
      <c r="F18" s="12">
        <v>226</v>
      </c>
      <c r="G18" s="12">
        <v>48</v>
      </c>
      <c r="H18" s="12">
        <v>197</v>
      </c>
      <c r="I18" s="12">
        <v>256</v>
      </c>
      <c r="J18" s="12">
        <v>59</v>
      </c>
      <c r="K18" s="12">
        <v>112</v>
      </c>
      <c r="L18" s="12">
        <v>145</v>
      </c>
      <c r="M18" s="12">
        <v>220</v>
      </c>
      <c r="N18" s="12">
        <v>99</v>
      </c>
      <c r="O18" s="12">
        <v>234</v>
      </c>
      <c r="P18" s="12">
        <v>61</v>
      </c>
      <c r="Q18" s="12">
        <v>173</v>
      </c>
      <c r="R18" s="12">
        <v>88</v>
      </c>
      <c r="S18" s="12">
        <v>113</v>
      </c>
      <c r="T18" s="12">
        <v>93</v>
      </c>
      <c r="U18" s="12">
        <v>81</v>
      </c>
      <c r="V18" s="12">
        <v>89</v>
      </c>
      <c r="W18" s="12">
        <v>62</v>
      </c>
      <c r="X18" s="12">
        <v>70</v>
      </c>
      <c r="Y18" s="12">
        <v>347</v>
      </c>
      <c r="Z18" s="12">
        <v>152</v>
      </c>
      <c r="AA18" s="12">
        <v>107</v>
      </c>
      <c r="AB18" s="12">
        <v>87</v>
      </c>
      <c r="AC18" s="12">
        <v>127</v>
      </c>
      <c r="AD18" s="12">
        <v>86</v>
      </c>
      <c r="AE18" s="12">
        <v>59</v>
      </c>
      <c r="AF18" s="12">
        <v>34</v>
      </c>
    </row>
    <row r="19" spans="1:32">
      <c r="A19" s="20"/>
      <c r="B19" s="13" t="s">
        <v>880</v>
      </c>
      <c r="C19" s="14">
        <v>0.16</v>
      </c>
      <c r="D19" s="14">
        <v>0.19</v>
      </c>
      <c r="E19" s="14">
        <v>0.14000000000000001</v>
      </c>
      <c r="F19" s="14">
        <v>0.22</v>
      </c>
      <c r="G19" s="14">
        <v>0.05</v>
      </c>
      <c r="H19" s="14">
        <v>0.16</v>
      </c>
      <c r="I19" s="14">
        <v>0.17</v>
      </c>
      <c r="J19" s="14">
        <v>0.2</v>
      </c>
      <c r="K19" s="14">
        <v>0.11</v>
      </c>
      <c r="L19" s="14">
        <v>0.14000000000000001</v>
      </c>
      <c r="M19" s="14">
        <v>0.22</v>
      </c>
      <c r="N19" s="14">
        <v>0.1</v>
      </c>
      <c r="O19" s="14">
        <v>0.23</v>
      </c>
      <c r="P19" s="14">
        <v>0.06</v>
      </c>
      <c r="Q19" s="14">
        <v>0.17</v>
      </c>
      <c r="R19" s="14">
        <v>0.18</v>
      </c>
      <c r="S19" s="14">
        <v>0.11</v>
      </c>
      <c r="T19" s="14">
        <v>0.09</v>
      </c>
      <c r="U19" s="14">
        <v>0.16</v>
      </c>
      <c r="V19" s="14">
        <v>0.09</v>
      </c>
      <c r="W19" s="14">
        <v>0.12</v>
      </c>
      <c r="X19" s="14">
        <v>7.0000000000000007E-2</v>
      </c>
      <c r="Y19" s="14">
        <v>0.35</v>
      </c>
      <c r="Z19" s="14">
        <v>0.15</v>
      </c>
      <c r="AA19" s="14">
        <v>0.1</v>
      </c>
      <c r="AB19" s="14">
        <v>0.08</v>
      </c>
      <c r="AC19" s="14">
        <v>0.13</v>
      </c>
      <c r="AD19" s="14">
        <v>0.08</v>
      </c>
      <c r="AE19" s="14">
        <v>0.06</v>
      </c>
      <c r="AF19" s="14">
        <v>0.03</v>
      </c>
    </row>
    <row r="20" spans="1:32">
      <c r="A20" s="20"/>
      <c r="B20" s="11" t="s">
        <v>468</v>
      </c>
      <c r="C20" s="12">
        <v>2901</v>
      </c>
      <c r="D20" s="12">
        <v>43</v>
      </c>
      <c r="E20" s="12">
        <v>160</v>
      </c>
      <c r="F20" s="12">
        <v>96</v>
      </c>
      <c r="G20" s="12">
        <v>107</v>
      </c>
      <c r="H20" s="12">
        <v>118</v>
      </c>
      <c r="I20" s="12">
        <v>134</v>
      </c>
      <c r="J20" s="12">
        <v>16</v>
      </c>
      <c r="K20" s="12">
        <v>146</v>
      </c>
      <c r="L20" s="12">
        <v>152</v>
      </c>
      <c r="M20" s="12">
        <v>76</v>
      </c>
      <c r="N20" s="12">
        <v>181</v>
      </c>
      <c r="O20" s="12">
        <v>167</v>
      </c>
      <c r="P20" s="12">
        <v>42</v>
      </c>
      <c r="Q20" s="12">
        <v>58</v>
      </c>
      <c r="R20" s="12">
        <v>65</v>
      </c>
      <c r="S20" s="12">
        <v>218</v>
      </c>
      <c r="T20" s="12">
        <v>154</v>
      </c>
      <c r="U20" s="12">
        <v>62</v>
      </c>
      <c r="V20" s="12">
        <v>62</v>
      </c>
      <c r="W20" s="12">
        <v>101</v>
      </c>
      <c r="X20" s="12">
        <v>72</v>
      </c>
      <c r="Y20" s="12">
        <v>54</v>
      </c>
      <c r="Z20" s="12">
        <v>104</v>
      </c>
      <c r="AA20" s="12">
        <v>174</v>
      </c>
      <c r="AB20" s="12">
        <v>119</v>
      </c>
      <c r="AC20" s="12">
        <v>37</v>
      </c>
      <c r="AD20" s="12">
        <v>102</v>
      </c>
      <c r="AE20" s="12">
        <v>195</v>
      </c>
      <c r="AF20" s="12">
        <v>56</v>
      </c>
    </row>
    <row r="21" spans="1:32">
      <c r="A21" s="20"/>
      <c r="B21" s="13" t="s">
        <v>469</v>
      </c>
      <c r="C21" s="14">
        <v>0.11</v>
      </c>
      <c r="D21" s="14">
        <v>0.04</v>
      </c>
      <c r="E21" s="14">
        <v>0.16</v>
      </c>
      <c r="F21" s="14">
        <v>0.1</v>
      </c>
      <c r="G21" s="14">
        <v>0.11</v>
      </c>
      <c r="H21" s="14">
        <v>0.1</v>
      </c>
      <c r="I21" s="14">
        <v>0.09</v>
      </c>
      <c r="J21" s="14">
        <v>0.05</v>
      </c>
      <c r="K21" s="14">
        <v>0.14000000000000001</v>
      </c>
      <c r="L21" s="14">
        <v>0.15</v>
      </c>
      <c r="M21" s="14">
        <v>0.08</v>
      </c>
      <c r="N21" s="14">
        <v>0.18</v>
      </c>
      <c r="O21" s="14">
        <v>0.17</v>
      </c>
      <c r="P21" s="14">
        <v>0.04</v>
      </c>
      <c r="Q21" s="14">
        <v>0.06</v>
      </c>
      <c r="R21" s="14">
        <v>0.13</v>
      </c>
      <c r="S21" s="14">
        <v>0.21</v>
      </c>
      <c r="T21" s="14">
        <v>0.15</v>
      </c>
      <c r="U21" s="14">
        <v>0.12</v>
      </c>
      <c r="V21" s="14">
        <v>0.06</v>
      </c>
      <c r="W21" s="14">
        <v>0.2</v>
      </c>
      <c r="X21" s="14">
        <v>7.0000000000000007E-2</v>
      </c>
      <c r="Y21" s="14">
        <v>0.05</v>
      </c>
      <c r="Z21" s="14">
        <v>0.1</v>
      </c>
      <c r="AA21" s="14">
        <v>0.16</v>
      </c>
      <c r="AB21" s="14">
        <v>0.12</v>
      </c>
      <c r="AC21" s="14">
        <v>0.04</v>
      </c>
      <c r="AD21" s="14">
        <v>0.1</v>
      </c>
      <c r="AE21" s="14">
        <v>0.19</v>
      </c>
      <c r="AF21" s="14">
        <v>0.06</v>
      </c>
    </row>
    <row r="22" spans="1:32">
      <c r="A22" s="20"/>
      <c r="B22" s="11" t="s">
        <v>851</v>
      </c>
      <c r="C22" s="12">
        <v>12642</v>
      </c>
      <c r="D22" s="12">
        <v>483</v>
      </c>
      <c r="E22" s="12">
        <v>533</v>
      </c>
      <c r="F22" s="12">
        <v>380</v>
      </c>
      <c r="G22" s="12">
        <v>678</v>
      </c>
      <c r="H22" s="12">
        <v>560</v>
      </c>
      <c r="I22" s="12">
        <v>675</v>
      </c>
      <c r="J22" s="12">
        <v>117</v>
      </c>
      <c r="K22" s="12">
        <v>521</v>
      </c>
      <c r="L22" s="12">
        <v>570</v>
      </c>
      <c r="M22" s="12">
        <v>507</v>
      </c>
      <c r="N22" s="12">
        <v>561</v>
      </c>
      <c r="O22" s="12">
        <v>337</v>
      </c>
      <c r="P22" s="12">
        <v>759</v>
      </c>
      <c r="Q22" s="12">
        <v>426</v>
      </c>
      <c r="R22" s="12">
        <v>252</v>
      </c>
      <c r="S22" s="12">
        <v>518</v>
      </c>
      <c r="T22" s="12">
        <v>507</v>
      </c>
      <c r="U22" s="12">
        <v>267</v>
      </c>
      <c r="V22" s="12">
        <v>586</v>
      </c>
      <c r="W22" s="12">
        <v>257</v>
      </c>
      <c r="X22" s="12">
        <v>628</v>
      </c>
      <c r="Y22" s="12">
        <v>404</v>
      </c>
      <c r="Z22" s="12">
        <v>506</v>
      </c>
      <c r="AA22" s="12">
        <v>491</v>
      </c>
      <c r="AB22" s="12">
        <v>595</v>
      </c>
      <c r="AC22" s="12">
        <v>709</v>
      </c>
      <c r="AD22" s="12">
        <v>611</v>
      </c>
      <c r="AE22" s="12">
        <v>570</v>
      </c>
      <c r="AF22" s="12">
        <v>827</v>
      </c>
    </row>
    <row r="23" spans="1:32">
      <c r="A23" s="20"/>
      <c r="B23" s="13" t="s">
        <v>852</v>
      </c>
      <c r="C23" s="14">
        <v>0.48</v>
      </c>
      <c r="D23" s="14">
        <v>0.48</v>
      </c>
      <c r="E23" s="14">
        <v>0.53</v>
      </c>
      <c r="F23" s="14">
        <v>0.38</v>
      </c>
      <c r="G23" s="14">
        <v>0.67</v>
      </c>
      <c r="H23" s="14">
        <v>0.46</v>
      </c>
      <c r="I23" s="14">
        <v>0.45</v>
      </c>
      <c r="J23" s="14">
        <v>0.4</v>
      </c>
      <c r="K23" s="14">
        <v>0.52</v>
      </c>
      <c r="L23" s="14">
        <v>0.57000000000000006</v>
      </c>
      <c r="M23" s="14">
        <v>0.5</v>
      </c>
      <c r="N23" s="14">
        <v>0.56000000000000005</v>
      </c>
      <c r="O23" s="14">
        <v>0.34</v>
      </c>
      <c r="P23" s="14">
        <v>0.74</v>
      </c>
      <c r="Q23" s="14">
        <v>0.41</v>
      </c>
      <c r="R23" s="14">
        <v>0.5</v>
      </c>
      <c r="S23" s="14">
        <v>0.52</v>
      </c>
      <c r="T23" s="14">
        <v>0.5</v>
      </c>
      <c r="U23" s="14">
        <v>0.53</v>
      </c>
      <c r="V23" s="14">
        <v>0.57000000000000006</v>
      </c>
      <c r="W23" s="14">
        <v>0.51</v>
      </c>
      <c r="X23" s="14">
        <v>0.61</v>
      </c>
      <c r="Y23" s="14">
        <v>0.4</v>
      </c>
      <c r="Z23" s="14">
        <v>0.5</v>
      </c>
      <c r="AA23" s="14">
        <v>0.47</v>
      </c>
      <c r="AB23" s="14">
        <v>0.57000000000000006</v>
      </c>
      <c r="AC23" s="14">
        <v>0.70000000000000007</v>
      </c>
      <c r="AD23" s="14">
        <v>0.61</v>
      </c>
      <c r="AE23" s="14">
        <v>0.57000000000000006</v>
      </c>
      <c r="AF23" s="14">
        <v>0.81</v>
      </c>
    </row>
    <row r="24" spans="1:32">
      <c r="A24" s="20"/>
      <c r="B24" s="11" t="s">
        <v>881</v>
      </c>
      <c r="C24" s="12">
        <v>10776</v>
      </c>
      <c r="D24" s="12">
        <v>477</v>
      </c>
      <c r="E24" s="12">
        <v>325</v>
      </c>
      <c r="F24" s="12">
        <v>530</v>
      </c>
      <c r="G24" s="12">
        <v>220</v>
      </c>
      <c r="H24" s="12">
        <v>539</v>
      </c>
      <c r="I24" s="12">
        <v>700</v>
      </c>
      <c r="J24" s="12">
        <v>161</v>
      </c>
      <c r="K24" s="12">
        <v>339</v>
      </c>
      <c r="L24" s="12">
        <v>285</v>
      </c>
      <c r="M24" s="12">
        <v>419</v>
      </c>
      <c r="N24" s="12">
        <v>261</v>
      </c>
      <c r="O24" s="12">
        <v>500</v>
      </c>
      <c r="P24" s="12">
        <v>220</v>
      </c>
      <c r="Q24" s="12">
        <v>535</v>
      </c>
      <c r="R24" s="12">
        <v>183</v>
      </c>
      <c r="S24" s="12">
        <v>272</v>
      </c>
      <c r="T24" s="12">
        <v>353</v>
      </c>
      <c r="U24" s="12">
        <v>177</v>
      </c>
      <c r="V24" s="12">
        <v>370</v>
      </c>
      <c r="W24" s="12">
        <v>144</v>
      </c>
      <c r="X24" s="12">
        <v>321</v>
      </c>
      <c r="Y24" s="12">
        <v>550</v>
      </c>
      <c r="Z24" s="12">
        <v>399</v>
      </c>
      <c r="AA24" s="12">
        <v>387</v>
      </c>
      <c r="AB24" s="12">
        <v>325</v>
      </c>
      <c r="AC24" s="12">
        <v>263</v>
      </c>
      <c r="AD24" s="12">
        <v>294</v>
      </c>
      <c r="AE24" s="12">
        <v>237</v>
      </c>
      <c r="AF24" s="12">
        <v>138</v>
      </c>
    </row>
    <row r="25" spans="1:32">
      <c r="A25" s="20"/>
      <c r="B25" s="13" t="s">
        <v>882</v>
      </c>
      <c r="C25" s="14">
        <v>0.41</v>
      </c>
      <c r="D25" s="14">
        <v>0.48</v>
      </c>
      <c r="E25" s="14">
        <v>0.31</v>
      </c>
      <c r="F25" s="14">
        <v>0.52</v>
      </c>
      <c r="G25" s="14">
        <v>0.22</v>
      </c>
      <c r="H25" s="14">
        <v>0.44</v>
      </c>
      <c r="I25" s="14">
        <v>0.46</v>
      </c>
      <c r="J25" s="14">
        <v>0.55000000000000004</v>
      </c>
      <c r="K25" s="14">
        <v>0.34</v>
      </c>
      <c r="L25" s="14">
        <v>0.28000000000000003</v>
      </c>
      <c r="M25" s="14">
        <v>0.42</v>
      </c>
      <c r="N25" s="14">
        <v>0.26</v>
      </c>
      <c r="O25" s="14">
        <v>0.49</v>
      </c>
      <c r="P25" s="14">
        <v>0.22</v>
      </c>
      <c r="Q25" s="14">
        <v>0.53</v>
      </c>
      <c r="R25" s="14">
        <v>0.37</v>
      </c>
      <c r="S25" s="14">
        <v>0.27</v>
      </c>
      <c r="T25" s="14">
        <v>0.35</v>
      </c>
      <c r="U25" s="14">
        <v>0.35</v>
      </c>
      <c r="V25" s="14">
        <v>0.37</v>
      </c>
      <c r="W25" s="14">
        <v>0.28999999999999998</v>
      </c>
      <c r="X25" s="14">
        <v>0.32</v>
      </c>
      <c r="Y25" s="14">
        <v>0.55000000000000004</v>
      </c>
      <c r="Z25" s="14">
        <v>0.4</v>
      </c>
      <c r="AA25" s="14">
        <v>0.37</v>
      </c>
      <c r="AB25" s="14">
        <v>0.31</v>
      </c>
      <c r="AC25" s="14">
        <v>0.26</v>
      </c>
      <c r="AD25" s="14">
        <v>0.28999999999999998</v>
      </c>
      <c r="AE25" s="14">
        <v>0.24</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887</v>
      </c>
      <c r="C3" s="18"/>
      <c r="D3" s="18"/>
      <c r="E3" s="18"/>
      <c r="F3" s="18"/>
      <c r="H3" s="18" t="s">
        <v>888</v>
      </c>
      <c r="I3" s="18"/>
      <c r="J3" s="18"/>
      <c r="K3" s="18"/>
      <c r="L3" s="18"/>
    </row>
    <row r="4" spans="1:32" ht="27" customHeight="1">
      <c r="B4" s="18" t="s">
        <v>889</v>
      </c>
      <c r="C4" s="18"/>
      <c r="D4" s="18"/>
      <c r="E4" s="18"/>
      <c r="F4" s="18"/>
      <c r="H4" s="18" t="s">
        <v>890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2617</v>
      </c>
      <c r="D12" s="12">
        <v>72</v>
      </c>
      <c r="E12" s="12">
        <v>94</v>
      </c>
      <c r="F12" s="12">
        <v>45</v>
      </c>
      <c r="G12" s="12">
        <v>175</v>
      </c>
      <c r="H12" s="12">
        <v>87</v>
      </c>
      <c r="I12" s="12">
        <v>110</v>
      </c>
      <c r="J12" s="12">
        <v>23</v>
      </c>
      <c r="K12" s="12">
        <v>135</v>
      </c>
      <c r="L12" s="12">
        <v>155</v>
      </c>
      <c r="M12" s="12">
        <v>128</v>
      </c>
      <c r="N12" s="12">
        <v>135</v>
      </c>
      <c r="O12" s="12">
        <v>78</v>
      </c>
      <c r="P12" s="12">
        <v>101</v>
      </c>
      <c r="Q12" s="12">
        <v>85</v>
      </c>
      <c r="R12" s="12">
        <v>68</v>
      </c>
      <c r="S12" s="12">
        <v>211</v>
      </c>
      <c r="T12" s="12">
        <v>229</v>
      </c>
      <c r="U12" s="12">
        <v>58</v>
      </c>
      <c r="V12" s="12">
        <v>121</v>
      </c>
      <c r="W12" s="12">
        <v>80</v>
      </c>
      <c r="X12" s="12">
        <v>141</v>
      </c>
      <c r="Y12" s="12">
        <v>73</v>
      </c>
      <c r="Z12" s="12">
        <v>79</v>
      </c>
      <c r="AA12" s="12">
        <v>127</v>
      </c>
      <c r="AB12" s="12">
        <v>111</v>
      </c>
      <c r="AC12" s="12">
        <v>141</v>
      </c>
      <c r="AD12" s="12">
        <v>110</v>
      </c>
      <c r="AE12" s="12">
        <v>112</v>
      </c>
      <c r="AF12" s="12">
        <v>273</v>
      </c>
    </row>
    <row r="13" spans="1:32">
      <c r="A13" s="20"/>
      <c r="B13" s="13" t="s">
        <v>875</v>
      </c>
      <c r="C13" s="14">
        <v>0.1</v>
      </c>
      <c r="D13" s="14">
        <v>7.0000000000000007E-2</v>
      </c>
      <c r="E13" s="14">
        <v>0.09</v>
      </c>
      <c r="F13" s="14">
        <v>0.05</v>
      </c>
      <c r="G13" s="14">
        <v>0.17</v>
      </c>
      <c r="H13" s="14">
        <v>7.0000000000000007E-2</v>
      </c>
      <c r="I13" s="14">
        <v>7.0000000000000007E-2</v>
      </c>
      <c r="J13" s="14">
        <v>0.08</v>
      </c>
      <c r="K13" s="14">
        <v>0.13</v>
      </c>
      <c r="L13" s="14">
        <v>0.15</v>
      </c>
      <c r="M13" s="14">
        <v>0.13</v>
      </c>
      <c r="N13" s="14">
        <v>0.13</v>
      </c>
      <c r="O13" s="14">
        <v>0.08</v>
      </c>
      <c r="P13" s="14">
        <v>0.1</v>
      </c>
      <c r="Q13" s="14">
        <v>0.08</v>
      </c>
      <c r="R13" s="14">
        <v>0.14000000000000001</v>
      </c>
      <c r="S13" s="14">
        <v>0.21</v>
      </c>
      <c r="T13" s="14">
        <v>0.23</v>
      </c>
      <c r="U13" s="14">
        <v>0.11</v>
      </c>
      <c r="V13" s="14">
        <v>0.12</v>
      </c>
      <c r="W13" s="14">
        <v>0.16</v>
      </c>
      <c r="X13" s="14">
        <v>0.14000000000000001</v>
      </c>
      <c r="Y13" s="14">
        <v>7.0000000000000007E-2</v>
      </c>
      <c r="Z13" s="14">
        <v>0.08</v>
      </c>
      <c r="AA13" s="14">
        <v>0.12</v>
      </c>
      <c r="AB13" s="14">
        <v>0.11</v>
      </c>
      <c r="AC13" s="14">
        <v>0.14000000000000001</v>
      </c>
      <c r="AD13" s="14">
        <v>0.11</v>
      </c>
      <c r="AE13" s="14">
        <v>0.11</v>
      </c>
      <c r="AF13" s="14">
        <v>0.27</v>
      </c>
    </row>
    <row r="14" spans="1:32">
      <c r="A14" s="20"/>
      <c r="B14" s="11" t="s">
        <v>845</v>
      </c>
      <c r="C14" s="12">
        <v>9379</v>
      </c>
      <c r="D14" s="12">
        <v>373</v>
      </c>
      <c r="E14" s="12">
        <v>385</v>
      </c>
      <c r="F14" s="12">
        <v>246</v>
      </c>
      <c r="G14" s="12">
        <v>439</v>
      </c>
      <c r="H14" s="12">
        <v>374</v>
      </c>
      <c r="I14" s="12">
        <v>455</v>
      </c>
      <c r="J14" s="12">
        <v>81</v>
      </c>
      <c r="K14" s="12">
        <v>441</v>
      </c>
      <c r="L14" s="12">
        <v>362</v>
      </c>
      <c r="M14" s="12">
        <v>411</v>
      </c>
      <c r="N14" s="12">
        <v>428</v>
      </c>
      <c r="O14" s="12">
        <v>286</v>
      </c>
      <c r="P14" s="12">
        <v>479</v>
      </c>
      <c r="Q14" s="12">
        <v>378</v>
      </c>
      <c r="R14" s="12">
        <v>222</v>
      </c>
      <c r="S14" s="12">
        <v>408</v>
      </c>
      <c r="T14" s="12">
        <v>400</v>
      </c>
      <c r="U14" s="12">
        <v>183</v>
      </c>
      <c r="V14" s="12">
        <v>367</v>
      </c>
      <c r="W14" s="12">
        <v>174</v>
      </c>
      <c r="X14" s="12">
        <v>387</v>
      </c>
      <c r="Y14" s="12">
        <v>217</v>
      </c>
      <c r="Z14" s="12">
        <v>397</v>
      </c>
      <c r="AA14" s="12">
        <v>413</v>
      </c>
      <c r="AB14" s="12">
        <v>452</v>
      </c>
      <c r="AC14" s="12">
        <v>387</v>
      </c>
      <c r="AD14" s="12">
        <v>458</v>
      </c>
      <c r="AE14" s="12">
        <v>389</v>
      </c>
      <c r="AF14" s="12">
        <v>449</v>
      </c>
    </row>
    <row r="15" spans="1:32">
      <c r="A15" s="20"/>
      <c r="B15" s="13" t="s">
        <v>876</v>
      </c>
      <c r="C15" s="14">
        <v>0.36</v>
      </c>
      <c r="D15" s="14">
        <v>0.37</v>
      </c>
      <c r="E15" s="14">
        <v>0.38</v>
      </c>
      <c r="F15" s="14">
        <v>0.24</v>
      </c>
      <c r="G15" s="14">
        <v>0.44</v>
      </c>
      <c r="H15" s="14">
        <v>0.31</v>
      </c>
      <c r="I15" s="14">
        <v>0.3</v>
      </c>
      <c r="J15" s="14">
        <v>0.28000000000000003</v>
      </c>
      <c r="K15" s="14">
        <v>0.44</v>
      </c>
      <c r="L15" s="14">
        <v>0.36</v>
      </c>
      <c r="M15" s="14">
        <v>0.41</v>
      </c>
      <c r="N15" s="14">
        <v>0.43</v>
      </c>
      <c r="O15" s="14">
        <v>0.28000000000000003</v>
      </c>
      <c r="P15" s="14">
        <v>0.47</v>
      </c>
      <c r="Q15" s="14">
        <v>0.37</v>
      </c>
      <c r="R15" s="14">
        <v>0.44</v>
      </c>
      <c r="S15" s="14">
        <v>0.41</v>
      </c>
      <c r="T15" s="14">
        <v>0.39</v>
      </c>
      <c r="U15" s="14">
        <v>0.36</v>
      </c>
      <c r="V15" s="14">
        <v>0.36</v>
      </c>
      <c r="W15" s="14">
        <v>0.35</v>
      </c>
      <c r="X15" s="14">
        <v>0.38</v>
      </c>
      <c r="Y15" s="14">
        <v>0.22</v>
      </c>
      <c r="Z15" s="14">
        <v>0.39</v>
      </c>
      <c r="AA15" s="14">
        <v>0.39</v>
      </c>
      <c r="AB15" s="14">
        <v>0.43</v>
      </c>
      <c r="AC15" s="14">
        <v>0.38</v>
      </c>
      <c r="AD15" s="14">
        <v>0.46</v>
      </c>
      <c r="AE15" s="14">
        <v>0.39</v>
      </c>
      <c r="AF15" s="14">
        <v>0.44</v>
      </c>
    </row>
    <row r="16" spans="1:32">
      <c r="A16" s="20"/>
      <c r="B16" s="11" t="s">
        <v>877</v>
      </c>
      <c r="C16" s="12">
        <v>7063</v>
      </c>
      <c r="D16" s="12">
        <v>296</v>
      </c>
      <c r="E16" s="12">
        <v>203</v>
      </c>
      <c r="F16" s="12">
        <v>329</v>
      </c>
      <c r="G16" s="12">
        <v>206</v>
      </c>
      <c r="H16" s="12">
        <v>405</v>
      </c>
      <c r="I16" s="12">
        <v>508</v>
      </c>
      <c r="J16" s="12">
        <v>102</v>
      </c>
      <c r="K16" s="12">
        <v>222</v>
      </c>
      <c r="L16" s="12">
        <v>186</v>
      </c>
      <c r="M16" s="12">
        <v>195</v>
      </c>
      <c r="N16" s="12">
        <v>158</v>
      </c>
      <c r="O16" s="12">
        <v>260</v>
      </c>
      <c r="P16" s="12">
        <v>278</v>
      </c>
      <c r="Q16" s="12">
        <v>336</v>
      </c>
      <c r="R16" s="12">
        <v>102</v>
      </c>
      <c r="S16" s="12">
        <v>151</v>
      </c>
      <c r="T16" s="12">
        <v>206</v>
      </c>
      <c r="U16" s="12">
        <v>103</v>
      </c>
      <c r="V16" s="12">
        <v>312</v>
      </c>
      <c r="W16" s="12">
        <v>81</v>
      </c>
      <c r="X16" s="12">
        <v>304</v>
      </c>
      <c r="Y16" s="12">
        <v>230</v>
      </c>
      <c r="Z16" s="12">
        <v>277</v>
      </c>
      <c r="AA16" s="12">
        <v>243</v>
      </c>
      <c r="AB16" s="12">
        <v>273</v>
      </c>
      <c r="AC16" s="12">
        <v>218</v>
      </c>
      <c r="AD16" s="12">
        <v>212</v>
      </c>
      <c r="AE16" s="12">
        <v>210</v>
      </c>
      <c r="AF16" s="12">
        <v>164</v>
      </c>
    </row>
    <row r="17" spans="1:32">
      <c r="A17" s="20"/>
      <c r="B17" s="13" t="s">
        <v>878</v>
      </c>
      <c r="C17" s="14">
        <v>0.27</v>
      </c>
      <c r="D17" s="14">
        <v>0.3</v>
      </c>
      <c r="E17" s="14">
        <v>0.2</v>
      </c>
      <c r="F17" s="14">
        <v>0.33</v>
      </c>
      <c r="G17" s="14">
        <v>0.21</v>
      </c>
      <c r="H17" s="14">
        <v>0.33</v>
      </c>
      <c r="I17" s="14">
        <v>0.34</v>
      </c>
      <c r="J17" s="14">
        <v>0.35</v>
      </c>
      <c r="K17" s="14">
        <v>0.22</v>
      </c>
      <c r="L17" s="14">
        <v>0.19</v>
      </c>
      <c r="M17" s="14">
        <v>0.19</v>
      </c>
      <c r="N17" s="14">
        <v>0.16</v>
      </c>
      <c r="O17" s="14">
        <v>0.26</v>
      </c>
      <c r="P17" s="14">
        <v>0.27</v>
      </c>
      <c r="Q17" s="14">
        <v>0.33</v>
      </c>
      <c r="R17" s="14">
        <v>0.2</v>
      </c>
      <c r="S17" s="14">
        <v>0.15</v>
      </c>
      <c r="T17" s="14">
        <v>0.2</v>
      </c>
      <c r="U17" s="14">
        <v>0.2</v>
      </c>
      <c r="V17" s="14">
        <v>0.31</v>
      </c>
      <c r="W17" s="14">
        <v>0.16</v>
      </c>
      <c r="X17" s="14">
        <v>0.3</v>
      </c>
      <c r="Y17" s="14">
        <v>0.23</v>
      </c>
      <c r="Z17" s="14">
        <v>0.28000000000000003</v>
      </c>
      <c r="AA17" s="14">
        <v>0.23</v>
      </c>
      <c r="AB17" s="14">
        <v>0.26</v>
      </c>
      <c r="AC17" s="14">
        <v>0.22</v>
      </c>
      <c r="AD17" s="14">
        <v>0.21</v>
      </c>
      <c r="AE17" s="14">
        <v>0.21</v>
      </c>
      <c r="AF17" s="14">
        <v>0.16</v>
      </c>
    </row>
    <row r="18" spans="1:32">
      <c r="A18" s="20"/>
      <c r="B18" s="11" t="s">
        <v>879</v>
      </c>
      <c r="C18" s="12">
        <v>4337</v>
      </c>
      <c r="D18" s="12">
        <v>202</v>
      </c>
      <c r="E18" s="12">
        <v>162</v>
      </c>
      <c r="F18" s="12">
        <v>284</v>
      </c>
      <c r="G18" s="12">
        <v>69</v>
      </c>
      <c r="H18" s="12">
        <v>216</v>
      </c>
      <c r="I18" s="12">
        <v>284</v>
      </c>
      <c r="J18" s="12">
        <v>68</v>
      </c>
      <c r="K18" s="12">
        <v>117</v>
      </c>
      <c r="L18" s="12">
        <v>164</v>
      </c>
      <c r="M18" s="12">
        <v>207</v>
      </c>
      <c r="N18" s="12">
        <v>99</v>
      </c>
      <c r="O18" s="12">
        <v>222</v>
      </c>
      <c r="P18" s="12">
        <v>94</v>
      </c>
      <c r="Q18" s="12">
        <v>165</v>
      </c>
      <c r="R18" s="12">
        <v>70</v>
      </c>
      <c r="S18" s="12">
        <v>113</v>
      </c>
      <c r="T18" s="12">
        <v>90</v>
      </c>
      <c r="U18" s="12">
        <v>84</v>
      </c>
      <c r="V18" s="12">
        <v>133</v>
      </c>
      <c r="W18" s="12">
        <v>72</v>
      </c>
      <c r="X18" s="12">
        <v>115</v>
      </c>
      <c r="Y18" s="12">
        <v>418</v>
      </c>
      <c r="Z18" s="12">
        <v>165</v>
      </c>
      <c r="AA18" s="12">
        <v>107</v>
      </c>
      <c r="AB18" s="12">
        <v>81</v>
      </c>
      <c r="AC18" s="12">
        <v>164</v>
      </c>
      <c r="AD18" s="12">
        <v>124</v>
      </c>
      <c r="AE18" s="12">
        <v>87</v>
      </c>
      <c r="AF18" s="12">
        <v>56</v>
      </c>
    </row>
    <row r="19" spans="1:32">
      <c r="A19" s="20"/>
      <c r="B19" s="13" t="s">
        <v>880</v>
      </c>
      <c r="C19" s="14">
        <v>0.16</v>
      </c>
      <c r="D19" s="14">
        <v>0.2</v>
      </c>
      <c r="E19" s="14">
        <v>0.16</v>
      </c>
      <c r="F19" s="14">
        <v>0.28000000000000003</v>
      </c>
      <c r="G19" s="14">
        <v>7.0000000000000007E-2</v>
      </c>
      <c r="H19" s="14">
        <v>0.18</v>
      </c>
      <c r="I19" s="14">
        <v>0.19</v>
      </c>
      <c r="J19" s="14">
        <v>0.23</v>
      </c>
      <c r="K19" s="14">
        <v>0.12</v>
      </c>
      <c r="L19" s="14">
        <v>0.16</v>
      </c>
      <c r="M19" s="14">
        <v>0.21</v>
      </c>
      <c r="N19" s="14">
        <v>0.1</v>
      </c>
      <c r="O19" s="14">
        <v>0.22</v>
      </c>
      <c r="P19" s="14">
        <v>0.09</v>
      </c>
      <c r="Q19" s="14">
        <v>0.16</v>
      </c>
      <c r="R19" s="14">
        <v>0.14000000000000001</v>
      </c>
      <c r="S19" s="14">
        <v>0.11</v>
      </c>
      <c r="T19" s="14">
        <v>0.09</v>
      </c>
      <c r="U19" s="14">
        <v>0.17</v>
      </c>
      <c r="V19" s="14">
        <v>0.13</v>
      </c>
      <c r="W19" s="14">
        <v>0.14000000000000001</v>
      </c>
      <c r="X19" s="14">
        <v>0.11</v>
      </c>
      <c r="Y19" s="14">
        <v>0.41</v>
      </c>
      <c r="Z19" s="14">
        <v>0.16</v>
      </c>
      <c r="AA19" s="14">
        <v>0.1</v>
      </c>
      <c r="AB19" s="14">
        <v>0.08</v>
      </c>
      <c r="AC19" s="14">
        <v>0.16</v>
      </c>
      <c r="AD19" s="14">
        <v>0.12</v>
      </c>
      <c r="AE19" s="14">
        <v>0.09</v>
      </c>
      <c r="AF19" s="14">
        <v>0.05</v>
      </c>
    </row>
    <row r="20" spans="1:32">
      <c r="A20" s="20"/>
      <c r="B20" s="11" t="s">
        <v>468</v>
      </c>
      <c r="C20" s="12">
        <v>2923</v>
      </c>
      <c r="D20" s="12">
        <v>59</v>
      </c>
      <c r="E20" s="12">
        <v>174</v>
      </c>
      <c r="F20" s="12">
        <v>101</v>
      </c>
      <c r="G20" s="12">
        <v>115</v>
      </c>
      <c r="H20" s="12">
        <v>134</v>
      </c>
      <c r="I20" s="12">
        <v>153</v>
      </c>
      <c r="J20" s="12">
        <v>19</v>
      </c>
      <c r="K20" s="12">
        <v>91</v>
      </c>
      <c r="L20" s="12">
        <v>141</v>
      </c>
      <c r="M20" s="12">
        <v>62</v>
      </c>
      <c r="N20" s="12">
        <v>185</v>
      </c>
      <c r="O20" s="12">
        <v>157</v>
      </c>
      <c r="P20" s="12">
        <v>70</v>
      </c>
      <c r="Q20" s="12">
        <v>55</v>
      </c>
      <c r="R20" s="12">
        <v>38</v>
      </c>
      <c r="S20" s="12">
        <v>124</v>
      </c>
      <c r="T20" s="12">
        <v>89</v>
      </c>
      <c r="U20" s="12">
        <v>80</v>
      </c>
      <c r="V20" s="12">
        <v>84</v>
      </c>
      <c r="W20" s="12">
        <v>95</v>
      </c>
      <c r="X20" s="12">
        <v>74</v>
      </c>
      <c r="Y20" s="12">
        <v>70</v>
      </c>
      <c r="Z20" s="12">
        <v>90</v>
      </c>
      <c r="AA20" s="12">
        <v>164</v>
      </c>
      <c r="AB20" s="12">
        <v>123</v>
      </c>
      <c r="AC20" s="12">
        <v>99</v>
      </c>
      <c r="AD20" s="12">
        <v>103</v>
      </c>
      <c r="AE20" s="12">
        <v>203</v>
      </c>
      <c r="AF20" s="12">
        <v>78</v>
      </c>
    </row>
    <row r="21" spans="1:32">
      <c r="A21" s="20"/>
      <c r="B21" s="13" t="s">
        <v>469</v>
      </c>
      <c r="C21" s="14">
        <v>0.11</v>
      </c>
      <c r="D21" s="14">
        <v>0.06</v>
      </c>
      <c r="E21" s="14">
        <v>0.17</v>
      </c>
      <c r="F21" s="14">
        <v>0.1</v>
      </c>
      <c r="G21" s="14">
        <v>0.11</v>
      </c>
      <c r="H21" s="14">
        <v>0.11</v>
      </c>
      <c r="I21" s="14">
        <v>0.1</v>
      </c>
      <c r="J21" s="14">
        <v>0.06</v>
      </c>
      <c r="K21" s="14">
        <v>0.09</v>
      </c>
      <c r="L21" s="14">
        <v>0.14000000000000001</v>
      </c>
      <c r="M21" s="14">
        <v>0.06</v>
      </c>
      <c r="N21" s="14">
        <v>0.18</v>
      </c>
      <c r="O21" s="14">
        <v>0.16</v>
      </c>
      <c r="P21" s="14">
        <v>7.0000000000000007E-2</v>
      </c>
      <c r="Q21" s="14">
        <v>0.06</v>
      </c>
      <c r="R21" s="14">
        <v>0.08</v>
      </c>
      <c r="S21" s="14">
        <v>0.12</v>
      </c>
      <c r="T21" s="14">
        <v>0.09</v>
      </c>
      <c r="U21" s="14">
        <v>0.16</v>
      </c>
      <c r="V21" s="14">
        <v>0.08</v>
      </c>
      <c r="W21" s="14">
        <v>0.19</v>
      </c>
      <c r="X21" s="14">
        <v>7.0000000000000007E-2</v>
      </c>
      <c r="Y21" s="14">
        <v>7.0000000000000007E-2</v>
      </c>
      <c r="Z21" s="14">
        <v>0.09</v>
      </c>
      <c r="AA21" s="14">
        <v>0.16</v>
      </c>
      <c r="AB21" s="14">
        <v>0.12</v>
      </c>
      <c r="AC21" s="14">
        <v>0.1</v>
      </c>
      <c r="AD21" s="14">
        <v>0.1</v>
      </c>
      <c r="AE21" s="14">
        <v>0.2</v>
      </c>
      <c r="AF21" s="14">
        <v>0.08</v>
      </c>
    </row>
    <row r="22" spans="1:32">
      <c r="A22" s="20"/>
      <c r="B22" s="11" t="s">
        <v>851</v>
      </c>
      <c r="C22" s="12">
        <v>11996</v>
      </c>
      <c r="D22" s="12">
        <v>445</v>
      </c>
      <c r="E22" s="12">
        <v>479</v>
      </c>
      <c r="F22" s="12">
        <v>291</v>
      </c>
      <c r="G22" s="12">
        <v>614</v>
      </c>
      <c r="H22" s="12">
        <v>461</v>
      </c>
      <c r="I22" s="12">
        <v>565</v>
      </c>
      <c r="J22" s="12">
        <v>104</v>
      </c>
      <c r="K22" s="12">
        <v>576</v>
      </c>
      <c r="L22" s="12">
        <v>517</v>
      </c>
      <c r="M22" s="12">
        <v>539</v>
      </c>
      <c r="N22" s="12">
        <v>563</v>
      </c>
      <c r="O22" s="12">
        <v>364</v>
      </c>
      <c r="P22" s="12">
        <v>580</v>
      </c>
      <c r="Q22" s="12">
        <v>463</v>
      </c>
      <c r="R22" s="12">
        <v>290</v>
      </c>
      <c r="S22" s="12">
        <v>619</v>
      </c>
      <c r="T22" s="12">
        <v>629</v>
      </c>
      <c r="U22" s="12">
        <v>241</v>
      </c>
      <c r="V22" s="12">
        <v>488</v>
      </c>
      <c r="W22" s="12">
        <v>254</v>
      </c>
      <c r="X22" s="12">
        <v>528</v>
      </c>
      <c r="Y22" s="12">
        <v>290</v>
      </c>
      <c r="Z22" s="12">
        <v>476</v>
      </c>
      <c r="AA22" s="12">
        <v>540</v>
      </c>
      <c r="AB22" s="12">
        <v>563</v>
      </c>
      <c r="AC22" s="12">
        <v>528</v>
      </c>
      <c r="AD22" s="12">
        <v>568</v>
      </c>
      <c r="AE22" s="12">
        <v>501</v>
      </c>
      <c r="AF22" s="12">
        <v>722</v>
      </c>
    </row>
    <row r="23" spans="1:32">
      <c r="A23" s="20"/>
      <c r="B23" s="13" t="s">
        <v>852</v>
      </c>
      <c r="C23" s="14">
        <v>0.46</v>
      </c>
      <c r="D23" s="14">
        <v>0.44</v>
      </c>
      <c r="E23" s="14">
        <v>0.47</v>
      </c>
      <c r="F23" s="14">
        <v>0.28999999999999998</v>
      </c>
      <c r="G23" s="14">
        <v>0.61</v>
      </c>
      <c r="H23" s="14">
        <v>0.38</v>
      </c>
      <c r="I23" s="14">
        <v>0.37</v>
      </c>
      <c r="J23" s="14">
        <v>0.36</v>
      </c>
      <c r="K23" s="14">
        <v>0.57000000000000006</v>
      </c>
      <c r="L23" s="14">
        <v>0.51</v>
      </c>
      <c r="M23" s="14">
        <v>0.54</v>
      </c>
      <c r="N23" s="14">
        <v>0.56000000000000005</v>
      </c>
      <c r="O23" s="14">
        <v>0.36</v>
      </c>
      <c r="P23" s="14">
        <v>0.57000000000000006</v>
      </c>
      <c r="Q23" s="14">
        <v>0.45</v>
      </c>
      <c r="R23" s="14">
        <v>0.57999999999999996</v>
      </c>
      <c r="S23" s="14">
        <v>0.62</v>
      </c>
      <c r="T23" s="14">
        <v>0.62</v>
      </c>
      <c r="U23" s="14">
        <v>0.47</v>
      </c>
      <c r="V23" s="14">
        <v>0.48</v>
      </c>
      <c r="W23" s="14">
        <v>0.51</v>
      </c>
      <c r="X23" s="14">
        <v>0.52</v>
      </c>
      <c r="Y23" s="14">
        <v>0.28999999999999998</v>
      </c>
      <c r="Z23" s="14">
        <v>0.47</v>
      </c>
      <c r="AA23" s="14">
        <v>0.51</v>
      </c>
      <c r="AB23" s="14">
        <v>0.54</v>
      </c>
      <c r="AC23" s="14">
        <v>0.52</v>
      </c>
      <c r="AD23" s="14">
        <v>0.57000000000000006</v>
      </c>
      <c r="AE23" s="14">
        <v>0.5</v>
      </c>
      <c r="AF23" s="14">
        <v>0.71</v>
      </c>
    </row>
    <row r="24" spans="1:32">
      <c r="A24" s="20"/>
      <c r="B24" s="11" t="s">
        <v>881</v>
      </c>
      <c r="C24" s="12">
        <v>11400</v>
      </c>
      <c r="D24" s="12">
        <v>498</v>
      </c>
      <c r="E24" s="12">
        <v>365</v>
      </c>
      <c r="F24" s="12">
        <v>613</v>
      </c>
      <c r="G24" s="12">
        <v>275</v>
      </c>
      <c r="H24" s="12">
        <v>621</v>
      </c>
      <c r="I24" s="12">
        <v>792</v>
      </c>
      <c r="J24" s="12">
        <v>170</v>
      </c>
      <c r="K24" s="12">
        <v>339</v>
      </c>
      <c r="L24" s="12">
        <v>350</v>
      </c>
      <c r="M24" s="12">
        <v>402</v>
      </c>
      <c r="N24" s="12">
        <v>257</v>
      </c>
      <c r="O24" s="12">
        <v>482</v>
      </c>
      <c r="P24" s="12">
        <v>372</v>
      </c>
      <c r="Q24" s="12">
        <v>501</v>
      </c>
      <c r="R24" s="12">
        <v>172</v>
      </c>
      <c r="S24" s="12">
        <v>264</v>
      </c>
      <c r="T24" s="12">
        <v>296</v>
      </c>
      <c r="U24" s="12">
        <v>187</v>
      </c>
      <c r="V24" s="12">
        <v>445</v>
      </c>
      <c r="W24" s="12">
        <v>153</v>
      </c>
      <c r="X24" s="12">
        <v>419</v>
      </c>
      <c r="Y24" s="12">
        <v>648</v>
      </c>
      <c r="Z24" s="12">
        <v>442</v>
      </c>
      <c r="AA24" s="12">
        <v>350</v>
      </c>
      <c r="AB24" s="12">
        <v>354</v>
      </c>
      <c r="AC24" s="12">
        <v>382</v>
      </c>
      <c r="AD24" s="12">
        <v>336</v>
      </c>
      <c r="AE24" s="12">
        <v>297</v>
      </c>
      <c r="AF24" s="12">
        <v>220</v>
      </c>
    </row>
    <row r="25" spans="1:32">
      <c r="A25" s="20"/>
      <c r="B25" s="13" t="s">
        <v>882</v>
      </c>
      <c r="C25" s="14">
        <v>0.43</v>
      </c>
      <c r="D25" s="14">
        <v>0.5</v>
      </c>
      <c r="E25" s="14">
        <v>0.36</v>
      </c>
      <c r="F25" s="14">
        <v>0.61</v>
      </c>
      <c r="G25" s="14">
        <v>0.28000000000000003</v>
      </c>
      <c r="H25" s="14">
        <v>0.51</v>
      </c>
      <c r="I25" s="14">
        <v>0.53</v>
      </c>
      <c r="J25" s="14">
        <v>0.57999999999999996</v>
      </c>
      <c r="K25" s="14">
        <v>0.34</v>
      </c>
      <c r="L25" s="14">
        <v>0.35</v>
      </c>
      <c r="M25" s="14">
        <v>0.4</v>
      </c>
      <c r="N25" s="14">
        <v>0.26</v>
      </c>
      <c r="O25" s="14">
        <v>0.48</v>
      </c>
      <c r="P25" s="14">
        <v>0.36</v>
      </c>
      <c r="Q25" s="14">
        <v>0.49</v>
      </c>
      <c r="R25" s="14">
        <v>0.34</v>
      </c>
      <c r="S25" s="14">
        <v>0.26</v>
      </c>
      <c r="T25" s="14">
        <v>0.28999999999999998</v>
      </c>
      <c r="U25" s="14">
        <v>0.37</v>
      </c>
      <c r="V25" s="14">
        <v>0.44</v>
      </c>
      <c r="W25" s="14">
        <v>0.3</v>
      </c>
      <c r="X25" s="14">
        <v>0.41</v>
      </c>
      <c r="Y25" s="14">
        <v>0.64</v>
      </c>
      <c r="Z25" s="14">
        <v>0.44</v>
      </c>
      <c r="AA25" s="14">
        <v>0.33</v>
      </c>
      <c r="AB25" s="14">
        <v>0.34</v>
      </c>
      <c r="AC25" s="14">
        <v>0.38</v>
      </c>
      <c r="AD25" s="14">
        <v>0.33</v>
      </c>
      <c r="AE25" s="14">
        <v>0.3</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891</v>
      </c>
      <c r="C3" s="18"/>
      <c r="D3" s="18"/>
      <c r="E3" s="18"/>
      <c r="F3" s="18"/>
      <c r="H3" s="18" t="s">
        <v>892</v>
      </c>
      <c r="I3" s="18"/>
      <c r="J3" s="18"/>
      <c r="K3" s="18"/>
      <c r="L3" s="18"/>
    </row>
    <row r="4" spans="1:32" ht="27" customHeight="1">
      <c r="B4" s="18" t="s">
        <v>893</v>
      </c>
      <c r="C4" s="18"/>
      <c r="D4" s="18"/>
      <c r="E4" s="18"/>
      <c r="F4" s="18"/>
      <c r="H4" s="18" t="s">
        <v>893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2319</v>
      </c>
      <c r="D12" s="12">
        <v>64</v>
      </c>
      <c r="E12" s="12">
        <v>77</v>
      </c>
      <c r="F12" s="12">
        <v>36</v>
      </c>
      <c r="G12" s="12">
        <v>206</v>
      </c>
      <c r="H12" s="12">
        <v>81</v>
      </c>
      <c r="I12" s="12">
        <v>98</v>
      </c>
      <c r="J12" s="12">
        <v>17</v>
      </c>
      <c r="K12" s="12">
        <v>64</v>
      </c>
      <c r="L12" s="12">
        <v>151</v>
      </c>
      <c r="M12" s="12">
        <v>93</v>
      </c>
      <c r="N12" s="12">
        <v>127</v>
      </c>
      <c r="O12" s="12">
        <v>67</v>
      </c>
      <c r="P12" s="12">
        <v>111</v>
      </c>
      <c r="Q12" s="12">
        <v>72</v>
      </c>
      <c r="R12" s="12">
        <v>37</v>
      </c>
      <c r="S12" s="12">
        <v>102</v>
      </c>
      <c r="T12" s="12">
        <v>104</v>
      </c>
      <c r="U12" s="12">
        <v>58</v>
      </c>
      <c r="V12" s="12">
        <v>101</v>
      </c>
      <c r="W12" s="12">
        <v>85</v>
      </c>
      <c r="X12" s="12">
        <v>158</v>
      </c>
      <c r="Y12" s="12">
        <v>71</v>
      </c>
      <c r="Z12" s="12">
        <v>33</v>
      </c>
      <c r="AA12" s="12">
        <v>112</v>
      </c>
      <c r="AB12" s="12">
        <v>124</v>
      </c>
      <c r="AC12" s="12">
        <v>142</v>
      </c>
      <c r="AD12" s="12">
        <v>71</v>
      </c>
      <c r="AE12" s="12">
        <v>130</v>
      </c>
      <c r="AF12" s="12">
        <v>294</v>
      </c>
    </row>
    <row r="13" spans="1:32">
      <c r="A13" s="20"/>
      <c r="B13" s="13" t="s">
        <v>875</v>
      </c>
      <c r="C13" s="14">
        <v>0.09</v>
      </c>
      <c r="D13" s="14">
        <v>0.06</v>
      </c>
      <c r="E13" s="14">
        <v>0.08</v>
      </c>
      <c r="F13" s="14">
        <v>0.04</v>
      </c>
      <c r="G13" s="14">
        <v>0.21</v>
      </c>
      <c r="H13" s="14">
        <v>7.0000000000000007E-2</v>
      </c>
      <c r="I13" s="14">
        <v>0.06</v>
      </c>
      <c r="J13" s="14">
        <v>0.06</v>
      </c>
      <c r="K13" s="14">
        <v>7.0000000000000007E-2</v>
      </c>
      <c r="L13" s="14">
        <v>0.15</v>
      </c>
      <c r="M13" s="14">
        <v>0.09</v>
      </c>
      <c r="N13" s="14">
        <v>0.13</v>
      </c>
      <c r="O13" s="14">
        <v>7.0000000000000007E-2</v>
      </c>
      <c r="P13" s="14">
        <v>0.11</v>
      </c>
      <c r="Q13" s="14">
        <v>7.0000000000000007E-2</v>
      </c>
      <c r="R13" s="14">
        <v>7.0000000000000007E-2</v>
      </c>
      <c r="S13" s="14">
        <v>0.1</v>
      </c>
      <c r="T13" s="14">
        <v>0.1</v>
      </c>
      <c r="U13" s="14">
        <v>0.11</v>
      </c>
      <c r="V13" s="14">
        <v>0.1</v>
      </c>
      <c r="W13" s="14">
        <v>0.17</v>
      </c>
      <c r="X13" s="14">
        <v>0.15</v>
      </c>
      <c r="Y13" s="14">
        <v>7.0000000000000007E-2</v>
      </c>
      <c r="Z13" s="14">
        <v>0.03</v>
      </c>
      <c r="AA13" s="14">
        <v>0.11</v>
      </c>
      <c r="AB13" s="14">
        <v>0.12</v>
      </c>
      <c r="AC13" s="14">
        <v>0.14000000000000001</v>
      </c>
      <c r="AD13" s="14">
        <v>7.0000000000000007E-2</v>
      </c>
      <c r="AE13" s="14">
        <v>0.13</v>
      </c>
      <c r="AF13" s="14">
        <v>0.28999999999999998</v>
      </c>
    </row>
    <row r="14" spans="1:32">
      <c r="A14" s="20"/>
      <c r="B14" s="11" t="s">
        <v>845</v>
      </c>
      <c r="C14" s="12">
        <v>8993</v>
      </c>
      <c r="D14" s="12">
        <v>353</v>
      </c>
      <c r="E14" s="12">
        <v>328</v>
      </c>
      <c r="F14" s="12">
        <v>245</v>
      </c>
      <c r="G14" s="12">
        <v>470</v>
      </c>
      <c r="H14" s="12">
        <v>384</v>
      </c>
      <c r="I14" s="12">
        <v>455</v>
      </c>
      <c r="J14" s="12">
        <v>71</v>
      </c>
      <c r="K14" s="12">
        <v>344</v>
      </c>
      <c r="L14" s="12">
        <v>378</v>
      </c>
      <c r="M14" s="12">
        <v>354</v>
      </c>
      <c r="N14" s="12">
        <v>404</v>
      </c>
      <c r="O14" s="12">
        <v>262</v>
      </c>
      <c r="P14" s="12">
        <v>526</v>
      </c>
      <c r="Q14" s="12">
        <v>336</v>
      </c>
      <c r="R14" s="12">
        <v>164</v>
      </c>
      <c r="S14" s="12">
        <v>357</v>
      </c>
      <c r="T14" s="12">
        <v>325</v>
      </c>
      <c r="U14" s="12">
        <v>173</v>
      </c>
      <c r="V14" s="12">
        <v>305</v>
      </c>
      <c r="W14" s="12">
        <v>153</v>
      </c>
      <c r="X14" s="12">
        <v>447</v>
      </c>
      <c r="Y14" s="12">
        <v>216</v>
      </c>
      <c r="Z14" s="12">
        <v>407</v>
      </c>
      <c r="AA14" s="12">
        <v>364</v>
      </c>
      <c r="AB14" s="12">
        <v>414</v>
      </c>
      <c r="AC14" s="12">
        <v>378</v>
      </c>
      <c r="AD14" s="12">
        <v>391</v>
      </c>
      <c r="AE14" s="12">
        <v>418</v>
      </c>
      <c r="AF14" s="12">
        <v>512</v>
      </c>
    </row>
    <row r="15" spans="1:32">
      <c r="A15" s="20"/>
      <c r="B15" s="13" t="s">
        <v>876</v>
      </c>
      <c r="C15" s="14">
        <v>0.34</v>
      </c>
      <c r="D15" s="14">
        <v>0.35</v>
      </c>
      <c r="E15" s="14">
        <v>0.32</v>
      </c>
      <c r="F15" s="14">
        <v>0.24</v>
      </c>
      <c r="G15" s="14">
        <v>0.47</v>
      </c>
      <c r="H15" s="14">
        <v>0.31</v>
      </c>
      <c r="I15" s="14">
        <v>0.3</v>
      </c>
      <c r="J15" s="14">
        <v>0.24</v>
      </c>
      <c r="K15" s="14">
        <v>0.34</v>
      </c>
      <c r="L15" s="14">
        <v>0.37</v>
      </c>
      <c r="M15" s="14">
        <v>0.35</v>
      </c>
      <c r="N15" s="14">
        <v>0.4</v>
      </c>
      <c r="O15" s="14">
        <v>0.26</v>
      </c>
      <c r="P15" s="14">
        <v>0.51</v>
      </c>
      <c r="Q15" s="14">
        <v>0.33</v>
      </c>
      <c r="R15" s="14">
        <v>0.33</v>
      </c>
      <c r="S15" s="14">
        <v>0.35</v>
      </c>
      <c r="T15" s="14">
        <v>0.32</v>
      </c>
      <c r="U15" s="14">
        <v>0.34</v>
      </c>
      <c r="V15" s="14">
        <v>0.3</v>
      </c>
      <c r="W15" s="14">
        <v>0.3</v>
      </c>
      <c r="X15" s="14">
        <v>0.44</v>
      </c>
      <c r="Y15" s="14">
        <v>0.21</v>
      </c>
      <c r="Z15" s="14">
        <v>0.4</v>
      </c>
      <c r="AA15" s="14">
        <v>0.34</v>
      </c>
      <c r="AB15" s="14">
        <v>0.4</v>
      </c>
      <c r="AC15" s="14">
        <v>0.37</v>
      </c>
      <c r="AD15" s="14">
        <v>0.39</v>
      </c>
      <c r="AE15" s="14">
        <v>0.42</v>
      </c>
      <c r="AF15" s="14">
        <v>0.5</v>
      </c>
    </row>
    <row r="16" spans="1:32">
      <c r="A16" s="20"/>
      <c r="B16" s="11" t="s">
        <v>877</v>
      </c>
      <c r="C16" s="12">
        <v>7442</v>
      </c>
      <c r="D16" s="12">
        <v>334</v>
      </c>
      <c r="E16" s="12">
        <v>248</v>
      </c>
      <c r="F16" s="12">
        <v>326</v>
      </c>
      <c r="G16" s="12">
        <v>160</v>
      </c>
      <c r="H16" s="12">
        <v>409</v>
      </c>
      <c r="I16" s="12">
        <v>510</v>
      </c>
      <c r="J16" s="12">
        <v>101</v>
      </c>
      <c r="K16" s="12">
        <v>294</v>
      </c>
      <c r="L16" s="12">
        <v>172</v>
      </c>
      <c r="M16" s="12">
        <v>209</v>
      </c>
      <c r="N16" s="12">
        <v>173</v>
      </c>
      <c r="O16" s="12">
        <v>276</v>
      </c>
      <c r="P16" s="12">
        <v>239</v>
      </c>
      <c r="Q16" s="12">
        <v>376</v>
      </c>
      <c r="R16" s="12">
        <v>138</v>
      </c>
      <c r="S16" s="12">
        <v>177</v>
      </c>
      <c r="T16" s="12">
        <v>296</v>
      </c>
      <c r="U16" s="12">
        <v>115</v>
      </c>
      <c r="V16" s="12">
        <v>365</v>
      </c>
      <c r="W16" s="12">
        <v>99</v>
      </c>
      <c r="X16" s="12">
        <v>264</v>
      </c>
      <c r="Y16" s="12">
        <v>252</v>
      </c>
      <c r="Z16" s="12">
        <v>309</v>
      </c>
      <c r="AA16" s="12">
        <v>281</v>
      </c>
      <c r="AB16" s="12">
        <v>275</v>
      </c>
      <c r="AC16" s="12">
        <v>210</v>
      </c>
      <c r="AD16" s="12">
        <v>271</v>
      </c>
      <c r="AE16" s="12">
        <v>196</v>
      </c>
      <c r="AF16" s="12">
        <v>110</v>
      </c>
    </row>
    <row r="17" spans="1:32">
      <c r="A17" s="20"/>
      <c r="B17" s="13" t="s">
        <v>878</v>
      </c>
      <c r="C17" s="14">
        <v>0.28000000000000003</v>
      </c>
      <c r="D17" s="14">
        <v>0.33</v>
      </c>
      <c r="E17" s="14">
        <v>0.24</v>
      </c>
      <c r="F17" s="14">
        <v>0.32</v>
      </c>
      <c r="G17" s="14">
        <v>0.16</v>
      </c>
      <c r="H17" s="14">
        <v>0.34</v>
      </c>
      <c r="I17" s="14">
        <v>0.34</v>
      </c>
      <c r="J17" s="14">
        <v>0.34</v>
      </c>
      <c r="K17" s="14">
        <v>0.28999999999999998</v>
      </c>
      <c r="L17" s="14">
        <v>0.17</v>
      </c>
      <c r="M17" s="14">
        <v>0.21</v>
      </c>
      <c r="N17" s="14">
        <v>0.17</v>
      </c>
      <c r="O17" s="14">
        <v>0.27</v>
      </c>
      <c r="P17" s="14">
        <v>0.23</v>
      </c>
      <c r="Q17" s="14">
        <v>0.37</v>
      </c>
      <c r="R17" s="14">
        <v>0.28000000000000003</v>
      </c>
      <c r="S17" s="14">
        <v>0.18</v>
      </c>
      <c r="T17" s="14">
        <v>0.28999999999999998</v>
      </c>
      <c r="U17" s="14">
        <v>0.23</v>
      </c>
      <c r="V17" s="14">
        <v>0.36</v>
      </c>
      <c r="W17" s="14">
        <v>0.2</v>
      </c>
      <c r="X17" s="14">
        <v>0.26</v>
      </c>
      <c r="Y17" s="14">
        <v>0.25</v>
      </c>
      <c r="Z17" s="14">
        <v>0.31</v>
      </c>
      <c r="AA17" s="14">
        <v>0.27</v>
      </c>
      <c r="AB17" s="14">
        <v>0.26</v>
      </c>
      <c r="AC17" s="14">
        <v>0.21</v>
      </c>
      <c r="AD17" s="14">
        <v>0.27</v>
      </c>
      <c r="AE17" s="14">
        <v>0.2</v>
      </c>
      <c r="AF17" s="14">
        <v>0.11</v>
      </c>
    </row>
    <row r="18" spans="1:32">
      <c r="A18" s="20"/>
      <c r="B18" s="11" t="s">
        <v>879</v>
      </c>
      <c r="C18" s="12">
        <v>4614</v>
      </c>
      <c r="D18" s="12">
        <v>206</v>
      </c>
      <c r="E18" s="12">
        <v>211</v>
      </c>
      <c r="F18" s="12">
        <v>299</v>
      </c>
      <c r="G18" s="12">
        <v>55</v>
      </c>
      <c r="H18" s="12">
        <v>226</v>
      </c>
      <c r="I18" s="12">
        <v>311</v>
      </c>
      <c r="J18" s="12">
        <v>85</v>
      </c>
      <c r="K18" s="12">
        <v>150</v>
      </c>
      <c r="L18" s="12">
        <v>149</v>
      </c>
      <c r="M18" s="12">
        <v>275</v>
      </c>
      <c r="N18" s="12">
        <v>100</v>
      </c>
      <c r="O18" s="12">
        <v>240</v>
      </c>
      <c r="P18" s="12">
        <v>97</v>
      </c>
      <c r="Q18" s="12">
        <v>181</v>
      </c>
      <c r="R18" s="12">
        <v>89</v>
      </c>
      <c r="S18" s="12">
        <v>150</v>
      </c>
      <c r="T18" s="12">
        <v>122</v>
      </c>
      <c r="U18" s="12">
        <v>95</v>
      </c>
      <c r="V18" s="12">
        <v>167</v>
      </c>
      <c r="W18" s="12">
        <v>70</v>
      </c>
      <c r="X18" s="12">
        <v>81</v>
      </c>
      <c r="Y18" s="12">
        <v>409</v>
      </c>
      <c r="Z18" s="12">
        <v>151</v>
      </c>
      <c r="AA18" s="12">
        <v>118</v>
      </c>
      <c r="AB18" s="12">
        <v>101</v>
      </c>
      <c r="AC18" s="12">
        <v>230</v>
      </c>
      <c r="AD18" s="12">
        <v>169</v>
      </c>
      <c r="AE18" s="12">
        <v>62</v>
      </c>
      <c r="AF18" s="12">
        <v>40</v>
      </c>
    </row>
    <row r="19" spans="1:32">
      <c r="A19" s="20"/>
      <c r="B19" s="13" t="s">
        <v>880</v>
      </c>
      <c r="C19" s="14">
        <v>0.18</v>
      </c>
      <c r="D19" s="14">
        <v>0.21</v>
      </c>
      <c r="E19" s="14">
        <v>0.21</v>
      </c>
      <c r="F19" s="14">
        <v>0.3</v>
      </c>
      <c r="G19" s="14">
        <v>0.05</v>
      </c>
      <c r="H19" s="14">
        <v>0.19</v>
      </c>
      <c r="I19" s="14">
        <v>0.21</v>
      </c>
      <c r="J19" s="14">
        <v>0.28999999999999998</v>
      </c>
      <c r="K19" s="14">
        <v>0.15</v>
      </c>
      <c r="L19" s="14">
        <v>0.15</v>
      </c>
      <c r="M19" s="14">
        <v>0.28000000000000003</v>
      </c>
      <c r="N19" s="14">
        <v>0.1</v>
      </c>
      <c r="O19" s="14">
        <v>0.24</v>
      </c>
      <c r="P19" s="14">
        <v>0.1</v>
      </c>
      <c r="Q19" s="14">
        <v>0.18</v>
      </c>
      <c r="R19" s="14">
        <v>0.18</v>
      </c>
      <c r="S19" s="14">
        <v>0.15</v>
      </c>
      <c r="T19" s="14">
        <v>0.12</v>
      </c>
      <c r="U19" s="14">
        <v>0.19</v>
      </c>
      <c r="V19" s="14">
        <v>0.16</v>
      </c>
      <c r="W19" s="14">
        <v>0.14000000000000001</v>
      </c>
      <c r="X19" s="14">
        <v>0.08</v>
      </c>
      <c r="Y19" s="14">
        <v>0.41</v>
      </c>
      <c r="Z19" s="14">
        <v>0.15</v>
      </c>
      <c r="AA19" s="14">
        <v>0.11</v>
      </c>
      <c r="AB19" s="14">
        <v>0.1</v>
      </c>
      <c r="AC19" s="14">
        <v>0.23</v>
      </c>
      <c r="AD19" s="14">
        <v>0.17</v>
      </c>
      <c r="AE19" s="14">
        <v>0.06</v>
      </c>
      <c r="AF19" s="14">
        <v>0.04</v>
      </c>
    </row>
    <row r="20" spans="1:32">
      <c r="A20" s="20"/>
      <c r="B20" s="11" t="s">
        <v>468</v>
      </c>
      <c r="C20" s="12">
        <v>2951</v>
      </c>
      <c r="D20" s="12">
        <v>46</v>
      </c>
      <c r="E20" s="12">
        <v>153</v>
      </c>
      <c r="F20" s="12">
        <v>98</v>
      </c>
      <c r="G20" s="12">
        <v>113</v>
      </c>
      <c r="H20" s="12">
        <v>116</v>
      </c>
      <c r="I20" s="12">
        <v>136</v>
      </c>
      <c r="J20" s="12">
        <v>20</v>
      </c>
      <c r="K20" s="12">
        <v>154</v>
      </c>
      <c r="L20" s="12">
        <v>157</v>
      </c>
      <c r="M20" s="12">
        <v>72</v>
      </c>
      <c r="N20" s="12">
        <v>200</v>
      </c>
      <c r="O20" s="12">
        <v>158</v>
      </c>
      <c r="P20" s="12">
        <v>50</v>
      </c>
      <c r="Q20" s="12">
        <v>54</v>
      </c>
      <c r="R20" s="12">
        <v>72</v>
      </c>
      <c r="S20" s="12">
        <v>223</v>
      </c>
      <c r="T20" s="12">
        <v>167</v>
      </c>
      <c r="U20" s="12">
        <v>66</v>
      </c>
      <c r="V20" s="12">
        <v>78</v>
      </c>
      <c r="W20" s="12">
        <v>96</v>
      </c>
      <c r="X20" s="12">
        <v>71</v>
      </c>
      <c r="Y20" s="12">
        <v>60</v>
      </c>
      <c r="Z20" s="12">
        <v>108</v>
      </c>
      <c r="AA20" s="12">
        <v>178</v>
      </c>
      <c r="AB20" s="12">
        <v>124</v>
      </c>
      <c r="AC20" s="12">
        <v>50</v>
      </c>
      <c r="AD20" s="12">
        <v>104</v>
      </c>
      <c r="AE20" s="12">
        <v>195</v>
      </c>
      <c r="AF20" s="12">
        <v>63</v>
      </c>
    </row>
    <row r="21" spans="1:32">
      <c r="A21" s="20"/>
      <c r="B21" s="13" t="s">
        <v>469</v>
      </c>
      <c r="C21" s="14">
        <v>0.11</v>
      </c>
      <c r="D21" s="14">
        <v>0.05</v>
      </c>
      <c r="E21" s="14">
        <v>0.15</v>
      </c>
      <c r="F21" s="14">
        <v>0.1</v>
      </c>
      <c r="G21" s="14">
        <v>0.11</v>
      </c>
      <c r="H21" s="14">
        <v>0.09</v>
      </c>
      <c r="I21" s="14">
        <v>0.09</v>
      </c>
      <c r="J21" s="14">
        <v>7.0000000000000007E-2</v>
      </c>
      <c r="K21" s="14">
        <v>0.15</v>
      </c>
      <c r="L21" s="14">
        <v>0.16</v>
      </c>
      <c r="M21" s="14">
        <v>7.0000000000000007E-2</v>
      </c>
      <c r="N21" s="14">
        <v>0.2</v>
      </c>
      <c r="O21" s="14">
        <v>0.16</v>
      </c>
      <c r="P21" s="14">
        <v>0.05</v>
      </c>
      <c r="Q21" s="14">
        <v>0.05</v>
      </c>
      <c r="R21" s="14">
        <v>0.14000000000000001</v>
      </c>
      <c r="S21" s="14">
        <v>0.22</v>
      </c>
      <c r="T21" s="14">
        <v>0.17</v>
      </c>
      <c r="U21" s="14">
        <v>0.13</v>
      </c>
      <c r="V21" s="14">
        <v>0.08</v>
      </c>
      <c r="W21" s="14">
        <v>0.19</v>
      </c>
      <c r="X21" s="14">
        <v>7.0000000000000007E-2</v>
      </c>
      <c r="Y21" s="14">
        <v>0.06</v>
      </c>
      <c r="Z21" s="14">
        <v>0.11</v>
      </c>
      <c r="AA21" s="14">
        <v>0.17</v>
      </c>
      <c r="AB21" s="14">
        <v>0.12</v>
      </c>
      <c r="AC21" s="14">
        <v>0.05</v>
      </c>
      <c r="AD21" s="14">
        <v>0.1</v>
      </c>
      <c r="AE21" s="14">
        <v>0.19</v>
      </c>
      <c r="AF21" s="14">
        <v>0.06</v>
      </c>
    </row>
    <row r="22" spans="1:32">
      <c r="A22" s="20"/>
      <c r="B22" s="11" t="s">
        <v>851</v>
      </c>
      <c r="C22" s="12">
        <v>11312</v>
      </c>
      <c r="D22" s="12">
        <v>417</v>
      </c>
      <c r="E22" s="12">
        <v>405</v>
      </c>
      <c r="F22" s="12">
        <v>281</v>
      </c>
      <c r="G22" s="12">
        <v>676</v>
      </c>
      <c r="H22" s="12">
        <v>465</v>
      </c>
      <c r="I22" s="12">
        <v>553</v>
      </c>
      <c r="J22" s="12">
        <v>88</v>
      </c>
      <c r="K22" s="12">
        <v>408</v>
      </c>
      <c r="L22" s="12">
        <v>529</v>
      </c>
      <c r="M22" s="12">
        <v>447</v>
      </c>
      <c r="N22" s="12">
        <v>531</v>
      </c>
      <c r="O22" s="12">
        <v>329</v>
      </c>
      <c r="P22" s="12">
        <v>637</v>
      </c>
      <c r="Q22" s="12">
        <v>408</v>
      </c>
      <c r="R22" s="12">
        <v>201</v>
      </c>
      <c r="S22" s="12">
        <v>459</v>
      </c>
      <c r="T22" s="12">
        <v>429</v>
      </c>
      <c r="U22" s="12">
        <v>231</v>
      </c>
      <c r="V22" s="12">
        <v>406</v>
      </c>
      <c r="W22" s="12">
        <v>238</v>
      </c>
      <c r="X22" s="12">
        <v>605</v>
      </c>
      <c r="Y22" s="12">
        <v>287</v>
      </c>
      <c r="Z22" s="12">
        <v>440</v>
      </c>
      <c r="AA22" s="12">
        <v>476</v>
      </c>
      <c r="AB22" s="12">
        <v>538</v>
      </c>
      <c r="AC22" s="12">
        <v>520</v>
      </c>
      <c r="AD22" s="12">
        <v>462</v>
      </c>
      <c r="AE22" s="12">
        <v>548</v>
      </c>
      <c r="AF22" s="12">
        <v>806</v>
      </c>
    </row>
    <row r="23" spans="1:32">
      <c r="A23" s="20"/>
      <c r="B23" s="13" t="s">
        <v>852</v>
      </c>
      <c r="C23" s="14">
        <v>0.43</v>
      </c>
      <c r="D23" s="14">
        <v>0.41</v>
      </c>
      <c r="E23" s="14">
        <v>0.4</v>
      </c>
      <c r="F23" s="14">
        <v>0.28000000000000003</v>
      </c>
      <c r="G23" s="14">
        <v>0.68</v>
      </c>
      <c r="H23" s="14">
        <v>0.38</v>
      </c>
      <c r="I23" s="14">
        <v>0.36</v>
      </c>
      <c r="J23" s="14">
        <v>0.3</v>
      </c>
      <c r="K23" s="14">
        <v>0.41</v>
      </c>
      <c r="L23" s="14">
        <v>0.52</v>
      </c>
      <c r="M23" s="14">
        <v>0.44</v>
      </c>
      <c r="N23" s="14">
        <v>0.53</v>
      </c>
      <c r="O23" s="14">
        <v>0.33</v>
      </c>
      <c r="P23" s="14">
        <v>0.62</v>
      </c>
      <c r="Q23" s="14">
        <v>0.4</v>
      </c>
      <c r="R23" s="14">
        <v>0.4</v>
      </c>
      <c r="S23" s="14">
        <v>0.45</v>
      </c>
      <c r="T23" s="14">
        <v>0.42</v>
      </c>
      <c r="U23" s="14">
        <v>0.45</v>
      </c>
      <c r="V23" s="14">
        <v>0.4</v>
      </c>
      <c r="W23" s="14">
        <v>0.47</v>
      </c>
      <c r="X23" s="14">
        <v>0.59</v>
      </c>
      <c r="Y23" s="14">
        <v>0.28000000000000003</v>
      </c>
      <c r="Z23" s="14">
        <v>0.43</v>
      </c>
      <c r="AA23" s="14">
        <v>0.45</v>
      </c>
      <c r="AB23" s="14">
        <v>0.52</v>
      </c>
      <c r="AC23" s="14">
        <v>0.51</v>
      </c>
      <c r="AD23" s="14">
        <v>0.46</v>
      </c>
      <c r="AE23" s="14">
        <v>0.55000000000000004</v>
      </c>
      <c r="AF23" s="14">
        <v>0.79</v>
      </c>
    </row>
    <row r="24" spans="1:32">
      <c r="A24" s="20"/>
      <c r="B24" s="11" t="s">
        <v>881</v>
      </c>
      <c r="C24" s="12">
        <v>12056</v>
      </c>
      <c r="D24" s="12">
        <v>540</v>
      </c>
      <c r="E24" s="12">
        <v>459</v>
      </c>
      <c r="F24" s="12">
        <v>625</v>
      </c>
      <c r="G24" s="12">
        <v>215</v>
      </c>
      <c r="H24" s="12">
        <v>635</v>
      </c>
      <c r="I24" s="12">
        <v>821</v>
      </c>
      <c r="J24" s="12">
        <v>186</v>
      </c>
      <c r="K24" s="12">
        <v>444</v>
      </c>
      <c r="L24" s="12">
        <v>321</v>
      </c>
      <c r="M24" s="12">
        <v>484</v>
      </c>
      <c r="N24" s="12">
        <v>273</v>
      </c>
      <c r="O24" s="12">
        <v>516</v>
      </c>
      <c r="P24" s="12">
        <v>336</v>
      </c>
      <c r="Q24" s="12">
        <v>557</v>
      </c>
      <c r="R24" s="12">
        <v>227</v>
      </c>
      <c r="S24" s="12">
        <v>327</v>
      </c>
      <c r="T24" s="12">
        <v>418</v>
      </c>
      <c r="U24" s="12">
        <v>210</v>
      </c>
      <c r="V24" s="12">
        <v>532</v>
      </c>
      <c r="W24" s="12">
        <v>169</v>
      </c>
      <c r="X24" s="12">
        <v>345</v>
      </c>
      <c r="Y24" s="12">
        <v>661</v>
      </c>
      <c r="Z24" s="12">
        <v>460</v>
      </c>
      <c r="AA24" s="12">
        <v>399</v>
      </c>
      <c r="AB24" s="12">
        <v>376</v>
      </c>
      <c r="AC24" s="12">
        <v>440</v>
      </c>
      <c r="AD24" s="12">
        <v>440</v>
      </c>
      <c r="AE24" s="12">
        <v>258</v>
      </c>
      <c r="AF24" s="12">
        <v>150</v>
      </c>
    </row>
    <row r="25" spans="1:32">
      <c r="A25" s="20"/>
      <c r="B25" s="13" t="s">
        <v>882</v>
      </c>
      <c r="C25" s="14">
        <v>0.46</v>
      </c>
      <c r="D25" s="14">
        <v>0.54</v>
      </c>
      <c r="E25" s="14">
        <v>0.45</v>
      </c>
      <c r="F25" s="14">
        <v>0.62</v>
      </c>
      <c r="G25" s="14">
        <v>0.21</v>
      </c>
      <c r="H25" s="14">
        <v>0.53</v>
      </c>
      <c r="I25" s="14">
        <v>0.55000000000000004</v>
      </c>
      <c r="J25" s="14">
        <v>0.63</v>
      </c>
      <c r="K25" s="14">
        <v>0.44</v>
      </c>
      <c r="L25" s="14">
        <v>0.32</v>
      </c>
      <c r="M25" s="14">
        <v>0.49</v>
      </c>
      <c r="N25" s="14">
        <v>0.27</v>
      </c>
      <c r="O25" s="14">
        <v>0.51</v>
      </c>
      <c r="P25" s="14">
        <v>0.33</v>
      </c>
      <c r="Q25" s="14">
        <v>0.55000000000000004</v>
      </c>
      <c r="R25" s="14">
        <v>0.46</v>
      </c>
      <c r="S25" s="14">
        <v>0.33</v>
      </c>
      <c r="T25" s="14">
        <v>0.41</v>
      </c>
      <c r="U25" s="14">
        <v>0.42</v>
      </c>
      <c r="V25" s="14">
        <v>0.52</v>
      </c>
      <c r="W25" s="14">
        <v>0.34</v>
      </c>
      <c r="X25" s="14">
        <v>0.34</v>
      </c>
      <c r="Y25" s="14">
        <v>0.66</v>
      </c>
      <c r="Z25" s="14">
        <v>0.46</v>
      </c>
      <c r="AA25" s="14">
        <v>0.38</v>
      </c>
      <c r="AB25" s="14">
        <v>0.36</v>
      </c>
      <c r="AC25" s="14">
        <v>0.44</v>
      </c>
      <c r="AD25" s="14">
        <v>0.44</v>
      </c>
      <c r="AE25" s="14">
        <v>0.26</v>
      </c>
      <c r="AF25" s="14">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894</v>
      </c>
      <c r="C3" s="18"/>
      <c r="D3" s="18"/>
      <c r="E3" s="18"/>
      <c r="F3" s="18"/>
      <c r="H3" s="18" t="s">
        <v>895</v>
      </c>
      <c r="I3" s="18"/>
      <c r="J3" s="18"/>
      <c r="K3" s="18"/>
      <c r="L3" s="18"/>
    </row>
    <row r="4" spans="1:32" ht="27" customHeight="1">
      <c r="B4" s="18" t="s">
        <v>896</v>
      </c>
      <c r="C4" s="18"/>
      <c r="D4" s="18"/>
      <c r="E4" s="18"/>
      <c r="F4" s="18"/>
      <c r="H4" s="18" t="s">
        <v>897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2813</v>
      </c>
      <c r="D12" s="12">
        <v>84</v>
      </c>
      <c r="E12" s="12">
        <v>106</v>
      </c>
      <c r="F12" s="12">
        <v>62</v>
      </c>
      <c r="G12" s="12">
        <v>195</v>
      </c>
      <c r="H12" s="12">
        <v>96</v>
      </c>
      <c r="I12" s="12">
        <v>123</v>
      </c>
      <c r="J12" s="12">
        <v>27</v>
      </c>
      <c r="K12" s="12">
        <v>117</v>
      </c>
      <c r="L12" s="12">
        <v>167</v>
      </c>
      <c r="M12" s="12">
        <v>121</v>
      </c>
      <c r="N12" s="12">
        <v>135</v>
      </c>
      <c r="O12" s="12">
        <v>79</v>
      </c>
      <c r="P12" s="12">
        <v>136</v>
      </c>
      <c r="Q12" s="12">
        <v>93</v>
      </c>
      <c r="R12" s="12">
        <v>56</v>
      </c>
      <c r="S12" s="12">
        <v>141</v>
      </c>
      <c r="T12" s="12">
        <v>141</v>
      </c>
      <c r="U12" s="12">
        <v>72</v>
      </c>
      <c r="V12" s="12">
        <v>158</v>
      </c>
      <c r="W12" s="12">
        <v>98</v>
      </c>
      <c r="X12" s="12">
        <v>167</v>
      </c>
      <c r="Y12" s="12">
        <v>114</v>
      </c>
      <c r="Z12" s="12">
        <v>62</v>
      </c>
      <c r="AA12" s="12">
        <v>103</v>
      </c>
      <c r="AB12" s="12">
        <v>153</v>
      </c>
      <c r="AC12" s="12">
        <v>241</v>
      </c>
      <c r="AD12" s="12">
        <v>131</v>
      </c>
      <c r="AE12" s="12">
        <v>141</v>
      </c>
      <c r="AF12" s="12">
        <v>298</v>
      </c>
    </row>
    <row r="13" spans="1:32">
      <c r="A13" s="20"/>
      <c r="B13" s="13" t="s">
        <v>875</v>
      </c>
      <c r="C13" s="14">
        <v>0.11</v>
      </c>
      <c r="D13" s="14">
        <v>0.08</v>
      </c>
      <c r="E13" s="14">
        <v>0.1</v>
      </c>
      <c r="F13" s="14">
        <v>0.06</v>
      </c>
      <c r="G13" s="14">
        <v>0.19</v>
      </c>
      <c r="H13" s="14">
        <v>0.08</v>
      </c>
      <c r="I13" s="14">
        <v>0.08</v>
      </c>
      <c r="J13" s="14">
        <v>0.09</v>
      </c>
      <c r="K13" s="14">
        <v>0.12</v>
      </c>
      <c r="L13" s="14">
        <v>0.16</v>
      </c>
      <c r="M13" s="14">
        <v>0.12</v>
      </c>
      <c r="N13" s="14">
        <v>0.13</v>
      </c>
      <c r="O13" s="14">
        <v>0.08</v>
      </c>
      <c r="P13" s="14">
        <v>0.13</v>
      </c>
      <c r="Q13" s="14">
        <v>0.09</v>
      </c>
      <c r="R13" s="14">
        <v>0.11</v>
      </c>
      <c r="S13" s="14">
        <v>0.14000000000000001</v>
      </c>
      <c r="T13" s="14">
        <v>0.14000000000000001</v>
      </c>
      <c r="U13" s="14">
        <v>0.14000000000000001</v>
      </c>
      <c r="V13" s="14">
        <v>0.16</v>
      </c>
      <c r="W13" s="14">
        <v>0.19</v>
      </c>
      <c r="X13" s="14">
        <v>0.16</v>
      </c>
      <c r="Y13" s="14">
        <v>0.11</v>
      </c>
      <c r="Z13" s="14">
        <v>0.06</v>
      </c>
      <c r="AA13" s="14">
        <v>0.1</v>
      </c>
      <c r="AB13" s="14">
        <v>0.15</v>
      </c>
      <c r="AC13" s="14">
        <v>0.24</v>
      </c>
      <c r="AD13" s="14">
        <v>0.13</v>
      </c>
      <c r="AE13" s="14">
        <v>0.14000000000000001</v>
      </c>
      <c r="AF13" s="14">
        <v>0.28999999999999998</v>
      </c>
    </row>
    <row r="14" spans="1:32">
      <c r="A14" s="20"/>
      <c r="B14" s="11" t="s">
        <v>845</v>
      </c>
      <c r="C14" s="12">
        <v>10525</v>
      </c>
      <c r="D14" s="12">
        <v>409</v>
      </c>
      <c r="E14" s="12">
        <v>429</v>
      </c>
      <c r="F14" s="12">
        <v>369</v>
      </c>
      <c r="G14" s="12">
        <v>488</v>
      </c>
      <c r="H14" s="12">
        <v>477</v>
      </c>
      <c r="I14" s="12">
        <v>571</v>
      </c>
      <c r="J14" s="12">
        <v>94</v>
      </c>
      <c r="K14" s="12">
        <v>437</v>
      </c>
      <c r="L14" s="12">
        <v>390</v>
      </c>
      <c r="M14" s="12">
        <v>417</v>
      </c>
      <c r="N14" s="12">
        <v>447</v>
      </c>
      <c r="O14" s="12">
        <v>321</v>
      </c>
      <c r="P14" s="12">
        <v>557</v>
      </c>
      <c r="Q14" s="12">
        <v>370</v>
      </c>
      <c r="R14" s="12">
        <v>199</v>
      </c>
      <c r="S14" s="12">
        <v>398</v>
      </c>
      <c r="T14" s="12">
        <v>405</v>
      </c>
      <c r="U14" s="12">
        <v>216</v>
      </c>
      <c r="V14" s="12">
        <v>512</v>
      </c>
      <c r="W14" s="12">
        <v>178</v>
      </c>
      <c r="X14" s="12">
        <v>460</v>
      </c>
      <c r="Y14" s="12">
        <v>290</v>
      </c>
      <c r="Z14" s="12">
        <v>459</v>
      </c>
      <c r="AA14" s="12">
        <v>443</v>
      </c>
      <c r="AB14" s="12">
        <v>461</v>
      </c>
      <c r="AC14" s="12">
        <v>464</v>
      </c>
      <c r="AD14" s="12">
        <v>521</v>
      </c>
      <c r="AE14" s="12">
        <v>426</v>
      </c>
      <c r="AF14" s="12">
        <v>533</v>
      </c>
    </row>
    <row r="15" spans="1:32">
      <c r="A15" s="20"/>
      <c r="B15" s="13" t="s">
        <v>876</v>
      </c>
      <c r="C15" s="14">
        <v>0.4</v>
      </c>
      <c r="D15" s="14">
        <v>0.41</v>
      </c>
      <c r="E15" s="14">
        <v>0.42</v>
      </c>
      <c r="F15" s="14">
        <v>0.37</v>
      </c>
      <c r="G15" s="14">
        <v>0.49</v>
      </c>
      <c r="H15" s="14">
        <v>0.39</v>
      </c>
      <c r="I15" s="14">
        <v>0.38</v>
      </c>
      <c r="J15" s="14">
        <v>0.32</v>
      </c>
      <c r="K15" s="14">
        <v>0.43</v>
      </c>
      <c r="L15" s="14">
        <v>0.39</v>
      </c>
      <c r="M15" s="14">
        <v>0.42</v>
      </c>
      <c r="N15" s="14">
        <v>0.45</v>
      </c>
      <c r="O15" s="14">
        <v>0.32</v>
      </c>
      <c r="P15" s="14">
        <v>0.55000000000000004</v>
      </c>
      <c r="Q15" s="14">
        <v>0.36</v>
      </c>
      <c r="R15" s="14">
        <v>0.4</v>
      </c>
      <c r="S15" s="14">
        <v>0.39</v>
      </c>
      <c r="T15" s="14">
        <v>0.4</v>
      </c>
      <c r="U15" s="14">
        <v>0.43</v>
      </c>
      <c r="V15" s="14">
        <v>0.5</v>
      </c>
      <c r="W15" s="14">
        <v>0.35</v>
      </c>
      <c r="X15" s="14">
        <v>0.45</v>
      </c>
      <c r="Y15" s="14">
        <v>0.28999999999999998</v>
      </c>
      <c r="Z15" s="14">
        <v>0.46</v>
      </c>
      <c r="AA15" s="14">
        <v>0.42</v>
      </c>
      <c r="AB15" s="14">
        <v>0.44</v>
      </c>
      <c r="AC15" s="14">
        <v>0.46</v>
      </c>
      <c r="AD15" s="14">
        <v>0.52</v>
      </c>
      <c r="AE15" s="14">
        <v>0.43</v>
      </c>
      <c r="AF15" s="14">
        <v>0.52</v>
      </c>
    </row>
    <row r="16" spans="1:32">
      <c r="A16" s="20"/>
      <c r="B16" s="11" t="s">
        <v>877</v>
      </c>
      <c r="C16" s="12">
        <v>6251</v>
      </c>
      <c r="D16" s="12">
        <v>281</v>
      </c>
      <c r="E16" s="12">
        <v>192</v>
      </c>
      <c r="F16" s="12">
        <v>289</v>
      </c>
      <c r="G16" s="12">
        <v>136</v>
      </c>
      <c r="H16" s="12">
        <v>354</v>
      </c>
      <c r="I16" s="12">
        <v>441</v>
      </c>
      <c r="J16" s="12">
        <v>87</v>
      </c>
      <c r="K16" s="12">
        <v>220</v>
      </c>
      <c r="L16" s="12">
        <v>150</v>
      </c>
      <c r="M16" s="12">
        <v>203</v>
      </c>
      <c r="N16" s="12">
        <v>148</v>
      </c>
      <c r="O16" s="12">
        <v>229</v>
      </c>
      <c r="P16" s="12">
        <v>214</v>
      </c>
      <c r="Q16" s="12">
        <v>347</v>
      </c>
      <c r="R16" s="12">
        <v>107</v>
      </c>
      <c r="S16" s="12">
        <v>150</v>
      </c>
      <c r="T16" s="12">
        <v>237</v>
      </c>
      <c r="U16" s="12">
        <v>88</v>
      </c>
      <c r="V16" s="12">
        <v>216</v>
      </c>
      <c r="W16" s="12">
        <v>64</v>
      </c>
      <c r="X16" s="12">
        <v>240</v>
      </c>
      <c r="Y16" s="12">
        <v>195</v>
      </c>
      <c r="Z16" s="12">
        <v>217</v>
      </c>
      <c r="AA16" s="12">
        <v>227</v>
      </c>
      <c r="AB16" s="12">
        <v>226</v>
      </c>
      <c r="AC16" s="12">
        <v>131</v>
      </c>
      <c r="AD16" s="12">
        <v>172</v>
      </c>
      <c r="AE16" s="12">
        <v>169</v>
      </c>
      <c r="AF16" s="12">
        <v>87</v>
      </c>
    </row>
    <row r="17" spans="1:32">
      <c r="A17" s="20"/>
      <c r="B17" s="13" t="s">
        <v>878</v>
      </c>
      <c r="C17" s="14">
        <v>0.24</v>
      </c>
      <c r="D17" s="14">
        <v>0.28000000000000003</v>
      </c>
      <c r="E17" s="14">
        <v>0.19</v>
      </c>
      <c r="F17" s="14">
        <v>0.28999999999999998</v>
      </c>
      <c r="G17" s="14">
        <v>0.14000000000000001</v>
      </c>
      <c r="H17" s="14">
        <v>0.28999999999999998</v>
      </c>
      <c r="I17" s="14">
        <v>0.28999999999999998</v>
      </c>
      <c r="J17" s="14">
        <v>0.3</v>
      </c>
      <c r="K17" s="14">
        <v>0.22</v>
      </c>
      <c r="L17" s="14">
        <v>0.15</v>
      </c>
      <c r="M17" s="14">
        <v>0.2</v>
      </c>
      <c r="N17" s="14">
        <v>0.15</v>
      </c>
      <c r="O17" s="14">
        <v>0.23</v>
      </c>
      <c r="P17" s="14">
        <v>0.21</v>
      </c>
      <c r="Q17" s="14">
        <v>0.34</v>
      </c>
      <c r="R17" s="14">
        <v>0.21</v>
      </c>
      <c r="S17" s="14">
        <v>0.15</v>
      </c>
      <c r="T17" s="14">
        <v>0.23</v>
      </c>
      <c r="U17" s="14">
        <v>0.17</v>
      </c>
      <c r="V17" s="14">
        <v>0.21</v>
      </c>
      <c r="W17" s="14">
        <v>0.13</v>
      </c>
      <c r="X17" s="14">
        <v>0.24</v>
      </c>
      <c r="Y17" s="14">
        <v>0.19</v>
      </c>
      <c r="Z17" s="14">
        <v>0.21</v>
      </c>
      <c r="AA17" s="14">
        <v>0.22</v>
      </c>
      <c r="AB17" s="14">
        <v>0.22</v>
      </c>
      <c r="AC17" s="14">
        <v>0.13</v>
      </c>
      <c r="AD17" s="14">
        <v>0.17</v>
      </c>
      <c r="AE17" s="14">
        <v>0.17</v>
      </c>
      <c r="AF17" s="14">
        <v>0.09</v>
      </c>
    </row>
    <row r="18" spans="1:32">
      <c r="A18" s="20"/>
      <c r="B18" s="11" t="s">
        <v>879</v>
      </c>
      <c r="C18" s="12">
        <v>3721</v>
      </c>
      <c r="D18" s="12">
        <v>175</v>
      </c>
      <c r="E18" s="12">
        <v>133</v>
      </c>
      <c r="F18" s="12">
        <v>189</v>
      </c>
      <c r="G18" s="12">
        <v>50</v>
      </c>
      <c r="H18" s="12">
        <v>176</v>
      </c>
      <c r="I18" s="12">
        <v>238</v>
      </c>
      <c r="J18" s="12">
        <v>62</v>
      </c>
      <c r="K18" s="12">
        <v>92</v>
      </c>
      <c r="L18" s="12">
        <v>140</v>
      </c>
      <c r="M18" s="12">
        <v>189</v>
      </c>
      <c r="N18" s="12">
        <v>83</v>
      </c>
      <c r="O18" s="12">
        <v>197</v>
      </c>
      <c r="P18" s="12">
        <v>70</v>
      </c>
      <c r="Q18" s="12">
        <v>153</v>
      </c>
      <c r="R18" s="12">
        <v>71</v>
      </c>
      <c r="S18" s="12">
        <v>98</v>
      </c>
      <c r="T18" s="12">
        <v>86</v>
      </c>
      <c r="U18" s="12">
        <v>74</v>
      </c>
      <c r="V18" s="12">
        <v>70</v>
      </c>
      <c r="W18" s="12">
        <v>68</v>
      </c>
      <c r="X18" s="12">
        <v>75</v>
      </c>
      <c r="Y18" s="12">
        <v>357</v>
      </c>
      <c r="Z18" s="12">
        <v>163</v>
      </c>
      <c r="AA18" s="12">
        <v>98</v>
      </c>
      <c r="AB18" s="12">
        <v>84</v>
      </c>
      <c r="AC18" s="12">
        <v>132</v>
      </c>
      <c r="AD18" s="12">
        <v>92</v>
      </c>
      <c r="AE18" s="12">
        <v>56</v>
      </c>
      <c r="AF18" s="12">
        <v>32</v>
      </c>
    </row>
    <row r="19" spans="1:32">
      <c r="A19" s="20"/>
      <c r="B19" s="13" t="s">
        <v>880</v>
      </c>
      <c r="C19" s="14">
        <v>0.14000000000000001</v>
      </c>
      <c r="D19" s="14">
        <v>0.17</v>
      </c>
      <c r="E19" s="14">
        <v>0.13</v>
      </c>
      <c r="F19" s="14">
        <v>0.19</v>
      </c>
      <c r="G19" s="14">
        <v>0.05</v>
      </c>
      <c r="H19" s="14">
        <v>0.15</v>
      </c>
      <c r="I19" s="14">
        <v>0.16</v>
      </c>
      <c r="J19" s="14">
        <v>0.21</v>
      </c>
      <c r="K19" s="14">
        <v>0.09</v>
      </c>
      <c r="L19" s="14">
        <v>0.14000000000000001</v>
      </c>
      <c r="M19" s="14">
        <v>0.19</v>
      </c>
      <c r="N19" s="14">
        <v>0.08</v>
      </c>
      <c r="O19" s="14">
        <v>0.19</v>
      </c>
      <c r="P19" s="14">
        <v>7.0000000000000007E-2</v>
      </c>
      <c r="Q19" s="14">
        <v>0.15</v>
      </c>
      <c r="R19" s="14">
        <v>0.14000000000000001</v>
      </c>
      <c r="S19" s="14">
        <v>0.1</v>
      </c>
      <c r="T19" s="14">
        <v>0.09</v>
      </c>
      <c r="U19" s="14">
        <v>0.15</v>
      </c>
      <c r="V19" s="14">
        <v>7.0000000000000007E-2</v>
      </c>
      <c r="W19" s="14">
        <v>0.14000000000000001</v>
      </c>
      <c r="X19" s="14">
        <v>7.0000000000000007E-2</v>
      </c>
      <c r="Y19" s="14">
        <v>0.36</v>
      </c>
      <c r="Z19" s="14">
        <v>0.16</v>
      </c>
      <c r="AA19" s="14">
        <v>0.09</v>
      </c>
      <c r="AB19" s="14">
        <v>0.08</v>
      </c>
      <c r="AC19" s="14">
        <v>0.13</v>
      </c>
      <c r="AD19" s="14">
        <v>0.09</v>
      </c>
      <c r="AE19" s="14">
        <v>0.05</v>
      </c>
      <c r="AF19" s="14">
        <v>0.03</v>
      </c>
    </row>
    <row r="20" spans="1:32">
      <c r="A20" s="20"/>
      <c r="B20" s="11" t="s">
        <v>468</v>
      </c>
      <c r="C20" s="12">
        <v>3009</v>
      </c>
      <c r="D20" s="12">
        <v>55</v>
      </c>
      <c r="E20" s="12">
        <v>158</v>
      </c>
      <c r="F20" s="12">
        <v>97</v>
      </c>
      <c r="G20" s="12">
        <v>135</v>
      </c>
      <c r="H20" s="12">
        <v>113</v>
      </c>
      <c r="I20" s="12">
        <v>136</v>
      </c>
      <c r="J20" s="12">
        <v>24</v>
      </c>
      <c r="K20" s="12">
        <v>140</v>
      </c>
      <c r="L20" s="12">
        <v>160</v>
      </c>
      <c r="M20" s="12">
        <v>73</v>
      </c>
      <c r="N20" s="12">
        <v>191</v>
      </c>
      <c r="O20" s="12">
        <v>178</v>
      </c>
      <c r="P20" s="12">
        <v>44</v>
      </c>
      <c r="Q20" s="12">
        <v>56</v>
      </c>
      <c r="R20" s="12">
        <v>67</v>
      </c>
      <c r="S20" s="12">
        <v>221</v>
      </c>
      <c r="T20" s="12">
        <v>146</v>
      </c>
      <c r="U20" s="12">
        <v>57</v>
      </c>
      <c r="V20" s="12">
        <v>61</v>
      </c>
      <c r="W20" s="12">
        <v>95</v>
      </c>
      <c r="X20" s="12">
        <v>80</v>
      </c>
      <c r="Y20" s="12">
        <v>52</v>
      </c>
      <c r="Z20" s="12">
        <v>108</v>
      </c>
      <c r="AA20" s="12">
        <v>181</v>
      </c>
      <c r="AB20" s="12">
        <v>114</v>
      </c>
      <c r="AC20" s="12">
        <v>41</v>
      </c>
      <c r="AD20" s="12">
        <v>90</v>
      </c>
      <c r="AE20" s="12">
        <v>209</v>
      </c>
      <c r="AF20" s="12">
        <v>69</v>
      </c>
    </row>
    <row r="21" spans="1:32">
      <c r="A21" s="20"/>
      <c r="B21" s="13" t="s">
        <v>469</v>
      </c>
      <c r="C21" s="14">
        <v>0.11</v>
      </c>
      <c r="D21" s="14">
        <v>0.06</v>
      </c>
      <c r="E21" s="14">
        <v>0.16</v>
      </c>
      <c r="F21" s="14">
        <v>0.09</v>
      </c>
      <c r="G21" s="14">
        <v>0.13</v>
      </c>
      <c r="H21" s="14">
        <v>0.09</v>
      </c>
      <c r="I21" s="14">
        <v>0.09</v>
      </c>
      <c r="J21" s="14">
        <v>0.08</v>
      </c>
      <c r="K21" s="14">
        <v>0.14000000000000001</v>
      </c>
      <c r="L21" s="14">
        <v>0.16</v>
      </c>
      <c r="M21" s="14">
        <v>7.0000000000000007E-2</v>
      </c>
      <c r="N21" s="14">
        <v>0.19</v>
      </c>
      <c r="O21" s="14">
        <v>0.18</v>
      </c>
      <c r="P21" s="14">
        <v>0.04</v>
      </c>
      <c r="Q21" s="14">
        <v>0.06</v>
      </c>
      <c r="R21" s="14">
        <v>0.14000000000000001</v>
      </c>
      <c r="S21" s="14">
        <v>0.22</v>
      </c>
      <c r="T21" s="14">
        <v>0.14000000000000001</v>
      </c>
      <c r="U21" s="14">
        <v>0.11</v>
      </c>
      <c r="V21" s="14">
        <v>0.06</v>
      </c>
      <c r="W21" s="14">
        <v>0.19</v>
      </c>
      <c r="X21" s="14">
        <v>0.08</v>
      </c>
      <c r="Y21" s="14">
        <v>0.05</v>
      </c>
      <c r="Z21" s="14">
        <v>0.11</v>
      </c>
      <c r="AA21" s="14">
        <v>0.17</v>
      </c>
      <c r="AB21" s="14">
        <v>0.11</v>
      </c>
      <c r="AC21" s="14">
        <v>0.04</v>
      </c>
      <c r="AD21" s="14">
        <v>0.09</v>
      </c>
      <c r="AE21" s="14">
        <v>0.21</v>
      </c>
      <c r="AF21" s="14">
        <v>7.0000000000000007E-2</v>
      </c>
    </row>
    <row r="22" spans="1:32">
      <c r="A22" s="20"/>
      <c r="B22" s="11" t="s">
        <v>851</v>
      </c>
      <c r="C22" s="12">
        <v>13338</v>
      </c>
      <c r="D22" s="12">
        <v>493</v>
      </c>
      <c r="E22" s="12">
        <v>535</v>
      </c>
      <c r="F22" s="12">
        <v>431</v>
      </c>
      <c r="G22" s="12">
        <v>683</v>
      </c>
      <c r="H22" s="12">
        <v>573</v>
      </c>
      <c r="I22" s="12">
        <v>694</v>
      </c>
      <c r="J22" s="12">
        <v>121</v>
      </c>
      <c r="K22" s="12">
        <v>554</v>
      </c>
      <c r="L22" s="12">
        <v>557</v>
      </c>
      <c r="M22" s="12">
        <v>538</v>
      </c>
      <c r="N22" s="12">
        <v>582</v>
      </c>
      <c r="O22" s="12">
        <v>400</v>
      </c>
      <c r="P22" s="12">
        <v>693</v>
      </c>
      <c r="Q22" s="12">
        <v>463</v>
      </c>
      <c r="R22" s="12">
        <v>255</v>
      </c>
      <c r="S22" s="12">
        <v>539</v>
      </c>
      <c r="T22" s="12">
        <v>546</v>
      </c>
      <c r="U22" s="12">
        <v>288</v>
      </c>
      <c r="V22" s="12">
        <v>670</v>
      </c>
      <c r="W22" s="12">
        <v>276</v>
      </c>
      <c r="X22" s="12">
        <v>627</v>
      </c>
      <c r="Y22" s="12">
        <v>404</v>
      </c>
      <c r="Z22" s="12">
        <v>521</v>
      </c>
      <c r="AA22" s="12">
        <v>546</v>
      </c>
      <c r="AB22" s="12">
        <v>614</v>
      </c>
      <c r="AC22" s="12">
        <v>705</v>
      </c>
      <c r="AD22" s="12">
        <v>652</v>
      </c>
      <c r="AE22" s="12">
        <v>567</v>
      </c>
      <c r="AF22" s="12">
        <v>831</v>
      </c>
    </row>
    <row r="23" spans="1:32">
      <c r="A23" s="20"/>
      <c r="B23" s="13" t="s">
        <v>852</v>
      </c>
      <c r="C23" s="14">
        <v>0.51</v>
      </c>
      <c r="D23" s="14">
        <v>0.49</v>
      </c>
      <c r="E23" s="14">
        <v>0.52</v>
      </c>
      <c r="F23" s="14">
        <v>0.43</v>
      </c>
      <c r="G23" s="14">
        <v>0.68</v>
      </c>
      <c r="H23" s="14">
        <v>0.47</v>
      </c>
      <c r="I23" s="14">
        <v>0.46</v>
      </c>
      <c r="J23" s="14">
        <v>0.41</v>
      </c>
      <c r="K23" s="14">
        <v>0.55000000000000004</v>
      </c>
      <c r="L23" s="14">
        <v>0.55000000000000004</v>
      </c>
      <c r="M23" s="14">
        <v>0.54</v>
      </c>
      <c r="N23" s="14">
        <v>0.57999999999999996</v>
      </c>
      <c r="O23" s="14">
        <v>0.4</v>
      </c>
      <c r="P23" s="14">
        <v>0.68</v>
      </c>
      <c r="Q23" s="14">
        <v>0.45</v>
      </c>
      <c r="R23" s="14">
        <v>0.51</v>
      </c>
      <c r="S23" s="14">
        <v>0.53</v>
      </c>
      <c r="T23" s="14">
        <v>0.54</v>
      </c>
      <c r="U23" s="14">
        <v>0.57000000000000006</v>
      </c>
      <c r="V23" s="14">
        <v>0.66</v>
      </c>
      <c r="W23" s="14">
        <v>0.54</v>
      </c>
      <c r="X23" s="14">
        <v>0.61</v>
      </c>
      <c r="Y23" s="14">
        <v>0.4</v>
      </c>
      <c r="Z23" s="14">
        <v>0.52</v>
      </c>
      <c r="AA23" s="14">
        <v>0.52</v>
      </c>
      <c r="AB23" s="14">
        <v>0.59</v>
      </c>
      <c r="AC23" s="14">
        <v>0.70000000000000007</v>
      </c>
      <c r="AD23" s="14">
        <v>0.65</v>
      </c>
      <c r="AE23" s="14">
        <v>0.57000000000000006</v>
      </c>
      <c r="AF23" s="14">
        <v>0.81</v>
      </c>
    </row>
    <row r="24" spans="1:32">
      <c r="A24" s="20"/>
      <c r="B24" s="11" t="s">
        <v>881</v>
      </c>
      <c r="C24" s="12">
        <v>9972</v>
      </c>
      <c r="D24" s="12">
        <v>456</v>
      </c>
      <c r="E24" s="12">
        <v>325</v>
      </c>
      <c r="F24" s="12">
        <v>478</v>
      </c>
      <c r="G24" s="12">
        <v>186</v>
      </c>
      <c r="H24" s="12">
        <v>530</v>
      </c>
      <c r="I24" s="12">
        <v>679</v>
      </c>
      <c r="J24" s="12">
        <v>149</v>
      </c>
      <c r="K24" s="12">
        <v>312</v>
      </c>
      <c r="L24" s="12">
        <v>290</v>
      </c>
      <c r="M24" s="12">
        <v>392</v>
      </c>
      <c r="N24" s="12">
        <v>231</v>
      </c>
      <c r="O24" s="12">
        <v>426</v>
      </c>
      <c r="P24" s="12">
        <v>284</v>
      </c>
      <c r="Q24" s="12">
        <v>500</v>
      </c>
      <c r="R24" s="12">
        <v>178</v>
      </c>
      <c r="S24" s="12">
        <v>248</v>
      </c>
      <c r="T24" s="12">
        <v>323</v>
      </c>
      <c r="U24" s="12">
        <v>162</v>
      </c>
      <c r="V24" s="12">
        <v>286</v>
      </c>
      <c r="W24" s="12">
        <v>132</v>
      </c>
      <c r="X24" s="12">
        <v>315</v>
      </c>
      <c r="Y24" s="12">
        <v>552</v>
      </c>
      <c r="Z24" s="12">
        <v>380</v>
      </c>
      <c r="AA24" s="12">
        <v>325</v>
      </c>
      <c r="AB24" s="12">
        <v>310</v>
      </c>
      <c r="AC24" s="12">
        <v>263</v>
      </c>
      <c r="AD24" s="12">
        <v>264</v>
      </c>
      <c r="AE24" s="12">
        <v>225</v>
      </c>
      <c r="AF24" s="12">
        <v>119</v>
      </c>
    </row>
    <row r="25" spans="1:32">
      <c r="A25" s="20"/>
      <c r="B25" s="13" t="s">
        <v>882</v>
      </c>
      <c r="C25" s="14">
        <v>0.38</v>
      </c>
      <c r="D25" s="14">
        <v>0.45</v>
      </c>
      <c r="E25" s="14">
        <v>0.32</v>
      </c>
      <c r="F25" s="14">
        <v>0.48</v>
      </c>
      <c r="G25" s="14">
        <v>0.19</v>
      </c>
      <c r="H25" s="14">
        <v>0.44</v>
      </c>
      <c r="I25" s="14">
        <v>0.45</v>
      </c>
      <c r="J25" s="14">
        <v>0.51</v>
      </c>
      <c r="K25" s="14">
        <v>0.31</v>
      </c>
      <c r="L25" s="14">
        <v>0.28999999999999998</v>
      </c>
      <c r="M25" s="14">
        <v>0.39</v>
      </c>
      <c r="N25" s="14">
        <v>0.23</v>
      </c>
      <c r="O25" s="14">
        <v>0.42</v>
      </c>
      <c r="P25" s="14">
        <v>0.28000000000000003</v>
      </c>
      <c r="Q25" s="14">
        <v>0.49</v>
      </c>
      <c r="R25" s="14">
        <v>0.35</v>
      </c>
      <c r="S25" s="14">
        <v>0.25</v>
      </c>
      <c r="T25" s="14">
        <v>0.32</v>
      </c>
      <c r="U25" s="14">
        <v>0.32</v>
      </c>
      <c r="V25" s="14">
        <v>0.28000000000000003</v>
      </c>
      <c r="W25" s="14">
        <v>0.27</v>
      </c>
      <c r="X25" s="14">
        <v>0.31</v>
      </c>
      <c r="Y25" s="14">
        <v>0.55000000000000004</v>
      </c>
      <c r="Z25" s="14">
        <v>0.37</v>
      </c>
      <c r="AA25" s="14">
        <v>0.31</v>
      </c>
      <c r="AB25" s="14">
        <v>0.3</v>
      </c>
      <c r="AC25" s="14">
        <v>0.26</v>
      </c>
      <c r="AD25" s="14">
        <v>0.26</v>
      </c>
      <c r="AE25" s="14">
        <v>0.22</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898</v>
      </c>
      <c r="C3" s="18"/>
      <c r="D3" s="18"/>
      <c r="E3" s="18"/>
      <c r="F3" s="18"/>
      <c r="H3" s="18" t="s">
        <v>899</v>
      </c>
      <c r="I3" s="18"/>
      <c r="J3" s="18"/>
      <c r="K3" s="18"/>
      <c r="L3" s="18"/>
    </row>
    <row r="4" spans="1:32" ht="27" customHeight="1">
      <c r="B4" s="18" t="s">
        <v>900</v>
      </c>
      <c r="C4" s="18"/>
      <c r="D4" s="18"/>
      <c r="E4" s="18"/>
      <c r="F4" s="18"/>
      <c r="H4" s="18" t="s">
        <v>901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2593</v>
      </c>
      <c r="D12" s="12">
        <v>82</v>
      </c>
      <c r="E12" s="12">
        <v>70</v>
      </c>
      <c r="F12" s="12">
        <v>47</v>
      </c>
      <c r="G12" s="12">
        <v>191</v>
      </c>
      <c r="H12" s="12">
        <v>102</v>
      </c>
      <c r="I12" s="12">
        <v>127</v>
      </c>
      <c r="J12" s="12">
        <v>25</v>
      </c>
      <c r="K12" s="12">
        <v>88</v>
      </c>
      <c r="L12" s="12">
        <v>162</v>
      </c>
      <c r="M12" s="12">
        <v>68</v>
      </c>
      <c r="N12" s="12">
        <v>133</v>
      </c>
      <c r="O12" s="12">
        <v>68</v>
      </c>
      <c r="P12" s="12">
        <v>144</v>
      </c>
      <c r="Q12" s="12">
        <v>75</v>
      </c>
      <c r="R12" s="12">
        <v>43</v>
      </c>
      <c r="S12" s="12">
        <v>126</v>
      </c>
      <c r="T12" s="12">
        <v>146</v>
      </c>
      <c r="U12" s="12">
        <v>66</v>
      </c>
      <c r="V12" s="12">
        <v>123</v>
      </c>
      <c r="W12" s="12">
        <v>101</v>
      </c>
      <c r="X12" s="12">
        <v>164</v>
      </c>
      <c r="Y12" s="12">
        <v>101</v>
      </c>
      <c r="Z12" s="12">
        <v>63</v>
      </c>
      <c r="AA12" s="12">
        <v>94</v>
      </c>
      <c r="AB12" s="12">
        <v>162</v>
      </c>
      <c r="AC12" s="12">
        <v>241</v>
      </c>
      <c r="AD12" s="12">
        <v>84</v>
      </c>
      <c r="AE12" s="12">
        <v>118</v>
      </c>
      <c r="AF12" s="12">
        <v>280</v>
      </c>
    </row>
    <row r="13" spans="1:32">
      <c r="A13" s="20"/>
      <c r="B13" s="13" t="s">
        <v>875</v>
      </c>
      <c r="C13" s="14">
        <v>0.1</v>
      </c>
      <c r="D13" s="14">
        <v>0.08</v>
      </c>
      <c r="E13" s="14">
        <v>7.0000000000000007E-2</v>
      </c>
      <c r="F13" s="14">
        <v>0.05</v>
      </c>
      <c r="G13" s="14">
        <v>0.19</v>
      </c>
      <c r="H13" s="14">
        <v>0.08</v>
      </c>
      <c r="I13" s="14">
        <v>0.08</v>
      </c>
      <c r="J13" s="14">
        <v>0.09</v>
      </c>
      <c r="K13" s="14">
        <v>0.09</v>
      </c>
      <c r="L13" s="14">
        <v>0.16</v>
      </c>
      <c r="M13" s="14">
        <v>7.0000000000000007E-2</v>
      </c>
      <c r="N13" s="14">
        <v>0.13</v>
      </c>
      <c r="O13" s="14">
        <v>7.0000000000000007E-2</v>
      </c>
      <c r="P13" s="14">
        <v>0.14000000000000001</v>
      </c>
      <c r="Q13" s="14">
        <v>7.0000000000000007E-2</v>
      </c>
      <c r="R13" s="14">
        <v>0.09</v>
      </c>
      <c r="S13" s="14">
        <v>0.13</v>
      </c>
      <c r="T13" s="14">
        <v>0.14000000000000001</v>
      </c>
      <c r="U13" s="14">
        <v>0.13</v>
      </c>
      <c r="V13" s="14">
        <v>0.12</v>
      </c>
      <c r="W13" s="14">
        <v>0.2</v>
      </c>
      <c r="X13" s="14">
        <v>0.16</v>
      </c>
      <c r="Y13" s="14">
        <v>0.1</v>
      </c>
      <c r="Z13" s="14">
        <v>0.06</v>
      </c>
      <c r="AA13" s="14">
        <v>0.09</v>
      </c>
      <c r="AB13" s="14">
        <v>0.16</v>
      </c>
      <c r="AC13" s="14">
        <v>0.24</v>
      </c>
      <c r="AD13" s="14">
        <v>0.08</v>
      </c>
      <c r="AE13" s="14">
        <v>0.12</v>
      </c>
      <c r="AF13" s="14">
        <v>0.27</v>
      </c>
    </row>
    <row r="14" spans="1:32">
      <c r="A14" s="20"/>
      <c r="B14" s="11" t="s">
        <v>845</v>
      </c>
      <c r="C14" s="12">
        <v>10029</v>
      </c>
      <c r="D14" s="12">
        <v>403</v>
      </c>
      <c r="E14" s="12">
        <v>257</v>
      </c>
      <c r="F14" s="12">
        <v>332</v>
      </c>
      <c r="G14" s="12">
        <v>474</v>
      </c>
      <c r="H14" s="12">
        <v>450</v>
      </c>
      <c r="I14" s="12">
        <v>546</v>
      </c>
      <c r="J14" s="12">
        <v>96</v>
      </c>
      <c r="K14" s="12">
        <v>446</v>
      </c>
      <c r="L14" s="12">
        <v>382</v>
      </c>
      <c r="M14" s="12">
        <v>296</v>
      </c>
      <c r="N14" s="12">
        <v>431</v>
      </c>
      <c r="O14" s="12">
        <v>291</v>
      </c>
      <c r="P14" s="12">
        <v>560</v>
      </c>
      <c r="Q14" s="12">
        <v>374</v>
      </c>
      <c r="R14" s="12">
        <v>177</v>
      </c>
      <c r="S14" s="12">
        <v>395</v>
      </c>
      <c r="T14" s="12">
        <v>370</v>
      </c>
      <c r="U14" s="12">
        <v>192</v>
      </c>
      <c r="V14" s="12">
        <v>460</v>
      </c>
      <c r="W14" s="12">
        <v>185</v>
      </c>
      <c r="X14" s="12">
        <v>464</v>
      </c>
      <c r="Y14" s="12">
        <v>244</v>
      </c>
      <c r="Z14" s="12">
        <v>447</v>
      </c>
      <c r="AA14" s="12">
        <v>445</v>
      </c>
      <c r="AB14" s="12">
        <v>466</v>
      </c>
      <c r="AC14" s="12">
        <v>471</v>
      </c>
      <c r="AD14" s="12">
        <v>486</v>
      </c>
      <c r="AE14" s="12">
        <v>436</v>
      </c>
      <c r="AF14" s="12">
        <v>521</v>
      </c>
    </row>
    <row r="15" spans="1:32">
      <c r="A15" s="20"/>
      <c r="B15" s="13" t="s">
        <v>876</v>
      </c>
      <c r="C15" s="14">
        <v>0.38</v>
      </c>
      <c r="D15" s="14">
        <v>0.4</v>
      </c>
      <c r="E15" s="14">
        <v>0.25</v>
      </c>
      <c r="F15" s="14">
        <v>0.33</v>
      </c>
      <c r="G15" s="14">
        <v>0.47</v>
      </c>
      <c r="H15" s="14">
        <v>0.37</v>
      </c>
      <c r="I15" s="14">
        <v>0.36</v>
      </c>
      <c r="J15" s="14">
        <v>0.33</v>
      </c>
      <c r="K15" s="14">
        <v>0.44</v>
      </c>
      <c r="L15" s="14">
        <v>0.38</v>
      </c>
      <c r="M15" s="14">
        <v>0.3</v>
      </c>
      <c r="N15" s="14">
        <v>0.43</v>
      </c>
      <c r="O15" s="14">
        <v>0.28999999999999998</v>
      </c>
      <c r="P15" s="14">
        <v>0.55000000000000004</v>
      </c>
      <c r="Q15" s="14">
        <v>0.37</v>
      </c>
      <c r="R15" s="14">
        <v>0.35</v>
      </c>
      <c r="S15" s="14">
        <v>0.39</v>
      </c>
      <c r="T15" s="14">
        <v>0.36</v>
      </c>
      <c r="U15" s="14">
        <v>0.38</v>
      </c>
      <c r="V15" s="14">
        <v>0.45</v>
      </c>
      <c r="W15" s="14">
        <v>0.37</v>
      </c>
      <c r="X15" s="14">
        <v>0.45</v>
      </c>
      <c r="Y15" s="14">
        <v>0.24</v>
      </c>
      <c r="Z15" s="14">
        <v>0.44</v>
      </c>
      <c r="AA15" s="14">
        <v>0.42</v>
      </c>
      <c r="AB15" s="14">
        <v>0.45</v>
      </c>
      <c r="AC15" s="14">
        <v>0.47</v>
      </c>
      <c r="AD15" s="14">
        <v>0.48</v>
      </c>
      <c r="AE15" s="14">
        <v>0.43</v>
      </c>
      <c r="AF15" s="14">
        <v>0.51</v>
      </c>
    </row>
    <row r="16" spans="1:32">
      <c r="A16" s="20"/>
      <c r="B16" s="11" t="s">
        <v>877</v>
      </c>
      <c r="C16" s="12">
        <v>6486</v>
      </c>
      <c r="D16" s="12">
        <v>281</v>
      </c>
      <c r="E16" s="12">
        <v>242</v>
      </c>
      <c r="F16" s="12">
        <v>285</v>
      </c>
      <c r="G16" s="12">
        <v>155</v>
      </c>
      <c r="H16" s="12">
        <v>348</v>
      </c>
      <c r="I16" s="12">
        <v>439</v>
      </c>
      <c r="J16" s="12">
        <v>92</v>
      </c>
      <c r="K16" s="12">
        <v>223</v>
      </c>
      <c r="L16" s="12">
        <v>145</v>
      </c>
      <c r="M16" s="12">
        <v>191</v>
      </c>
      <c r="N16" s="12">
        <v>161</v>
      </c>
      <c r="O16" s="12">
        <v>248</v>
      </c>
      <c r="P16" s="12">
        <v>201</v>
      </c>
      <c r="Q16" s="12">
        <v>343</v>
      </c>
      <c r="R16" s="12">
        <v>115</v>
      </c>
      <c r="S16" s="12">
        <v>146</v>
      </c>
      <c r="T16" s="12">
        <v>248</v>
      </c>
      <c r="U16" s="12">
        <v>105</v>
      </c>
      <c r="V16" s="12">
        <v>275</v>
      </c>
      <c r="W16" s="12">
        <v>47</v>
      </c>
      <c r="X16" s="12">
        <v>251</v>
      </c>
      <c r="Y16" s="12">
        <v>228</v>
      </c>
      <c r="Z16" s="12">
        <v>241</v>
      </c>
      <c r="AA16" s="12">
        <v>223</v>
      </c>
      <c r="AB16" s="12">
        <v>220</v>
      </c>
      <c r="AC16" s="12">
        <v>135</v>
      </c>
      <c r="AD16" s="12">
        <v>215</v>
      </c>
      <c r="AE16" s="12">
        <v>172</v>
      </c>
      <c r="AF16" s="12">
        <v>109</v>
      </c>
    </row>
    <row r="17" spans="1:32">
      <c r="A17" s="20"/>
      <c r="B17" s="13" t="s">
        <v>878</v>
      </c>
      <c r="C17" s="14">
        <v>0.25</v>
      </c>
      <c r="D17" s="14">
        <v>0.28000000000000003</v>
      </c>
      <c r="E17" s="14">
        <v>0.24</v>
      </c>
      <c r="F17" s="14">
        <v>0.28000000000000003</v>
      </c>
      <c r="G17" s="14">
        <v>0.16</v>
      </c>
      <c r="H17" s="14">
        <v>0.28999999999999998</v>
      </c>
      <c r="I17" s="14">
        <v>0.28999999999999998</v>
      </c>
      <c r="J17" s="14">
        <v>0.31</v>
      </c>
      <c r="K17" s="14">
        <v>0.22</v>
      </c>
      <c r="L17" s="14">
        <v>0.14000000000000001</v>
      </c>
      <c r="M17" s="14">
        <v>0.19</v>
      </c>
      <c r="N17" s="14">
        <v>0.16</v>
      </c>
      <c r="O17" s="14">
        <v>0.25</v>
      </c>
      <c r="P17" s="14">
        <v>0.2</v>
      </c>
      <c r="Q17" s="14">
        <v>0.34</v>
      </c>
      <c r="R17" s="14">
        <v>0.23</v>
      </c>
      <c r="S17" s="14">
        <v>0.14000000000000001</v>
      </c>
      <c r="T17" s="14">
        <v>0.25</v>
      </c>
      <c r="U17" s="14">
        <v>0.21</v>
      </c>
      <c r="V17" s="14">
        <v>0.27</v>
      </c>
      <c r="W17" s="14">
        <v>0.09</v>
      </c>
      <c r="X17" s="14">
        <v>0.25</v>
      </c>
      <c r="Y17" s="14">
        <v>0.23</v>
      </c>
      <c r="Z17" s="14">
        <v>0.24</v>
      </c>
      <c r="AA17" s="14">
        <v>0.21</v>
      </c>
      <c r="AB17" s="14">
        <v>0.21</v>
      </c>
      <c r="AC17" s="14">
        <v>0.13</v>
      </c>
      <c r="AD17" s="14">
        <v>0.22</v>
      </c>
      <c r="AE17" s="14">
        <v>0.17</v>
      </c>
      <c r="AF17" s="14">
        <v>0.11</v>
      </c>
    </row>
    <row r="18" spans="1:32">
      <c r="A18" s="20"/>
      <c r="B18" s="11" t="s">
        <v>879</v>
      </c>
      <c r="C18" s="12">
        <v>4002</v>
      </c>
      <c r="D18" s="12">
        <v>181</v>
      </c>
      <c r="E18" s="12">
        <v>349</v>
      </c>
      <c r="F18" s="12">
        <v>241</v>
      </c>
      <c r="G18" s="12">
        <v>49</v>
      </c>
      <c r="H18" s="12">
        <v>183</v>
      </c>
      <c r="I18" s="12">
        <v>240</v>
      </c>
      <c r="J18" s="12">
        <v>57</v>
      </c>
      <c r="K18" s="12">
        <v>94</v>
      </c>
      <c r="L18" s="12">
        <v>136</v>
      </c>
      <c r="M18" s="12">
        <v>402</v>
      </c>
      <c r="N18" s="12">
        <v>82</v>
      </c>
      <c r="O18" s="12">
        <v>197</v>
      </c>
      <c r="P18" s="12">
        <v>70</v>
      </c>
      <c r="Q18" s="12">
        <v>168</v>
      </c>
      <c r="R18" s="12">
        <v>115</v>
      </c>
      <c r="S18" s="12">
        <v>101</v>
      </c>
      <c r="T18" s="12">
        <v>81</v>
      </c>
      <c r="U18" s="12">
        <v>65</v>
      </c>
      <c r="V18" s="12">
        <v>82</v>
      </c>
      <c r="W18" s="12">
        <v>69</v>
      </c>
      <c r="X18" s="12">
        <v>61</v>
      </c>
      <c r="Y18" s="12">
        <v>371</v>
      </c>
      <c r="Z18" s="12">
        <v>147</v>
      </c>
      <c r="AA18" s="12">
        <v>107</v>
      </c>
      <c r="AB18" s="12">
        <v>73</v>
      </c>
      <c r="AC18" s="12">
        <v>133</v>
      </c>
      <c r="AD18" s="12">
        <v>117</v>
      </c>
      <c r="AE18" s="12">
        <v>59</v>
      </c>
      <c r="AF18" s="12">
        <v>32</v>
      </c>
    </row>
    <row r="19" spans="1:32">
      <c r="A19" s="20"/>
      <c r="B19" s="13" t="s">
        <v>880</v>
      </c>
      <c r="C19" s="14">
        <v>0.15</v>
      </c>
      <c r="D19" s="14">
        <v>0.18</v>
      </c>
      <c r="E19" s="14">
        <v>0.34</v>
      </c>
      <c r="F19" s="14">
        <v>0.24</v>
      </c>
      <c r="G19" s="14">
        <v>0.05</v>
      </c>
      <c r="H19" s="14">
        <v>0.15</v>
      </c>
      <c r="I19" s="14">
        <v>0.16</v>
      </c>
      <c r="J19" s="14">
        <v>0.19</v>
      </c>
      <c r="K19" s="14">
        <v>0.09</v>
      </c>
      <c r="L19" s="14">
        <v>0.14000000000000001</v>
      </c>
      <c r="M19" s="14">
        <v>0.4</v>
      </c>
      <c r="N19" s="14">
        <v>0.08</v>
      </c>
      <c r="O19" s="14">
        <v>0.19</v>
      </c>
      <c r="P19" s="14">
        <v>7.0000000000000007E-2</v>
      </c>
      <c r="Q19" s="14">
        <v>0.16</v>
      </c>
      <c r="R19" s="14">
        <v>0.23</v>
      </c>
      <c r="S19" s="14">
        <v>0.1</v>
      </c>
      <c r="T19" s="14">
        <v>0.08</v>
      </c>
      <c r="U19" s="14">
        <v>0.13</v>
      </c>
      <c r="V19" s="14">
        <v>0.08</v>
      </c>
      <c r="W19" s="14">
        <v>0.14000000000000001</v>
      </c>
      <c r="X19" s="14">
        <v>0.06</v>
      </c>
      <c r="Y19" s="14">
        <v>0.37</v>
      </c>
      <c r="Z19" s="14">
        <v>0.15</v>
      </c>
      <c r="AA19" s="14">
        <v>0.1</v>
      </c>
      <c r="AB19" s="14">
        <v>7.0000000000000007E-2</v>
      </c>
      <c r="AC19" s="14">
        <v>0.13</v>
      </c>
      <c r="AD19" s="14">
        <v>0.12</v>
      </c>
      <c r="AE19" s="14">
        <v>0.06</v>
      </c>
      <c r="AF19" s="14">
        <v>0.03</v>
      </c>
    </row>
    <row r="20" spans="1:32">
      <c r="A20" s="20"/>
      <c r="B20" s="11" t="s">
        <v>468</v>
      </c>
      <c r="C20" s="12">
        <v>3209</v>
      </c>
      <c r="D20" s="12">
        <v>55</v>
      </c>
      <c r="E20" s="12">
        <v>100</v>
      </c>
      <c r="F20" s="12">
        <v>99</v>
      </c>
      <c r="G20" s="12">
        <v>135</v>
      </c>
      <c r="H20" s="12">
        <v>134</v>
      </c>
      <c r="I20" s="12">
        <v>157</v>
      </c>
      <c r="J20" s="12">
        <v>24</v>
      </c>
      <c r="K20" s="12">
        <v>155</v>
      </c>
      <c r="L20" s="12">
        <v>181</v>
      </c>
      <c r="M20" s="12">
        <v>45</v>
      </c>
      <c r="N20" s="12">
        <v>197</v>
      </c>
      <c r="O20" s="12">
        <v>200</v>
      </c>
      <c r="P20" s="12">
        <v>47</v>
      </c>
      <c r="Q20" s="12">
        <v>59</v>
      </c>
      <c r="R20" s="12">
        <v>50</v>
      </c>
      <c r="S20" s="12">
        <v>240</v>
      </c>
      <c r="T20" s="12">
        <v>169</v>
      </c>
      <c r="U20" s="12">
        <v>79</v>
      </c>
      <c r="V20" s="12">
        <v>77</v>
      </c>
      <c r="W20" s="12">
        <v>101</v>
      </c>
      <c r="X20" s="12">
        <v>81</v>
      </c>
      <c r="Y20" s="12">
        <v>64</v>
      </c>
      <c r="Z20" s="12">
        <v>111</v>
      </c>
      <c r="AA20" s="12">
        <v>185</v>
      </c>
      <c r="AB20" s="12">
        <v>118</v>
      </c>
      <c r="AC20" s="12">
        <v>30</v>
      </c>
      <c r="AD20" s="12">
        <v>104</v>
      </c>
      <c r="AE20" s="12">
        <v>217</v>
      </c>
      <c r="AF20" s="12">
        <v>79</v>
      </c>
    </row>
    <row r="21" spans="1:32">
      <c r="A21" s="20"/>
      <c r="B21" s="13" t="s">
        <v>469</v>
      </c>
      <c r="C21" s="14">
        <v>0.12</v>
      </c>
      <c r="D21" s="14">
        <v>0.06</v>
      </c>
      <c r="E21" s="14">
        <v>0.1</v>
      </c>
      <c r="F21" s="14">
        <v>0.1</v>
      </c>
      <c r="G21" s="14">
        <v>0.13</v>
      </c>
      <c r="H21" s="14">
        <v>0.11</v>
      </c>
      <c r="I21" s="14">
        <v>0.11</v>
      </c>
      <c r="J21" s="14">
        <v>0.08</v>
      </c>
      <c r="K21" s="14">
        <v>0.16</v>
      </c>
      <c r="L21" s="14">
        <v>0.18</v>
      </c>
      <c r="M21" s="14">
        <v>0.04</v>
      </c>
      <c r="N21" s="14">
        <v>0.2</v>
      </c>
      <c r="O21" s="14">
        <v>0.2</v>
      </c>
      <c r="P21" s="14">
        <v>0.04</v>
      </c>
      <c r="Q21" s="14">
        <v>0.06</v>
      </c>
      <c r="R21" s="14">
        <v>0.1</v>
      </c>
      <c r="S21" s="14">
        <v>0.24</v>
      </c>
      <c r="T21" s="14">
        <v>0.17</v>
      </c>
      <c r="U21" s="14">
        <v>0.15</v>
      </c>
      <c r="V21" s="14">
        <v>0.08</v>
      </c>
      <c r="W21" s="14">
        <v>0.2</v>
      </c>
      <c r="X21" s="14">
        <v>0.08</v>
      </c>
      <c r="Y21" s="14">
        <v>0.06</v>
      </c>
      <c r="Z21" s="14">
        <v>0.11</v>
      </c>
      <c r="AA21" s="14">
        <v>0.18</v>
      </c>
      <c r="AB21" s="14">
        <v>0.11</v>
      </c>
      <c r="AC21" s="14">
        <v>0.03</v>
      </c>
      <c r="AD21" s="14">
        <v>0.1</v>
      </c>
      <c r="AE21" s="14">
        <v>0.22</v>
      </c>
      <c r="AF21" s="14">
        <v>0.08</v>
      </c>
    </row>
    <row r="22" spans="1:32">
      <c r="A22" s="20"/>
      <c r="B22" s="11" t="s">
        <v>851</v>
      </c>
      <c r="C22" s="12">
        <v>12622</v>
      </c>
      <c r="D22" s="12">
        <v>485</v>
      </c>
      <c r="E22" s="12">
        <v>327</v>
      </c>
      <c r="F22" s="12">
        <v>379</v>
      </c>
      <c r="G22" s="12">
        <v>665</v>
      </c>
      <c r="H22" s="12">
        <v>552</v>
      </c>
      <c r="I22" s="12">
        <v>673</v>
      </c>
      <c r="J22" s="12">
        <v>121</v>
      </c>
      <c r="K22" s="12">
        <v>534</v>
      </c>
      <c r="L22" s="12">
        <v>544</v>
      </c>
      <c r="M22" s="12">
        <v>364</v>
      </c>
      <c r="N22" s="12">
        <v>564</v>
      </c>
      <c r="O22" s="12">
        <v>359</v>
      </c>
      <c r="P22" s="12">
        <v>704</v>
      </c>
      <c r="Q22" s="12">
        <v>449</v>
      </c>
      <c r="R22" s="12">
        <v>220</v>
      </c>
      <c r="S22" s="12">
        <v>521</v>
      </c>
      <c r="T22" s="12">
        <v>516</v>
      </c>
      <c r="U22" s="12">
        <v>258</v>
      </c>
      <c r="V22" s="12">
        <v>583</v>
      </c>
      <c r="W22" s="12">
        <v>286</v>
      </c>
      <c r="X22" s="12">
        <v>628</v>
      </c>
      <c r="Y22" s="12">
        <v>345</v>
      </c>
      <c r="Z22" s="12">
        <v>510</v>
      </c>
      <c r="AA22" s="12">
        <v>539</v>
      </c>
      <c r="AB22" s="12">
        <v>628</v>
      </c>
      <c r="AC22" s="12">
        <v>712</v>
      </c>
      <c r="AD22" s="12">
        <v>570</v>
      </c>
      <c r="AE22" s="12">
        <v>554</v>
      </c>
      <c r="AF22" s="12">
        <v>801</v>
      </c>
    </row>
    <row r="23" spans="1:32">
      <c r="A23" s="20"/>
      <c r="B23" s="13" t="s">
        <v>852</v>
      </c>
      <c r="C23" s="14">
        <v>0.48</v>
      </c>
      <c r="D23" s="14">
        <v>0.48</v>
      </c>
      <c r="E23" s="14">
        <v>0.32</v>
      </c>
      <c r="F23" s="14">
        <v>0.38</v>
      </c>
      <c r="G23" s="14">
        <v>0.66</v>
      </c>
      <c r="H23" s="14">
        <v>0.45</v>
      </c>
      <c r="I23" s="14">
        <v>0.44</v>
      </c>
      <c r="J23" s="14">
        <v>0.42</v>
      </c>
      <c r="K23" s="14">
        <v>0.53</v>
      </c>
      <c r="L23" s="14">
        <v>0.54</v>
      </c>
      <c r="M23" s="14">
        <v>0.37</v>
      </c>
      <c r="N23" s="14">
        <v>0.56000000000000005</v>
      </c>
      <c r="O23" s="14">
        <v>0.36</v>
      </c>
      <c r="P23" s="14">
        <v>0.69000000000000006</v>
      </c>
      <c r="Q23" s="14">
        <v>0.44</v>
      </c>
      <c r="R23" s="14">
        <v>0.44</v>
      </c>
      <c r="S23" s="14">
        <v>0.52</v>
      </c>
      <c r="T23" s="14">
        <v>0.5</v>
      </c>
      <c r="U23" s="14">
        <v>0.51</v>
      </c>
      <c r="V23" s="14">
        <v>0.57000000000000006</v>
      </c>
      <c r="W23" s="14">
        <v>0.57000000000000006</v>
      </c>
      <c r="X23" s="14">
        <v>0.61</v>
      </c>
      <c r="Y23" s="14">
        <v>0.34</v>
      </c>
      <c r="Z23" s="14">
        <v>0.5</v>
      </c>
      <c r="AA23" s="14">
        <v>0.51</v>
      </c>
      <c r="AB23" s="14">
        <v>0.61</v>
      </c>
      <c r="AC23" s="14">
        <v>0.71</v>
      </c>
      <c r="AD23" s="14">
        <v>0.56000000000000005</v>
      </c>
      <c r="AE23" s="14">
        <v>0.55000000000000004</v>
      </c>
      <c r="AF23" s="14">
        <v>0.78</v>
      </c>
    </row>
    <row r="24" spans="1:32">
      <c r="A24" s="20"/>
      <c r="B24" s="11" t="s">
        <v>881</v>
      </c>
      <c r="C24" s="12">
        <v>10488</v>
      </c>
      <c r="D24" s="12">
        <v>462</v>
      </c>
      <c r="E24" s="12">
        <v>591</v>
      </c>
      <c r="F24" s="12">
        <v>526</v>
      </c>
      <c r="G24" s="12">
        <v>204</v>
      </c>
      <c r="H24" s="12">
        <v>531</v>
      </c>
      <c r="I24" s="12">
        <v>679</v>
      </c>
      <c r="J24" s="12">
        <v>149</v>
      </c>
      <c r="K24" s="12">
        <v>317</v>
      </c>
      <c r="L24" s="12">
        <v>281</v>
      </c>
      <c r="M24" s="12">
        <v>593</v>
      </c>
      <c r="N24" s="12">
        <v>243</v>
      </c>
      <c r="O24" s="12">
        <v>445</v>
      </c>
      <c r="P24" s="12">
        <v>271</v>
      </c>
      <c r="Q24" s="12">
        <v>511</v>
      </c>
      <c r="R24" s="12">
        <v>230</v>
      </c>
      <c r="S24" s="12">
        <v>247</v>
      </c>
      <c r="T24" s="12">
        <v>329</v>
      </c>
      <c r="U24" s="12">
        <v>170</v>
      </c>
      <c r="V24" s="12">
        <v>357</v>
      </c>
      <c r="W24" s="12">
        <v>116</v>
      </c>
      <c r="X24" s="12">
        <v>312</v>
      </c>
      <c r="Y24" s="12">
        <v>599</v>
      </c>
      <c r="Z24" s="12">
        <v>388</v>
      </c>
      <c r="AA24" s="12">
        <v>330</v>
      </c>
      <c r="AB24" s="12">
        <v>293</v>
      </c>
      <c r="AC24" s="12">
        <v>268</v>
      </c>
      <c r="AD24" s="12">
        <v>332</v>
      </c>
      <c r="AE24" s="12">
        <v>231</v>
      </c>
      <c r="AF24" s="12">
        <v>141</v>
      </c>
    </row>
    <row r="25" spans="1:32">
      <c r="A25" s="20"/>
      <c r="B25" s="13" t="s">
        <v>882</v>
      </c>
      <c r="C25" s="14">
        <v>0.4</v>
      </c>
      <c r="D25" s="14">
        <v>0.46</v>
      </c>
      <c r="E25" s="14">
        <v>0.57999999999999996</v>
      </c>
      <c r="F25" s="14">
        <v>0.52</v>
      </c>
      <c r="G25" s="14">
        <v>0.21</v>
      </c>
      <c r="H25" s="14">
        <v>0.44</v>
      </c>
      <c r="I25" s="14">
        <v>0.45</v>
      </c>
      <c r="J25" s="14">
        <v>0.5</v>
      </c>
      <c r="K25" s="14">
        <v>0.31</v>
      </c>
      <c r="L25" s="14">
        <v>0.28000000000000003</v>
      </c>
      <c r="M25" s="14">
        <v>0.59</v>
      </c>
      <c r="N25" s="14">
        <v>0.24</v>
      </c>
      <c r="O25" s="14">
        <v>0.44</v>
      </c>
      <c r="P25" s="14">
        <v>0.27</v>
      </c>
      <c r="Q25" s="14">
        <v>0.5</v>
      </c>
      <c r="R25" s="14">
        <v>0.46</v>
      </c>
      <c r="S25" s="14">
        <v>0.24</v>
      </c>
      <c r="T25" s="14">
        <v>0.33</v>
      </c>
      <c r="U25" s="14">
        <v>0.34</v>
      </c>
      <c r="V25" s="14">
        <v>0.35</v>
      </c>
      <c r="W25" s="14">
        <v>0.23</v>
      </c>
      <c r="X25" s="14">
        <v>0.31</v>
      </c>
      <c r="Y25" s="14">
        <v>0.6</v>
      </c>
      <c r="Z25" s="14">
        <v>0.39</v>
      </c>
      <c r="AA25" s="14">
        <v>0.31</v>
      </c>
      <c r="AB25" s="14">
        <v>0.28000000000000003</v>
      </c>
      <c r="AC25" s="14">
        <v>0.26</v>
      </c>
      <c r="AD25" s="14">
        <v>0.34</v>
      </c>
      <c r="AE25" s="14">
        <v>0.23</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902</v>
      </c>
      <c r="C3" s="18"/>
      <c r="D3" s="18"/>
      <c r="E3" s="18"/>
      <c r="F3" s="18"/>
      <c r="H3" s="18" t="s">
        <v>903</v>
      </c>
      <c r="I3" s="18"/>
      <c r="J3" s="18"/>
      <c r="K3" s="18"/>
      <c r="L3" s="18"/>
    </row>
    <row r="4" spans="1:32" ht="27" customHeight="1">
      <c r="B4" s="18" t="s">
        <v>904</v>
      </c>
      <c r="C4" s="18"/>
      <c r="D4" s="18"/>
      <c r="E4" s="18"/>
      <c r="F4" s="18"/>
      <c r="H4" s="18" t="s">
        <v>905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HYPERLINK("#Content!A69","&lt;&lt;Back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2790</v>
      </c>
      <c r="D12" s="12">
        <v>59</v>
      </c>
      <c r="E12" s="12">
        <v>105</v>
      </c>
      <c r="F12" s="12">
        <v>48</v>
      </c>
      <c r="G12" s="12">
        <v>209</v>
      </c>
      <c r="H12" s="12">
        <v>106</v>
      </c>
      <c r="I12" s="12">
        <v>130</v>
      </c>
      <c r="J12" s="12">
        <v>24</v>
      </c>
      <c r="K12" s="12">
        <v>104</v>
      </c>
      <c r="L12" s="12">
        <v>163</v>
      </c>
      <c r="M12" s="12">
        <v>106</v>
      </c>
      <c r="N12" s="12">
        <v>134</v>
      </c>
      <c r="O12" s="12">
        <v>72</v>
      </c>
      <c r="P12" s="12">
        <v>112</v>
      </c>
      <c r="Q12" s="12">
        <v>88</v>
      </c>
      <c r="R12" s="12">
        <v>60</v>
      </c>
      <c r="S12" s="12">
        <v>207</v>
      </c>
      <c r="T12" s="12">
        <v>201</v>
      </c>
      <c r="U12" s="12">
        <v>62</v>
      </c>
      <c r="V12" s="12">
        <v>127</v>
      </c>
      <c r="W12" s="12">
        <v>101</v>
      </c>
      <c r="X12" s="12">
        <v>150</v>
      </c>
      <c r="Y12" s="12">
        <v>82</v>
      </c>
      <c r="Z12" s="12">
        <v>56</v>
      </c>
      <c r="AA12" s="12">
        <v>104</v>
      </c>
      <c r="AB12" s="12">
        <v>273</v>
      </c>
      <c r="AC12" s="12">
        <v>147</v>
      </c>
      <c r="AD12" s="12">
        <v>79</v>
      </c>
      <c r="AE12" s="12">
        <v>118</v>
      </c>
      <c r="AF12" s="12">
        <v>288</v>
      </c>
    </row>
    <row r="13" spans="1:32">
      <c r="A13" s="20"/>
      <c r="B13" s="13" t="s">
        <v>875</v>
      </c>
      <c r="C13" s="14">
        <v>0.11</v>
      </c>
      <c r="D13" s="14">
        <v>0.06</v>
      </c>
      <c r="E13" s="14">
        <v>0.1</v>
      </c>
      <c r="F13" s="14">
        <v>0.05</v>
      </c>
      <c r="G13" s="14">
        <v>0.21</v>
      </c>
      <c r="H13" s="14">
        <v>0.09</v>
      </c>
      <c r="I13" s="14">
        <v>0.09</v>
      </c>
      <c r="J13" s="14">
        <v>0.08</v>
      </c>
      <c r="K13" s="14">
        <v>0.1</v>
      </c>
      <c r="L13" s="14">
        <v>0.16</v>
      </c>
      <c r="M13" s="14">
        <v>0.1</v>
      </c>
      <c r="N13" s="14">
        <v>0.13</v>
      </c>
      <c r="O13" s="14">
        <v>7.0000000000000007E-2</v>
      </c>
      <c r="P13" s="14">
        <v>0.11</v>
      </c>
      <c r="Q13" s="14">
        <v>0.08</v>
      </c>
      <c r="R13" s="14">
        <v>0.12</v>
      </c>
      <c r="S13" s="14">
        <v>0.21</v>
      </c>
      <c r="T13" s="14">
        <v>0.2</v>
      </c>
      <c r="U13" s="14">
        <v>0.12</v>
      </c>
      <c r="V13" s="14">
        <v>0.12</v>
      </c>
      <c r="W13" s="14">
        <v>0.2</v>
      </c>
      <c r="X13" s="14">
        <v>0.14000000000000001</v>
      </c>
      <c r="Y13" s="14">
        <v>0.08</v>
      </c>
      <c r="Z13" s="14">
        <v>0.06</v>
      </c>
      <c r="AA13" s="14">
        <v>0.1</v>
      </c>
      <c r="AB13" s="14">
        <v>0.26</v>
      </c>
      <c r="AC13" s="14">
        <v>0.14000000000000001</v>
      </c>
      <c r="AD13" s="14">
        <v>0.08</v>
      </c>
      <c r="AE13" s="14">
        <v>0.12</v>
      </c>
      <c r="AF13" s="14">
        <v>0.28000000000000003</v>
      </c>
    </row>
    <row r="14" spans="1:32">
      <c r="A14" s="20"/>
      <c r="B14" s="11" t="s">
        <v>845</v>
      </c>
      <c r="C14" s="12">
        <v>9717</v>
      </c>
      <c r="D14" s="12">
        <v>404</v>
      </c>
      <c r="E14" s="12">
        <v>413</v>
      </c>
      <c r="F14" s="12">
        <v>299</v>
      </c>
      <c r="G14" s="12">
        <v>441</v>
      </c>
      <c r="H14" s="12">
        <v>384</v>
      </c>
      <c r="I14" s="12">
        <v>486</v>
      </c>
      <c r="J14" s="12">
        <v>101</v>
      </c>
      <c r="K14" s="12">
        <v>378</v>
      </c>
      <c r="L14" s="12">
        <v>401</v>
      </c>
      <c r="M14" s="12">
        <v>440</v>
      </c>
      <c r="N14" s="12">
        <v>408</v>
      </c>
      <c r="O14" s="12">
        <v>276</v>
      </c>
      <c r="P14" s="12">
        <v>504</v>
      </c>
      <c r="Q14" s="12">
        <v>375</v>
      </c>
      <c r="R14" s="12">
        <v>216</v>
      </c>
      <c r="S14" s="12">
        <v>437</v>
      </c>
      <c r="T14" s="12">
        <v>428</v>
      </c>
      <c r="U14" s="12">
        <v>182</v>
      </c>
      <c r="V14" s="12">
        <v>416</v>
      </c>
      <c r="W14" s="12">
        <v>173</v>
      </c>
      <c r="X14" s="12">
        <v>416</v>
      </c>
      <c r="Y14" s="12">
        <v>251</v>
      </c>
      <c r="Z14" s="12">
        <v>469</v>
      </c>
      <c r="AA14" s="12">
        <v>445</v>
      </c>
      <c r="AB14" s="12">
        <v>421</v>
      </c>
      <c r="AC14" s="12">
        <v>402</v>
      </c>
      <c r="AD14" s="12">
        <v>493</v>
      </c>
      <c r="AE14" s="12">
        <v>392</v>
      </c>
      <c r="AF14" s="12">
        <v>478</v>
      </c>
    </row>
    <row r="15" spans="1:32">
      <c r="A15" s="20"/>
      <c r="B15" s="13" t="s">
        <v>876</v>
      </c>
      <c r="C15" s="14">
        <v>0.37</v>
      </c>
      <c r="D15" s="14">
        <v>0.4</v>
      </c>
      <c r="E15" s="14">
        <v>0.41</v>
      </c>
      <c r="F15" s="14">
        <v>0.3</v>
      </c>
      <c r="G15" s="14">
        <v>0.44</v>
      </c>
      <c r="H15" s="14">
        <v>0.32</v>
      </c>
      <c r="I15" s="14">
        <v>0.32</v>
      </c>
      <c r="J15" s="14">
        <v>0.35</v>
      </c>
      <c r="K15" s="14">
        <v>0.38</v>
      </c>
      <c r="L15" s="14">
        <v>0.4</v>
      </c>
      <c r="M15" s="14">
        <v>0.44</v>
      </c>
      <c r="N15" s="14">
        <v>0.41</v>
      </c>
      <c r="O15" s="14">
        <v>0.28000000000000003</v>
      </c>
      <c r="P15" s="14">
        <v>0.49</v>
      </c>
      <c r="Q15" s="14">
        <v>0.37</v>
      </c>
      <c r="R15" s="14">
        <v>0.43</v>
      </c>
      <c r="S15" s="14">
        <v>0.43</v>
      </c>
      <c r="T15" s="14">
        <v>0.42</v>
      </c>
      <c r="U15" s="14">
        <v>0.36</v>
      </c>
      <c r="V15" s="14">
        <v>0.41</v>
      </c>
      <c r="W15" s="14">
        <v>0.34</v>
      </c>
      <c r="X15" s="14">
        <v>0.41</v>
      </c>
      <c r="Y15" s="14">
        <v>0.25</v>
      </c>
      <c r="Z15" s="14">
        <v>0.46</v>
      </c>
      <c r="AA15" s="14">
        <v>0.42</v>
      </c>
      <c r="AB15" s="14">
        <v>0.41</v>
      </c>
      <c r="AC15" s="14">
        <v>0.4</v>
      </c>
      <c r="AD15" s="14">
        <v>0.49</v>
      </c>
      <c r="AE15" s="14">
        <v>0.39</v>
      </c>
      <c r="AF15" s="14">
        <v>0.47</v>
      </c>
    </row>
    <row r="16" spans="1:32">
      <c r="A16" s="20"/>
      <c r="B16" s="11" t="s">
        <v>877</v>
      </c>
      <c r="C16" s="12">
        <v>6862</v>
      </c>
      <c r="D16" s="12">
        <v>301</v>
      </c>
      <c r="E16" s="12">
        <v>184</v>
      </c>
      <c r="F16" s="12">
        <v>324</v>
      </c>
      <c r="G16" s="12">
        <v>181</v>
      </c>
      <c r="H16" s="12">
        <v>407</v>
      </c>
      <c r="I16" s="12">
        <v>495</v>
      </c>
      <c r="J16" s="12">
        <v>88</v>
      </c>
      <c r="K16" s="12">
        <v>265</v>
      </c>
      <c r="L16" s="12">
        <v>149</v>
      </c>
      <c r="M16" s="12">
        <v>199</v>
      </c>
      <c r="N16" s="12">
        <v>169</v>
      </c>
      <c r="O16" s="12">
        <v>262</v>
      </c>
      <c r="P16" s="12">
        <v>250</v>
      </c>
      <c r="Q16" s="12">
        <v>355</v>
      </c>
      <c r="R16" s="12">
        <v>97</v>
      </c>
      <c r="S16" s="12">
        <v>122</v>
      </c>
      <c r="T16" s="12">
        <v>190</v>
      </c>
      <c r="U16" s="12">
        <v>115</v>
      </c>
      <c r="V16" s="12">
        <v>281</v>
      </c>
      <c r="W16" s="12">
        <v>61</v>
      </c>
      <c r="X16" s="12">
        <v>284</v>
      </c>
      <c r="Y16" s="12">
        <v>222</v>
      </c>
      <c r="Z16" s="12">
        <v>231</v>
      </c>
      <c r="AA16" s="12">
        <v>243</v>
      </c>
      <c r="AB16" s="12">
        <v>201</v>
      </c>
      <c r="AC16" s="12">
        <v>200</v>
      </c>
      <c r="AD16" s="12">
        <v>225</v>
      </c>
      <c r="AE16" s="12">
        <v>202</v>
      </c>
      <c r="AF16" s="12">
        <v>138</v>
      </c>
    </row>
    <row r="17" spans="1:32">
      <c r="A17" s="20"/>
      <c r="B17" s="13" t="s">
        <v>878</v>
      </c>
      <c r="C17" s="14">
        <v>0.26</v>
      </c>
      <c r="D17" s="14">
        <v>0.3</v>
      </c>
      <c r="E17" s="14">
        <v>0.18</v>
      </c>
      <c r="F17" s="14">
        <v>0.32</v>
      </c>
      <c r="G17" s="14">
        <v>0.18</v>
      </c>
      <c r="H17" s="14">
        <v>0.33</v>
      </c>
      <c r="I17" s="14">
        <v>0.33</v>
      </c>
      <c r="J17" s="14">
        <v>0.3</v>
      </c>
      <c r="K17" s="14">
        <v>0.26</v>
      </c>
      <c r="L17" s="14">
        <v>0.15</v>
      </c>
      <c r="M17" s="14">
        <v>0.2</v>
      </c>
      <c r="N17" s="14">
        <v>0.17</v>
      </c>
      <c r="O17" s="14">
        <v>0.26</v>
      </c>
      <c r="P17" s="14">
        <v>0.25</v>
      </c>
      <c r="Q17" s="14">
        <v>0.35</v>
      </c>
      <c r="R17" s="14">
        <v>0.19</v>
      </c>
      <c r="S17" s="14">
        <v>0.12</v>
      </c>
      <c r="T17" s="14">
        <v>0.19</v>
      </c>
      <c r="U17" s="14">
        <v>0.23</v>
      </c>
      <c r="V17" s="14">
        <v>0.28000000000000003</v>
      </c>
      <c r="W17" s="14">
        <v>0.12</v>
      </c>
      <c r="X17" s="14">
        <v>0.28000000000000003</v>
      </c>
      <c r="Y17" s="14">
        <v>0.22</v>
      </c>
      <c r="Z17" s="14">
        <v>0.23</v>
      </c>
      <c r="AA17" s="14">
        <v>0.23</v>
      </c>
      <c r="AB17" s="14">
        <v>0.19</v>
      </c>
      <c r="AC17" s="14">
        <v>0.2</v>
      </c>
      <c r="AD17" s="14">
        <v>0.22</v>
      </c>
      <c r="AE17" s="14">
        <v>0.2</v>
      </c>
      <c r="AF17" s="14">
        <v>0.14000000000000001</v>
      </c>
    </row>
    <row r="18" spans="1:32">
      <c r="A18" s="20"/>
      <c r="B18" s="11" t="s">
        <v>879</v>
      </c>
      <c r="C18" s="12">
        <v>3773</v>
      </c>
      <c r="D18" s="12">
        <v>183</v>
      </c>
      <c r="E18" s="12">
        <v>144</v>
      </c>
      <c r="F18" s="12">
        <v>238</v>
      </c>
      <c r="G18" s="12">
        <v>53</v>
      </c>
      <c r="H18" s="12">
        <v>184</v>
      </c>
      <c r="I18" s="12">
        <v>241</v>
      </c>
      <c r="J18" s="12">
        <v>57</v>
      </c>
      <c r="K18" s="12">
        <v>132</v>
      </c>
      <c r="L18" s="12">
        <v>131</v>
      </c>
      <c r="M18" s="12">
        <v>177</v>
      </c>
      <c r="N18" s="12">
        <v>88</v>
      </c>
      <c r="O18" s="12">
        <v>201</v>
      </c>
      <c r="P18" s="12">
        <v>90</v>
      </c>
      <c r="Q18" s="12">
        <v>149</v>
      </c>
      <c r="R18" s="12">
        <v>64</v>
      </c>
      <c r="S18" s="12">
        <v>103</v>
      </c>
      <c r="T18" s="12">
        <v>88</v>
      </c>
      <c r="U18" s="12">
        <v>69</v>
      </c>
      <c r="V18" s="12">
        <v>105</v>
      </c>
      <c r="W18" s="12">
        <v>64</v>
      </c>
      <c r="X18" s="12">
        <v>80</v>
      </c>
      <c r="Y18" s="12">
        <v>384</v>
      </c>
      <c r="Z18" s="12">
        <v>141</v>
      </c>
      <c r="AA18" s="12">
        <v>93</v>
      </c>
      <c r="AB18" s="12">
        <v>68</v>
      </c>
      <c r="AC18" s="12">
        <v>168</v>
      </c>
      <c r="AD18" s="12">
        <v>108</v>
      </c>
      <c r="AE18" s="12">
        <v>70</v>
      </c>
      <c r="AF18" s="12">
        <v>34</v>
      </c>
    </row>
    <row r="19" spans="1:32">
      <c r="A19" s="20"/>
      <c r="B19" s="13" t="s">
        <v>880</v>
      </c>
      <c r="C19" s="14">
        <v>0.14000000000000001</v>
      </c>
      <c r="D19" s="14">
        <v>0.18</v>
      </c>
      <c r="E19" s="14">
        <v>0.14000000000000001</v>
      </c>
      <c r="F19" s="14">
        <v>0.24</v>
      </c>
      <c r="G19" s="14">
        <v>0.05</v>
      </c>
      <c r="H19" s="14">
        <v>0.15</v>
      </c>
      <c r="I19" s="14">
        <v>0.16</v>
      </c>
      <c r="J19" s="14">
        <v>0.19</v>
      </c>
      <c r="K19" s="14">
        <v>0.13</v>
      </c>
      <c r="L19" s="14">
        <v>0.13</v>
      </c>
      <c r="M19" s="14">
        <v>0.18</v>
      </c>
      <c r="N19" s="14">
        <v>0.09</v>
      </c>
      <c r="O19" s="14">
        <v>0.2</v>
      </c>
      <c r="P19" s="14">
        <v>0.09</v>
      </c>
      <c r="Q19" s="14">
        <v>0.15</v>
      </c>
      <c r="R19" s="14">
        <v>0.13</v>
      </c>
      <c r="S19" s="14">
        <v>0.1</v>
      </c>
      <c r="T19" s="14">
        <v>0.09</v>
      </c>
      <c r="U19" s="14">
        <v>0.13</v>
      </c>
      <c r="V19" s="14">
        <v>0.1</v>
      </c>
      <c r="W19" s="14">
        <v>0.13</v>
      </c>
      <c r="X19" s="14">
        <v>0.08</v>
      </c>
      <c r="Y19" s="14">
        <v>0.38</v>
      </c>
      <c r="Z19" s="14">
        <v>0.14000000000000001</v>
      </c>
      <c r="AA19" s="14">
        <v>0.09</v>
      </c>
      <c r="AB19" s="14">
        <v>7.0000000000000007E-2</v>
      </c>
      <c r="AC19" s="14">
        <v>0.17</v>
      </c>
      <c r="AD19" s="14">
        <v>0.11</v>
      </c>
      <c r="AE19" s="14">
        <v>7.0000000000000007E-2</v>
      </c>
      <c r="AF19" s="14">
        <v>0.03</v>
      </c>
    </row>
    <row r="20" spans="1:32">
      <c r="A20" s="20"/>
      <c r="B20" s="11" t="s">
        <v>468</v>
      </c>
      <c r="C20" s="12">
        <v>3177</v>
      </c>
      <c r="D20" s="12">
        <v>55</v>
      </c>
      <c r="E20" s="12">
        <v>172</v>
      </c>
      <c r="F20" s="12">
        <v>96</v>
      </c>
      <c r="G20" s="12">
        <v>120</v>
      </c>
      <c r="H20" s="12">
        <v>136</v>
      </c>
      <c r="I20" s="12">
        <v>158</v>
      </c>
      <c r="J20" s="12">
        <v>23</v>
      </c>
      <c r="K20" s="12">
        <v>127</v>
      </c>
      <c r="L20" s="12">
        <v>163</v>
      </c>
      <c r="M20" s="12">
        <v>81</v>
      </c>
      <c r="N20" s="12">
        <v>205</v>
      </c>
      <c r="O20" s="12">
        <v>193</v>
      </c>
      <c r="P20" s="12">
        <v>66</v>
      </c>
      <c r="Q20" s="12">
        <v>51</v>
      </c>
      <c r="R20" s="12">
        <v>63</v>
      </c>
      <c r="S20" s="12">
        <v>139</v>
      </c>
      <c r="T20" s="12">
        <v>107</v>
      </c>
      <c r="U20" s="12">
        <v>79</v>
      </c>
      <c r="V20" s="12">
        <v>88</v>
      </c>
      <c r="W20" s="12">
        <v>104</v>
      </c>
      <c r="X20" s="12">
        <v>91</v>
      </c>
      <c r="Y20" s="12">
        <v>69</v>
      </c>
      <c r="Z20" s="12">
        <v>112</v>
      </c>
      <c r="AA20" s="12">
        <v>169</v>
      </c>
      <c r="AB20" s="12">
        <v>76</v>
      </c>
      <c r="AC20" s="12">
        <v>93</v>
      </c>
      <c r="AD20" s="12">
        <v>101</v>
      </c>
      <c r="AE20" s="12">
        <v>220</v>
      </c>
      <c r="AF20" s="12">
        <v>82</v>
      </c>
    </row>
    <row r="21" spans="1:32">
      <c r="A21" s="20"/>
      <c r="B21" s="13" t="s">
        <v>469</v>
      </c>
      <c r="C21" s="14">
        <v>0.12</v>
      </c>
      <c r="D21" s="14">
        <v>0.06</v>
      </c>
      <c r="E21" s="14">
        <v>0.17</v>
      </c>
      <c r="F21" s="14">
        <v>0.09</v>
      </c>
      <c r="G21" s="14">
        <v>0.12</v>
      </c>
      <c r="H21" s="14">
        <v>0.11</v>
      </c>
      <c r="I21" s="14">
        <v>0.1</v>
      </c>
      <c r="J21" s="14">
        <v>0.08</v>
      </c>
      <c r="K21" s="14">
        <v>0.13</v>
      </c>
      <c r="L21" s="14">
        <v>0.16</v>
      </c>
      <c r="M21" s="14">
        <v>0.08</v>
      </c>
      <c r="N21" s="14">
        <v>0.2</v>
      </c>
      <c r="O21" s="14">
        <v>0.19</v>
      </c>
      <c r="P21" s="14">
        <v>0.06</v>
      </c>
      <c r="Q21" s="14">
        <v>0.05</v>
      </c>
      <c r="R21" s="14">
        <v>0.13</v>
      </c>
      <c r="S21" s="14">
        <v>0.14000000000000001</v>
      </c>
      <c r="T21" s="14">
        <v>0.1</v>
      </c>
      <c r="U21" s="14">
        <v>0.16</v>
      </c>
      <c r="V21" s="14">
        <v>0.09</v>
      </c>
      <c r="W21" s="14">
        <v>0.21</v>
      </c>
      <c r="X21" s="14">
        <v>0.09</v>
      </c>
      <c r="Y21" s="14">
        <v>7.0000000000000007E-2</v>
      </c>
      <c r="Z21" s="14">
        <v>0.11</v>
      </c>
      <c r="AA21" s="14">
        <v>0.16</v>
      </c>
      <c r="AB21" s="14">
        <v>7.0000000000000007E-2</v>
      </c>
      <c r="AC21" s="14">
        <v>0.09</v>
      </c>
      <c r="AD21" s="14">
        <v>0.1</v>
      </c>
      <c r="AE21" s="14">
        <v>0.22</v>
      </c>
      <c r="AF21" s="14">
        <v>0.08</v>
      </c>
    </row>
    <row r="22" spans="1:32">
      <c r="A22" s="20"/>
      <c r="B22" s="11" t="s">
        <v>851</v>
      </c>
      <c r="C22" s="12">
        <v>12507</v>
      </c>
      <c r="D22" s="12">
        <v>463</v>
      </c>
      <c r="E22" s="12">
        <v>518</v>
      </c>
      <c r="F22" s="12">
        <v>347</v>
      </c>
      <c r="G22" s="12">
        <v>650</v>
      </c>
      <c r="H22" s="12">
        <v>490</v>
      </c>
      <c r="I22" s="12">
        <v>616</v>
      </c>
      <c r="J22" s="12">
        <v>125</v>
      </c>
      <c r="K22" s="12">
        <v>482</v>
      </c>
      <c r="L22" s="12">
        <v>564</v>
      </c>
      <c r="M22" s="12">
        <v>546</v>
      </c>
      <c r="N22" s="12">
        <v>542</v>
      </c>
      <c r="O22" s="12">
        <v>348</v>
      </c>
      <c r="P22" s="12">
        <v>616</v>
      </c>
      <c r="Q22" s="12">
        <v>463</v>
      </c>
      <c r="R22" s="12">
        <v>276</v>
      </c>
      <c r="S22" s="12">
        <v>644</v>
      </c>
      <c r="T22" s="12">
        <v>629</v>
      </c>
      <c r="U22" s="12">
        <v>244</v>
      </c>
      <c r="V22" s="12">
        <v>543</v>
      </c>
      <c r="W22" s="12">
        <v>274</v>
      </c>
      <c r="X22" s="12">
        <v>566</v>
      </c>
      <c r="Y22" s="12">
        <v>333</v>
      </c>
      <c r="Z22" s="12">
        <v>525</v>
      </c>
      <c r="AA22" s="12">
        <v>549</v>
      </c>
      <c r="AB22" s="12">
        <v>694</v>
      </c>
      <c r="AC22" s="12">
        <v>549</v>
      </c>
      <c r="AD22" s="12">
        <v>572</v>
      </c>
      <c r="AE22" s="12">
        <v>510</v>
      </c>
      <c r="AF22" s="12">
        <v>766</v>
      </c>
    </row>
    <row r="23" spans="1:32">
      <c r="A23" s="20"/>
      <c r="B23" s="13" t="s">
        <v>852</v>
      </c>
      <c r="C23" s="14">
        <v>0.48</v>
      </c>
      <c r="D23" s="14">
        <v>0.46</v>
      </c>
      <c r="E23" s="14">
        <v>0.51</v>
      </c>
      <c r="F23" s="14">
        <v>0.35</v>
      </c>
      <c r="G23" s="14">
        <v>0.65</v>
      </c>
      <c r="H23" s="14">
        <v>0.41</v>
      </c>
      <c r="I23" s="14">
        <v>0.41</v>
      </c>
      <c r="J23" s="14">
        <v>0.43</v>
      </c>
      <c r="K23" s="14">
        <v>0.48</v>
      </c>
      <c r="L23" s="14">
        <v>0.56000000000000005</v>
      </c>
      <c r="M23" s="14">
        <v>0.54</v>
      </c>
      <c r="N23" s="14">
        <v>0.54</v>
      </c>
      <c r="O23" s="14">
        <v>0.35</v>
      </c>
      <c r="P23" s="14">
        <v>0.6</v>
      </c>
      <c r="Q23" s="14">
        <v>0.45</v>
      </c>
      <c r="R23" s="14">
        <v>0.55000000000000004</v>
      </c>
      <c r="S23" s="14">
        <v>0.64</v>
      </c>
      <c r="T23" s="14">
        <v>0.62</v>
      </c>
      <c r="U23" s="14">
        <v>0.48</v>
      </c>
      <c r="V23" s="14">
        <v>0.53</v>
      </c>
      <c r="W23" s="14">
        <v>0.54</v>
      </c>
      <c r="X23" s="14">
        <v>0.55000000000000004</v>
      </c>
      <c r="Y23" s="14">
        <v>0.33</v>
      </c>
      <c r="Z23" s="14">
        <v>0.52</v>
      </c>
      <c r="AA23" s="14">
        <v>0.52</v>
      </c>
      <c r="AB23" s="14">
        <v>0.67</v>
      </c>
      <c r="AC23" s="14">
        <v>0.54</v>
      </c>
      <c r="AD23" s="14">
        <v>0.57000000000000006</v>
      </c>
      <c r="AE23" s="14">
        <v>0.51</v>
      </c>
      <c r="AF23" s="14">
        <v>0.75</v>
      </c>
    </row>
    <row r="24" spans="1:32">
      <c r="A24" s="20"/>
      <c r="B24" s="11" t="s">
        <v>881</v>
      </c>
      <c r="C24" s="12">
        <v>10635</v>
      </c>
      <c r="D24" s="12">
        <v>484</v>
      </c>
      <c r="E24" s="12">
        <v>328</v>
      </c>
      <c r="F24" s="12">
        <v>562</v>
      </c>
      <c r="G24" s="12">
        <v>234</v>
      </c>
      <c r="H24" s="12">
        <v>591</v>
      </c>
      <c r="I24" s="12">
        <v>736</v>
      </c>
      <c r="J24" s="12">
        <v>145</v>
      </c>
      <c r="K24" s="12">
        <v>397</v>
      </c>
      <c r="L24" s="12">
        <v>280</v>
      </c>
      <c r="M24" s="12">
        <v>376</v>
      </c>
      <c r="N24" s="12">
        <v>257</v>
      </c>
      <c r="O24" s="12">
        <v>463</v>
      </c>
      <c r="P24" s="12">
        <v>340</v>
      </c>
      <c r="Q24" s="12">
        <v>504</v>
      </c>
      <c r="R24" s="12">
        <v>161</v>
      </c>
      <c r="S24" s="12">
        <v>225</v>
      </c>
      <c r="T24" s="12">
        <v>278</v>
      </c>
      <c r="U24" s="12">
        <v>184</v>
      </c>
      <c r="V24" s="12">
        <v>386</v>
      </c>
      <c r="W24" s="12">
        <v>125</v>
      </c>
      <c r="X24" s="12">
        <v>364</v>
      </c>
      <c r="Y24" s="12">
        <v>606</v>
      </c>
      <c r="Z24" s="12">
        <v>372</v>
      </c>
      <c r="AA24" s="12">
        <v>336</v>
      </c>
      <c r="AB24" s="12">
        <v>269</v>
      </c>
      <c r="AC24" s="12">
        <v>368</v>
      </c>
      <c r="AD24" s="12">
        <v>333</v>
      </c>
      <c r="AE24" s="12">
        <v>272</v>
      </c>
      <c r="AF24" s="12">
        <v>172</v>
      </c>
    </row>
    <row r="25" spans="1:32">
      <c r="A25" s="20"/>
      <c r="B25" s="13" t="s">
        <v>882</v>
      </c>
      <c r="C25" s="14">
        <v>0.4</v>
      </c>
      <c r="D25" s="14">
        <v>0.48</v>
      </c>
      <c r="E25" s="14">
        <v>0.32</v>
      </c>
      <c r="F25" s="14">
        <v>0.56000000000000005</v>
      </c>
      <c r="G25" s="14">
        <v>0.23</v>
      </c>
      <c r="H25" s="14">
        <v>0.48</v>
      </c>
      <c r="I25" s="14">
        <v>0.49</v>
      </c>
      <c r="J25" s="14">
        <v>0.49</v>
      </c>
      <c r="K25" s="14">
        <v>0.39</v>
      </c>
      <c r="L25" s="14">
        <v>0.28000000000000003</v>
      </c>
      <c r="M25" s="14">
        <v>0.38</v>
      </c>
      <c r="N25" s="14">
        <v>0.26</v>
      </c>
      <c r="O25" s="14">
        <v>0.46</v>
      </c>
      <c r="P25" s="14">
        <v>0.34</v>
      </c>
      <c r="Q25" s="14">
        <v>0.5</v>
      </c>
      <c r="R25" s="14">
        <v>0.32</v>
      </c>
      <c r="S25" s="14">
        <v>0.22</v>
      </c>
      <c r="T25" s="14">
        <v>0.28000000000000003</v>
      </c>
      <c r="U25" s="14">
        <v>0.36</v>
      </c>
      <c r="V25" s="14">
        <v>0.38</v>
      </c>
      <c r="W25" s="14">
        <v>0.25</v>
      </c>
      <c r="X25" s="14">
        <v>0.36</v>
      </c>
      <c r="Y25" s="14">
        <v>0.6</v>
      </c>
      <c r="Z25" s="14">
        <v>0.37</v>
      </c>
      <c r="AA25" s="14">
        <v>0.32</v>
      </c>
      <c r="AB25" s="14">
        <v>0.26</v>
      </c>
      <c r="AC25" s="14">
        <v>0.37</v>
      </c>
      <c r="AD25" s="14">
        <v>0.33</v>
      </c>
      <c r="AE25" s="14">
        <v>0.27</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906</v>
      </c>
      <c r="C3" s="18"/>
      <c r="D3" s="18"/>
      <c r="E3" s="18"/>
      <c r="F3" s="18"/>
      <c r="H3" s="18" t="s">
        <v>907</v>
      </c>
      <c r="I3" s="18"/>
      <c r="J3" s="18"/>
      <c r="K3" s="18"/>
      <c r="L3" s="18"/>
    </row>
    <row r="4" spans="1:32" ht="27" customHeight="1">
      <c r="B4" s="18" t="s">
        <v>908</v>
      </c>
      <c r="C4" s="18"/>
      <c r="D4" s="18"/>
      <c r="E4" s="18"/>
      <c r="F4" s="18"/>
      <c r="H4" s="18" t="s">
        <v>909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2681</v>
      </c>
      <c r="D12" s="12">
        <v>69</v>
      </c>
      <c r="E12" s="12">
        <v>159</v>
      </c>
      <c r="F12" s="12">
        <v>51</v>
      </c>
      <c r="G12" s="12">
        <v>147</v>
      </c>
      <c r="H12" s="12">
        <v>90</v>
      </c>
      <c r="I12" s="12">
        <v>114</v>
      </c>
      <c r="J12" s="12">
        <v>24</v>
      </c>
      <c r="K12" s="12">
        <v>74</v>
      </c>
      <c r="L12" s="12">
        <v>146</v>
      </c>
      <c r="M12" s="12">
        <v>233</v>
      </c>
      <c r="N12" s="12">
        <v>149</v>
      </c>
      <c r="O12" s="12">
        <v>65</v>
      </c>
      <c r="P12" s="12">
        <v>93</v>
      </c>
      <c r="Q12" s="12">
        <v>69</v>
      </c>
      <c r="R12" s="12">
        <v>123</v>
      </c>
      <c r="S12" s="12">
        <v>104</v>
      </c>
      <c r="T12" s="12">
        <v>109</v>
      </c>
      <c r="U12" s="12">
        <v>55</v>
      </c>
      <c r="V12" s="12">
        <v>154</v>
      </c>
      <c r="W12" s="12">
        <v>88</v>
      </c>
      <c r="X12" s="12">
        <v>144</v>
      </c>
      <c r="Y12" s="12">
        <v>129</v>
      </c>
      <c r="Z12" s="12">
        <v>46</v>
      </c>
      <c r="AA12" s="12">
        <v>121</v>
      </c>
      <c r="AB12" s="12">
        <v>184</v>
      </c>
      <c r="AC12" s="12">
        <v>220</v>
      </c>
      <c r="AD12" s="12">
        <v>131</v>
      </c>
      <c r="AE12" s="12">
        <v>108</v>
      </c>
      <c r="AF12" s="12">
        <v>268</v>
      </c>
    </row>
    <row r="13" spans="1:32">
      <c r="A13" s="20"/>
      <c r="B13" s="13" t="s">
        <v>875</v>
      </c>
      <c r="C13" s="14">
        <v>0.1</v>
      </c>
      <c r="D13" s="14">
        <v>7.0000000000000007E-2</v>
      </c>
      <c r="E13" s="14">
        <v>0.16</v>
      </c>
      <c r="F13" s="14">
        <v>0.05</v>
      </c>
      <c r="G13" s="14">
        <v>0.14000000000000001</v>
      </c>
      <c r="H13" s="14">
        <v>7.0000000000000007E-2</v>
      </c>
      <c r="I13" s="14">
        <v>7.0000000000000007E-2</v>
      </c>
      <c r="J13" s="14">
        <v>0.08</v>
      </c>
      <c r="K13" s="14">
        <v>7.0000000000000007E-2</v>
      </c>
      <c r="L13" s="14">
        <v>0.14000000000000001</v>
      </c>
      <c r="M13" s="14">
        <v>0.23</v>
      </c>
      <c r="N13" s="14">
        <v>0.15</v>
      </c>
      <c r="O13" s="14">
        <v>7.0000000000000007E-2</v>
      </c>
      <c r="P13" s="14">
        <v>0.09</v>
      </c>
      <c r="Q13" s="14">
        <v>7.0000000000000007E-2</v>
      </c>
      <c r="R13" s="14">
        <v>0.25</v>
      </c>
      <c r="S13" s="14">
        <v>0.1</v>
      </c>
      <c r="T13" s="14">
        <v>0.11</v>
      </c>
      <c r="U13" s="14">
        <v>0.11</v>
      </c>
      <c r="V13" s="14">
        <v>0.15</v>
      </c>
      <c r="W13" s="14">
        <v>0.18</v>
      </c>
      <c r="X13" s="14">
        <v>0.14000000000000001</v>
      </c>
      <c r="Y13" s="14">
        <v>0.13</v>
      </c>
      <c r="Z13" s="14">
        <v>0.05</v>
      </c>
      <c r="AA13" s="14">
        <v>0.12</v>
      </c>
      <c r="AB13" s="14">
        <v>0.18</v>
      </c>
      <c r="AC13" s="14">
        <v>0.22</v>
      </c>
      <c r="AD13" s="14">
        <v>0.13</v>
      </c>
      <c r="AE13" s="14">
        <v>0.11</v>
      </c>
      <c r="AF13" s="14">
        <v>0.26</v>
      </c>
    </row>
    <row r="14" spans="1:32">
      <c r="A14" s="20"/>
      <c r="B14" s="11" t="s">
        <v>845</v>
      </c>
      <c r="C14" s="12">
        <v>9599</v>
      </c>
      <c r="D14" s="12">
        <v>351</v>
      </c>
      <c r="E14" s="12">
        <v>479</v>
      </c>
      <c r="F14" s="12">
        <v>350</v>
      </c>
      <c r="G14" s="12">
        <v>471</v>
      </c>
      <c r="H14" s="12">
        <v>399</v>
      </c>
      <c r="I14" s="12">
        <v>478</v>
      </c>
      <c r="J14" s="12">
        <v>79</v>
      </c>
      <c r="K14" s="12">
        <v>359</v>
      </c>
      <c r="L14" s="12">
        <v>338</v>
      </c>
      <c r="M14" s="12">
        <v>483</v>
      </c>
      <c r="N14" s="12">
        <v>426</v>
      </c>
      <c r="O14" s="12">
        <v>279</v>
      </c>
      <c r="P14" s="12">
        <v>433</v>
      </c>
      <c r="Q14" s="12">
        <v>336</v>
      </c>
      <c r="R14" s="12">
        <v>238</v>
      </c>
      <c r="S14" s="12">
        <v>348</v>
      </c>
      <c r="T14" s="12">
        <v>339</v>
      </c>
      <c r="U14" s="12">
        <v>199</v>
      </c>
      <c r="V14" s="12">
        <v>395</v>
      </c>
      <c r="W14" s="12">
        <v>177</v>
      </c>
      <c r="X14" s="12">
        <v>411</v>
      </c>
      <c r="Y14" s="12">
        <v>262</v>
      </c>
      <c r="Z14" s="12">
        <v>432</v>
      </c>
      <c r="AA14" s="12">
        <v>410</v>
      </c>
      <c r="AB14" s="12">
        <v>494</v>
      </c>
      <c r="AC14" s="12">
        <v>425</v>
      </c>
      <c r="AD14" s="12">
        <v>498</v>
      </c>
      <c r="AE14" s="12">
        <v>375</v>
      </c>
      <c r="AF14" s="12">
        <v>500</v>
      </c>
    </row>
    <row r="15" spans="1:32">
      <c r="A15" s="20"/>
      <c r="B15" s="13" t="s">
        <v>876</v>
      </c>
      <c r="C15" s="14">
        <v>0.37</v>
      </c>
      <c r="D15" s="14">
        <v>0.35</v>
      </c>
      <c r="E15" s="14">
        <v>0.47</v>
      </c>
      <c r="F15" s="14">
        <v>0.35</v>
      </c>
      <c r="G15" s="14">
        <v>0.47</v>
      </c>
      <c r="H15" s="14">
        <v>0.33</v>
      </c>
      <c r="I15" s="14">
        <v>0.32</v>
      </c>
      <c r="J15" s="14">
        <v>0.27</v>
      </c>
      <c r="K15" s="14">
        <v>0.36</v>
      </c>
      <c r="L15" s="14">
        <v>0.34</v>
      </c>
      <c r="M15" s="14">
        <v>0.48</v>
      </c>
      <c r="N15" s="14">
        <v>0.42</v>
      </c>
      <c r="O15" s="14">
        <v>0.28000000000000003</v>
      </c>
      <c r="P15" s="14">
        <v>0.42</v>
      </c>
      <c r="Q15" s="14">
        <v>0.33</v>
      </c>
      <c r="R15" s="14">
        <v>0.47</v>
      </c>
      <c r="S15" s="14">
        <v>0.34</v>
      </c>
      <c r="T15" s="14">
        <v>0.33</v>
      </c>
      <c r="U15" s="14">
        <v>0.39</v>
      </c>
      <c r="V15" s="14">
        <v>0.39</v>
      </c>
      <c r="W15" s="14">
        <v>0.35</v>
      </c>
      <c r="X15" s="14">
        <v>0.4</v>
      </c>
      <c r="Y15" s="14">
        <v>0.26</v>
      </c>
      <c r="Z15" s="14">
        <v>0.43</v>
      </c>
      <c r="AA15" s="14">
        <v>0.39</v>
      </c>
      <c r="AB15" s="14">
        <v>0.48</v>
      </c>
      <c r="AC15" s="14">
        <v>0.42</v>
      </c>
      <c r="AD15" s="14">
        <v>0.49</v>
      </c>
      <c r="AE15" s="14">
        <v>0.37</v>
      </c>
      <c r="AF15" s="14">
        <v>0.49</v>
      </c>
    </row>
    <row r="16" spans="1:32">
      <c r="A16" s="20"/>
      <c r="B16" s="11" t="s">
        <v>877</v>
      </c>
      <c r="C16" s="12">
        <v>7221</v>
      </c>
      <c r="D16" s="12">
        <v>326</v>
      </c>
      <c r="E16" s="12">
        <v>167</v>
      </c>
      <c r="F16" s="12">
        <v>306</v>
      </c>
      <c r="G16" s="12">
        <v>208</v>
      </c>
      <c r="H16" s="12">
        <v>412</v>
      </c>
      <c r="I16" s="12">
        <v>518</v>
      </c>
      <c r="J16" s="12">
        <v>106</v>
      </c>
      <c r="K16" s="12">
        <v>297</v>
      </c>
      <c r="L16" s="12">
        <v>206</v>
      </c>
      <c r="M16" s="12">
        <v>107</v>
      </c>
      <c r="N16" s="12">
        <v>153</v>
      </c>
      <c r="O16" s="12">
        <v>285</v>
      </c>
      <c r="P16" s="12">
        <v>263</v>
      </c>
      <c r="Q16" s="12">
        <v>394</v>
      </c>
      <c r="R16" s="12">
        <v>51</v>
      </c>
      <c r="S16" s="12">
        <v>188</v>
      </c>
      <c r="T16" s="12">
        <v>274</v>
      </c>
      <c r="U16" s="12">
        <v>112</v>
      </c>
      <c r="V16" s="12">
        <v>293</v>
      </c>
      <c r="W16" s="12">
        <v>96</v>
      </c>
      <c r="X16" s="12">
        <v>308</v>
      </c>
      <c r="Y16" s="12">
        <v>189</v>
      </c>
      <c r="Z16" s="12">
        <v>277</v>
      </c>
      <c r="AA16" s="12">
        <v>247</v>
      </c>
      <c r="AB16" s="12">
        <v>202</v>
      </c>
      <c r="AC16" s="12">
        <v>178</v>
      </c>
      <c r="AD16" s="12">
        <v>180</v>
      </c>
      <c r="AE16" s="12">
        <v>247</v>
      </c>
      <c r="AF16" s="12">
        <v>142</v>
      </c>
    </row>
    <row r="17" spans="1:32">
      <c r="A17" s="20"/>
      <c r="B17" s="13" t="s">
        <v>878</v>
      </c>
      <c r="C17" s="14">
        <v>0.27</v>
      </c>
      <c r="D17" s="14">
        <v>0.33</v>
      </c>
      <c r="E17" s="14">
        <v>0.16</v>
      </c>
      <c r="F17" s="14">
        <v>0.3</v>
      </c>
      <c r="G17" s="14">
        <v>0.21</v>
      </c>
      <c r="H17" s="14">
        <v>0.34</v>
      </c>
      <c r="I17" s="14">
        <v>0.34</v>
      </c>
      <c r="J17" s="14">
        <v>0.36</v>
      </c>
      <c r="K17" s="14">
        <v>0.3</v>
      </c>
      <c r="L17" s="14">
        <v>0.2</v>
      </c>
      <c r="M17" s="14">
        <v>0.11</v>
      </c>
      <c r="N17" s="14">
        <v>0.15</v>
      </c>
      <c r="O17" s="14">
        <v>0.28000000000000003</v>
      </c>
      <c r="P17" s="14">
        <v>0.26</v>
      </c>
      <c r="Q17" s="14">
        <v>0.39</v>
      </c>
      <c r="R17" s="14">
        <v>0.1</v>
      </c>
      <c r="S17" s="14">
        <v>0.19</v>
      </c>
      <c r="T17" s="14">
        <v>0.27</v>
      </c>
      <c r="U17" s="14">
        <v>0.22</v>
      </c>
      <c r="V17" s="14">
        <v>0.28999999999999998</v>
      </c>
      <c r="W17" s="14">
        <v>0.19</v>
      </c>
      <c r="X17" s="14">
        <v>0.3</v>
      </c>
      <c r="Y17" s="14">
        <v>0.19</v>
      </c>
      <c r="Z17" s="14">
        <v>0.27</v>
      </c>
      <c r="AA17" s="14">
        <v>0.23</v>
      </c>
      <c r="AB17" s="14">
        <v>0.19</v>
      </c>
      <c r="AC17" s="14">
        <v>0.17</v>
      </c>
      <c r="AD17" s="14">
        <v>0.18</v>
      </c>
      <c r="AE17" s="14">
        <v>0.25</v>
      </c>
      <c r="AF17" s="14">
        <v>0.14000000000000001</v>
      </c>
    </row>
    <row r="18" spans="1:32">
      <c r="A18" s="20"/>
      <c r="B18" s="11" t="s">
        <v>879</v>
      </c>
      <c r="C18" s="12">
        <v>4158</v>
      </c>
      <c r="D18" s="12">
        <v>205</v>
      </c>
      <c r="E18" s="12">
        <v>114</v>
      </c>
      <c r="F18" s="12">
        <v>210</v>
      </c>
      <c r="G18" s="12">
        <v>77</v>
      </c>
      <c r="H18" s="12">
        <v>213</v>
      </c>
      <c r="I18" s="12">
        <v>285</v>
      </c>
      <c r="J18" s="12">
        <v>71</v>
      </c>
      <c r="K18" s="12">
        <v>132</v>
      </c>
      <c r="L18" s="12">
        <v>168</v>
      </c>
      <c r="M18" s="12">
        <v>141</v>
      </c>
      <c r="N18" s="12">
        <v>96</v>
      </c>
      <c r="O18" s="12">
        <v>223</v>
      </c>
      <c r="P18" s="12">
        <v>188</v>
      </c>
      <c r="Q18" s="12">
        <v>168</v>
      </c>
      <c r="R18" s="12">
        <v>45</v>
      </c>
      <c r="S18" s="12">
        <v>178</v>
      </c>
      <c r="T18" s="12">
        <v>160</v>
      </c>
      <c r="U18" s="12">
        <v>81</v>
      </c>
      <c r="V18" s="12">
        <v>110</v>
      </c>
      <c r="W18" s="12">
        <v>72</v>
      </c>
      <c r="X18" s="12">
        <v>92</v>
      </c>
      <c r="Y18" s="12">
        <v>384</v>
      </c>
      <c r="Z18" s="12">
        <v>147</v>
      </c>
      <c r="AA18" s="12">
        <v>97</v>
      </c>
      <c r="AB18" s="12">
        <v>67</v>
      </c>
      <c r="AC18" s="12">
        <v>150</v>
      </c>
      <c r="AD18" s="12">
        <v>107</v>
      </c>
      <c r="AE18" s="12">
        <v>81</v>
      </c>
      <c r="AF18" s="12">
        <v>52</v>
      </c>
    </row>
    <row r="19" spans="1:32">
      <c r="A19" s="20"/>
      <c r="B19" s="13" t="s">
        <v>880</v>
      </c>
      <c r="C19" s="14">
        <v>0.16</v>
      </c>
      <c r="D19" s="14">
        <v>0.2</v>
      </c>
      <c r="E19" s="14">
        <v>0.11</v>
      </c>
      <c r="F19" s="14">
        <v>0.21</v>
      </c>
      <c r="G19" s="14">
        <v>0.08</v>
      </c>
      <c r="H19" s="14">
        <v>0.18</v>
      </c>
      <c r="I19" s="14">
        <v>0.19</v>
      </c>
      <c r="J19" s="14">
        <v>0.24</v>
      </c>
      <c r="K19" s="14">
        <v>0.13</v>
      </c>
      <c r="L19" s="14">
        <v>0.17</v>
      </c>
      <c r="M19" s="14">
        <v>0.14000000000000001</v>
      </c>
      <c r="N19" s="14">
        <v>0.1</v>
      </c>
      <c r="O19" s="14">
        <v>0.22</v>
      </c>
      <c r="P19" s="14">
        <v>0.18</v>
      </c>
      <c r="Q19" s="14">
        <v>0.16</v>
      </c>
      <c r="R19" s="14">
        <v>0.09</v>
      </c>
      <c r="S19" s="14">
        <v>0.18</v>
      </c>
      <c r="T19" s="14">
        <v>0.16</v>
      </c>
      <c r="U19" s="14">
        <v>0.16</v>
      </c>
      <c r="V19" s="14">
        <v>0.11</v>
      </c>
      <c r="W19" s="14">
        <v>0.14000000000000001</v>
      </c>
      <c r="X19" s="14">
        <v>0.09</v>
      </c>
      <c r="Y19" s="14">
        <v>0.38</v>
      </c>
      <c r="Z19" s="14">
        <v>0.15</v>
      </c>
      <c r="AA19" s="14">
        <v>0.09</v>
      </c>
      <c r="AB19" s="14">
        <v>0.06</v>
      </c>
      <c r="AC19" s="14">
        <v>0.15</v>
      </c>
      <c r="AD19" s="14">
        <v>0.11</v>
      </c>
      <c r="AE19" s="14">
        <v>0.08</v>
      </c>
      <c r="AF19" s="14">
        <v>0.05</v>
      </c>
    </row>
    <row r="20" spans="1:32">
      <c r="A20" s="20"/>
      <c r="B20" s="11" t="s">
        <v>468</v>
      </c>
      <c r="C20" s="12">
        <v>2660</v>
      </c>
      <c r="D20" s="12">
        <v>52</v>
      </c>
      <c r="E20" s="12">
        <v>100</v>
      </c>
      <c r="F20" s="12">
        <v>88</v>
      </c>
      <c r="G20" s="12">
        <v>101</v>
      </c>
      <c r="H20" s="12">
        <v>102</v>
      </c>
      <c r="I20" s="12">
        <v>115</v>
      </c>
      <c r="J20" s="12">
        <v>14</v>
      </c>
      <c r="K20" s="12">
        <v>145</v>
      </c>
      <c r="L20" s="12">
        <v>149</v>
      </c>
      <c r="M20" s="12">
        <v>39</v>
      </c>
      <c r="N20" s="12">
        <v>181</v>
      </c>
      <c r="O20" s="12">
        <v>151</v>
      </c>
      <c r="P20" s="12">
        <v>46</v>
      </c>
      <c r="Q20" s="12">
        <v>52</v>
      </c>
      <c r="R20" s="12">
        <v>43</v>
      </c>
      <c r="S20" s="12">
        <v>190</v>
      </c>
      <c r="T20" s="12">
        <v>133</v>
      </c>
      <c r="U20" s="12">
        <v>60</v>
      </c>
      <c r="V20" s="12">
        <v>65</v>
      </c>
      <c r="W20" s="12">
        <v>70</v>
      </c>
      <c r="X20" s="12">
        <v>66</v>
      </c>
      <c r="Y20" s="12">
        <v>44</v>
      </c>
      <c r="Z20" s="12">
        <v>106</v>
      </c>
      <c r="AA20" s="12">
        <v>178</v>
      </c>
      <c r="AB20" s="12">
        <v>92</v>
      </c>
      <c r="AC20" s="12">
        <v>37</v>
      </c>
      <c r="AD20" s="12">
        <v>89</v>
      </c>
      <c r="AE20" s="12">
        <v>191</v>
      </c>
      <c r="AF20" s="12">
        <v>58</v>
      </c>
    </row>
    <row r="21" spans="1:32">
      <c r="A21" s="20"/>
      <c r="B21" s="13" t="s">
        <v>469</v>
      </c>
      <c r="C21" s="14">
        <v>0.1</v>
      </c>
      <c r="D21" s="14">
        <v>0.05</v>
      </c>
      <c r="E21" s="14">
        <v>0.1</v>
      </c>
      <c r="F21" s="14">
        <v>0.09</v>
      </c>
      <c r="G21" s="14">
        <v>0.1</v>
      </c>
      <c r="H21" s="14">
        <v>0.08</v>
      </c>
      <c r="I21" s="14">
        <v>0.08</v>
      </c>
      <c r="J21" s="14">
        <v>0.05</v>
      </c>
      <c r="K21" s="14">
        <v>0.14000000000000001</v>
      </c>
      <c r="L21" s="14">
        <v>0.15</v>
      </c>
      <c r="M21" s="14">
        <v>0.04</v>
      </c>
      <c r="N21" s="14">
        <v>0.18</v>
      </c>
      <c r="O21" s="14">
        <v>0.15</v>
      </c>
      <c r="P21" s="14">
        <v>0.05</v>
      </c>
      <c r="Q21" s="14">
        <v>0.05</v>
      </c>
      <c r="R21" s="14">
        <v>0.09</v>
      </c>
      <c r="S21" s="14">
        <v>0.19</v>
      </c>
      <c r="T21" s="14">
        <v>0.13</v>
      </c>
      <c r="U21" s="14">
        <v>0.12</v>
      </c>
      <c r="V21" s="14">
        <v>0.06</v>
      </c>
      <c r="W21" s="14">
        <v>0.14000000000000001</v>
      </c>
      <c r="X21" s="14">
        <v>7.0000000000000007E-2</v>
      </c>
      <c r="Y21" s="14">
        <v>0.04</v>
      </c>
      <c r="Z21" s="14">
        <v>0.1</v>
      </c>
      <c r="AA21" s="14">
        <v>0.17</v>
      </c>
      <c r="AB21" s="14">
        <v>0.09</v>
      </c>
      <c r="AC21" s="14">
        <v>0.04</v>
      </c>
      <c r="AD21" s="14">
        <v>0.09</v>
      </c>
      <c r="AE21" s="14">
        <v>0.19</v>
      </c>
      <c r="AF21" s="14">
        <v>0.06</v>
      </c>
    </row>
    <row r="22" spans="1:32">
      <c r="A22" s="20"/>
      <c r="B22" s="11" t="s">
        <v>851</v>
      </c>
      <c r="C22" s="12">
        <v>12280</v>
      </c>
      <c r="D22" s="12">
        <v>420</v>
      </c>
      <c r="E22" s="12">
        <v>638</v>
      </c>
      <c r="F22" s="12">
        <v>401</v>
      </c>
      <c r="G22" s="12">
        <v>618</v>
      </c>
      <c r="H22" s="12">
        <v>489</v>
      </c>
      <c r="I22" s="12">
        <v>592</v>
      </c>
      <c r="J22" s="12">
        <v>103</v>
      </c>
      <c r="K22" s="12">
        <v>433</v>
      </c>
      <c r="L22" s="12">
        <v>484</v>
      </c>
      <c r="M22" s="12">
        <v>716</v>
      </c>
      <c r="N22" s="12">
        <v>575</v>
      </c>
      <c r="O22" s="12">
        <v>344</v>
      </c>
      <c r="P22" s="12">
        <v>526</v>
      </c>
      <c r="Q22" s="12">
        <v>405</v>
      </c>
      <c r="R22" s="12">
        <v>361</v>
      </c>
      <c r="S22" s="12">
        <v>452</v>
      </c>
      <c r="T22" s="12">
        <v>448</v>
      </c>
      <c r="U22" s="12">
        <v>254</v>
      </c>
      <c r="V22" s="12">
        <v>549</v>
      </c>
      <c r="W22" s="12">
        <v>265</v>
      </c>
      <c r="X22" s="12">
        <v>555</v>
      </c>
      <c r="Y22" s="12">
        <v>391</v>
      </c>
      <c r="Z22" s="12">
        <v>478</v>
      </c>
      <c r="AA22" s="12">
        <v>531</v>
      </c>
      <c r="AB22" s="12">
        <v>678</v>
      </c>
      <c r="AC22" s="12">
        <v>645</v>
      </c>
      <c r="AD22" s="12">
        <v>629</v>
      </c>
      <c r="AE22" s="12">
        <v>483</v>
      </c>
      <c r="AF22" s="12">
        <v>768</v>
      </c>
    </row>
    <row r="23" spans="1:32">
      <c r="A23" s="20"/>
      <c r="B23" s="13" t="s">
        <v>852</v>
      </c>
      <c r="C23" s="14">
        <v>0.47</v>
      </c>
      <c r="D23" s="14">
        <v>0.42</v>
      </c>
      <c r="E23" s="14">
        <v>0.63</v>
      </c>
      <c r="F23" s="14">
        <v>0.4</v>
      </c>
      <c r="G23" s="14">
        <v>0.61</v>
      </c>
      <c r="H23" s="14">
        <v>0.4</v>
      </c>
      <c r="I23" s="14">
        <v>0.39</v>
      </c>
      <c r="J23" s="14">
        <v>0.35</v>
      </c>
      <c r="K23" s="14">
        <v>0.43</v>
      </c>
      <c r="L23" s="14">
        <v>0.48</v>
      </c>
      <c r="M23" s="14">
        <v>0.71</v>
      </c>
      <c r="N23" s="14">
        <v>0.57000000000000006</v>
      </c>
      <c r="O23" s="14">
        <v>0.35</v>
      </c>
      <c r="P23" s="14">
        <v>0.51</v>
      </c>
      <c r="Q23" s="14">
        <v>0.4</v>
      </c>
      <c r="R23" s="14">
        <v>0.72</v>
      </c>
      <c r="S23" s="14">
        <v>0.44</v>
      </c>
      <c r="T23" s="14">
        <v>0.44</v>
      </c>
      <c r="U23" s="14">
        <v>0.5</v>
      </c>
      <c r="V23" s="14">
        <v>0.54</v>
      </c>
      <c r="W23" s="14">
        <v>0.53</v>
      </c>
      <c r="X23" s="14">
        <v>0.54</v>
      </c>
      <c r="Y23" s="14">
        <v>0.39</v>
      </c>
      <c r="Z23" s="14">
        <v>0.48</v>
      </c>
      <c r="AA23" s="14">
        <v>0.51</v>
      </c>
      <c r="AB23" s="14">
        <v>0.66</v>
      </c>
      <c r="AC23" s="14">
        <v>0.64</v>
      </c>
      <c r="AD23" s="14">
        <v>0.62</v>
      </c>
      <c r="AE23" s="14">
        <v>0.48</v>
      </c>
      <c r="AF23" s="14">
        <v>0.75</v>
      </c>
    </row>
    <row r="24" spans="1:32">
      <c r="A24" s="20"/>
      <c r="B24" s="11" t="s">
        <v>881</v>
      </c>
      <c r="C24" s="12">
        <v>11379</v>
      </c>
      <c r="D24" s="12">
        <v>531</v>
      </c>
      <c r="E24" s="12">
        <v>281</v>
      </c>
      <c r="F24" s="12">
        <v>516</v>
      </c>
      <c r="G24" s="12">
        <v>285</v>
      </c>
      <c r="H24" s="12">
        <v>625</v>
      </c>
      <c r="I24" s="12">
        <v>803</v>
      </c>
      <c r="J24" s="12">
        <v>177</v>
      </c>
      <c r="K24" s="12">
        <v>429</v>
      </c>
      <c r="L24" s="12">
        <v>374</v>
      </c>
      <c r="M24" s="12">
        <v>248</v>
      </c>
      <c r="N24" s="12">
        <v>249</v>
      </c>
      <c r="O24" s="12">
        <v>508</v>
      </c>
      <c r="P24" s="12">
        <v>451</v>
      </c>
      <c r="Q24" s="12">
        <v>562</v>
      </c>
      <c r="R24" s="12">
        <v>96</v>
      </c>
      <c r="S24" s="12">
        <v>366</v>
      </c>
      <c r="T24" s="12">
        <v>434</v>
      </c>
      <c r="U24" s="12">
        <v>193</v>
      </c>
      <c r="V24" s="12">
        <v>403</v>
      </c>
      <c r="W24" s="12">
        <v>168</v>
      </c>
      <c r="X24" s="12">
        <v>400</v>
      </c>
      <c r="Y24" s="12">
        <v>573</v>
      </c>
      <c r="Z24" s="12">
        <v>424</v>
      </c>
      <c r="AA24" s="12">
        <v>344</v>
      </c>
      <c r="AB24" s="12">
        <v>269</v>
      </c>
      <c r="AC24" s="12">
        <v>328</v>
      </c>
      <c r="AD24" s="12">
        <v>287</v>
      </c>
      <c r="AE24" s="12">
        <v>328</v>
      </c>
      <c r="AF24" s="12">
        <v>194</v>
      </c>
    </row>
    <row r="25" spans="1:32">
      <c r="A25" s="20"/>
      <c r="B25" s="13" t="s">
        <v>882</v>
      </c>
      <c r="C25" s="14">
        <v>0.43</v>
      </c>
      <c r="D25" s="14">
        <v>0.53</v>
      </c>
      <c r="E25" s="14">
        <v>0.27</v>
      </c>
      <c r="F25" s="14">
        <v>0.51</v>
      </c>
      <c r="G25" s="14">
        <v>0.28999999999999998</v>
      </c>
      <c r="H25" s="14">
        <v>0.52</v>
      </c>
      <c r="I25" s="14">
        <v>0.53</v>
      </c>
      <c r="J25" s="14">
        <v>0.6</v>
      </c>
      <c r="K25" s="14">
        <v>0.43</v>
      </c>
      <c r="L25" s="14">
        <v>0.37</v>
      </c>
      <c r="M25" s="14">
        <v>0.25</v>
      </c>
      <c r="N25" s="14">
        <v>0.25</v>
      </c>
      <c r="O25" s="14">
        <v>0.5</v>
      </c>
      <c r="P25" s="14">
        <v>0.44</v>
      </c>
      <c r="Q25" s="14">
        <v>0.55000000000000004</v>
      </c>
      <c r="R25" s="14">
        <v>0.19</v>
      </c>
      <c r="S25" s="14">
        <v>0.37</v>
      </c>
      <c r="T25" s="14">
        <v>0.43</v>
      </c>
      <c r="U25" s="14">
        <v>0.38</v>
      </c>
      <c r="V25" s="14">
        <v>0.4</v>
      </c>
      <c r="W25" s="14">
        <v>0.33</v>
      </c>
      <c r="X25" s="14">
        <v>0.39</v>
      </c>
      <c r="Y25" s="14">
        <v>0.57000000000000006</v>
      </c>
      <c r="Z25" s="14">
        <v>0.42</v>
      </c>
      <c r="AA25" s="14">
        <v>0.32</v>
      </c>
      <c r="AB25" s="14">
        <v>0.25</v>
      </c>
      <c r="AC25" s="14">
        <v>0.32</v>
      </c>
      <c r="AD25" s="14">
        <v>0.28999999999999998</v>
      </c>
      <c r="AE25" s="14">
        <v>0.33</v>
      </c>
      <c r="AF25" s="14">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910</v>
      </c>
      <c r="C3" s="18"/>
      <c r="D3" s="18"/>
      <c r="E3" s="18"/>
      <c r="F3" s="18"/>
      <c r="H3" s="18" t="s">
        <v>911</v>
      </c>
      <c r="I3" s="18"/>
      <c r="J3" s="18"/>
      <c r="K3" s="18"/>
      <c r="L3" s="18"/>
    </row>
    <row r="4" spans="1:32" ht="27" customHeight="1">
      <c r="B4" s="18" t="s">
        <v>912</v>
      </c>
      <c r="C4" s="18"/>
      <c r="D4" s="18"/>
      <c r="E4" s="18"/>
      <c r="F4" s="18"/>
      <c r="H4" s="18" t="s">
        <v>912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2125</v>
      </c>
      <c r="D12" s="12">
        <v>75</v>
      </c>
      <c r="E12" s="12">
        <v>135</v>
      </c>
      <c r="F12" s="12">
        <v>52</v>
      </c>
      <c r="G12" s="12">
        <v>91</v>
      </c>
      <c r="H12" s="12">
        <v>55</v>
      </c>
      <c r="I12" s="12">
        <v>74</v>
      </c>
      <c r="J12" s="12">
        <v>19</v>
      </c>
      <c r="K12" s="12">
        <v>96</v>
      </c>
      <c r="L12" s="12">
        <v>126</v>
      </c>
      <c r="M12" s="12">
        <v>42</v>
      </c>
      <c r="N12" s="12">
        <v>128</v>
      </c>
      <c r="O12" s="12">
        <v>54</v>
      </c>
      <c r="P12" s="12">
        <v>100</v>
      </c>
      <c r="Q12" s="12">
        <v>69</v>
      </c>
      <c r="R12" s="12">
        <v>13</v>
      </c>
      <c r="S12" s="12">
        <v>148</v>
      </c>
      <c r="T12" s="12">
        <v>143</v>
      </c>
      <c r="U12" s="12">
        <v>33</v>
      </c>
      <c r="V12" s="12">
        <v>141</v>
      </c>
      <c r="W12" s="12">
        <v>88</v>
      </c>
      <c r="X12" s="12">
        <v>99</v>
      </c>
      <c r="Y12" s="12">
        <v>41</v>
      </c>
      <c r="Z12" s="12">
        <v>45</v>
      </c>
      <c r="AA12" s="12">
        <v>182</v>
      </c>
      <c r="AB12" s="12">
        <v>196</v>
      </c>
      <c r="AC12" s="12">
        <v>143</v>
      </c>
      <c r="AD12" s="12">
        <v>85</v>
      </c>
      <c r="AE12" s="12">
        <v>64</v>
      </c>
      <c r="AF12" s="12">
        <v>133</v>
      </c>
    </row>
    <row r="13" spans="1:32">
      <c r="A13" s="20"/>
      <c r="B13" s="13" t="s">
        <v>875</v>
      </c>
      <c r="C13" s="14">
        <v>0.08</v>
      </c>
      <c r="D13" s="14">
        <v>0.08</v>
      </c>
      <c r="E13" s="14">
        <v>0.13</v>
      </c>
      <c r="F13" s="14">
        <v>0.05</v>
      </c>
      <c r="G13" s="14">
        <v>0.09</v>
      </c>
      <c r="H13" s="14">
        <v>0.04</v>
      </c>
      <c r="I13" s="14">
        <v>0.05</v>
      </c>
      <c r="J13" s="14">
        <v>7.0000000000000007E-2</v>
      </c>
      <c r="K13" s="14">
        <v>0.1</v>
      </c>
      <c r="L13" s="14">
        <v>0.13</v>
      </c>
      <c r="M13" s="14">
        <v>0.04</v>
      </c>
      <c r="N13" s="14">
        <v>0.13</v>
      </c>
      <c r="O13" s="14">
        <v>0.05</v>
      </c>
      <c r="P13" s="14">
        <v>0.1</v>
      </c>
      <c r="Q13" s="14">
        <v>7.0000000000000007E-2</v>
      </c>
      <c r="R13" s="14">
        <v>0.03</v>
      </c>
      <c r="S13" s="14">
        <v>0.15</v>
      </c>
      <c r="T13" s="14">
        <v>0.14000000000000001</v>
      </c>
      <c r="U13" s="14">
        <v>7.0000000000000007E-2</v>
      </c>
      <c r="V13" s="14">
        <v>0.14000000000000001</v>
      </c>
      <c r="W13" s="14">
        <v>0.18</v>
      </c>
      <c r="X13" s="14">
        <v>0.1</v>
      </c>
      <c r="Y13" s="14">
        <v>0.04</v>
      </c>
      <c r="Z13" s="14">
        <v>0.05</v>
      </c>
      <c r="AA13" s="14">
        <v>0.17</v>
      </c>
      <c r="AB13" s="14">
        <v>0.19</v>
      </c>
      <c r="AC13" s="14">
        <v>0.14000000000000001</v>
      </c>
      <c r="AD13" s="14">
        <v>0.08</v>
      </c>
      <c r="AE13" s="14">
        <v>0.06</v>
      </c>
      <c r="AF13" s="14">
        <v>0.13</v>
      </c>
    </row>
    <row r="14" spans="1:32">
      <c r="A14" s="20"/>
      <c r="B14" s="11" t="s">
        <v>845</v>
      </c>
      <c r="C14" s="12">
        <v>7606</v>
      </c>
      <c r="D14" s="12">
        <v>286</v>
      </c>
      <c r="E14" s="12">
        <v>333</v>
      </c>
      <c r="F14" s="12">
        <v>246</v>
      </c>
      <c r="G14" s="12">
        <v>287</v>
      </c>
      <c r="H14" s="12">
        <v>222</v>
      </c>
      <c r="I14" s="12">
        <v>280</v>
      </c>
      <c r="J14" s="12">
        <v>59</v>
      </c>
      <c r="K14" s="12">
        <v>365</v>
      </c>
      <c r="L14" s="12">
        <v>325</v>
      </c>
      <c r="M14" s="12">
        <v>183</v>
      </c>
      <c r="N14" s="12">
        <v>397</v>
      </c>
      <c r="O14" s="12">
        <v>218</v>
      </c>
      <c r="P14" s="12">
        <v>484</v>
      </c>
      <c r="Q14" s="12">
        <v>327</v>
      </c>
      <c r="R14" s="12">
        <v>51</v>
      </c>
      <c r="S14" s="12">
        <v>352</v>
      </c>
      <c r="T14" s="12">
        <v>393</v>
      </c>
      <c r="U14" s="12">
        <v>121</v>
      </c>
      <c r="V14" s="12">
        <v>444</v>
      </c>
      <c r="W14" s="12">
        <v>121</v>
      </c>
      <c r="X14" s="12">
        <v>292</v>
      </c>
      <c r="Y14" s="12">
        <v>149</v>
      </c>
      <c r="Z14" s="12">
        <v>387</v>
      </c>
      <c r="AA14" s="12">
        <v>384</v>
      </c>
      <c r="AB14" s="12">
        <v>428</v>
      </c>
      <c r="AC14" s="12">
        <v>385</v>
      </c>
      <c r="AD14" s="12">
        <v>327</v>
      </c>
      <c r="AE14" s="12">
        <v>269</v>
      </c>
      <c r="AF14" s="12">
        <v>259</v>
      </c>
    </row>
    <row r="15" spans="1:32">
      <c r="A15" s="20"/>
      <c r="B15" s="13" t="s">
        <v>876</v>
      </c>
      <c r="C15" s="14">
        <v>0.28999999999999998</v>
      </c>
      <c r="D15" s="14">
        <v>0.28999999999999998</v>
      </c>
      <c r="E15" s="14">
        <v>0.33</v>
      </c>
      <c r="F15" s="14">
        <v>0.24</v>
      </c>
      <c r="G15" s="14">
        <v>0.28999999999999998</v>
      </c>
      <c r="H15" s="14">
        <v>0.18</v>
      </c>
      <c r="I15" s="14">
        <v>0.19</v>
      </c>
      <c r="J15" s="14">
        <v>0.2</v>
      </c>
      <c r="K15" s="14">
        <v>0.36</v>
      </c>
      <c r="L15" s="14">
        <v>0.32</v>
      </c>
      <c r="M15" s="14">
        <v>0.18</v>
      </c>
      <c r="N15" s="14">
        <v>0.4</v>
      </c>
      <c r="O15" s="14">
        <v>0.22</v>
      </c>
      <c r="P15" s="14">
        <v>0.47</v>
      </c>
      <c r="Q15" s="14">
        <v>0.32</v>
      </c>
      <c r="R15" s="14">
        <v>0.1</v>
      </c>
      <c r="S15" s="14">
        <v>0.35</v>
      </c>
      <c r="T15" s="14">
        <v>0.39</v>
      </c>
      <c r="U15" s="14">
        <v>0.24</v>
      </c>
      <c r="V15" s="14">
        <v>0.44</v>
      </c>
      <c r="W15" s="14">
        <v>0.24</v>
      </c>
      <c r="X15" s="14">
        <v>0.28999999999999998</v>
      </c>
      <c r="Y15" s="14">
        <v>0.15</v>
      </c>
      <c r="Z15" s="14">
        <v>0.38</v>
      </c>
      <c r="AA15" s="14">
        <v>0.37</v>
      </c>
      <c r="AB15" s="14">
        <v>0.41</v>
      </c>
      <c r="AC15" s="14">
        <v>0.38</v>
      </c>
      <c r="AD15" s="14">
        <v>0.33</v>
      </c>
      <c r="AE15" s="14">
        <v>0.27</v>
      </c>
      <c r="AF15" s="14">
        <v>0.25</v>
      </c>
    </row>
    <row r="16" spans="1:32">
      <c r="A16" s="20"/>
      <c r="B16" s="11" t="s">
        <v>877</v>
      </c>
      <c r="C16" s="12">
        <v>7570</v>
      </c>
      <c r="D16" s="12">
        <v>325</v>
      </c>
      <c r="E16" s="12">
        <v>238</v>
      </c>
      <c r="F16" s="12">
        <v>313</v>
      </c>
      <c r="G16" s="12">
        <v>334</v>
      </c>
      <c r="H16" s="12">
        <v>440</v>
      </c>
      <c r="I16" s="12">
        <v>535</v>
      </c>
      <c r="J16" s="12">
        <v>95</v>
      </c>
      <c r="K16" s="12">
        <v>277</v>
      </c>
      <c r="L16" s="12">
        <v>212</v>
      </c>
      <c r="M16" s="12">
        <v>208</v>
      </c>
      <c r="N16" s="12">
        <v>190</v>
      </c>
      <c r="O16" s="12">
        <v>256</v>
      </c>
      <c r="P16" s="12">
        <v>270</v>
      </c>
      <c r="Q16" s="12">
        <v>345</v>
      </c>
      <c r="R16" s="12">
        <v>82</v>
      </c>
      <c r="S16" s="12">
        <v>203</v>
      </c>
      <c r="T16" s="12">
        <v>248</v>
      </c>
      <c r="U16" s="12">
        <v>133</v>
      </c>
      <c r="V16" s="12">
        <v>278</v>
      </c>
      <c r="W16" s="12">
        <v>114</v>
      </c>
      <c r="X16" s="12">
        <v>359</v>
      </c>
      <c r="Y16" s="12">
        <v>230</v>
      </c>
      <c r="Z16" s="12">
        <v>296</v>
      </c>
      <c r="AA16" s="12">
        <v>224</v>
      </c>
      <c r="AB16" s="12">
        <v>241</v>
      </c>
      <c r="AC16" s="12">
        <v>213</v>
      </c>
      <c r="AD16" s="12">
        <v>296</v>
      </c>
      <c r="AE16" s="12">
        <v>336</v>
      </c>
      <c r="AF16" s="12">
        <v>349</v>
      </c>
    </row>
    <row r="17" spans="1:32">
      <c r="A17" s="20"/>
      <c r="B17" s="13" t="s">
        <v>878</v>
      </c>
      <c r="C17" s="14">
        <v>0.28999999999999998</v>
      </c>
      <c r="D17" s="14">
        <v>0.32</v>
      </c>
      <c r="E17" s="14">
        <v>0.23</v>
      </c>
      <c r="F17" s="14">
        <v>0.31</v>
      </c>
      <c r="G17" s="14">
        <v>0.33</v>
      </c>
      <c r="H17" s="14">
        <v>0.36</v>
      </c>
      <c r="I17" s="14">
        <v>0.35</v>
      </c>
      <c r="J17" s="14">
        <v>0.32</v>
      </c>
      <c r="K17" s="14">
        <v>0.28000000000000003</v>
      </c>
      <c r="L17" s="14">
        <v>0.21</v>
      </c>
      <c r="M17" s="14">
        <v>0.21</v>
      </c>
      <c r="N17" s="14">
        <v>0.19</v>
      </c>
      <c r="O17" s="14">
        <v>0.26</v>
      </c>
      <c r="P17" s="14">
        <v>0.26</v>
      </c>
      <c r="Q17" s="14">
        <v>0.34</v>
      </c>
      <c r="R17" s="14">
        <v>0.16</v>
      </c>
      <c r="S17" s="14">
        <v>0.2</v>
      </c>
      <c r="T17" s="14">
        <v>0.24</v>
      </c>
      <c r="U17" s="14">
        <v>0.26</v>
      </c>
      <c r="V17" s="14">
        <v>0.27</v>
      </c>
      <c r="W17" s="14">
        <v>0.23</v>
      </c>
      <c r="X17" s="14">
        <v>0.35</v>
      </c>
      <c r="Y17" s="14">
        <v>0.23</v>
      </c>
      <c r="Z17" s="14">
        <v>0.28999999999999998</v>
      </c>
      <c r="AA17" s="14">
        <v>0.21</v>
      </c>
      <c r="AB17" s="14">
        <v>0.23</v>
      </c>
      <c r="AC17" s="14">
        <v>0.21</v>
      </c>
      <c r="AD17" s="14">
        <v>0.28999999999999998</v>
      </c>
      <c r="AE17" s="14">
        <v>0.34</v>
      </c>
      <c r="AF17" s="14">
        <v>0.34</v>
      </c>
    </row>
    <row r="18" spans="1:32">
      <c r="A18" s="20"/>
      <c r="B18" s="11" t="s">
        <v>879</v>
      </c>
      <c r="C18" s="12">
        <v>6942</v>
      </c>
      <c r="D18" s="12">
        <v>284</v>
      </c>
      <c r="E18" s="12">
        <v>211</v>
      </c>
      <c r="F18" s="12">
        <v>318</v>
      </c>
      <c r="G18" s="12">
        <v>230</v>
      </c>
      <c r="H18" s="12">
        <v>420</v>
      </c>
      <c r="I18" s="12">
        <v>529</v>
      </c>
      <c r="J18" s="12">
        <v>109</v>
      </c>
      <c r="K18" s="12">
        <v>176</v>
      </c>
      <c r="L18" s="12">
        <v>215</v>
      </c>
      <c r="M18" s="12">
        <v>528</v>
      </c>
      <c r="N18" s="12">
        <v>144</v>
      </c>
      <c r="O18" s="12">
        <v>382</v>
      </c>
      <c r="P18" s="12">
        <v>108</v>
      </c>
      <c r="Q18" s="12">
        <v>231</v>
      </c>
      <c r="R18" s="12">
        <v>340</v>
      </c>
      <c r="S18" s="12">
        <v>169</v>
      </c>
      <c r="T18" s="12">
        <v>132</v>
      </c>
      <c r="U18" s="12">
        <v>168</v>
      </c>
      <c r="V18" s="12">
        <v>98</v>
      </c>
      <c r="W18" s="12">
        <v>122</v>
      </c>
      <c r="X18" s="12">
        <v>226</v>
      </c>
      <c r="Y18" s="12">
        <v>549</v>
      </c>
      <c r="Z18" s="12">
        <v>183</v>
      </c>
      <c r="AA18" s="12">
        <v>97</v>
      </c>
      <c r="AB18" s="12">
        <v>90</v>
      </c>
      <c r="AC18" s="12">
        <v>220</v>
      </c>
      <c r="AD18" s="12">
        <v>222</v>
      </c>
      <c r="AE18" s="12">
        <v>210</v>
      </c>
      <c r="AF18" s="12">
        <v>250</v>
      </c>
    </row>
    <row r="19" spans="1:32">
      <c r="A19" s="20"/>
      <c r="B19" s="13" t="s">
        <v>880</v>
      </c>
      <c r="C19" s="14">
        <v>0.26</v>
      </c>
      <c r="D19" s="14">
        <v>0.28000000000000003</v>
      </c>
      <c r="E19" s="14">
        <v>0.21</v>
      </c>
      <c r="F19" s="14">
        <v>0.32</v>
      </c>
      <c r="G19" s="14">
        <v>0.23</v>
      </c>
      <c r="H19" s="14">
        <v>0.35</v>
      </c>
      <c r="I19" s="14">
        <v>0.35</v>
      </c>
      <c r="J19" s="14">
        <v>0.37</v>
      </c>
      <c r="K19" s="14">
        <v>0.17</v>
      </c>
      <c r="L19" s="14">
        <v>0.21</v>
      </c>
      <c r="M19" s="14">
        <v>0.53</v>
      </c>
      <c r="N19" s="14">
        <v>0.14000000000000001</v>
      </c>
      <c r="O19" s="14">
        <v>0.38</v>
      </c>
      <c r="P19" s="14">
        <v>0.11</v>
      </c>
      <c r="Q19" s="14">
        <v>0.22</v>
      </c>
      <c r="R19" s="14">
        <v>0.68</v>
      </c>
      <c r="S19" s="14">
        <v>0.17</v>
      </c>
      <c r="T19" s="14">
        <v>0.13</v>
      </c>
      <c r="U19" s="14">
        <v>0.33</v>
      </c>
      <c r="V19" s="14">
        <v>0.1</v>
      </c>
      <c r="W19" s="14">
        <v>0.24</v>
      </c>
      <c r="X19" s="14">
        <v>0.22</v>
      </c>
      <c r="Y19" s="14">
        <v>0.54</v>
      </c>
      <c r="Z19" s="14">
        <v>0.18</v>
      </c>
      <c r="AA19" s="14">
        <v>0.09</v>
      </c>
      <c r="AB19" s="14">
        <v>0.09</v>
      </c>
      <c r="AC19" s="14">
        <v>0.22</v>
      </c>
      <c r="AD19" s="14">
        <v>0.22</v>
      </c>
      <c r="AE19" s="14">
        <v>0.21</v>
      </c>
      <c r="AF19" s="14">
        <v>0.25</v>
      </c>
    </row>
    <row r="20" spans="1:32">
      <c r="A20" s="20"/>
      <c r="B20" s="11" t="s">
        <v>468</v>
      </c>
      <c r="C20" s="12">
        <v>2077</v>
      </c>
      <c r="D20" s="12">
        <v>33</v>
      </c>
      <c r="E20" s="12">
        <v>101</v>
      </c>
      <c r="F20" s="12">
        <v>76</v>
      </c>
      <c r="G20" s="12">
        <v>62</v>
      </c>
      <c r="H20" s="12">
        <v>80</v>
      </c>
      <c r="I20" s="12">
        <v>92</v>
      </c>
      <c r="J20" s="12">
        <v>12</v>
      </c>
      <c r="K20" s="12">
        <v>92</v>
      </c>
      <c r="L20" s="12">
        <v>130</v>
      </c>
      <c r="M20" s="12">
        <v>42</v>
      </c>
      <c r="N20" s="12">
        <v>145</v>
      </c>
      <c r="O20" s="12">
        <v>92</v>
      </c>
      <c r="P20" s="12">
        <v>60</v>
      </c>
      <c r="Q20" s="12">
        <v>48</v>
      </c>
      <c r="R20" s="12">
        <v>14</v>
      </c>
      <c r="S20" s="12">
        <v>136</v>
      </c>
      <c r="T20" s="12">
        <v>98</v>
      </c>
      <c r="U20" s="12">
        <v>52</v>
      </c>
      <c r="V20" s="12">
        <v>56</v>
      </c>
      <c r="W20" s="12">
        <v>58</v>
      </c>
      <c r="X20" s="12">
        <v>44</v>
      </c>
      <c r="Y20" s="12">
        <v>39</v>
      </c>
      <c r="Z20" s="12">
        <v>98</v>
      </c>
      <c r="AA20" s="12">
        <v>166</v>
      </c>
      <c r="AB20" s="12">
        <v>84</v>
      </c>
      <c r="AC20" s="12">
        <v>49</v>
      </c>
      <c r="AD20" s="12">
        <v>76</v>
      </c>
      <c r="AE20" s="12">
        <v>121</v>
      </c>
      <c r="AF20" s="12">
        <v>29</v>
      </c>
    </row>
    <row r="21" spans="1:32">
      <c r="A21" s="20"/>
      <c r="B21" s="13" t="s">
        <v>469</v>
      </c>
      <c r="C21" s="14">
        <v>0.08</v>
      </c>
      <c r="D21" s="14">
        <v>0.03</v>
      </c>
      <c r="E21" s="14">
        <v>0.1</v>
      </c>
      <c r="F21" s="14">
        <v>0.08</v>
      </c>
      <c r="G21" s="14">
        <v>0.06</v>
      </c>
      <c r="H21" s="14">
        <v>7.0000000000000007E-2</v>
      </c>
      <c r="I21" s="14">
        <v>0.06</v>
      </c>
      <c r="J21" s="14">
        <v>0.04</v>
      </c>
      <c r="K21" s="14">
        <v>0.09</v>
      </c>
      <c r="L21" s="14">
        <v>0.13</v>
      </c>
      <c r="M21" s="14">
        <v>0.04</v>
      </c>
      <c r="N21" s="14">
        <v>0.14000000000000001</v>
      </c>
      <c r="O21" s="14">
        <v>0.09</v>
      </c>
      <c r="P21" s="14">
        <v>0.06</v>
      </c>
      <c r="Q21" s="14">
        <v>0.05</v>
      </c>
      <c r="R21" s="14">
        <v>0.03</v>
      </c>
      <c r="S21" s="14">
        <v>0.13</v>
      </c>
      <c r="T21" s="14">
        <v>0.1</v>
      </c>
      <c r="U21" s="14">
        <v>0.1</v>
      </c>
      <c r="V21" s="14">
        <v>0.05</v>
      </c>
      <c r="W21" s="14">
        <v>0.11</v>
      </c>
      <c r="X21" s="14">
        <v>0.04</v>
      </c>
      <c r="Y21" s="14">
        <v>0.04</v>
      </c>
      <c r="Z21" s="14">
        <v>0.1</v>
      </c>
      <c r="AA21" s="14">
        <v>0.16</v>
      </c>
      <c r="AB21" s="14">
        <v>0.08</v>
      </c>
      <c r="AC21" s="14">
        <v>0.05</v>
      </c>
      <c r="AD21" s="14">
        <v>0.08</v>
      </c>
      <c r="AE21" s="14">
        <v>0.12</v>
      </c>
      <c r="AF21" s="14">
        <v>0.03</v>
      </c>
    </row>
    <row r="22" spans="1:32">
      <c r="A22" s="20"/>
      <c r="B22" s="11" t="s">
        <v>851</v>
      </c>
      <c r="C22" s="12">
        <v>9731</v>
      </c>
      <c r="D22" s="12">
        <v>361</v>
      </c>
      <c r="E22" s="12">
        <v>468</v>
      </c>
      <c r="F22" s="12">
        <v>298</v>
      </c>
      <c r="G22" s="12">
        <v>378</v>
      </c>
      <c r="H22" s="12">
        <v>277</v>
      </c>
      <c r="I22" s="12">
        <v>354</v>
      </c>
      <c r="J22" s="12">
        <v>78</v>
      </c>
      <c r="K22" s="12">
        <v>461</v>
      </c>
      <c r="L22" s="12">
        <v>451</v>
      </c>
      <c r="M22" s="12">
        <v>225</v>
      </c>
      <c r="N22" s="12">
        <v>525</v>
      </c>
      <c r="O22" s="12">
        <v>272</v>
      </c>
      <c r="P22" s="12">
        <v>584</v>
      </c>
      <c r="Q22" s="12">
        <v>396</v>
      </c>
      <c r="R22" s="12">
        <v>64</v>
      </c>
      <c r="S22" s="12">
        <v>500</v>
      </c>
      <c r="T22" s="12">
        <v>536</v>
      </c>
      <c r="U22" s="12">
        <v>154</v>
      </c>
      <c r="V22" s="12">
        <v>585</v>
      </c>
      <c r="W22" s="12">
        <v>209</v>
      </c>
      <c r="X22" s="12">
        <v>391</v>
      </c>
      <c r="Y22" s="12">
        <v>190</v>
      </c>
      <c r="Z22" s="12">
        <v>432</v>
      </c>
      <c r="AA22" s="12">
        <v>566</v>
      </c>
      <c r="AB22" s="12">
        <v>624</v>
      </c>
      <c r="AC22" s="12">
        <v>528</v>
      </c>
      <c r="AD22" s="12">
        <v>412</v>
      </c>
      <c r="AE22" s="12">
        <v>333</v>
      </c>
      <c r="AF22" s="12">
        <v>392</v>
      </c>
    </row>
    <row r="23" spans="1:32">
      <c r="A23" s="20"/>
      <c r="B23" s="13" t="s">
        <v>852</v>
      </c>
      <c r="C23" s="14">
        <v>0.37</v>
      </c>
      <c r="D23" s="14">
        <v>0.37</v>
      </c>
      <c r="E23" s="14">
        <v>0.46</v>
      </c>
      <c r="F23" s="14">
        <v>0.28999999999999998</v>
      </c>
      <c r="G23" s="14">
        <v>0.38</v>
      </c>
      <c r="H23" s="14">
        <v>0.22</v>
      </c>
      <c r="I23" s="14">
        <v>0.24</v>
      </c>
      <c r="J23" s="14">
        <v>0.27</v>
      </c>
      <c r="K23" s="14">
        <v>0.46</v>
      </c>
      <c r="L23" s="14">
        <v>0.45</v>
      </c>
      <c r="M23" s="14">
        <v>0.22</v>
      </c>
      <c r="N23" s="14">
        <v>0.53</v>
      </c>
      <c r="O23" s="14">
        <v>0.27</v>
      </c>
      <c r="P23" s="14">
        <v>0.57000000000000006</v>
      </c>
      <c r="Q23" s="14">
        <v>0.39</v>
      </c>
      <c r="R23" s="14">
        <v>0.13</v>
      </c>
      <c r="S23" s="14">
        <v>0.5</v>
      </c>
      <c r="T23" s="14">
        <v>0.53</v>
      </c>
      <c r="U23" s="14">
        <v>0.31</v>
      </c>
      <c r="V23" s="14">
        <v>0.57999999999999996</v>
      </c>
      <c r="W23" s="14">
        <v>0.42</v>
      </c>
      <c r="X23" s="14">
        <v>0.39</v>
      </c>
      <c r="Y23" s="14">
        <v>0.19</v>
      </c>
      <c r="Z23" s="14">
        <v>0.43</v>
      </c>
      <c r="AA23" s="14">
        <v>0.54</v>
      </c>
      <c r="AB23" s="14">
        <v>0.6</v>
      </c>
      <c r="AC23" s="14">
        <v>0.52</v>
      </c>
      <c r="AD23" s="14">
        <v>0.41</v>
      </c>
      <c r="AE23" s="14">
        <v>0.33</v>
      </c>
      <c r="AF23" s="14">
        <v>0.38</v>
      </c>
    </row>
    <row r="24" spans="1:32">
      <c r="A24" s="20"/>
      <c r="B24" s="11" t="s">
        <v>881</v>
      </c>
      <c r="C24" s="12">
        <v>14512</v>
      </c>
      <c r="D24" s="12">
        <v>609</v>
      </c>
      <c r="E24" s="12">
        <v>449</v>
      </c>
      <c r="F24" s="12">
        <v>631</v>
      </c>
      <c r="G24" s="12">
        <v>564</v>
      </c>
      <c r="H24" s="12">
        <v>860</v>
      </c>
      <c r="I24" s="12">
        <v>1064</v>
      </c>
      <c r="J24" s="12">
        <v>204</v>
      </c>
      <c r="K24" s="12">
        <v>453</v>
      </c>
      <c r="L24" s="12">
        <v>427</v>
      </c>
      <c r="M24" s="12">
        <v>736</v>
      </c>
      <c r="N24" s="12">
        <v>334</v>
      </c>
      <c r="O24" s="12">
        <v>638</v>
      </c>
      <c r="P24" s="12">
        <v>378</v>
      </c>
      <c r="Q24" s="12">
        <v>576</v>
      </c>
      <c r="R24" s="12">
        <v>422</v>
      </c>
      <c r="S24" s="12">
        <v>372</v>
      </c>
      <c r="T24" s="12">
        <v>380</v>
      </c>
      <c r="U24" s="12">
        <v>301</v>
      </c>
      <c r="V24" s="12">
        <v>376</v>
      </c>
      <c r="W24" s="12">
        <v>236</v>
      </c>
      <c r="X24" s="12">
        <v>585</v>
      </c>
      <c r="Y24" s="12">
        <v>779</v>
      </c>
      <c r="Z24" s="12">
        <v>479</v>
      </c>
      <c r="AA24" s="12">
        <v>321</v>
      </c>
      <c r="AB24" s="12">
        <v>331</v>
      </c>
      <c r="AC24" s="12">
        <v>433</v>
      </c>
      <c r="AD24" s="12">
        <v>518</v>
      </c>
      <c r="AE24" s="12">
        <v>546</v>
      </c>
      <c r="AF24" s="12">
        <v>599</v>
      </c>
    </row>
    <row r="25" spans="1:32">
      <c r="A25" s="20"/>
      <c r="B25" s="13" t="s">
        <v>882</v>
      </c>
      <c r="C25" s="14">
        <v>0.55000000000000004</v>
      </c>
      <c r="D25" s="14">
        <v>0.6</v>
      </c>
      <c r="E25" s="14">
        <v>0.44</v>
      </c>
      <c r="F25" s="14">
        <v>0.63</v>
      </c>
      <c r="G25" s="14">
        <v>0.56000000000000005</v>
      </c>
      <c r="H25" s="14">
        <v>0.71</v>
      </c>
      <c r="I25" s="14">
        <v>0.70000000000000007</v>
      </c>
      <c r="J25" s="14">
        <v>0.69000000000000006</v>
      </c>
      <c r="K25" s="14">
        <v>0.45</v>
      </c>
      <c r="L25" s="14">
        <v>0.42</v>
      </c>
      <c r="M25" s="14">
        <v>0.74</v>
      </c>
      <c r="N25" s="14">
        <v>0.33</v>
      </c>
      <c r="O25" s="14">
        <v>0.64</v>
      </c>
      <c r="P25" s="14">
        <v>0.37</v>
      </c>
      <c r="Q25" s="14">
        <v>0.56000000000000005</v>
      </c>
      <c r="R25" s="14">
        <v>0.84</v>
      </c>
      <c r="S25" s="14">
        <v>0.37</v>
      </c>
      <c r="T25" s="14">
        <v>0.37</v>
      </c>
      <c r="U25" s="14">
        <v>0.59</v>
      </c>
      <c r="V25" s="14">
        <v>0.37</v>
      </c>
      <c r="W25" s="14">
        <v>0.47</v>
      </c>
      <c r="X25" s="14">
        <v>0.57000000000000006</v>
      </c>
      <c r="Y25" s="14">
        <v>0.77</v>
      </c>
      <c r="Z25" s="14">
        <v>0.47</v>
      </c>
      <c r="AA25" s="14">
        <v>0.3</v>
      </c>
      <c r="AB25" s="14">
        <v>0.32</v>
      </c>
      <c r="AC25" s="14">
        <v>0.43</v>
      </c>
      <c r="AD25" s="14">
        <v>0.51</v>
      </c>
      <c r="AE25" s="14">
        <v>0.55000000000000004</v>
      </c>
      <c r="AF25" s="14">
        <v>0.59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913</v>
      </c>
      <c r="C3" s="18"/>
      <c r="D3" s="18"/>
      <c r="E3" s="18"/>
      <c r="F3" s="18"/>
      <c r="H3" s="18" t="s">
        <v>914</v>
      </c>
      <c r="I3" s="18"/>
      <c r="J3" s="18"/>
      <c r="K3" s="18"/>
      <c r="L3" s="18"/>
    </row>
    <row r="4" spans="1:32" ht="27" customHeight="1">
      <c r="B4" s="18" t="s">
        <v>915</v>
      </c>
      <c r="C4" s="18"/>
      <c r="D4" s="18"/>
      <c r="E4" s="18"/>
      <c r="F4" s="18"/>
      <c r="H4" s="18" t="s">
        <v>915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843</v>
      </c>
      <c r="C12" s="12">
        <v>4312</v>
      </c>
      <c r="D12" s="12">
        <v>155</v>
      </c>
      <c r="E12" s="12">
        <v>80</v>
      </c>
      <c r="F12" s="12">
        <v>64</v>
      </c>
      <c r="G12" s="12">
        <v>423</v>
      </c>
      <c r="H12" s="12">
        <v>156</v>
      </c>
      <c r="I12" s="12">
        <v>196</v>
      </c>
      <c r="J12" s="12">
        <v>40</v>
      </c>
      <c r="K12" s="12">
        <v>242</v>
      </c>
      <c r="L12" s="12">
        <v>320</v>
      </c>
      <c r="M12" s="12">
        <v>81</v>
      </c>
      <c r="N12" s="12">
        <v>237</v>
      </c>
      <c r="O12" s="12">
        <v>140</v>
      </c>
      <c r="P12" s="12">
        <v>143</v>
      </c>
      <c r="Q12" s="12">
        <v>104</v>
      </c>
      <c r="R12" s="12">
        <v>48</v>
      </c>
      <c r="S12" s="12">
        <v>325</v>
      </c>
      <c r="T12" s="12">
        <v>360</v>
      </c>
      <c r="U12" s="12">
        <v>114</v>
      </c>
      <c r="V12" s="12">
        <v>76</v>
      </c>
      <c r="W12" s="12">
        <v>106</v>
      </c>
      <c r="X12" s="12">
        <v>284</v>
      </c>
      <c r="Y12" s="12">
        <v>164</v>
      </c>
      <c r="Z12" s="12">
        <v>80</v>
      </c>
      <c r="AA12" s="12">
        <v>276</v>
      </c>
      <c r="AB12" s="12">
        <v>149</v>
      </c>
      <c r="AC12" s="12">
        <v>193</v>
      </c>
      <c r="AD12" s="12">
        <v>110</v>
      </c>
      <c r="AE12" s="12">
        <v>436</v>
      </c>
      <c r="AF12" s="12">
        <v>574</v>
      </c>
    </row>
    <row r="13" spans="1:32">
      <c r="A13" s="20"/>
      <c r="B13" s="13" t="s">
        <v>875</v>
      </c>
      <c r="C13" s="14">
        <v>0.16</v>
      </c>
      <c r="D13" s="14">
        <v>0.16</v>
      </c>
      <c r="E13" s="14">
        <v>0.08</v>
      </c>
      <c r="F13" s="14">
        <v>0.06</v>
      </c>
      <c r="G13" s="14">
        <v>0.42</v>
      </c>
      <c r="H13" s="14">
        <v>0.13</v>
      </c>
      <c r="I13" s="14">
        <v>0.13</v>
      </c>
      <c r="J13" s="14">
        <v>0.14000000000000001</v>
      </c>
      <c r="K13" s="14">
        <v>0.24</v>
      </c>
      <c r="L13" s="14">
        <v>0.32</v>
      </c>
      <c r="M13" s="14">
        <v>0.08</v>
      </c>
      <c r="N13" s="14">
        <v>0.24</v>
      </c>
      <c r="O13" s="14">
        <v>0.14000000000000001</v>
      </c>
      <c r="P13" s="14">
        <v>0.14000000000000001</v>
      </c>
      <c r="Q13" s="14">
        <v>0.1</v>
      </c>
      <c r="R13" s="14">
        <v>0.1</v>
      </c>
      <c r="S13" s="14">
        <v>0.32</v>
      </c>
      <c r="T13" s="14">
        <v>0.35</v>
      </c>
      <c r="U13" s="14">
        <v>0.22</v>
      </c>
      <c r="V13" s="14">
        <v>7.0000000000000007E-2</v>
      </c>
      <c r="W13" s="14">
        <v>0.21</v>
      </c>
      <c r="X13" s="14">
        <v>0.28000000000000003</v>
      </c>
      <c r="Y13" s="14">
        <v>0.16</v>
      </c>
      <c r="Z13" s="14">
        <v>0.08</v>
      </c>
      <c r="AA13" s="14">
        <v>0.26</v>
      </c>
      <c r="AB13" s="14">
        <v>0.14000000000000001</v>
      </c>
      <c r="AC13" s="14">
        <v>0.19</v>
      </c>
      <c r="AD13" s="14">
        <v>0.11</v>
      </c>
      <c r="AE13" s="14">
        <v>0.44</v>
      </c>
      <c r="AF13" s="14">
        <v>0.56000000000000005</v>
      </c>
    </row>
    <row r="14" spans="1:32">
      <c r="A14" s="20"/>
      <c r="B14" s="11" t="s">
        <v>845</v>
      </c>
      <c r="C14" s="12">
        <v>9438</v>
      </c>
      <c r="D14" s="12">
        <v>379</v>
      </c>
      <c r="E14" s="12">
        <v>239</v>
      </c>
      <c r="F14" s="12">
        <v>218</v>
      </c>
      <c r="G14" s="12">
        <v>387</v>
      </c>
      <c r="H14" s="12">
        <v>443</v>
      </c>
      <c r="I14" s="12">
        <v>515</v>
      </c>
      <c r="J14" s="12">
        <v>73</v>
      </c>
      <c r="K14" s="12">
        <v>367</v>
      </c>
      <c r="L14" s="12">
        <v>355</v>
      </c>
      <c r="M14" s="12">
        <v>327</v>
      </c>
      <c r="N14" s="12">
        <v>432</v>
      </c>
      <c r="O14" s="12">
        <v>344</v>
      </c>
      <c r="P14" s="12">
        <v>529</v>
      </c>
      <c r="Q14" s="12">
        <v>357</v>
      </c>
      <c r="R14" s="12">
        <v>175</v>
      </c>
      <c r="S14" s="12">
        <v>325</v>
      </c>
      <c r="T14" s="12">
        <v>374</v>
      </c>
      <c r="U14" s="12">
        <v>171</v>
      </c>
      <c r="V14" s="12">
        <v>236</v>
      </c>
      <c r="W14" s="12">
        <v>161</v>
      </c>
      <c r="X14" s="12">
        <v>381</v>
      </c>
      <c r="Y14" s="12">
        <v>240</v>
      </c>
      <c r="Z14" s="12">
        <v>433</v>
      </c>
      <c r="AA14" s="12">
        <v>410</v>
      </c>
      <c r="AB14" s="12">
        <v>391</v>
      </c>
      <c r="AC14" s="12">
        <v>375</v>
      </c>
      <c r="AD14" s="12">
        <v>376</v>
      </c>
      <c r="AE14" s="12">
        <v>373</v>
      </c>
      <c r="AF14" s="12">
        <v>354</v>
      </c>
    </row>
    <row r="15" spans="1:32">
      <c r="A15" s="20"/>
      <c r="B15" s="13" t="s">
        <v>876</v>
      </c>
      <c r="C15" s="14">
        <v>0.36</v>
      </c>
      <c r="D15" s="14">
        <v>0.38</v>
      </c>
      <c r="E15" s="14">
        <v>0.23</v>
      </c>
      <c r="F15" s="14">
        <v>0.22</v>
      </c>
      <c r="G15" s="14">
        <v>0.39</v>
      </c>
      <c r="H15" s="14">
        <v>0.36</v>
      </c>
      <c r="I15" s="14">
        <v>0.34</v>
      </c>
      <c r="J15" s="14">
        <v>0.25</v>
      </c>
      <c r="K15" s="14">
        <v>0.37</v>
      </c>
      <c r="L15" s="14">
        <v>0.35</v>
      </c>
      <c r="M15" s="14">
        <v>0.33</v>
      </c>
      <c r="N15" s="14">
        <v>0.43</v>
      </c>
      <c r="O15" s="14">
        <v>0.34</v>
      </c>
      <c r="P15" s="14">
        <v>0.52</v>
      </c>
      <c r="Q15" s="14">
        <v>0.35</v>
      </c>
      <c r="R15" s="14">
        <v>0.35</v>
      </c>
      <c r="S15" s="14">
        <v>0.32</v>
      </c>
      <c r="T15" s="14">
        <v>0.37</v>
      </c>
      <c r="U15" s="14">
        <v>0.34</v>
      </c>
      <c r="V15" s="14">
        <v>0.23</v>
      </c>
      <c r="W15" s="14">
        <v>0.32</v>
      </c>
      <c r="X15" s="14">
        <v>0.37</v>
      </c>
      <c r="Y15" s="14">
        <v>0.24</v>
      </c>
      <c r="Z15" s="14">
        <v>0.43</v>
      </c>
      <c r="AA15" s="14">
        <v>0.39</v>
      </c>
      <c r="AB15" s="14">
        <v>0.37</v>
      </c>
      <c r="AC15" s="14">
        <v>0.37</v>
      </c>
      <c r="AD15" s="14">
        <v>0.37</v>
      </c>
      <c r="AE15" s="14">
        <v>0.37</v>
      </c>
      <c r="AF15" s="14">
        <v>0.35</v>
      </c>
    </row>
    <row r="16" spans="1:32">
      <c r="A16" s="20"/>
      <c r="B16" s="11" t="s">
        <v>877</v>
      </c>
      <c r="C16" s="12">
        <v>5905</v>
      </c>
      <c r="D16" s="12">
        <v>235</v>
      </c>
      <c r="E16" s="12">
        <v>265</v>
      </c>
      <c r="F16" s="12">
        <v>244</v>
      </c>
      <c r="G16" s="12">
        <v>109</v>
      </c>
      <c r="H16" s="12">
        <v>308</v>
      </c>
      <c r="I16" s="12">
        <v>388</v>
      </c>
      <c r="J16" s="12">
        <v>80</v>
      </c>
      <c r="K16" s="12">
        <v>148</v>
      </c>
      <c r="L16" s="12">
        <v>110</v>
      </c>
      <c r="M16" s="12">
        <v>232</v>
      </c>
      <c r="N16" s="12">
        <v>115</v>
      </c>
      <c r="O16" s="12">
        <v>216</v>
      </c>
      <c r="P16" s="12">
        <v>221</v>
      </c>
      <c r="Q16" s="12">
        <v>336</v>
      </c>
      <c r="R16" s="12">
        <v>113</v>
      </c>
      <c r="S16" s="12">
        <v>114</v>
      </c>
      <c r="T16" s="12">
        <v>120</v>
      </c>
      <c r="U16" s="12">
        <v>98</v>
      </c>
      <c r="V16" s="12">
        <v>322</v>
      </c>
      <c r="W16" s="12">
        <v>98</v>
      </c>
      <c r="X16" s="12">
        <v>197</v>
      </c>
      <c r="Y16" s="12">
        <v>189</v>
      </c>
      <c r="Z16" s="12">
        <v>255</v>
      </c>
      <c r="AA16" s="12">
        <v>159</v>
      </c>
      <c r="AB16" s="12">
        <v>277</v>
      </c>
      <c r="AC16" s="12">
        <v>177</v>
      </c>
      <c r="AD16" s="12">
        <v>215</v>
      </c>
      <c r="AE16" s="12">
        <v>72</v>
      </c>
      <c r="AF16" s="12">
        <v>49</v>
      </c>
    </row>
    <row r="17" spans="1:32">
      <c r="A17" s="20"/>
      <c r="B17" s="13" t="s">
        <v>878</v>
      </c>
      <c r="C17" s="14">
        <v>0.23</v>
      </c>
      <c r="D17" s="14">
        <v>0.23</v>
      </c>
      <c r="E17" s="14">
        <v>0.26</v>
      </c>
      <c r="F17" s="14">
        <v>0.24</v>
      </c>
      <c r="G17" s="14">
        <v>0.11</v>
      </c>
      <c r="H17" s="14">
        <v>0.25</v>
      </c>
      <c r="I17" s="14">
        <v>0.26</v>
      </c>
      <c r="J17" s="14">
        <v>0.27</v>
      </c>
      <c r="K17" s="14">
        <v>0.15</v>
      </c>
      <c r="L17" s="14">
        <v>0.11</v>
      </c>
      <c r="M17" s="14">
        <v>0.23</v>
      </c>
      <c r="N17" s="14">
        <v>0.11</v>
      </c>
      <c r="O17" s="14">
        <v>0.22</v>
      </c>
      <c r="P17" s="14">
        <v>0.22</v>
      </c>
      <c r="Q17" s="14">
        <v>0.33</v>
      </c>
      <c r="R17" s="14">
        <v>0.23</v>
      </c>
      <c r="S17" s="14">
        <v>0.12</v>
      </c>
      <c r="T17" s="14">
        <v>0.12</v>
      </c>
      <c r="U17" s="14">
        <v>0.2</v>
      </c>
      <c r="V17" s="14">
        <v>0.32</v>
      </c>
      <c r="W17" s="14">
        <v>0.19</v>
      </c>
      <c r="X17" s="14">
        <v>0.19</v>
      </c>
      <c r="Y17" s="14">
        <v>0.19</v>
      </c>
      <c r="Z17" s="14">
        <v>0.25</v>
      </c>
      <c r="AA17" s="14">
        <v>0.15</v>
      </c>
      <c r="AB17" s="14">
        <v>0.27</v>
      </c>
      <c r="AC17" s="14">
        <v>0.18</v>
      </c>
      <c r="AD17" s="14">
        <v>0.22</v>
      </c>
      <c r="AE17" s="14">
        <v>7.0000000000000007E-2</v>
      </c>
      <c r="AF17" s="14">
        <v>0.05</v>
      </c>
    </row>
    <row r="18" spans="1:32">
      <c r="A18" s="20"/>
      <c r="B18" s="11" t="s">
        <v>879</v>
      </c>
      <c r="C18" s="12">
        <v>4793</v>
      </c>
      <c r="D18" s="12">
        <v>204</v>
      </c>
      <c r="E18" s="12">
        <v>332</v>
      </c>
      <c r="F18" s="12">
        <v>398</v>
      </c>
      <c r="G18" s="12">
        <v>42</v>
      </c>
      <c r="H18" s="12">
        <v>231</v>
      </c>
      <c r="I18" s="12">
        <v>320</v>
      </c>
      <c r="J18" s="12">
        <v>89</v>
      </c>
      <c r="K18" s="12">
        <v>155</v>
      </c>
      <c r="L18" s="12">
        <v>136</v>
      </c>
      <c r="M18" s="12">
        <v>298</v>
      </c>
      <c r="N18" s="12">
        <v>99</v>
      </c>
      <c r="O18" s="12">
        <v>219</v>
      </c>
      <c r="P18" s="12">
        <v>73</v>
      </c>
      <c r="Q18" s="12">
        <v>178</v>
      </c>
      <c r="R18" s="12">
        <v>136</v>
      </c>
      <c r="S18" s="12">
        <v>144</v>
      </c>
      <c r="T18" s="12">
        <v>82</v>
      </c>
      <c r="U18" s="12">
        <v>72</v>
      </c>
      <c r="V18" s="12">
        <v>323</v>
      </c>
      <c r="W18" s="12">
        <v>83</v>
      </c>
      <c r="X18" s="12">
        <v>124</v>
      </c>
      <c r="Y18" s="12">
        <v>357</v>
      </c>
      <c r="Z18" s="12">
        <v>171</v>
      </c>
      <c r="AA18" s="12">
        <v>63</v>
      </c>
      <c r="AB18" s="12">
        <v>131</v>
      </c>
      <c r="AC18" s="12">
        <v>206</v>
      </c>
      <c r="AD18" s="12">
        <v>224</v>
      </c>
      <c r="AE18" s="12">
        <v>40</v>
      </c>
      <c r="AF18" s="12">
        <v>22</v>
      </c>
    </row>
    <row r="19" spans="1:32">
      <c r="A19" s="20"/>
      <c r="B19" s="13" t="s">
        <v>880</v>
      </c>
      <c r="C19" s="14">
        <v>0.18</v>
      </c>
      <c r="D19" s="14">
        <v>0.2</v>
      </c>
      <c r="E19" s="14">
        <v>0.33</v>
      </c>
      <c r="F19" s="14">
        <v>0.4</v>
      </c>
      <c r="G19" s="14">
        <v>0.04</v>
      </c>
      <c r="H19" s="14">
        <v>0.19</v>
      </c>
      <c r="I19" s="14">
        <v>0.21</v>
      </c>
      <c r="J19" s="14">
        <v>0.3</v>
      </c>
      <c r="K19" s="14">
        <v>0.15</v>
      </c>
      <c r="L19" s="14">
        <v>0.13</v>
      </c>
      <c r="M19" s="14">
        <v>0.3</v>
      </c>
      <c r="N19" s="14">
        <v>0.1</v>
      </c>
      <c r="O19" s="14">
        <v>0.22</v>
      </c>
      <c r="P19" s="14">
        <v>7.0000000000000007E-2</v>
      </c>
      <c r="Q19" s="14">
        <v>0.18</v>
      </c>
      <c r="R19" s="14">
        <v>0.27</v>
      </c>
      <c r="S19" s="14">
        <v>0.14000000000000001</v>
      </c>
      <c r="T19" s="14">
        <v>0.08</v>
      </c>
      <c r="U19" s="14">
        <v>0.14000000000000001</v>
      </c>
      <c r="V19" s="14">
        <v>0.32</v>
      </c>
      <c r="W19" s="14">
        <v>0.17</v>
      </c>
      <c r="X19" s="14">
        <v>0.12</v>
      </c>
      <c r="Y19" s="14">
        <v>0.35</v>
      </c>
      <c r="Z19" s="14">
        <v>0.17</v>
      </c>
      <c r="AA19" s="14">
        <v>0.06</v>
      </c>
      <c r="AB19" s="14">
        <v>0.13</v>
      </c>
      <c r="AC19" s="14">
        <v>0.2</v>
      </c>
      <c r="AD19" s="14">
        <v>0.22</v>
      </c>
      <c r="AE19" s="14">
        <v>0.04</v>
      </c>
      <c r="AF19" s="14">
        <v>0.02</v>
      </c>
    </row>
    <row r="20" spans="1:32">
      <c r="A20" s="20"/>
      <c r="B20" s="11" t="s">
        <v>468</v>
      </c>
      <c r="C20" s="12">
        <v>1871</v>
      </c>
      <c r="D20" s="12">
        <v>29</v>
      </c>
      <c r="E20" s="12">
        <v>101</v>
      </c>
      <c r="F20" s="12">
        <v>81</v>
      </c>
      <c r="G20" s="12">
        <v>44</v>
      </c>
      <c r="H20" s="12">
        <v>78</v>
      </c>
      <c r="I20" s="12">
        <v>91</v>
      </c>
      <c r="J20" s="12">
        <v>13</v>
      </c>
      <c r="K20" s="12">
        <v>95</v>
      </c>
      <c r="L20" s="12">
        <v>86</v>
      </c>
      <c r="M20" s="12">
        <v>65</v>
      </c>
      <c r="N20" s="12">
        <v>122</v>
      </c>
      <c r="O20" s="12">
        <v>84</v>
      </c>
      <c r="P20" s="12">
        <v>56</v>
      </c>
      <c r="Q20" s="12">
        <v>44</v>
      </c>
      <c r="R20" s="12">
        <v>27</v>
      </c>
      <c r="S20" s="12">
        <v>100</v>
      </c>
      <c r="T20" s="12">
        <v>78</v>
      </c>
      <c r="U20" s="12">
        <v>52</v>
      </c>
      <c r="V20" s="12">
        <v>60</v>
      </c>
      <c r="W20" s="12">
        <v>55</v>
      </c>
      <c r="X20" s="12">
        <v>35</v>
      </c>
      <c r="Y20" s="12">
        <v>57</v>
      </c>
      <c r="Z20" s="12">
        <v>68</v>
      </c>
      <c r="AA20" s="12">
        <v>145</v>
      </c>
      <c r="AB20" s="12">
        <v>90</v>
      </c>
      <c r="AC20" s="12">
        <v>60</v>
      </c>
      <c r="AD20" s="12">
        <v>81</v>
      </c>
      <c r="AE20" s="12">
        <v>80</v>
      </c>
      <c r="AF20" s="12">
        <v>20</v>
      </c>
    </row>
    <row r="21" spans="1:32">
      <c r="A21" s="20"/>
      <c r="B21" s="13" t="s">
        <v>469</v>
      </c>
      <c r="C21" s="14">
        <v>7.0000000000000007E-2</v>
      </c>
      <c r="D21" s="14">
        <v>0.03</v>
      </c>
      <c r="E21" s="14">
        <v>0.1</v>
      </c>
      <c r="F21" s="14">
        <v>0.08</v>
      </c>
      <c r="G21" s="14">
        <v>0.04</v>
      </c>
      <c r="H21" s="14">
        <v>7.0000000000000007E-2</v>
      </c>
      <c r="I21" s="14">
        <v>0.06</v>
      </c>
      <c r="J21" s="14">
        <v>0.04</v>
      </c>
      <c r="K21" s="14">
        <v>0.09</v>
      </c>
      <c r="L21" s="14">
        <v>0.09</v>
      </c>
      <c r="M21" s="14">
        <v>0.06</v>
      </c>
      <c r="N21" s="14">
        <v>0.12</v>
      </c>
      <c r="O21" s="14">
        <v>0.08</v>
      </c>
      <c r="P21" s="14">
        <v>0.05</v>
      </c>
      <c r="Q21" s="14">
        <v>0.04</v>
      </c>
      <c r="R21" s="14">
        <v>0.05</v>
      </c>
      <c r="S21" s="14">
        <v>0.1</v>
      </c>
      <c r="T21" s="14">
        <v>0.08</v>
      </c>
      <c r="U21" s="14">
        <v>0.1</v>
      </c>
      <c r="V21" s="14">
        <v>0.06</v>
      </c>
      <c r="W21" s="14">
        <v>0.11</v>
      </c>
      <c r="X21" s="14">
        <v>0.04</v>
      </c>
      <c r="Y21" s="14">
        <v>0.06</v>
      </c>
      <c r="Z21" s="14">
        <v>7.0000000000000007E-2</v>
      </c>
      <c r="AA21" s="14">
        <v>0.14000000000000001</v>
      </c>
      <c r="AB21" s="14">
        <v>0.09</v>
      </c>
      <c r="AC21" s="14">
        <v>0.06</v>
      </c>
      <c r="AD21" s="14">
        <v>0.08</v>
      </c>
      <c r="AE21" s="14">
        <v>0.08</v>
      </c>
      <c r="AF21" s="14">
        <v>0.02</v>
      </c>
    </row>
    <row r="22" spans="1:32">
      <c r="A22" s="20"/>
      <c r="B22" s="11" t="s">
        <v>851</v>
      </c>
      <c r="C22" s="12">
        <v>13750</v>
      </c>
      <c r="D22" s="12">
        <v>534</v>
      </c>
      <c r="E22" s="12">
        <v>319</v>
      </c>
      <c r="F22" s="12">
        <v>282</v>
      </c>
      <c r="G22" s="12">
        <v>810</v>
      </c>
      <c r="H22" s="12">
        <v>599</v>
      </c>
      <c r="I22" s="12">
        <v>711</v>
      </c>
      <c r="J22" s="12">
        <v>113</v>
      </c>
      <c r="K22" s="12">
        <v>609</v>
      </c>
      <c r="L22" s="12">
        <v>675</v>
      </c>
      <c r="M22" s="12">
        <v>408</v>
      </c>
      <c r="N22" s="12">
        <v>669</v>
      </c>
      <c r="O22" s="12">
        <v>484</v>
      </c>
      <c r="P22" s="12">
        <v>672</v>
      </c>
      <c r="Q22" s="12">
        <v>461</v>
      </c>
      <c r="R22" s="12">
        <v>223</v>
      </c>
      <c r="S22" s="12">
        <v>650</v>
      </c>
      <c r="T22" s="12">
        <v>734</v>
      </c>
      <c r="U22" s="12">
        <v>285</v>
      </c>
      <c r="V22" s="12">
        <v>312</v>
      </c>
      <c r="W22" s="12">
        <v>267</v>
      </c>
      <c r="X22" s="12">
        <v>665</v>
      </c>
      <c r="Y22" s="12">
        <v>404</v>
      </c>
      <c r="Z22" s="12">
        <v>513</v>
      </c>
      <c r="AA22" s="12">
        <v>686</v>
      </c>
      <c r="AB22" s="12">
        <v>540</v>
      </c>
      <c r="AC22" s="12">
        <v>568</v>
      </c>
      <c r="AD22" s="12">
        <v>486</v>
      </c>
      <c r="AE22" s="12">
        <v>809</v>
      </c>
      <c r="AF22" s="12">
        <v>928</v>
      </c>
    </row>
    <row r="23" spans="1:32">
      <c r="A23" s="20"/>
      <c r="B23" s="13" t="s">
        <v>852</v>
      </c>
      <c r="C23" s="14">
        <v>0.52</v>
      </c>
      <c r="D23" s="14">
        <v>0.54</v>
      </c>
      <c r="E23" s="14">
        <v>0.31</v>
      </c>
      <c r="F23" s="14">
        <v>0.28000000000000003</v>
      </c>
      <c r="G23" s="14">
        <v>0.81</v>
      </c>
      <c r="H23" s="14">
        <v>0.49</v>
      </c>
      <c r="I23" s="14">
        <v>0.47</v>
      </c>
      <c r="J23" s="14">
        <v>0.39</v>
      </c>
      <c r="K23" s="14">
        <v>0.61</v>
      </c>
      <c r="L23" s="14">
        <v>0.67</v>
      </c>
      <c r="M23" s="14">
        <v>0.41</v>
      </c>
      <c r="N23" s="14">
        <v>0.67</v>
      </c>
      <c r="O23" s="14">
        <v>0.48</v>
      </c>
      <c r="P23" s="14">
        <v>0.66</v>
      </c>
      <c r="Q23" s="14">
        <v>0.45</v>
      </c>
      <c r="R23" s="14">
        <v>0.45</v>
      </c>
      <c r="S23" s="14">
        <v>0.64</v>
      </c>
      <c r="T23" s="14">
        <v>0.72</v>
      </c>
      <c r="U23" s="14">
        <v>0.56000000000000005</v>
      </c>
      <c r="V23" s="14">
        <v>0.3</v>
      </c>
      <c r="W23" s="14">
        <v>0.53</v>
      </c>
      <c r="X23" s="14">
        <v>0.65</v>
      </c>
      <c r="Y23" s="14">
        <v>0.4</v>
      </c>
      <c r="Z23" s="14">
        <v>0.51</v>
      </c>
      <c r="AA23" s="14">
        <v>0.65</v>
      </c>
      <c r="AB23" s="14">
        <v>0.51</v>
      </c>
      <c r="AC23" s="14">
        <v>0.56000000000000005</v>
      </c>
      <c r="AD23" s="14">
        <v>0.48</v>
      </c>
      <c r="AE23" s="14">
        <v>0.81</v>
      </c>
      <c r="AF23" s="14">
        <v>0.91</v>
      </c>
    </row>
    <row r="24" spans="1:32">
      <c r="A24" s="20"/>
      <c r="B24" s="11" t="s">
        <v>881</v>
      </c>
      <c r="C24" s="12">
        <v>10698</v>
      </c>
      <c r="D24" s="12">
        <v>439</v>
      </c>
      <c r="E24" s="12">
        <v>597</v>
      </c>
      <c r="F24" s="12">
        <v>642</v>
      </c>
      <c r="G24" s="12">
        <v>151</v>
      </c>
      <c r="H24" s="12">
        <v>539</v>
      </c>
      <c r="I24" s="12">
        <v>708</v>
      </c>
      <c r="J24" s="12">
        <v>169</v>
      </c>
      <c r="K24" s="12">
        <v>303</v>
      </c>
      <c r="L24" s="12">
        <v>246</v>
      </c>
      <c r="M24" s="12">
        <v>530</v>
      </c>
      <c r="N24" s="12">
        <v>214</v>
      </c>
      <c r="O24" s="12">
        <v>435</v>
      </c>
      <c r="P24" s="12">
        <v>294</v>
      </c>
      <c r="Q24" s="12">
        <v>514</v>
      </c>
      <c r="R24" s="12">
        <v>249</v>
      </c>
      <c r="S24" s="12">
        <v>258</v>
      </c>
      <c r="T24" s="12">
        <v>202</v>
      </c>
      <c r="U24" s="12">
        <v>170</v>
      </c>
      <c r="V24" s="12">
        <v>645</v>
      </c>
      <c r="W24" s="12">
        <v>181</v>
      </c>
      <c r="X24" s="12">
        <v>321</v>
      </c>
      <c r="Y24" s="12">
        <v>546</v>
      </c>
      <c r="Z24" s="12">
        <v>426</v>
      </c>
      <c r="AA24" s="12">
        <v>222</v>
      </c>
      <c r="AB24" s="12">
        <v>408</v>
      </c>
      <c r="AC24" s="12">
        <v>383</v>
      </c>
      <c r="AD24" s="12">
        <v>439</v>
      </c>
      <c r="AE24" s="12">
        <v>112</v>
      </c>
      <c r="AF24" s="12">
        <v>71</v>
      </c>
    </row>
    <row r="25" spans="1:32">
      <c r="A25" s="20"/>
      <c r="B25" s="13" t="s">
        <v>882</v>
      </c>
      <c r="C25" s="14">
        <v>0.41</v>
      </c>
      <c r="D25" s="14">
        <v>0.43</v>
      </c>
      <c r="E25" s="14">
        <v>0.59</v>
      </c>
      <c r="F25" s="14">
        <v>0.64</v>
      </c>
      <c r="G25" s="14">
        <v>0.15</v>
      </c>
      <c r="H25" s="14">
        <v>0.44</v>
      </c>
      <c r="I25" s="14">
        <v>0.47</v>
      </c>
      <c r="J25" s="14">
        <v>0.57000000000000006</v>
      </c>
      <c r="K25" s="14">
        <v>0.3</v>
      </c>
      <c r="L25" s="14">
        <v>0.24</v>
      </c>
      <c r="M25" s="14">
        <v>0.53</v>
      </c>
      <c r="N25" s="14">
        <v>0.21</v>
      </c>
      <c r="O25" s="14">
        <v>0.44</v>
      </c>
      <c r="P25" s="14">
        <v>0.28999999999999998</v>
      </c>
      <c r="Q25" s="14">
        <v>0.51</v>
      </c>
      <c r="R25" s="14">
        <v>0.5</v>
      </c>
      <c r="S25" s="14">
        <v>0.26</v>
      </c>
      <c r="T25" s="14">
        <v>0.2</v>
      </c>
      <c r="U25" s="14">
        <v>0.34</v>
      </c>
      <c r="V25" s="14">
        <v>0.64</v>
      </c>
      <c r="W25" s="14">
        <v>0.36</v>
      </c>
      <c r="X25" s="14">
        <v>0.31</v>
      </c>
      <c r="Y25" s="14">
        <v>0.54</v>
      </c>
      <c r="Z25" s="14">
        <v>0.42</v>
      </c>
      <c r="AA25" s="14">
        <v>0.21</v>
      </c>
      <c r="AB25" s="14">
        <v>0.4</v>
      </c>
      <c r="AC25" s="14">
        <v>0.38</v>
      </c>
      <c r="AD25" s="14">
        <v>0.44</v>
      </c>
      <c r="AE25" s="14">
        <v>0.11</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3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143</v>
      </c>
      <c r="C3" s="18"/>
      <c r="D3" s="18"/>
      <c r="E3" s="18"/>
      <c r="F3" s="18"/>
      <c r="H3" s="18" t="s">
        <v>144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873</v>
      </c>
      <c r="C12" s="12">
        <v>11783</v>
      </c>
      <c r="D12" s="12">
        <v>403</v>
      </c>
      <c r="E12" s="12">
        <v>439</v>
      </c>
      <c r="F12" s="12">
        <v>298</v>
      </c>
      <c r="G12" s="12">
        <v>607</v>
      </c>
      <c r="H12" s="12">
        <v>419</v>
      </c>
      <c r="I12" s="12">
        <v>524</v>
      </c>
      <c r="J12" s="12">
        <v>105</v>
      </c>
      <c r="K12" s="12">
        <v>465</v>
      </c>
      <c r="L12" s="12">
        <v>510</v>
      </c>
      <c r="M12" s="12">
        <v>388</v>
      </c>
      <c r="N12" s="12">
        <v>553</v>
      </c>
      <c r="O12" s="12">
        <v>369</v>
      </c>
      <c r="P12" s="12">
        <v>595</v>
      </c>
      <c r="Q12" s="12">
        <v>485</v>
      </c>
      <c r="R12" s="12">
        <v>171</v>
      </c>
      <c r="S12" s="12">
        <v>458</v>
      </c>
      <c r="T12" s="12">
        <v>459</v>
      </c>
      <c r="U12" s="12">
        <v>265</v>
      </c>
      <c r="V12" s="12">
        <v>500</v>
      </c>
      <c r="W12" s="12">
        <v>286</v>
      </c>
      <c r="X12" s="12">
        <v>601</v>
      </c>
      <c r="Y12" s="12">
        <v>301</v>
      </c>
      <c r="Z12" s="12">
        <v>472</v>
      </c>
      <c r="AA12" s="12">
        <v>557</v>
      </c>
      <c r="AB12" s="12">
        <v>532</v>
      </c>
      <c r="AC12" s="12">
        <v>529</v>
      </c>
      <c r="AD12" s="12">
        <v>455</v>
      </c>
      <c r="AE12" s="12">
        <v>537</v>
      </c>
      <c r="AF12" s="12">
        <v>755</v>
      </c>
    </row>
    <row r="13" spans="1:32">
      <c r="A13" s="20"/>
      <c r="B13" s="13" t="s">
        <v>874</v>
      </c>
      <c r="C13" s="14">
        <v>0.45</v>
      </c>
      <c r="D13" s="14">
        <v>0.4</v>
      </c>
      <c r="E13" s="14">
        <v>0.43</v>
      </c>
      <c r="F13" s="14">
        <v>0.28999999999999998</v>
      </c>
      <c r="G13" s="14">
        <v>0.6</v>
      </c>
      <c r="H13" s="14">
        <v>0.34</v>
      </c>
      <c r="I13" s="14">
        <v>0.35</v>
      </c>
      <c r="J13" s="14">
        <v>0.35</v>
      </c>
      <c r="K13" s="14">
        <v>0.47</v>
      </c>
      <c r="L13" s="14">
        <v>0.51</v>
      </c>
      <c r="M13" s="14">
        <v>0.39</v>
      </c>
      <c r="N13" s="14">
        <v>0.55000000000000004</v>
      </c>
      <c r="O13" s="14">
        <v>0.36</v>
      </c>
      <c r="P13" s="14">
        <v>0.57999999999999996</v>
      </c>
      <c r="Q13" s="14">
        <v>0.48</v>
      </c>
      <c r="R13" s="14">
        <v>0.34</v>
      </c>
      <c r="S13" s="14">
        <v>0.46</v>
      </c>
      <c r="T13" s="14">
        <v>0.45</v>
      </c>
      <c r="U13" s="14">
        <v>0.52</v>
      </c>
      <c r="V13" s="14">
        <v>0.49</v>
      </c>
      <c r="W13" s="14">
        <v>0.57000000000000006</v>
      </c>
      <c r="X13" s="14">
        <v>0.59</v>
      </c>
      <c r="Y13" s="14">
        <v>0.3</v>
      </c>
      <c r="Z13" s="14">
        <v>0.47</v>
      </c>
      <c r="AA13" s="14">
        <v>0.53</v>
      </c>
      <c r="AB13" s="14">
        <v>0.51</v>
      </c>
      <c r="AC13" s="14">
        <v>0.52</v>
      </c>
      <c r="AD13" s="14">
        <v>0.45</v>
      </c>
      <c r="AE13" s="14">
        <v>0.53</v>
      </c>
      <c r="AF13" s="14">
        <v>0.74</v>
      </c>
    </row>
    <row r="14" spans="1:32">
      <c r="A14" s="20"/>
      <c r="B14" s="11" t="s">
        <v>885</v>
      </c>
      <c r="C14" s="12">
        <v>12642</v>
      </c>
      <c r="D14" s="12">
        <v>483</v>
      </c>
      <c r="E14" s="12">
        <v>533</v>
      </c>
      <c r="F14" s="12">
        <v>380</v>
      </c>
      <c r="G14" s="12">
        <v>678</v>
      </c>
      <c r="H14" s="12">
        <v>560</v>
      </c>
      <c r="I14" s="12">
        <v>675</v>
      </c>
      <c r="J14" s="12">
        <v>117</v>
      </c>
      <c r="K14" s="12">
        <v>521</v>
      </c>
      <c r="L14" s="12">
        <v>570</v>
      </c>
      <c r="M14" s="12">
        <v>507</v>
      </c>
      <c r="N14" s="12">
        <v>561</v>
      </c>
      <c r="O14" s="12">
        <v>337</v>
      </c>
      <c r="P14" s="12">
        <v>759</v>
      </c>
      <c r="Q14" s="12">
        <v>426</v>
      </c>
      <c r="R14" s="12">
        <v>252</v>
      </c>
      <c r="S14" s="12">
        <v>518</v>
      </c>
      <c r="T14" s="12">
        <v>507</v>
      </c>
      <c r="U14" s="12">
        <v>267</v>
      </c>
      <c r="V14" s="12">
        <v>586</v>
      </c>
      <c r="W14" s="12">
        <v>257</v>
      </c>
      <c r="X14" s="12">
        <v>628</v>
      </c>
      <c r="Y14" s="12">
        <v>404</v>
      </c>
      <c r="Z14" s="12">
        <v>506</v>
      </c>
      <c r="AA14" s="12">
        <v>491</v>
      </c>
      <c r="AB14" s="12">
        <v>595</v>
      </c>
      <c r="AC14" s="12">
        <v>709</v>
      </c>
      <c r="AD14" s="12">
        <v>611</v>
      </c>
      <c r="AE14" s="12">
        <v>570</v>
      </c>
      <c r="AF14" s="12">
        <v>827</v>
      </c>
    </row>
    <row r="15" spans="1:32">
      <c r="A15" s="20"/>
      <c r="B15" s="13" t="s">
        <v>886</v>
      </c>
      <c r="C15" s="14">
        <v>0.48</v>
      </c>
      <c r="D15" s="14">
        <v>0.48</v>
      </c>
      <c r="E15" s="14">
        <v>0.53</v>
      </c>
      <c r="F15" s="14">
        <v>0.38</v>
      </c>
      <c r="G15" s="14">
        <v>0.67</v>
      </c>
      <c r="H15" s="14">
        <v>0.46</v>
      </c>
      <c r="I15" s="14">
        <v>0.45</v>
      </c>
      <c r="J15" s="14">
        <v>0.4</v>
      </c>
      <c r="K15" s="14">
        <v>0.52</v>
      </c>
      <c r="L15" s="14">
        <v>0.57000000000000006</v>
      </c>
      <c r="M15" s="14">
        <v>0.5</v>
      </c>
      <c r="N15" s="14">
        <v>0.56000000000000005</v>
      </c>
      <c r="O15" s="14">
        <v>0.34</v>
      </c>
      <c r="P15" s="14">
        <v>0.74</v>
      </c>
      <c r="Q15" s="14">
        <v>0.41</v>
      </c>
      <c r="R15" s="14">
        <v>0.5</v>
      </c>
      <c r="S15" s="14">
        <v>0.52</v>
      </c>
      <c r="T15" s="14">
        <v>0.5</v>
      </c>
      <c r="U15" s="14">
        <v>0.53</v>
      </c>
      <c r="V15" s="14">
        <v>0.57000000000000006</v>
      </c>
      <c r="W15" s="14">
        <v>0.51</v>
      </c>
      <c r="X15" s="14">
        <v>0.61</v>
      </c>
      <c r="Y15" s="14">
        <v>0.4</v>
      </c>
      <c r="Z15" s="14">
        <v>0.5</v>
      </c>
      <c r="AA15" s="14">
        <v>0.47</v>
      </c>
      <c r="AB15" s="14">
        <v>0.57000000000000006</v>
      </c>
      <c r="AC15" s="14">
        <v>0.70000000000000007</v>
      </c>
      <c r="AD15" s="14">
        <v>0.61</v>
      </c>
      <c r="AE15" s="14">
        <v>0.57000000000000006</v>
      </c>
      <c r="AF15" s="14">
        <v>0.81</v>
      </c>
    </row>
    <row r="16" spans="1:32">
      <c r="A16" s="20"/>
      <c r="B16" s="11" t="s">
        <v>889</v>
      </c>
      <c r="C16" s="12">
        <v>11996</v>
      </c>
      <c r="D16" s="12">
        <v>445</v>
      </c>
      <c r="E16" s="12">
        <v>479</v>
      </c>
      <c r="F16" s="12">
        <v>291</v>
      </c>
      <c r="G16" s="12">
        <v>614</v>
      </c>
      <c r="H16" s="12">
        <v>461</v>
      </c>
      <c r="I16" s="12">
        <v>565</v>
      </c>
      <c r="J16" s="12">
        <v>104</v>
      </c>
      <c r="K16" s="12">
        <v>576</v>
      </c>
      <c r="L16" s="12">
        <v>517</v>
      </c>
      <c r="M16" s="12">
        <v>539</v>
      </c>
      <c r="N16" s="12">
        <v>563</v>
      </c>
      <c r="O16" s="12">
        <v>364</v>
      </c>
      <c r="P16" s="12">
        <v>580</v>
      </c>
      <c r="Q16" s="12">
        <v>463</v>
      </c>
      <c r="R16" s="12">
        <v>290</v>
      </c>
      <c r="S16" s="12">
        <v>619</v>
      </c>
      <c r="T16" s="12">
        <v>629</v>
      </c>
      <c r="U16" s="12">
        <v>241</v>
      </c>
      <c r="V16" s="12">
        <v>488</v>
      </c>
      <c r="W16" s="12">
        <v>254</v>
      </c>
      <c r="X16" s="12">
        <v>528</v>
      </c>
      <c r="Y16" s="12">
        <v>290</v>
      </c>
      <c r="Z16" s="12">
        <v>476</v>
      </c>
      <c r="AA16" s="12">
        <v>540</v>
      </c>
      <c r="AB16" s="12">
        <v>563</v>
      </c>
      <c r="AC16" s="12">
        <v>528</v>
      </c>
      <c r="AD16" s="12">
        <v>568</v>
      </c>
      <c r="AE16" s="12">
        <v>501</v>
      </c>
      <c r="AF16" s="12">
        <v>722</v>
      </c>
    </row>
    <row r="17" spans="1:32">
      <c r="A17" s="20"/>
      <c r="B17" s="13" t="s">
        <v>890</v>
      </c>
      <c r="C17" s="14">
        <v>0.46</v>
      </c>
      <c r="D17" s="14">
        <v>0.44</v>
      </c>
      <c r="E17" s="14">
        <v>0.47</v>
      </c>
      <c r="F17" s="14">
        <v>0.28999999999999998</v>
      </c>
      <c r="G17" s="14">
        <v>0.61</v>
      </c>
      <c r="H17" s="14">
        <v>0.38</v>
      </c>
      <c r="I17" s="14">
        <v>0.37</v>
      </c>
      <c r="J17" s="14">
        <v>0.36</v>
      </c>
      <c r="K17" s="14">
        <v>0.57000000000000006</v>
      </c>
      <c r="L17" s="14">
        <v>0.51</v>
      </c>
      <c r="M17" s="14">
        <v>0.54</v>
      </c>
      <c r="N17" s="14">
        <v>0.56000000000000005</v>
      </c>
      <c r="O17" s="14">
        <v>0.36</v>
      </c>
      <c r="P17" s="14">
        <v>0.57000000000000006</v>
      </c>
      <c r="Q17" s="14">
        <v>0.45</v>
      </c>
      <c r="R17" s="14">
        <v>0.57999999999999996</v>
      </c>
      <c r="S17" s="14">
        <v>0.62</v>
      </c>
      <c r="T17" s="14">
        <v>0.62</v>
      </c>
      <c r="U17" s="14">
        <v>0.47</v>
      </c>
      <c r="V17" s="14">
        <v>0.48</v>
      </c>
      <c r="W17" s="14">
        <v>0.51</v>
      </c>
      <c r="X17" s="14">
        <v>0.52</v>
      </c>
      <c r="Y17" s="14">
        <v>0.28999999999999998</v>
      </c>
      <c r="Z17" s="14">
        <v>0.47</v>
      </c>
      <c r="AA17" s="14">
        <v>0.51</v>
      </c>
      <c r="AB17" s="14">
        <v>0.54</v>
      </c>
      <c r="AC17" s="14">
        <v>0.52</v>
      </c>
      <c r="AD17" s="14">
        <v>0.57000000000000006</v>
      </c>
      <c r="AE17" s="14">
        <v>0.5</v>
      </c>
      <c r="AF17" s="14">
        <v>0.71</v>
      </c>
    </row>
    <row r="18" spans="1:32">
      <c r="A18" s="20"/>
      <c r="B18" s="11" t="s">
        <v>893</v>
      </c>
      <c r="C18" s="12">
        <v>11312</v>
      </c>
      <c r="D18" s="12">
        <v>417</v>
      </c>
      <c r="E18" s="12">
        <v>405</v>
      </c>
      <c r="F18" s="12">
        <v>281</v>
      </c>
      <c r="G18" s="12">
        <v>676</v>
      </c>
      <c r="H18" s="12">
        <v>465</v>
      </c>
      <c r="I18" s="12">
        <v>553</v>
      </c>
      <c r="J18" s="12">
        <v>88</v>
      </c>
      <c r="K18" s="12">
        <v>408</v>
      </c>
      <c r="L18" s="12">
        <v>529</v>
      </c>
      <c r="M18" s="12">
        <v>447</v>
      </c>
      <c r="N18" s="12">
        <v>531</v>
      </c>
      <c r="O18" s="12">
        <v>329</v>
      </c>
      <c r="P18" s="12">
        <v>637</v>
      </c>
      <c r="Q18" s="12">
        <v>408</v>
      </c>
      <c r="R18" s="12">
        <v>201</v>
      </c>
      <c r="S18" s="12">
        <v>459</v>
      </c>
      <c r="T18" s="12">
        <v>429</v>
      </c>
      <c r="U18" s="12">
        <v>231</v>
      </c>
      <c r="V18" s="12">
        <v>406</v>
      </c>
      <c r="W18" s="12">
        <v>238</v>
      </c>
      <c r="X18" s="12">
        <v>605</v>
      </c>
      <c r="Y18" s="12">
        <v>287</v>
      </c>
      <c r="Z18" s="12">
        <v>440</v>
      </c>
      <c r="AA18" s="12">
        <v>476</v>
      </c>
      <c r="AB18" s="12">
        <v>538</v>
      </c>
      <c r="AC18" s="12">
        <v>520</v>
      </c>
      <c r="AD18" s="12">
        <v>462</v>
      </c>
      <c r="AE18" s="12">
        <v>548</v>
      </c>
      <c r="AF18" s="12">
        <v>806</v>
      </c>
    </row>
    <row r="19" spans="1:32">
      <c r="A19" s="20"/>
      <c r="B19" s="13" t="s">
        <v>893</v>
      </c>
      <c r="C19" s="14">
        <v>0.43</v>
      </c>
      <c r="D19" s="14">
        <v>0.41</v>
      </c>
      <c r="E19" s="14">
        <v>0.4</v>
      </c>
      <c r="F19" s="14">
        <v>0.28000000000000003</v>
      </c>
      <c r="G19" s="14">
        <v>0.68</v>
      </c>
      <c r="H19" s="14">
        <v>0.38</v>
      </c>
      <c r="I19" s="14">
        <v>0.36</v>
      </c>
      <c r="J19" s="14">
        <v>0.3</v>
      </c>
      <c r="K19" s="14">
        <v>0.41</v>
      </c>
      <c r="L19" s="14">
        <v>0.52</v>
      </c>
      <c r="M19" s="14">
        <v>0.44</v>
      </c>
      <c r="N19" s="14">
        <v>0.53</v>
      </c>
      <c r="O19" s="14">
        <v>0.33</v>
      </c>
      <c r="P19" s="14">
        <v>0.62</v>
      </c>
      <c r="Q19" s="14">
        <v>0.4</v>
      </c>
      <c r="R19" s="14">
        <v>0.4</v>
      </c>
      <c r="S19" s="14">
        <v>0.45</v>
      </c>
      <c r="T19" s="14">
        <v>0.42</v>
      </c>
      <c r="U19" s="14">
        <v>0.45</v>
      </c>
      <c r="V19" s="14">
        <v>0.4</v>
      </c>
      <c r="W19" s="14">
        <v>0.47</v>
      </c>
      <c r="X19" s="14">
        <v>0.59</v>
      </c>
      <c r="Y19" s="14">
        <v>0.28000000000000003</v>
      </c>
      <c r="Z19" s="14">
        <v>0.43</v>
      </c>
      <c r="AA19" s="14">
        <v>0.45</v>
      </c>
      <c r="AB19" s="14">
        <v>0.52</v>
      </c>
      <c r="AC19" s="14">
        <v>0.51</v>
      </c>
      <c r="AD19" s="14">
        <v>0.46</v>
      </c>
      <c r="AE19" s="14">
        <v>0.55000000000000004</v>
      </c>
      <c r="AF19" s="14">
        <v>0.79</v>
      </c>
    </row>
    <row r="20" spans="1:32">
      <c r="A20" s="20"/>
      <c r="B20" s="11" t="s">
        <v>896</v>
      </c>
      <c r="C20" s="12">
        <v>13338</v>
      </c>
      <c r="D20" s="12">
        <v>493</v>
      </c>
      <c r="E20" s="12">
        <v>535</v>
      </c>
      <c r="F20" s="12">
        <v>431</v>
      </c>
      <c r="G20" s="12">
        <v>683</v>
      </c>
      <c r="H20" s="12">
        <v>573</v>
      </c>
      <c r="I20" s="12">
        <v>694</v>
      </c>
      <c r="J20" s="12">
        <v>121</v>
      </c>
      <c r="K20" s="12">
        <v>554</v>
      </c>
      <c r="L20" s="12">
        <v>557</v>
      </c>
      <c r="M20" s="12">
        <v>538</v>
      </c>
      <c r="N20" s="12">
        <v>582</v>
      </c>
      <c r="O20" s="12">
        <v>400</v>
      </c>
      <c r="P20" s="12">
        <v>693</v>
      </c>
      <c r="Q20" s="12">
        <v>463</v>
      </c>
      <c r="R20" s="12">
        <v>255</v>
      </c>
      <c r="S20" s="12">
        <v>539</v>
      </c>
      <c r="T20" s="12">
        <v>546</v>
      </c>
      <c r="U20" s="12">
        <v>288</v>
      </c>
      <c r="V20" s="12">
        <v>670</v>
      </c>
      <c r="W20" s="12">
        <v>276</v>
      </c>
      <c r="X20" s="12">
        <v>627</v>
      </c>
      <c r="Y20" s="12">
        <v>404</v>
      </c>
      <c r="Z20" s="12">
        <v>521</v>
      </c>
      <c r="AA20" s="12">
        <v>546</v>
      </c>
      <c r="AB20" s="12">
        <v>614</v>
      </c>
      <c r="AC20" s="12">
        <v>705</v>
      </c>
      <c r="AD20" s="12">
        <v>652</v>
      </c>
      <c r="AE20" s="12">
        <v>567</v>
      </c>
      <c r="AF20" s="12">
        <v>831</v>
      </c>
    </row>
    <row r="21" spans="1:32">
      <c r="A21" s="20"/>
      <c r="B21" s="13" t="s">
        <v>897</v>
      </c>
      <c r="C21" s="14">
        <v>0.51</v>
      </c>
      <c r="D21" s="14">
        <v>0.49</v>
      </c>
      <c r="E21" s="14">
        <v>0.52</v>
      </c>
      <c r="F21" s="14">
        <v>0.43</v>
      </c>
      <c r="G21" s="14">
        <v>0.68</v>
      </c>
      <c r="H21" s="14">
        <v>0.47</v>
      </c>
      <c r="I21" s="14">
        <v>0.46</v>
      </c>
      <c r="J21" s="14">
        <v>0.41</v>
      </c>
      <c r="K21" s="14">
        <v>0.55000000000000004</v>
      </c>
      <c r="L21" s="14">
        <v>0.55000000000000004</v>
      </c>
      <c r="M21" s="14">
        <v>0.54</v>
      </c>
      <c r="N21" s="14">
        <v>0.57999999999999996</v>
      </c>
      <c r="O21" s="14">
        <v>0.4</v>
      </c>
      <c r="P21" s="14">
        <v>0.68</v>
      </c>
      <c r="Q21" s="14">
        <v>0.45</v>
      </c>
      <c r="R21" s="14">
        <v>0.51</v>
      </c>
      <c r="S21" s="14">
        <v>0.53</v>
      </c>
      <c r="T21" s="14">
        <v>0.54</v>
      </c>
      <c r="U21" s="14">
        <v>0.57000000000000006</v>
      </c>
      <c r="V21" s="14">
        <v>0.66</v>
      </c>
      <c r="W21" s="14">
        <v>0.54</v>
      </c>
      <c r="X21" s="14">
        <v>0.61</v>
      </c>
      <c r="Y21" s="14">
        <v>0.4</v>
      </c>
      <c r="Z21" s="14">
        <v>0.52</v>
      </c>
      <c r="AA21" s="14">
        <v>0.52</v>
      </c>
      <c r="AB21" s="14">
        <v>0.59</v>
      </c>
      <c r="AC21" s="14">
        <v>0.70000000000000007</v>
      </c>
      <c r="AD21" s="14">
        <v>0.65</v>
      </c>
      <c r="AE21" s="14">
        <v>0.57000000000000006</v>
      </c>
      <c r="AF21" s="14">
        <v>0.81</v>
      </c>
    </row>
    <row r="22" spans="1:32">
      <c r="A22" s="20"/>
      <c r="B22" s="11" t="s">
        <v>900</v>
      </c>
      <c r="C22" s="12">
        <v>12622</v>
      </c>
      <c r="D22" s="12">
        <v>485</v>
      </c>
      <c r="E22" s="12">
        <v>327</v>
      </c>
      <c r="F22" s="12">
        <v>379</v>
      </c>
      <c r="G22" s="12">
        <v>665</v>
      </c>
      <c r="H22" s="12">
        <v>552</v>
      </c>
      <c r="I22" s="12">
        <v>673</v>
      </c>
      <c r="J22" s="12">
        <v>121</v>
      </c>
      <c r="K22" s="12">
        <v>534</v>
      </c>
      <c r="L22" s="12">
        <v>544</v>
      </c>
      <c r="M22" s="12">
        <v>364</v>
      </c>
      <c r="N22" s="12">
        <v>564</v>
      </c>
      <c r="O22" s="12">
        <v>359</v>
      </c>
      <c r="P22" s="12">
        <v>704</v>
      </c>
      <c r="Q22" s="12">
        <v>449</v>
      </c>
      <c r="R22" s="12">
        <v>220</v>
      </c>
      <c r="S22" s="12">
        <v>521</v>
      </c>
      <c r="T22" s="12">
        <v>516</v>
      </c>
      <c r="U22" s="12">
        <v>258</v>
      </c>
      <c r="V22" s="12">
        <v>583</v>
      </c>
      <c r="W22" s="12">
        <v>286</v>
      </c>
      <c r="X22" s="12">
        <v>628</v>
      </c>
      <c r="Y22" s="12">
        <v>345</v>
      </c>
      <c r="Z22" s="12">
        <v>510</v>
      </c>
      <c r="AA22" s="12">
        <v>539</v>
      </c>
      <c r="AB22" s="12">
        <v>628</v>
      </c>
      <c r="AC22" s="12">
        <v>712</v>
      </c>
      <c r="AD22" s="12">
        <v>570</v>
      </c>
      <c r="AE22" s="12">
        <v>554</v>
      </c>
      <c r="AF22" s="12">
        <v>801</v>
      </c>
    </row>
    <row r="23" spans="1:32">
      <c r="A23" s="20"/>
      <c r="B23" s="13" t="s">
        <v>901</v>
      </c>
      <c r="C23" s="14">
        <v>0.48</v>
      </c>
      <c r="D23" s="14">
        <v>0.48</v>
      </c>
      <c r="E23" s="14">
        <v>0.32</v>
      </c>
      <c r="F23" s="14">
        <v>0.38</v>
      </c>
      <c r="G23" s="14">
        <v>0.66</v>
      </c>
      <c r="H23" s="14">
        <v>0.45</v>
      </c>
      <c r="I23" s="14">
        <v>0.44</v>
      </c>
      <c r="J23" s="14">
        <v>0.42</v>
      </c>
      <c r="K23" s="14">
        <v>0.53</v>
      </c>
      <c r="L23" s="14">
        <v>0.54</v>
      </c>
      <c r="M23" s="14">
        <v>0.37</v>
      </c>
      <c r="N23" s="14">
        <v>0.56000000000000005</v>
      </c>
      <c r="O23" s="14">
        <v>0.36</v>
      </c>
      <c r="P23" s="14">
        <v>0.69000000000000006</v>
      </c>
      <c r="Q23" s="14">
        <v>0.44</v>
      </c>
      <c r="R23" s="14">
        <v>0.44</v>
      </c>
      <c r="S23" s="14">
        <v>0.52</v>
      </c>
      <c r="T23" s="14">
        <v>0.5</v>
      </c>
      <c r="U23" s="14">
        <v>0.51</v>
      </c>
      <c r="V23" s="14">
        <v>0.57000000000000006</v>
      </c>
      <c r="W23" s="14">
        <v>0.57000000000000006</v>
      </c>
      <c r="X23" s="14">
        <v>0.61</v>
      </c>
      <c r="Y23" s="14">
        <v>0.34</v>
      </c>
      <c r="Z23" s="14">
        <v>0.5</v>
      </c>
      <c r="AA23" s="14">
        <v>0.51</v>
      </c>
      <c r="AB23" s="14">
        <v>0.61</v>
      </c>
      <c r="AC23" s="14">
        <v>0.71</v>
      </c>
      <c r="AD23" s="14">
        <v>0.56000000000000005</v>
      </c>
      <c r="AE23" s="14">
        <v>0.55000000000000004</v>
      </c>
      <c r="AF23" s="14">
        <v>0.78</v>
      </c>
    </row>
    <row r="24" spans="1:32">
      <c r="A24" s="20"/>
      <c r="B24" s="11" t="s">
        <v>904</v>
      </c>
      <c r="C24" s="12">
        <v>12507</v>
      </c>
      <c r="D24" s="12">
        <v>463</v>
      </c>
      <c r="E24" s="12">
        <v>518</v>
      </c>
      <c r="F24" s="12">
        <v>347</v>
      </c>
      <c r="G24" s="12">
        <v>650</v>
      </c>
      <c r="H24" s="12">
        <v>490</v>
      </c>
      <c r="I24" s="12">
        <v>616</v>
      </c>
      <c r="J24" s="12">
        <v>125</v>
      </c>
      <c r="K24" s="12">
        <v>482</v>
      </c>
      <c r="L24" s="12">
        <v>564</v>
      </c>
      <c r="M24" s="12">
        <v>546</v>
      </c>
      <c r="N24" s="12">
        <v>542</v>
      </c>
      <c r="O24" s="12">
        <v>348</v>
      </c>
      <c r="P24" s="12">
        <v>616</v>
      </c>
      <c r="Q24" s="12">
        <v>463</v>
      </c>
      <c r="R24" s="12">
        <v>276</v>
      </c>
      <c r="S24" s="12">
        <v>644</v>
      </c>
      <c r="T24" s="12">
        <v>629</v>
      </c>
      <c r="U24" s="12">
        <v>244</v>
      </c>
      <c r="V24" s="12">
        <v>543</v>
      </c>
      <c r="W24" s="12">
        <v>274</v>
      </c>
      <c r="X24" s="12">
        <v>566</v>
      </c>
      <c r="Y24" s="12">
        <v>333</v>
      </c>
      <c r="Z24" s="12">
        <v>525</v>
      </c>
      <c r="AA24" s="12">
        <v>549</v>
      </c>
      <c r="AB24" s="12">
        <v>694</v>
      </c>
      <c r="AC24" s="12">
        <v>549</v>
      </c>
      <c r="AD24" s="12">
        <v>572</v>
      </c>
      <c r="AE24" s="12">
        <v>510</v>
      </c>
      <c r="AF24" s="12">
        <v>766</v>
      </c>
    </row>
    <row r="25" spans="1:32">
      <c r="A25" s="20"/>
      <c r="B25" s="13" t="s">
        <v>905</v>
      </c>
      <c r="C25" s="14">
        <v>0.48</v>
      </c>
      <c r="D25" s="14">
        <v>0.46</v>
      </c>
      <c r="E25" s="14">
        <v>0.51</v>
      </c>
      <c r="F25" s="14">
        <v>0.35</v>
      </c>
      <c r="G25" s="14">
        <v>0.65</v>
      </c>
      <c r="H25" s="14">
        <v>0.41</v>
      </c>
      <c r="I25" s="14">
        <v>0.41</v>
      </c>
      <c r="J25" s="14">
        <v>0.43</v>
      </c>
      <c r="K25" s="14">
        <v>0.48</v>
      </c>
      <c r="L25" s="14">
        <v>0.56000000000000005</v>
      </c>
      <c r="M25" s="14">
        <v>0.54</v>
      </c>
      <c r="N25" s="14">
        <v>0.54</v>
      </c>
      <c r="O25" s="14">
        <v>0.35</v>
      </c>
      <c r="P25" s="14">
        <v>0.6</v>
      </c>
      <c r="Q25" s="14">
        <v>0.45</v>
      </c>
      <c r="R25" s="14">
        <v>0.55000000000000004</v>
      </c>
      <c r="S25" s="14">
        <v>0.64</v>
      </c>
      <c r="T25" s="14">
        <v>0.62</v>
      </c>
      <c r="U25" s="14">
        <v>0.48</v>
      </c>
      <c r="V25" s="14">
        <v>0.53</v>
      </c>
      <c r="W25" s="14">
        <v>0.54</v>
      </c>
      <c r="X25" s="14">
        <v>0.55000000000000004</v>
      </c>
      <c r="Y25" s="14">
        <v>0.33</v>
      </c>
      <c r="Z25" s="14">
        <v>0.52</v>
      </c>
      <c r="AA25" s="14">
        <v>0.52</v>
      </c>
      <c r="AB25" s="14">
        <v>0.67</v>
      </c>
      <c r="AC25" s="14">
        <v>0.54</v>
      </c>
      <c r="AD25" s="14">
        <v>0.57000000000000006</v>
      </c>
      <c r="AE25" s="14">
        <v>0.51</v>
      </c>
      <c r="AF25" s="14">
        <v>0.75</v>
      </c>
    </row>
    <row r="26" spans="1:32">
      <c r="A26" s="20"/>
      <c r="B26" s="11" t="s">
        <v>908</v>
      </c>
      <c r="C26" s="12">
        <v>12280</v>
      </c>
      <c r="D26" s="12">
        <v>420</v>
      </c>
      <c r="E26" s="12">
        <v>638</v>
      </c>
      <c r="F26" s="12">
        <v>401</v>
      </c>
      <c r="G26" s="12">
        <v>618</v>
      </c>
      <c r="H26" s="12">
        <v>489</v>
      </c>
      <c r="I26" s="12">
        <v>592</v>
      </c>
      <c r="J26" s="12">
        <v>103</v>
      </c>
      <c r="K26" s="12">
        <v>433</v>
      </c>
      <c r="L26" s="12">
        <v>484</v>
      </c>
      <c r="M26" s="12">
        <v>716</v>
      </c>
      <c r="N26" s="12">
        <v>575</v>
      </c>
      <c r="O26" s="12">
        <v>344</v>
      </c>
      <c r="P26" s="12">
        <v>526</v>
      </c>
      <c r="Q26" s="12">
        <v>405</v>
      </c>
      <c r="R26" s="12">
        <v>361</v>
      </c>
      <c r="S26" s="12">
        <v>452</v>
      </c>
      <c r="T26" s="12">
        <v>448</v>
      </c>
      <c r="U26" s="12">
        <v>254</v>
      </c>
      <c r="V26" s="12">
        <v>549</v>
      </c>
      <c r="W26" s="12">
        <v>265</v>
      </c>
      <c r="X26" s="12">
        <v>555</v>
      </c>
      <c r="Y26" s="12">
        <v>391</v>
      </c>
      <c r="Z26" s="12">
        <v>478</v>
      </c>
      <c r="AA26" s="12">
        <v>531</v>
      </c>
      <c r="AB26" s="12">
        <v>678</v>
      </c>
      <c r="AC26" s="12">
        <v>645</v>
      </c>
      <c r="AD26" s="12">
        <v>629</v>
      </c>
      <c r="AE26" s="12">
        <v>483</v>
      </c>
      <c r="AF26" s="12">
        <v>768</v>
      </c>
    </row>
    <row r="27" spans="1:32">
      <c r="A27" s="20"/>
      <c r="B27" s="13" t="s">
        <v>909</v>
      </c>
      <c r="C27" s="14">
        <v>0.47</v>
      </c>
      <c r="D27" s="14">
        <v>0.42</v>
      </c>
      <c r="E27" s="14">
        <v>0.63</v>
      </c>
      <c r="F27" s="14">
        <v>0.4</v>
      </c>
      <c r="G27" s="14">
        <v>0.61</v>
      </c>
      <c r="H27" s="14">
        <v>0.4</v>
      </c>
      <c r="I27" s="14">
        <v>0.39</v>
      </c>
      <c r="J27" s="14">
        <v>0.35</v>
      </c>
      <c r="K27" s="14">
        <v>0.43</v>
      </c>
      <c r="L27" s="14">
        <v>0.48</v>
      </c>
      <c r="M27" s="14">
        <v>0.71</v>
      </c>
      <c r="N27" s="14">
        <v>0.57000000000000006</v>
      </c>
      <c r="O27" s="14">
        <v>0.35</v>
      </c>
      <c r="P27" s="14">
        <v>0.51</v>
      </c>
      <c r="Q27" s="14">
        <v>0.4</v>
      </c>
      <c r="R27" s="14">
        <v>0.72</v>
      </c>
      <c r="S27" s="14">
        <v>0.44</v>
      </c>
      <c r="T27" s="14">
        <v>0.44</v>
      </c>
      <c r="U27" s="14">
        <v>0.5</v>
      </c>
      <c r="V27" s="14">
        <v>0.54</v>
      </c>
      <c r="W27" s="14">
        <v>0.53</v>
      </c>
      <c r="X27" s="14">
        <v>0.54</v>
      </c>
      <c r="Y27" s="14">
        <v>0.39</v>
      </c>
      <c r="Z27" s="14">
        <v>0.48</v>
      </c>
      <c r="AA27" s="14">
        <v>0.51</v>
      </c>
      <c r="AB27" s="14">
        <v>0.66</v>
      </c>
      <c r="AC27" s="14">
        <v>0.64</v>
      </c>
      <c r="AD27" s="14">
        <v>0.62</v>
      </c>
      <c r="AE27" s="14">
        <v>0.48</v>
      </c>
      <c r="AF27" s="14">
        <v>0.75</v>
      </c>
    </row>
    <row r="28" spans="1:32">
      <c r="A28" s="20"/>
      <c r="B28" s="11" t="s">
        <v>912</v>
      </c>
      <c r="C28" s="12">
        <v>9731</v>
      </c>
      <c r="D28" s="12">
        <v>361</v>
      </c>
      <c r="E28" s="12">
        <v>468</v>
      </c>
      <c r="F28" s="12">
        <v>298</v>
      </c>
      <c r="G28" s="12">
        <v>378</v>
      </c>
      <c r="H28" s="12">
        <v>277</v>
      </c>
      <c r="I28" s="12">
        <v>354</v>
      </c>
      <c r="J28" s="12">
        <v>78</v>
      </c>
      <c r="K28" s="12">
        <v>461</v>
      </c>
      <c r="L28" s="12">
        <v>451</v>
      </c>
      <c r="M28" s="12">
        <v>225</v>
      </c>
      <c r="N28" s="12">
        <v>525</v>
      </c>
      <c r="O28" s="12">
        <v>272</v>
      </c>
      <c r="P28" s="12">
        <v>584</v>
      </c>
      <c r="Q28" s="12">
        <v>396</v>
      </c>
      <c r="R28" s="12">
        <v>64</v>
      </c>
      <c r="S28" s="12">
        <v>500</v>
      </c>
      <c r="T28" s="12">
        <v>536</v>
      </c>
      <c r="U28" s="12">
        <v>154</v>
      </c>
      <c r="V28" s="12">
        <v>585</v>
      </c>
      <c r="W28" s="12">
        <v>209</v>
      </c>
      <c r="X28" s="12">
        <v>391</v>
      </c>
      <c r="Y28" s="12">
        <v>190</v>
      </c>
      <c r="Z28" s="12">
        <v>432</v>
      </c>
      <c r="AA28" s="12">
        <v>566</v>
      </c>
      <c r="AB28" s="12">
        <v>624</v>
      </c>
      <c r="AC28" s="12">
        <v>528</v>
      </c>
      <c r="AD28" s="12">
        <v>412</v>
      </c>
      <c r="AE28" s="12">
        <v>333</v>
      </c>
      <c r="AF28" s="12">
        <v>392</v>
      </c>
    </row>
    <row r="29" spans="1:32">
      <c r="A29" s="20"/>
      <c r="B29" s="13" t="s">
        <v>912</v>
      </c>
      <c r="C29" s="14">
        <v>0.37</v>
      </c>
      <c r="D29" s="14">
        <v>0.37</v>
      </c>
      <c r="E29" s="14">
        <v>0.46</v>
      </c>
      <c r="F29" s="14">
        <v>0.28999999999999998</v>
      </c>
      <c r="G29" s="14">
        <v>0.38</v>
      </c>
      <c r="H29" s="14">
        <v>0.22</v>
      </c>
      <c r="I29" s="14">
        <v>0.24</v>
      </c>
      <c r="J29" s="14">
        <v>0.27</v>
      </c>
      <c r="K29" s="14">
        <v>0.46</v>
      </c>
      <c r="L29" s="14">
        <v>0.45</v>
      </c>
      <c r="M29" s="14">
        <v>0.22</v>
      </c>
      <c r="N29" s="14">
        <v>0.53</v>
      </c>
      <c r="O29" s="14">
        <v>0.27</v>
      </c>
      <c r="P29" s="14">
        <v>0.57000000000000006</v>
      </c>
      <c r="Q29" s="14">
        <v>0.39</v>
      </c>
      <c r="R29" s="14">
        <v>0.13</v>
      </c>
      <c r="S29" s="14">
        <v>0.5</v>
      </c>
      <c r="T29" s="14">
        <v>0.53</v>
      </c>
      <c r="U29" s="14">
        <v>0.31</v>
      </c>
      <c r="V29" s="14">
        <v>0.57999999999999996</v>
      </c>
      <c r="W29" s="14">
        <v>0.42</v>
      </c>
      <c r="X29" s="14">
        <v>0.39</v>
      </c>
      <c r="Y29" s="14">
        <v>0.19</v>
      </c>
      <c r="Z29" s="14">
        <v>0.43</v>
      </c>
      <c r="AA29" s="14">
        <v>0.54</v>
      </c>
      <c r="AB29" s="14">
        <v>0.6</v>
      </c>
      <c r="AC29" s="14">
        <v>0.52</v>
      </c>
      <c r="AD29" s="14">
        <v>0.41</v>
      </c>
      <c r="AE29" s="14">
        <v>0.33</v>
      </c>
      <c r="AF29" s="14">
        <v>0.38</v>
      </c>
    </row>
    <row r="30" spans="1:32">
      <c r="A30" s="20"/>
      <c r="B30" s="11" t="s">
        <v>915</v>
      </c>
      <c r="C30" s="12">
        <v>13750</v>
      </c>
      <c r="D30" s="12">
        <v>534</v>
      </c>
      <c r="E30" s="12">
        <v>319</v>
      </c>
      <c r="F30" s="12">
        <v>282</v>
      </c>
      <c r="G30" s="12">
        <v>810</v>
      </c>
      <c r="H30" s="12">
        <v>599</v>
      </c>
      <c r="I30" s="12">
        <v>711</v>
      </c>
      <c r="J30" s="12">
        <v>113</v>
      </c>
      <c r="K30" s="12">
        <v>609</v>
      </c>
      <c r="L30" s="12">
        <v>675</v>
      </c>
      <c r="M30" s="12">
        <v>408</v>
      </c>
      <c r="N30" s="12">
        <v>669</v>
      </c>
      <c r="O30" s="12">
        <v>484</v>
      </c>
      <c r="P30" s="12">
        <v>672</v>
      </c>
      <c r="Q30" s="12">
        <v>461</v>
      </c>
      <c r="R30" s="12">
        <v>223</v>
      </c>
      <c r="S30" s="12">
        <v>650</v>
      </c>
      <c r="T30" s="12">
        <v>734</v>
      </c>
      <c r="U30" s="12">
        <v>285</v>
      </c>
      <c r="V30" s="12">
        <v>312</v>
      </c>
      <c r="W30" s="12">
        <v>267</v>
      </c>
      <c r="X30" s="12">
        <v>665</v>
      </c>
      <c r="Y30" s="12">
        <v>404</v>
      </c>
      <c r="Z30" s="12">
        <v>513</v>
      </c>
      <c r="AA30" s="12">
        <v>686</v>
      </c>
      <c r="AB30" s="12">
        <v>540</v>
      </c>
      <c r="AC30" s="12">
        <v>568</v>
      </c>
      <c r="AD30" s="12">
        <v>486</v>
      </c>
      <c r="AE30" s="12">
        <v>809</v>
      </c>
      <c r="AF30" s="12">
        <v>928</v>
      </c>
    </row>
    <row r="31" spans="1:32">
      <c r="A31" s="20"/>
      <c r="B31" s="13" t="s">
        <v>915</v>
      </c>
      <c r="C31" s="14">
        <v>0.52</v>
      </c>
      <c r="D31" s="14">
        <v>0.54</v>
      </c>
      <c r="E31" s="14">
        <v>0.31</v>
      </c>
      <c r="F31" s="14">
        <v>0.28000000000000003</v>
      </c>
      <c r="G31" s="14">
        <v>0.81</v>
      </c>
      <c r="H31" s="14">
        <v>0.49</v>
      </c>
      <c r="I31" s="14">
        <v>0.47</v>
      </c>
      <c r="J31" s="14">
        <v>0.39</v>
      </c>
      <c r="K31" s="14">
        <v>0.61</v>
      </c>
      <c r="L31" s="14">
        <v>0.67</v>
      </c>
      <c r="M31" s="14">
        <v>0.41</v>
      </c>
      <c r="N31" s="14">
        <v>0.67</v>
      </c>
      <c r="O31" s="14">
        <v>0.48</v>
      </c>
      <c r="P31" s="14">
        <v>0.66</v>
      </c>
      <c r="Q31" s="14">
        <v>0.45</v>
      </c>
      <c r="R31" s="14">
        <v>0.45</v>
      </c>
      <c r="S31" s="14">
        <v>0.64</v>
      </c>
      <c r="T31" s="14">
        <v>0.72</v>
      </c>
      <c r="U31" s="14">
        <v>0.56000000000000005</v>
      </c>
      <c r="V31" s="14">
        <v>0.3</v>
      </c>
      <c r="W31" s="14">
        <v>0.53</v>
      </c>
      <c r="X31" s="14">
        <v>0.65</v>
      </c>
      <c r="Y31" s="14">
        <v>0.4</v>
      </c>
      <c r="Z31" s="14">
        <v>0.51</v>
      </c>
      <c r="AA31" s="14">
        <v>0.65</v>
      </c>
      <c r="AB31" s="14">
        <v>0.51</v>
      </c>
      <c r="AC31" s="14">
        <v>0.56000000000000005</v>
      </c>
      <c r="AD31" s="14">
        <v>0.48</v>
      </c>
      <c r="AE31" s="14">
        <v>0.81</v>
      </c>
      <c r="AF31" s="14">
        <v>0.91</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145</v>
      </c>
      <c r="C3" s="18"/>
      <c r="D3" s="18"/>
      <c r="E3" s="18"/>
      <c r="F3" s="18"/>
      <c r="H3" s="18" t="s">
        <v>146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6.950000000000003">
      <c r="A12" s="20"/>
      <c r="B12" s="11" t="s">
        <v>916</v>
      </c>
      <c r="C12" s="12">
        <v>3644</v>
      </c>
      <c r="D12" s="12">
        <v>121</v>
      </c>
      <c r="E12" s="12">
        <v>124</v>
      </c>
      <c r="F12" s="12">
        <v>140</v>
      </c>
      <c r="G12" s="12">
        <v>96</v>
      </c>
      <c r="H12" s="12">
        <v>200</v>
      </c>
      <c r="I12" s="12">
        <v>246</v>
      </c>
      <c r="J12" s="12">
        <v>46</v>
      </c>
      <c r="K12" s="12">
        <v>172</v>
      </c>
      <c r="L12" s="12">
        <v>150</v>
      </c>
      <c r="M12" s="12">
        <v>115</v>
      </c>
      <c r="N12" s="12">
        <v>188</v>
      </c>
      <c r="O12" s="12">
        <v>91</v>
      </c>
      <c r="P12" s="12">
        <v>144</v>
      </c>
      <c r="Q12" s="12">
        <v>132</v>
      </c>
      <c r="R12" s="12">
        <v>45</v>
      </c>
      <c r="S12" s="12">
        <v>176</v>
      </c>
      <c r="T12" s="12">
        <v>159</v>
      </c>
      <c r="U12" s="12">
        <v>66</v>
      </c>
      <c r="V12" s="12">
        <v>172</v>
      </c>
      <c r="W12" s="12">
        <v>103</v>
      </c>
      <c r="X12" s="12">
        <v>122</v>
      </c>
      <c r="Y12" s="12">
        <v>143</v>
      </c>
      <c r="Z12" s="12">
        <v>124</v>
      </c>
      <c r="AA12" s="12">
        <v>146</v>
      </c>
      <c r="AB12" s="12">
        <v>138</v>
      </c>
      <c r="AC12" s="12">
        <v>230</v>
      </c>
      <c r="AD12" s="12">
        <v>174</v>
      </c>
      <c r="AE12" s="12">
        <v>160</v>
      </c>
      <c r="AF12" s="12">
        <v>147</v>
      </c>
    </row>
    <row r="13" spans="1:32" ht="36.950000000000003">
      <c r="A13" s="20"/>
      <c r="B13" s="13" t="s">
        <v>917</v>
      </c>
      <c r="C13" s="14">
        <v>0.14000000000000001</v>
      </c>
      <c r="D13" s="14">
        <v>0.12</v>
      </c>
      <c r="E13" s="14">
        <v>0.12</v>
      </c>
      <c r="F13" s="14">
        <v>0.14000000000000001</v>
      </c>
      <c r="G13" s="14">
        <v>0.1</v>
      </c>
      <c r="H13" s="14">
        <v>0.16</v>
      </c>
      <c r="I13" s="14">
        <v>0.16</v>
      </c>
      <c r="J13" s="14">
        <v>0.16</v>
      </c>
      <c r="K13" s="14">
        <v>0.17</v>
      </c>
      <c r="L13" s="14">
        <v>0.15</v>
      </c>
      <c r="M13" s="14">
        <v>0.11</v>
      </c>
      <c r="N13" s="14">
        <v>0.19</v>
      </c>
      <c r="O13" s="14">
        <v>0.09</v>
      </c>
      <c r="P13" s="14">
        <v>0.14000000000000001</v>
      </c>
      <c r="Q13" s="14">
        <v>0.13</v>
      </c>
      <c r="R13" s="14">
        <v>0.09</v>
      </c>
      <c r="S13" s="14">
        <v>0.18</v>
      </c>
      <c r="T13" s="14">
        <v>0.16</v>
      </c>
      <c r="U13" s="14">
        <v>0.13</v>
      </c>
      <c r="V13" s="14">
        <v>0.17</v>
      </c>
      <c r="W13" s="14">
        <v>0.2</v>
      </c>
      <c r="X13" s="14">
        <v>0.12</v>
      </c>
      <c r="Y13" s="14">
        <v>0.14000000000000001</v>
      </c>
      <c r="Z13" s="14">
        <v>0.12</v>
      </c>
      <c r="AA13" s="14">
        <v>0.14000000000000001</v>
      </c>
      <c r="AB13" s="14">
        <v>0.13</v>
      </c>
      <c r="AC13" s="14">
        <v>0.23</v>
      </c>
      <c r="AD13" s="14">
        <v>0.17</v>
      </c>
      <c r="AE13" s="14">
        <v>0.16</v>
      </c>
      <c r="AF13" s="14">
        <v>0.14000000000000001</v>
      </c>
    </row>
    <row r="14" spans="1:32" ht="48.95">
      <c r="A14" s="20"/>
      <c r="B14" s="11" t="s">
        <v>918</v>
      </c>
      <c r="C14" s="12">
        <v>2167</v>
      </c>
      <c r="D14" s="12">
        <v>96</v>
      </c>
      <c r="E14" s="12">
        <v>74</v>
      </c>
      <c r="F14" s="12">
        <v>49</v>
      </c>
      <c r="G14" s="12">
        <v>141</v>
      </c>
      <c r="H14" s="12">
        <v>108</v>
      </c>
      <c r="I14" s="12">
        <v>132</v>
      </c>
      <c r="J14" s="12">
        <v>24</v>
      </c>
      <c r="K14" s="12">
        <v>69</v>
      </c>
      <c r="L14" s="12">
        <v>57</v>
      </c>
      <c r="M14" s="12">
        <v>88</v>
      </c>
      <c r="N14" s="12">
        <v>65</v>
      </c>
      <c r="O14" s="12">
        <v>82</v>
      </c>
      <c r="P14" s="12">
        <v>95</v>
      </c>
      <c r="Q14" s="12">
        <v>65</v>
      </c>
      <c r="R14" s="12">
        <v>44</v>
      </c>
      <c r="S14" s="12">
        <v>52</v>
      </c>
      <c r="T14" s="12">
        <v>47</v>
      </c>
      <c r="U14" s="12">
        <v>43</v>
      </c>
      <c r="V14" s="12">
        <v>71</v>
      </c>
      <c r="W14" s="12">
        <v>30</v>
      </c>
      <c r="X14" s="12">
        <v>103</v>
      </c>
      <c r="Y14" s="12">
        <v>69</v>
      </c>
      <c r="Z14" s="12">
        <v>89</v>
      </c>
      <c r="AA14" s="12">
        <v>54</v>
      </c>
      <c r="AB14" s="12">
        <v>110</v>
      </c>
      <c r="AC14" s="12">
        <v>40</v>
      </c>
      <c r="AD14" s="12">
        <v>88</v>
      </c>
      <c r="AE14" s="12">
        <v>94</v>
      </c>
      <c r="AF14" s="12">
        <v>218</v>
      </c>
    </row>
    <row r="15" spans="1:32" ht="36.950000000000003">
      <c r="A15" s="20"/>
      <c r="B15" s="13" t="s">
        <v>919</v>
      </c>
      <c r="C15" s="14">
        <v>0.08</v>
      </c>
      <c r="D15" s="14">
        <v>0.09</v>
      </c>
      <c r="E15" s="14">
        <v>7.0000000000000007E-2</v>
      </c>
      <c r="F15" s="14">
        <v>0.05</v>
      </c>
      <c r="G15" s="14">
        <v>0.14000000000000001</v>
      </c>
      <c r="H15" s="14">
        <v>0.09</v>
      </c>
      <c r="I15" s="14">
        <v>0.09</v>
      </c>
      <c r="J15" s="14">
        <v>0.08</v>
      </c>
      <c r="K15" s="14">
        <v>7.0000000000000007E-2</v>
      </c>
      <c r="L15" s="14">
        <v>0.06</v>
      </c>
      <c r="M15" s="14">
        <v>0.09</v>
      </c>
      <c r="N15" s="14">
        <v>0.06</v>
      </c>
      <c r="O15" s="14">
        <v>0.08</v>
      </c>
      <c r="P15" s="14">
        <v>0.09</v>
      </c>
      <c r="Q15" s="14">
        <v>0.06</v>
      </c>
      <c r="R15" s="14">
        <v>0.09</v>
      </c>
      <c r="S15" s="14">
        <v>0.05</v>
      </c>
      <c r="T15" s="14">
        <v>0.05</v>
      </c>
      <c r="U15" s="14">
        <v>0.09</v>
      </c>
      <c r="V15" s="14">
        <v>7.0000000000000007E-2</v>
      </c>
      <c r="W15" s="14">
        <v>0.06</v>
      </c>
      <c r="X15" s="14">
        <v>0.1</v>
      </c>
      <c r="Y15" s="14">
        <v>7.0000000000000007E-2</v>
      </c>
      <c r="Z15" s="14">
        <v>0.09</v>
      </c>
      <c r="AA15" s="14">
        <v>0.05</v>
      </c>
      <c r="AB15" s="14">
        <v>0.11</v>
      </c>
      <c r="AC15" s="14">
        <v>0.04</v>
      </c>
      <c r="AD15" s="14">
        <v>0.09</v>
      </c>
      <c r="AE15" s="14">
        <v>0.09</v>
      </c>
      <c r="AF15" s="14">
        <v>0.21</v>
      </c>
    </row>
    <row r="16" spans="1:32" ht="24.95">
      <c r="A16" s="20"/>
      <c r="B16" s="11" t="s">
        <v>920</v>
      </c>
      <c r="C16" s="12">
        <v>3642</v>
      </c>
      <c r="D16" s="12">
        <v>166</v>
      </c>
      <c r="E16" s="12">
        <v>127</v>
      </c>
      <c r="F16" s="12">
        <v>125</v>
      </c>
      <c r="G16" s="12">
        <v>154</v>
      </c>
      <c r="H16" s="12">
        <v>196</v>
      </c>
      <c r="I16" s="12">
        <v>235</v>
      </c>
      <c r="J16" s="12">
        <v>39</v>
      </c>
      <c r="K16" s="12">
        <v>129</v>
      </c>
      <c r="L16" s="12">
        <v>178</v>
      </c>
      <c r="M16" s="12">
        <v>166</v>
      </c>
      <c r="N16" s="12">
        <v>137</v>
      </c>
      <c r="O16" s="12">
        <v>122</v>
      </c>
      <c r="P16" s="12">
        <v>118</v>
      </c>
      <c r="Q16" s="12">
        <v>121</v>
      </c>
      <c r="R16" s="12">
        <v>63</v>
      </c>
      <c r="S16" s="12">
        <v>152</v>
      </c>
      <c r="T16" s="12">
        <v>152</v>
      </c>
      <c r="U16" s="12">
        <v>67</v>
      </c>
      <c r="V16" s="12">
        <v>137</v>
      </c>
      <c r="W16" s="12">
        <v>72</v>
      </c>
      <c r="X16" s="12">
        <v>220</v>
      </c>
      <c r="Y16" s="12">
        <v>132</v>
      </c>
      <c r="Z16" s="12">
        <v>117</v>
      </c>
      <c r="AA16" s="12">
        <v>151</v>
      </c>
      <c r="AB16" s="12">
        <v>127</v>
      </c>
      <c r="AC16" s="12">
        <v>107</v>
      </c>
      <c r="AD16" s="12">
        <v>112</v>
      </c>
      <c r="AE16" s="12">
        <v>182</v>
      </c>
      <c r="AF16" s="12">
        <v>157</v>
      </c>
    </row>
    <row r="17" spans="1:32" ht="24.95">
      <c r="A17" s="20"/>
      <c r="B17" s="13" t="s">
        <v>921</v>
      </c>
      <c r="C17" s="14">
        <v>0.14000000000000001</v>
      </c>
      <c r="D17" s="14">
        <v>0.17</v>
      </c>
      <c r="E17" s="14">
        <v>0.13</v>
      </c>
      <c r="F17" s="14">
        <v>0.13</v>
      </c>
      <c r="G17" s="14">
        <v>0.15</v>
      </c>
      <c r="H17" s="14">
        <v>0.16</v>
      </c>
      <c r="I17" s="14">
        <v>0.16</v>
      </c>
      <c r="J17" s="14">
        <v>0.13</v>
      </c>
      <c r="K17" s="14">
        <v>0.13</v>
      </c>
      <c r="L17" s="14">
        <v>0.18</v>
      </c>
      <c r="M17" s="14">
        <v>0.17</v>
      </c>
      <c r="N17" s="14">
        <v>0.14000000000000001</v>
      </c>
      <c r="O17" s="14">
        <v>0.12</v>
      </c>
      <c r="P17" s="14">
        <v>0.12</v>
      </c>
      <c r="Q17" s="14">
        <v>0.12</v>
      </c>
      <c r="R17" s="14">
        <v>0.13</v>
      </c>
      <c r="S17" s="14">
        <v>0.15</v>
      </c>
      <c r="T17" s="14">
        <v>0.15</v>
      </c>
      <c r="U17" s="14">
        <v>0.13</v>
      </c>
      <c r="V17" s="14">
        <v>0.13</v>
      </c>
      <c r="W17" s="14">
        <v>0.14000000000000001</v>
      </c>
      <c r="X17" s="14">
        <v>0.21</v>
      </c>
      <c r="Y17" s="14">
        <v>0.13</v>
      </c>
      <c r="Z17" s="14">
        <v>0.12</v>
      </c>
      <c r="AA17" s="14">
        <v>0.14000000000000001</v>
      </c>
      <c r="AB17" s="14">
        <v>0.12</v>
      </c>
      <c r="AC17" s="14">
        <v>0.11</v>
      </c>
      <c r="AD17" s="14">
        <v>0.11</v>
      </c>
      <c r="AE17" s="14">
        <v>0.18</v>
      </c>
      <c r="AF17" s="14">
        <v>0.15</v>
      </c>
    </row>
    <row r="18" spans="1:32" ht="36.950000000000003">
      <c r="A18" s="20"/>
      <c r="B18" s="11" t="s">
        <v>922</v>
      </c>
      <c r="C18" s="12">
        <v>2722</v>
      </c>
      <c r="D18" s="12">
        <v>139</v>
      </c>
      <c r="E18" s="12">
        <v>77</v>
      </c>
      <c r="F18" s="12">
        <v>104</v>
      </c>
      <c r="G18" s="12">
        <v>234</v>
      </c>
      <c r="H18" s="12">
        <v>99</v>
      </c>
      <c r="I18" s="12">
        <v>121</v>
      </c>
      <c r="J18" s="12">
        <v>23</v>
      </c>
      <c r="K18" s="12">
        <v>115</v>
      </c>
      <c r="L18" s="12">
        <v>109</v>
      </c>
      <c r="M18" s="12">
        <v>115</v>
      </c>
      <c r="N18" s="12">
        <v>78</v>
      </c>
      <c r="O18" s="12">
        <v>93</v>
      </c>
      <c r="P18" s="12">
        <v>90</v>
      </c>
      <c r="Q18" s="12">
        <v>80</v>
      </c>
      <c r="R18" s="12">
        <v>64</v>
      </c>
      <c r="S18" s="12">
        <v>132</v>
      </c>
      <c r="T18" s="12">
        <v>180</v>
      </c>
      <c r="U18" s="12">
        <v>41</v>
      </c>
      <c r="V18" s="12">
        <v>72</v>
      </c>
      <c r="W18" s="12">
        <v>43</v>
      </c>
      <c r="X18" s="12">
        <v>213</v>
      </c>
      <c r="Y18" s="12">
        <v>54</v>
      </c>
      <c r="Z18" s="12">
        <v>160</v>
      </c>
      <c r="AA18" s="12">
        <v>103</v>
      </c>
      <c r="AB18" s="12">
        <v>102</v>
      </c>
      <c r="AC18" s="12">
        <v>90</v>
      </c>
      <c r="AD18" s="12">
        <v>98</v>
      </c>
      <c r="AE18" s="12">
        <v>205</v>
      </c>
      <c r="AF18" s="12">
        <v>165</v>
      </c>
    </row>
    <row r="19" spans="1:32" ht="24.95">
      <c r="A19" s="20"/>
      <c r="B19" s="13" t="s">
        <v>923</v>
      </c>
      <c r="C19" s="14">
        <v>0.1</v>
      </c>
      <c r="D19" s="14">
        <v>0.14000000000000001</v>
      </c>
      <c r="E19" s="14">
        <v>0.08</v>
      </c>
      <c r="F19" s="14">
        <v>0.1</v>
      </c>
      <c r="G19" s="14">
        <v>0.23</v>
      </c>
      <c r="H19" s="14">
        <v>0.08</v>
      </c>
      <c r="I19" s="14">
        <v>0.08</v>
      </c>
      <c r="J19" s="14">
        <v>0.08</v>
      </c>
      <c r="K19" s="14">
        <v>0.11</v>
      </c>
      <c r="L19" s="14">
        <v>0.11</v>
      </c>
      <c r="M19" s="14">
        <v>0.11</v>
      </c>
      <c r="N19" s="14">
        <v>0.08</v>
      </c>
      <c r="O19" s="14">
        <v>0.09</v>
      </c>
      <c r="P19" s="14">
        <v>0.09</v>
      </c>
      <c r="Q19" s="14">
        <v>0.08</v>
      </c>
      <c r="R19" s="14">
        <v>0.13</v>
      </c>
      <c r="S19" s="14">
        <v>0.13</v>
      </c>
      <c r="T19" s="14">
        <v>0.18</v>
      </c>
      <c r="U19" s="14">
        <v>0.08</v>
      </c>
      <c r="V19" s="14">
        <v>7.0000000000000007E-2</v>
      </c>
      <c r="W19" s="14">
        <v>0.09</v>
      </c>
      <c r="X19" s="14">
        <v>0.21</v>
      </c>
      <c r="Y19" s="14">
        <v>0.05</v>
      </c>
      <c r="Z19" s="14">
        <v>0.16</v>
      </c>
      <c r="AA19" s="14">
        <v>0.1</v>
      </c>
      <c r="AB19" s="14">
        <v>0.1</v>
      </c>
      <c r="AC19" s="14">
        <v>0.09</v>
      </c>
      <c r="AD19" s="14">
        <v>0.1</v>
      </c>
      <c r="AE19" s="14">
        <v>0.21</v>
      </c>
      <c r="AF19" s="14">
        <v>0.16</v>
      </c>
    </row>
    <row r="20" spans="1:32" ht="24.95">
      <c r="A20" s="20"/>
      <c r="B20" s="11" t="s">
        <v>924</v>
      </c>
      <c r="C20" s="12">
        <v>1308</v>
      </c>
      <c r="D20" s="12">
        <v>42</v>
      </c>
      <c r="E20" s="12">
        <v>43</v>
      </c>
      <c r="F20" s="12">
        <v>61</v>
      </c>
      <c r="G20" s="12">
        <v>44</v>
      </c>
      <c r="H20" s="12">
        <v>51</v>
      </c>
      <c r="I20" s="12">
        <v>68</v>
      </c>
      <c r="J20" s="12">
        <v>17</v>
      </c>
      <c r="K20" s="12">
        <v>34</v>
      </c>
      <c r="L20" s="12">
        <v>24</v>
      </c>
      <c r="M20" s="12">
        <v>45</v>
      </c>
      <c r="N20" s="12">
        <v>33</v>
      </c>
      <c r="O20" s="12">
        <v>55</v>
      </c>
      <c r="P20" s="12">
        <v>62</v>
      </c>
      <c r="Q20" s="12">
        <v>55</v>
      </c>
      <c r="R20" s="12">
        <v>18</v>
      </c>
      <c r="S20" s="12">
        <v>39</v>
      </c>
      <c r="T20" s="12">
        <v>31</v>
      </c>
      <c r="U20" s="12">
        <v>39</v>
      </c>
      <c r="V20" s="12">
        <v>57</v>
      </c>
      <c r="W20" s="12">
        <v>38</v>
      </c>
      <c r="X20" s="12">
        <v>45</v>
      </c>
      <c r="Y20" s="12">
        <v>53</v>
      </c>
      <c r="Z20" s="12">
        <v>69</v>
      </c>
      <c r="AA20" s="12">
        <v>43</v>
      </c>
      <c r="AB20" s="12">
        <v>58</v>
      </c>
      <c r="AC20" s="12">
        <v>44</v>
      </c>
      <c r="AD20" s="12">
        <v>56</v>
      </c>
      <c r="AE20" s="12">
        <v>54</v>
      </c>
      <c r="AF20" s="12">
        <v>65</v>
      </c>
    </row>
    <row r="21" spans="1:32" ht="24.95">
      <c r="A21" s="20"/>
      <c r="B21" s="13" t="s">
        <v>925</v>
      </c>
      <c r="C21" s="14">
        <v>0.05</v>
      </c>
      <c r="D21" s="14">
        <v>0.04</v>
      </c>
      <c r="E21" s="14">
        <v>0.04</v>
      </c>
      <c r="F21" s="14">
        <v>0.06</v>
      </c>
      <c r="G21" s="14">
        <v>0.04</v>
      </c>
      <c r="H21" s="14">
        <v>0.04</v>
      </c>
      <c r="I21" s="14">
        <v>0.04</v>
      </c>
      <c r="J21" s="14">
        <v>0.06</v>
      </c>
      <c r="K21" s="14">
        <v>0.03</v>
      </c>
      <c r="L21" s="14">
        <v>0.02</v>
      </c>
      <c r="M21" s="14">
        <v>0.04</v>
      </c>
      <c r="N21" s="14">
        <v>0.03</v>
      </c>
      <c r="O21" s="14">
        <v>0.06</v>
      </c>
      <c r="P21" s="14">
        <v>0.06</v>
      </c>
      <c r="Q21" s="14">
        <v>0.05</v>
      </c>
      <c r="R21" s="14">
        <v>0.04</v>
      </c>
      <c r="S21" s="14">
        <v>0.04</v>
      </c>
      <c r="T21" s="14">
        <v>0.03</v>
      </c>
      <c r="U21" s="14">
        <v>0.08</v>
      </c>
      <c r="V21" s="14">
        <v>0.06</v>
      </c>
      <c r="W21" s="14">
        <v>0.08</v>
      </c>
      <c r="X21" s="14">
        <v>0.04</v>
      </c>
      <c r="Y21" s="14">
        <v>0.05</v>
      </c>
      <c r="Z21" s="14">
        <v>7.0000000000000007E-2</v>
      </c>
      <c r="AA21" s="14">
        <v>0.04</v>
      </c>
      <c r="AB21" s="14">
        <v>0.06</v>
      </c>
      <c r="AC21" s="14">
        <v>0.04</v>
      </c>
      <c r="AD21" s="14">
        <v>0.05</v>
      </c>
      <c r="AE21" s="14">
        <v>0.05</v>
      </c>
      <c r="AF21" s="14">
        <v>0.06</v>
      </c>
    </row>
    <row r="22" spans="1:32" ht="24.95">
      <c r="A22" s="20"/>
      <c r="B22" s="11" t="s">
        <v>926</v>
      </c>
      <c r="C22" s="12">
        <v>907</v>
      </c>
      <c r="D22" s="12">
        <v>41</v>
      </c>
      <c r="E22" s="12">
        <v>30</v>
      </c>
      <c r="F22" s="12">
        <v>43</v>
      </c>
      <c r="G22" s="12">
        <v>47</v>
      </c>
      <c r="H22" s="12">
        <v>21</v>
      </c>
      <c r="I22" s="12">
        <v>34</v>
      </c>
      <c r="J22" s="12">
        <v>14</v>
      </c>
      <c r="K22" s="12">
        <v>26</v>
      </c>
      <c r="L22" s="12">
        <v>32</v>
      </c>
      <c r="M22" s="12">
        <v>24</v>
      </c>
      <c r="N22" s="12">
        <v>19</v>
      </c>
      <c r="O22" s="12">
        <v>37</v>
      </c>
      <c r="P22" s="12">
        <v>46</v>
      </c>
      <c r="Q22" s="12">
        <v>45</v>
      </c>
      <c r="R22" s="12">
        <v>15</v>
      </c>
      <c r="S22" s="12">
        <v>35</v>
      </c>
      <c r="T22" s="12">
        <v>24</v>
      </c>
      <c r="U22" s="12">
        <v>13</v>
      </c>
      <c r="V22" s="12">
        <v>59</v>
      </c>
      <c r="W22" s="12">
        <v>26</v>
      </c>
      <c r="X22" s="12">
        <v>40</v>
      </c>
      <c r="Y22" s="12">
        <v>48</v>
      </c>
      <c r="Z22" s="12">
        <v>33</v>
      </c>
      <c r="AA22" s="12">
        <v>46</v>
      </c>
      <c r="AB22" s="12">
        <v>51</v>
      </c>
      <c r="AC22" s="12">
        <v>26</v>
      </c>
      <c r="AD22" s="12">
        <v>49</v>
      </c>
      <c r="AE22" s="12">
        <v>33</v>
      </c>
      <c r="AF22" s="12">
        <v>48</v>
      </c>
    </row>
    <row r="23" spans="1:32">
      <c r="A23" s="20"/>
      <c r="B23" s="13" t="s">
        <v>927</v>
      </c>
      <c r="C23" s="14">
        <v>0.04</v>
      </c>
      <c r="D23" s="14">
        <v>0.04</v>
      </c>
      <c r="E23" s="14">
        <v>0.03</v>
      </c>
      <c r="F23" s="14">
        <v>0.04</v>
      </c>
      <c r="G23" s="14">
        <v>0.05</v>
      </c>
      <c r="H23" s="14">
        <v>0.02</v>
      </c>
      <c r="I23" s="14">
        <v>0.02</v>
      </c>
      <c r="J23" s="14">
        <v>0.05</v>
      </c>
      <c r="K23" s="14">
        <v>0.03</v>
      </c>
      <c r="L23" s="14">
        <v>0.03</v>
      </c>
      <c r="M23" s="14">
        <v>0.02</v>
      </c>
      <c r="N23" s="14">
        <v>0.02</v>
      </c>
      <c r="O23" s="14">
        <v>0.04</v>
      </c>
      <c r="P23" s="14">
        <v>0.05</v>
      </c>
      <c r="Q23" s="14">
        <v>0.04</v>
      </c>
      <c r="R23" s="14">
        <v>0.03</v>
      </c>
      <c r="S23" s="14">
        <v>0.03</v>
      </c>
      <c r="T23" s="14">
        <v>0.02</v>
      </c>
      <c r="U23" s="14">
        <v>0.03</v>
      </c>
      <c r="V23" s="14">
        <v>0.06</v>
      </c>
      <c r="W23" s="14">
        <v>0.05</v>
      </c>
      <c r="X23" s="14">
        <v>0.04</v>
      </c>
      <c r="Y23" s="14">
        <v>0.05</v>
      </c>
      <c r="Z23" s="14">
        <v>0.03</v>
      </c>
      <c r="AA23" s="14">
        <v>0.04</v>
      </c>
      <c r="AB23" s="14">
        <v>0.05</v>
      </c>
      <c r="AC23" s="14">
        <v>0.03</v>
      </c>
      <c r="AD23" s="14">
        <v>0.05</v>
      </c>
      <c r="AE23" s="14">
        <v>0.03</v>
      </c>
      <c r="AF23" s="14">
        <v>0.05</v>
      </c>
    </row>
    <row r="24" spans="1:32" ht="48.95">
      <c r="A24" s="20"/>
      <c r="B24" s="11" t="s">
        <v>928</v>
      </c>
      <c r="C24" s="12">
        <v>2295</v>
      </c>
      <c r="D24" s="12">
        <v>57</v>
      </c>
      <c r="E24" s="12">
        <v>177</v>
      </c>
      <c r="F24" s="12">
        <v>94</v>
      </c>
      <c r="G24" s="12">
        <v>38</v>
      </c>
      <c r="H24" s="12">
        <v>117</v>
      </c>
      <c r="I24" s="12">
        <v>138</v>
      </c>
      <c r="J24" s="12">
        <v>21</v>
      </c>
      <c r="K24" s="12">
        <v>110</v>
      </c>
      <c r="L24" s="12">
        <v>130</v>
      </c>
      <c r="M24" s="12">
        <v>105</v>
      </c>
      <c r="N24" s="12">
        <v>100</v>
      </c>
      <c r="O24" s="12">
        <v>39</v>
      </c>
      <c r="P24" s="12">
        <v>188</v>
      </c>
      <c r="Q24" s="12">
        <v>93</v>
      </c>
      <c r="R24" s="12">
        <v>55</v>
      </c>
      <c r="S24" s="12">
        <v>76</v>
      </c>
      <c r="T24" s="12">
        <v>90</v>
      </c>
      <c r="U24" s="12">
        <v>23</v>
      </c>
      <c r="V24" s="12">
        <v>148</v>
      </c>
      <c r="W24" s="12">
        <v>64</v>
      </c>
      <c r="X24" s="12">
        <v>29</v>
      </c>
      <c r="Y24" s="12">
        <v>91</v>
      </c>
      <c r="Z24" s="12">
        <v>123</v>
      </c>
      <c r="AA24" s="12">
        <v>115</v>
      </c>
      <c r="AB24" s="12">
        <v>120</v>
      </c>
      <c r="AC24" s="12">
        <v>121</v>
      </c>
      <c r="AD24" s="12">
        <v>143</v>
      </c>
      <c r="AE24" s="12">
        <v>64</v>
      </c>
      <c r="AF24" s="12">
        <v>28</v>
      </c>
    </row>
    <row r="25" spans="1:32" ht="24.95">
      <c r="A25" s="20"/>
      <c r="B25" s="13" t="s">
        <v>929</v>
      </c>
      <c r="C25" s="14">
        <v>0.09</v>
      </c>
      <c r="D25" s="14">
        <v>0.06</v>
      </c>
      <c r="E25" s="14">
        <v>0.17</v>
      </c>
      <c r="F25" s="14">
        <v>0.09</v>
      </c>
      <c r="G25" s="14">
        <v>0.04</v>
      </c>
      <c r="H25" s="14">
        <v>0.1</v>
      </c>
      <c r="I25" s="14">
        <v>0.09</v>
      </c>
      <c r="J25" s="14">
        <v>7.0000000000000007E-2</v>
      </c>
      <c r="K25" s="14">
        <v>0.11</v>
      </c>
      <c r="L25" s="14">
        <v>0.13</v>
      </c>
      <c r="M25" s="14">
        <v>0.11</v>
      </c>
      <c r="N25" s="14">
        <v>0.1</v>
      </c>
      <c r="O25" s="14">
        <v>0.04</v>
      </c>
      <c r="P25" s="14">
        <v>0.18</v>
      </c>
      <c r="Q25" s="14">
        <v>0.09</v>
      </c>
      <c r="R25" s="14">
        <v>0.11</v>
      </c>
      <c r="S25" s="14">
        <v>0.08</v>
      </c>
      <c r="T25" s="14">
        <v>0.09</v>
      </c>
      <c r="U25" s="14">
        <v>0.04</v>
      </c>
      <c r="V25" s="14">
        <v>0.14000000000000001</v>
      </c>
      <c r="W25" s="14">
        <v>0.13</v>
      </c>
      <c r="X25" s="14">
        <v>0.03</v>
      </c>
      <c r="Y25" s="14">
        <v>0.09</v>
      </c>
      <c r="Z25" s="14">
        <v>0.12</v>
      </c>
      <c r="AA25" s="14">
        <v>0.11</v>
      </c>
      <c r="AB25" s="14">
        <v>0.11</v>
      </c>
      <c r="AC25" s="14">
        <v>0.12</v>
      </c>
      <c r="AD25" s="14">
        <v>0.14000000000000001</v>
      </c>
      <c r="AE25" s="14">
        <v>0.06</v>
      </c>
      <c r="AF25" s="14">
        <v>0.03</v>
      </c>
    </row>
    <row r="26" spans="1:32">
      <c r="A26" s="20"/>
      <c r="B26" s="11" t="s">
        <v>930</v>
      </c>
      <c r="C26" s="12">
        <v>1820</v>
      </c>
      <c r="D26" s="12">
        <v>108</v>
      </c>
      <c r="E26" s="12">
        <v>55</v>
      </c>
      <c r="F26" s="12">
        <v>93</v>
      </c>
      <c r="G26" s="12">
        <v>40</v>
      </c>
      <c r="H26" s="12">
        <v>82</v>
      </c>
      <c r="I26" s="12">
        <v>100</v>
      </c>
      <c r="J26" s="12">
        <v>18</v>
      </c>
      <c r="K26" s="12">
        <v>54</v>
      </c>
      <c r="L26" s="12">
        <v>67</v>
      </c>
      <c r="M26" s="12">
        <v>68</v>
      </c>
      <c r="N26" s="12">
        <v>64</v>
      </c>
      <c r="O26" s="12">
        <v>71</v>
      </c>
      <c r="P26" s="12">
        <v>78</v>
      </c>
      <c r="Q26" s="12">
        <v>99</v>
      </c>
      <c r="R26" s="12">
        <v>38</v>
      </c>
      <c r="S26" s="12">
        <v>43</v>
      </c>
      <c r="T26" s="12">
        <v>51</v>
      </c>
      <c r="U26" s="12">
        <v>39</v>
      </c>
      <c r="V26" s="12">
        <v>67</v>
      </c>
      <c r="W26" s="12">
        <v>26</v>
      </c>
      <c r="X26" s="12">
        <v>62</v>
      </c>
      <c r="Y26" s="12">
        <v>49</v>
      </c>
      <c r="Z26" s="12">
        <v>65</v>
      </c>
      <c r="AA26" s="12">
        <v>62</v>
      </c>
      <c r="AB26" s="12">
        <v>61</v>
      </c>
      <c r="AC26" s="12">
        <v>69</v>
      </c>
      <c r="AD26" s="12">
        <v>56</v>
      </c>
      <c r="AE26" s="12">
        <v>42</v>
      </c>
      <c r="AF26" s="12">
        <v>16</v>
      </c>
    </row>
    <row r="27" spans="1:32">
      <c r="A27" s="20"/>
      <c r="B27" s="13" t="s">
        <v>931</v>
      </c>
      <c r="C27" s="14">
        <v>7.0000000000000007E-2</v>
      </c>
      <c r="D27" s="14">
        <v>0.11</v>
      </c>
      <c r="E27" s="14">
        <v>0.05</v>
      </c>
      <c r="F27" s="14">
        <v>0.09</v>
      </c>
      <c r="G27" s="14">
        <v>0.04</v>
      </c>
      <c r="H27" s="14">
        <v>7.0000000000000007E-2</v>
      </c>
      <c r="I27" s="14">
        <v>7.0000000000000007E-2</v>
      </c>
      <c r="J27" s="14">
        <v>0.06</v>
      </c>
      <c r="K27" s="14">
        <v>0.05</v>
      </c>
      <c r="L27" s="14">
        <v>0.06</v>
      </c>
      <c r="M27" s="14">
        <v>7.0000000000000007E-2</v>
      </c>
      <c r="N27" s="14">
        <v>0.06</v>
      </c>
      <c r="O27" s="14">
        <v>7.0000000000000007E-2</v>
      </c>
      <c r="P27" s="14">
        <v>0.08</v>
      </c>
      <c r="Q27" s="14">
        <v>0.1</v>
      </c>
      <c r="R27" s="14">
        <v>7.0000000000000007E-2</v>
      </c>
      <c r="S27" s="14">
        <v>0.04</v>
      </c>
      <c r="T27" s="14">
        <v>0.05</v>
      </c>
      <c r="U27" s="14">
        <v>0.08</v>
      </c>
      <c r="V27" s="14">
        <v>7.0000000000000007E-2</v>
      </c>
      <c r="W27" s="14">
        <v>0.05</v>
      </c>
      <c r="X27" s="14">
        <v>0.06</v>
      </c>
      <c r="Y27" s="14">
        <v>0.05</v>
      </c>
      <c r="Z27" s="14">
        <v>0.06</v>
      </c>
      <c r="AA27" s="14">
        <v>0.06</v>
      </c>
      <c r="AB27" s="14">
        <v>0.06</v>
      </c>
      <c r="AC27" s="14">
        <v>7.0000000000000007E-2</v>
      </c>
      <c r="AD27" s="14">
        <v>0.06</v>
      </c>
      <c r="AE27" s="14">
        <v>0.04</v>
      </c>
      <c r="AF27" s="14">
        <v>0.02</v>
      </c>
    </row>
    <row r="28" spans="1:32" ht="36.950000000000003">
      <c r="A28" s="20"/>
      <c r="B28" s="11" t="s">
        <v>932</v>
      </c>
      <c r="C28" s="12">
        <v>2367</v>
      </c>
      <c r="D28" s="12">
        <v>99</v>
      </c>
      <c r="E28" s="12">
        <v>138</v>
      </c>
      <c r="F28" s="12">
        <v>89</v>
      </c>
      <c r="G28" s="12">
        <v>106</v>
      </c>
      <c r="H28" s="12">
        <v>92</v>
      </c>
      <c r="I28" s="12">
        <v>118</v>
      </c>
      <c r="J28" s="12">
        <v>27</v>
      </c>
      <c r="K28" s="12">
        <v>60</v>
      </c>
      <c r="L28" s="12">
        <v>91</v>
      </c>
      <c r="M28" s="12">
        <v>103</v>
      </c>
      <c r="N28" s="12">
        <v>79</v>
      </c>
      <c r="O28" s="12">
        <v>100</v>
      </c>
      <c r="P28" s="12">
        <v>94</v>
      </c>
      <c r="Q28" s="12">
        <v>95</v>
      </c>
      <c r="R28" s="12">
        <v>41</v>
      </c>
      <c r="S28" s="12">
        <v>68</v>
      </c>
      <c r="T28" s="12">
        <v>61</v>
      </c>
      <c r="U28" s="12">
        <v>56</v>
      </c>
      <c r="V28" s="12">
        <v>85</v>
      </c>
      <c r="W28" s="12">
        <v>50</v>
      </c>
      <c r="X28" s="12">
        <v>91</v>
      </c>
      <c r="Y28" s="12">
        <v>58</v>
      </c>
      <c r="Z28" s="12">
        <v>93</v>
      </c>
      <c r="AA28" s="12">
        <v>73</v>
      </c>
      <c r="AB28" s="12">
        <v>112</v>
      </c>
      <c r="AC28" s="12">
        <v>96</v>
      </c>
      <c r="AD28" s="12">
        <v>92</v>
      </c>
      <c r="AE28" s="12">
        <v>75</v>
      </c>
      <c r="AF28" s="12">
        <v>137</v>
      </c>
    </row>
    <row r="29" spans="1:32" ht="36.950000000000003">
      <c r="A29" s="20"/>
      <c r="B29" s="13" t="s">
        <v>933</v>
      </c>
      <c r="C29" s="14">
        <v>0.09</v>
      </c>
      <c r="D29" s="14">
        <v>0.1</v>
      </c>
      <c r="E29" s="14">
        <v>0.14000000000000001</v>
      </c>
      <c r="F29" s="14">
        <v>0.09</v>
      </c>
      <c r="G29" s="14">
        <v>0.11</v>
      </c>
      <c r="H29" s="14">
        <v>0.08</v>
      </c>
      <c r="I29" s="14">
        <v>0.08</v>
      </c>
      <c r="J29" s="14">
        <v>0.09</v>
      </c>
      <c r="K29" s="14">
        <v>0.06</v>
      </c>
      <c r="L29" s="14">
        <v>0.09</v>
      </c>
      <c r="M29" s="14">
        <v>0.1</v>
      </c>
      <c r="N29" s="14">
        <v>0.08</v>
      </c>
      <c r="O29" s="14">
        <v>0.1</v>
      </c>
      <c r="P29" s="14">
        <v>0.09</v>
      </c>
      <c r="Q29" s="14">
        <v>0.09</v>
      </c>
      <c r="R29" s="14">
        <v>0.08</v>
      </c>
      <c r="S29" s="14">
        <v>7.0000000000000007E-2</v>
      </c>
      <c r="T29" s="14">
        <v>0.06</v>
      </c>
      <c r="U29" s="14">
        <v>0.11</v>
      </c>
      <c r="V29" s="14">
        <v>0.08</v>
      </c>
      <c r="W29" s="14">
        <v>0.1</v>
      </c>
      <c r="X29" s="14">
        <v>0.09</v>
      </c>
      <c r="Y29" s="14">
        <v>0.06</v>
      </c>
      <c r="Z29" s="14">
        <v>0.09</v>
      </c>
      <c r="AA29" s="14">
        <v>7.0000000000000007E-2</v>
      </c>
      <c r="AB29" s="14">
        <v>0.11</v>
      </c>
      <c r="AC29" s="14">
        <v>0.09</v>
      </c>
      <c r="AD29" s="14">
        <v>0.09</v>
      </c>
      <c r="AE29" s="14">
        <v>0.08</v>
      </c>
      <c r="AF29" s="14">
        <v>0.14000000000000001</v>
      </c>
    </row>
    <row r="30" spans="1:32" ht="24.95">
      <c r="A30" s="20"/>
      <c r="B30" s="11" t="s">
        <v>934</v>
      </c>
      <c r="C30" s="12">
        <v>2407</v>
      </c>
      <c r="D30" s="12">
        <v>81</v>
      </c>
      <c r="E30" s="12">
        <v>66</v>
      </c>
      <c r="F30" s="12">
        <v>81</v>
      </c>
      <c r="G30" s="12">
        <v>52</v>
      </c>
      <c r="H30" s="12">
        <v>82</v>
      </c>
      <c r="I30" s="12">
        <v>104</v>
      </c>
      <c r="J30" s="12">
        <v>21</v>
      </c>
      <c r="K30" s="12">
        <v>98</v>
      </c>
      <c r="L30" s="12">
        <v>68</v>
      </c>
      <c r="M30" s="12">
        <v>84</v>
      </c>
      <c r="N30" s="12">
        <v>145</v>
      </c>
      <c r="O30" s="12">
        <v>131</v>
      </c>
      <c r="P30" s="12">
        <v>54</v>
      </c>
      <c r="Q30" s="12">
        <v>120</v>
      </c>
      <c r="R30" s="12">
        <v>39</v>
      </c>
      <c r="S30" s="12">
        <v>95</v>
      </c>
      <c r="T30" s="12">
        <v>83</v>
      </c>
      <c r="U30" s="12">
        <v>78</v>
      </c>
      <c r="V30" s="12">
        <v>73</v>
      </c>
      <c r="W30" s="12">
        <v>26</v>
      </c>
      <c r="X30" s="12">
        <v>41</v>
      </c>
      <c r="Y30" s="12">
        <v>66</v>
      </c>
      <c r="Z30" s="12">
        <v>58</v>
      </c>
      <c r="AA30" s="12">
        <v>121</v>
      </c>
      <c r="AB30" s="12">
        <v>77</v>
      </c>
      <c r="AC30" s="12">
        <v>70</v>
      </c>
      <c r="AD30" s="12">
        <v>79</v>
      </c>
      <c r="AE30" s="12">
        <v>27</v>
      </c>
      <c r="AF30" s="12">
        <v>14</v>
      </c>
    </row>
    <row r="31" spans="1:32">
      <c r="A31" s="20"/>
      <c r="B31" s="13" t="s">
        <v>935</v>
      </c>
      <c r="C31" s="14">
        <v>0.09</v>
      </c>
      <c r="D31" s="14">
        <v>0.08</v>
      </c>
      <c r="E31" s="14">
        <v>7.0000000000000007E-2</v>
      </c>
      <c r="F31" s="14">
        <v>0.08</v>
      </c>
      <c r="G31" s="14">
        <v>0.05</v>
      </c>
      <c r="H31" s="14">
        <v>7.0000000000000007E-2</v>
      </c>
      <c r="I31" s="14">
        <v>7.0000000000000007E-2</v>
      </c>
      <c r="J31" s="14">
        <v>7.0000000000000007E-2</v>
      </c>
      <c r="K31" s="14">
        <v>0.1</v>
      </c>
      <c r="L31" s="14">
        <v>7.0000000000000007E-2</v>
      </c>
      <c r="M31" s="14">
        <v>0.08</v>
      </c>
      <c r="N31" s="14">
        <v>0.14000000000000001</v>
      </c>
      <c r="O31" s="14">
        <v>0.13</v>
      </c>
      <c r="P31" s="14">
        <v>0.05</v>
      </c>
      <c r="Q31" s="14">
        <v>0.12</v>
      </c>
      <c r="R31" s="14">
        <v>0.08</v>
      </c>
      <c r="S31" s="14">
        <v>0.09</v>
      </c>
      <c r="T31" s="14">
        <v>0.08</v>
      </c>
      <c r="U31" s="14">
        <v>0.15</v>
      </c>
      <c r="V31" s="14">
        <v>7.0000000000000007E-2</v>
      </c>
      <c r="W31" s="14">
        <v>0.05</v>
      </c>
      <c r="X31" s="14">
        <v>0.04</v>
      </c>
      <c r="Y31" s="14">
        <v>7.0000000000000007E-2</v>
      </c>
      <c r="Z31" s="14">
        <v>0.06</v>
      </c>
      <c r="AA31" s="14">
        <v>0.12</v>
      </c>
      <c r="AB31" s="14">
        <v>7.0000000000000007E-2</v>
      </c>
      <c r="AC31" s="14">
        <v>7.0000000000000007E-2</v>
      </c>
      <c r="AD31" s="14">
        <v>0.08</v>
      </c>
      <c r="AE31" s="14">
        <v>0.03</v>
      </c>
      <c r="AF31" s="14">
        <v>0.01</v>
      </c>
    </row>
    <row r="32" spans="1:32">
      <c r="A32" s="20"/>
      <c r="B32" s="11" t="s">
        <v>519</v>
      </c>
      <c r="C32" s="12">
        <v>96</v>
      </c>
      <c r="D32" s="12">
        <v>1</v>
      </c>
      <c r="E32" s="12">
        <v>3</v>
      </c>
      <c r="F32" s="12">
        <v>1</v>
      </c>
      <c r="G32" s="12">
        <v>3</v>
      </c>
      <c r="H32" s="12">
        <v>15</v>
      </c>
      <c r="I32" s="12">
        <v>17</v>
      </c>
      <c r="J32" s="12">
        <v>1</v>
      </c>
      <c r="K32" s="12">
        <v>10</v>
      </c>
      <c r="L32" s="12">
        <v>2</v>
      </c>
      <c r="M32" s="12">
        <v>5</v>
      </c>
      <c r="N32" s="12">
        <v>3</v>
      </c>
      <c r="O32" s="12">
        <v>0</v>
      </c>
      <c r="P32" s="12">
        <v>0</v>
      </c>
      <c r="Q32" s="12">
        <v>0</v>
      </c>
      <c r="R32" s="12">
        <v>2</v>
      </c>
      <c r="S32" s="12">
        <v>9</v>
      </c>
      <c r="T32" s="12">
        <v>3</v>
      </c>
      <c r="U32" s="12">
        <v>0</v>
      </c>
      <c r="V32" s="12">
        <v>1</v>
      </c>
      <c r="W32" s="12">
        <v>0</v>
      </c>
      <c r="X32" s="12">
        <v>2</v>
      </c>
      <c r="Y32" s="12">
        <v>8</v>
      </c>
      <c r="Z32" s="12">
        <v>3</v>
      </c>
      <c r="AA32" s="12">
        <v>1</v>
      </c>
      <c r="AB32" s="12">
        <v>5</v>
      </c>
      <c r="AC32" s="12">
        <v>1</v>
      </c>
      <c r="AD32" s="12">
        <v>4</v>
      </c>
      <c r="AE32" s="12">
        <v>3</v>
      </c>
      <c r="AF32" s="12">
        <v>2</v>
      </c>
    </row>
    <row r="33" spans="1:32">
      <c r="A33" s="20"/>
      <c r="B33" s="13" t="s">
        <v>520</v>
      </c>
      <c r="C33" s="15" t="s">
        <v>459</v>
      </c>
      <c r="D33" s="15" t="s">
        <v>459</v>
      </c>
      <c r="E33" s="15" t="s">
        <v>459</v>
      </c>
      <c r="F33" s="15" t="s">
        <v>459</v>
      </c>
      <c r="G33" s="15" t="s">
        <v>459</v>
      </c>
      <c r="H33" s="14">
        <v>0.01</v>
      </c>
      <c r="I33" s="14">
        <v>0.01</v>
      </c>
      <c r="J33" s="15" t="s">
        <v>459</v>
      </c>
      <c r="K33" s="14">
        <v>0.01</v>
      </c>
      <c r="L33" s="15" t="s">
        <v>459</v>
      </c>
      <c r="M33" s="14">
        <v>0.01</v>
      </c>
      <c r="N33" s="15" t="s">
        <v>459</v>
      </c>
      <c r="O33" s="15" t="s">
        <v>459</v>
      </c>
      <c r="P33" s="15" t="s">
        <v>459</v>
      </c>
      <c r="Q33" s="15" t="s">
        <v>459</v>
      </c>
      <c r="R33" s="15" t="s">
        <v>459</v>
      </c>
      <c r="S33" s="14">
        <v>0.01</v>
      </c>
      <c r="T33" s="15" t="s">
        <v>459</v>
      </c>
      <c r="U33" s="15" t="s">
        <v>459</v>
      </c>
      <c r="V33" s="15" t="s">
        <v>459</v>
      </c>
      <c r="W33" s="15" t="s">
        <v>459</v>
      </c>
      <c r="X33" s="15" t="s">
        <v>459</v>
      </c>
      <c r="Y33" s="14">
        <v>0.01</v>
      </c>
      <c r="Z33" s="15" t="s">
        <v>459</v>
      </c>
      <c r="AA33" s="15" t="s">
        <v>459</v>
      </c>
      <c r="AB33" s="15" t="s">
        <v>459</v>
      </c>
      <c r="AC33" s="15" t="s">
        <v>459</v>
      </c>
      <c r="AD33" s="15" t="s">
        <v>459</v>
      </c>
      <c r="AE33" s="15" t="s">
        <v>459</v>
      </c>
      <c r="AF33" s="15" t="s">
        <v>459</v>
      </c>
    </row>
    <row r="34" spans="1:32" ht="24.95">
      <c r="A34" s="20"/>
      <c r="B34" s="11" t="s">
        <v>551</v>
      </c>
      <c r="C34" s="12">
        <v>2042</v>
      </c>
      <c r="D34" s="12">
        <v>36</v>
      </c>
      <c r="E34" s="12">
        <v>65</v>
      </c>
      <c r="F34" s="12">
        <v>67</v>
      </c>
      <c r="G34" s="12">
        <v>28</v>
      </c>
      <c r="H34" s="12">
        <v>114</v>
      </c>
      <c r="I34" s="12">
        <v>148</v>
      </c>
      <c r="J34" s="12">
        <v>34</v>
      </c>
      <c r="K34" s="12">
        <v>69</v>
      </c>
      <c r="L34" s="12">
        <v>60</v>
      </c>
      <c r="M34" s="12">
        <v>71</v>
      </c>
      <c r="N34" s="12">
        <v>46</v>
      </c>
      <c r="O34" s="12">
        <v>137</v>
      </c>
      <c r="P34" s="12">
        <v>34</v>
      </c>
      <c r="Q34" s="12">
        <v>86</v>
      </c>
      <c r="R34" s="12">
        <v>39</v>
      </c>
      <c r="S34" s="12">
        <v>67</v>
      </c>
      <c r="T34" s="12">
        <v>91</v>
      </c>
      <c r="U34" s="12">
        <v>38</v>
      </c>
      <c r="V34" s="12">
        <v>47</v>
      </c>
      <c r="W34" s="12">
        <v>9</v>
      </c>
      <c r="X34" s="12">
        <v>48</v>
      </c>
      <c r="Y34" s="12">
        <v>204</v>
      </c>
      <c r="Z34" s="12">
        <v>38</v>
      </c>
      <c r="AA34" s="12">
        <v>52</v>
      </c>
      <c r="AB34" s="12">
        <v>41</v>
      </c>
      <c r="AC34" s="12">
        <v>113</v>
      </c>
      <c r="AD34" s="12">
        <v>39</v>
      </c>
      <c r="AE34" s="12">
        <v>35</v>
      </c>
      <c r="AF34" s="12">
        <v>20</v>
      </c>
    </row>
    <row r="35" spans="1:32">
      <c r="A35" s="20"/>
      <c r="B35" s="13" t="s">
        <v>522</v>
      </c>
      <c r="C35" s="14">
        <v>0.08</v>
      </c>
      <c r="D35" s="14">
        <v>0.04</v>
      </c>
      <c r="E35" s="14">
        <v>0.06</v>
      </c>
      <c r="F35" s="14">
        <v>7.0000000000000007E-2</v>
      </c>
      <c r="G35" s="14">
        <v>0.03</v>
      </c>
      <c r="H35" s="14">
        <v>0.09</v>
      </c>
      <c r="I35" s="14">
        <v>0.1</v>
      </c>
      <c r="J35" s="14">
        <v>0.12</v>
      </c>
      <c r="K35" s="14">
        <v>7.0000000000000007E-2</v>
      </c>
      <c r="L35" s="14">
        <v>0.06</v>
      </c>
      <c r="M35" s="14">
        <v>7.0000000000000007E-2</v>
      </c>
      <c r="N35" s="14">
        <v>0.05</v>
      </c>
      <c r="O35" s="14">
        <v>0.14000000000000001</v>
      </c>
      <c r="P35" s="14">
        <v>0.03</v>
      </c>
      <c r="Q35" s="14">
        <v>0.09</v>
      </c>
      <c r="R35" s="14">
        <v>0.08</v>
      </c>
      <c r="S35" s="14">
        <v>7.0000000000000007E-2</v>
      </c>
      <c r="T35" s="14">
        <v>0.09</v>
      </c>
      <c r="U35" s="14">
        <v>7.0000000000000007E-2</v>
      </c>
      <c r="V35" s="14">
        <v>0.05</v>
      </c>
      <c r="W35" s="14">
        <v>0.02</v>
      </c>
      <c r="X35" s="14">
        <v>0.05</v>
      </c>
      <c r="Y35" s="14">
        <v>0.2</v>
      </c>
      <c r="Z35" s="14">
        <v>0.04</v>
      </c>
      <c r="AA35" s="14">
        <v>0.05</v>
      </c>
      <c r="AB35" s="14">
        <v>0.04</v>
      </c>
      <c r="AC35" s="14">
        <v>0.11</v>
      </c>
      <c r="AD35" s="14">
        <v>0.04</v>
      </c>
      <c r="AE35" s="14">
        <v>0.04</v>
      </c>
      <c r="AF35" s="14">
        <v>0.02</v>
      </c>
    </row>
    <row r="36" spans="1:32">
      <c r="A36" s="20"/>
      <c r="B36" s="11" t="s">
        <v>468</v>
      </c>
      <c r="C36" s="12">
        <v>902</v>
      </c>
      <c r="D36" s="12">
        <v>15</v>
      </c>
      <c r="E36" s="12">
        <v>40</v>
      </c>
      <c r="F36" s="12">
        <v>58</v>
      </c>
      <c r="G36" s="12">
        <v>19</v>
      </c>
      <c r="H36" s="12">
        <v>40</v>
      </c>
      <c r="I36" s="12">
        <v>49</v>
      </c>
      <c r="J36" s="12">
        <v>8</v>
      </c>
      <c r="K36" s="12">
        <v>60</v>
      </c>
      <c r="L36" s="12">
        <v>38</v>
      </c>
      <c r="M36" s="12">
        <v>15</v>
      </c>
      <c r="N36" s="12">
        <v>46</v>
      </c>
      <c r="O36" s="12">
        <v>44</v>
      </c>
      <c r="P36" s="12">
        <v>19</v>
      </c>
      <c r="Q36" s="12">
        <v>28</v>
      </c>
      <c r="R36" s="12">
        <v>37</v>
      </c>
      <c r="S36" s="12">
        <v>65</v>
      </c>
      <c r="T36" s="12">
        <v>43</v>
      </c>
      <c r="U36" s="12">
        <v>3</v>
      </c>
      <c r="V36" s="12">
        <v>28</v>
      </c>
      <c r="W36" s="12">
        <v>16</v>
      </c>
      <c r="X36" s="12">
        <v>7</v>
      </c>
      <c r="Y36" s="12">
        <v>33</v>
      </c>
      <c r="Z36" s="12">
        <v>36</v>
      </c>
      <c r="AA36" s="12">
        <v>86</v>
      </c>
      <c r="AB36" s="12">
        <v>38</v>
      </c>
      <c r="AC36" s="12">
        <v>4</v>
      </c>
      <c r="AD36" s="12">
        <v>17</v>
      </c>
      <c r="AE36" s="12">
        <v>26</v>
      </c>
      <c r="AF36" s="12">
        <v>4</v>
      </c>
    </row>
    <row r="37" spans="1:32">
      <c r="A37" s="20"/>
      <c r="B37" s="13" t="s">
        <v>469</v>
      </c>
      <c r="C37" s="14">
        <v>0.03</v>
      </c>
      <c r="D37" s="14">
        <v>0.01</v>
      </c>
      <c r="E37" s="14">
        <v>0.04</v>
      </c>
      <c r="F37" s="14">
        <v>0.06</v>
      </c>
      <c r="G37" s="14">
        <v>0.02</v>
      </c>
      <c r="H37" s="14">
        <v>0.03</v>
      </c>
      <c r="I37" s="14">
        <v>0.03</v>
      </c>
      <c r="J37" s="14">
        <v>0.03</v>
      </c>
      <c r="K37" s="14">
        <v>0.06</v>
      </c>
      <c r="L37" s="14">
        <v>0.04</v>
      </c>
      <c r="M37" s="14">
        <v>0.02</v>
      </c>
      <c r="N37" s="14">
        <v>0.05</v>
      </c>
      <c r="O37" s="14">
        <v>0.04</v>
      </c>
      <c r="P37" s="14">
        <v>0.02</v>
      </c>
      <c r="Q37" s="14">
        <v>0.03</v>
      </c>
      <c r="R37" s="14">
        <v>7.0000000000000007E-2</v>
      </c>
      <c r="S37" s="14">
        <v>0.06</v>
      </c>
      <c r="T37" s="14">
        <v>0.04</v>
      </c>
      <c r="U37" s="14">
        <v>0.01</v>
      </c>
      <c r="V37" s="14">
        <v>0.03</v>
      </c>
      <c r="W37" s="14">
        <v>0.03</v>
      </c>
      <c r="X37" s="14">
        <v>0.01</v>
      </c>
      <c r="Y37" s="14">
        <v>0.03</v>
      </c>
      <c r="Z37" s="14">
        <v>0.04</v>
      </c>
      <c r="AA37" s="14">
        <v>0.08</v>
      </c>
      <c r="AB37" s="14">
        <v>0.04</v>
      </c>
      <c r="AC37" s="15" t="s">
        <v>459</v>
      </c>
      <c r="AD37" s="14">
        <v>0.02</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147</v>
      </c>
      <c r="C3" s="18"/>
      <c r="D3" s="18"/>
      <c r="E3" s="18"/>
      <c r="F3" s="18"/>
      <c r="H3" s="18" t="s">
        <v>148</v>
      </c>
      <c r="I3" s="18"/>
      <c r="J3" s="18"/>
      <c r="K3" s="18"/>
      <c r="L3" s="18"/>
    </row>
    <row r="4" spans="1:32" ht="27" customHeight="1">
      <c r="B4" s="18"/>
      <c r="C4" s="18"/>
      <c r="D4" s="18"/>
      <c r="E4" s="18"/>
      <c r="F4" s="18"/>
      <c r="H4" s="18"/>
      <c r="I4" s="18"/>
      <c r="J4" s="18"/>
      <c r="K4" s="18"/>
      <c r="L4" s="18"/>
    </row>
    <row r="5" spans="1:32" ht="12" customHeight="1">
      <c r="B5" s="18" t="s">
        <v>936</v>
      </c>
      <c r="C5" s="18"/>
      <c r="D5" s="18"/>
      <c r="E5" s="18"/>
      <c r="F5" s="18"/>
      <c r="H5" s="18" t="s">
        <v>937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23375</v>
      </c>
      <c r="D10" s="10">
        <v>952</v>
      </c>
      <c r="E10" s="10">
        <v>913</v>
      </c>
      <c r="F10" s="10">
        <v>880</v>
      </c>
      <c r="G10" s="10">
        <v>957</v>
      </c>
      <c r="H10" s="10">
        <v>1062</v>
      </c>
      <c r="I10" s="10">
        <v>1313</v>
      </c>
      <c r="J10" s="10">
        <v>252</v>
      </c>
      <c r="K10" s="10">
        <v>878</v>
      </c>
      <c r="L10" s="10">
        <v>909</v>
      </c>
      <c r="M10" s="10">
        <v>918</v>
      </c>
      <c r="N10" s="10">
        <v>912</v>
      </c>
      <c r="O10" s="10">
        <v>823</v>
      </c>
      <c r="P10" s="10">
        <v>969</v>
      </c>
      <c r="Q10" s="10">
        <v>905</v>
      </c>
      <c r="R10" s="10">
        <v>425</v>
      </c>
      <c r="S10" s="10">
        <v>876</v>
      </c>
      <c r="T10" s="10">
        <v>880</v>
      </c>
      <c r="U10" s="10">
        <v>466</v>
      </c>
      <c r="V10" s="10">
        <v>942</v>
      </c>
      <c r="W10" s="10">
        <v>478</v>
      </c>
      <c r="X10" s="10">
        <v>966</v>
      </c>
      <c r="Y10" s="10">
        <v>771</v>
      </c>
      <c r="Z10" s="10">
        <v>934</v>
      </c>
      <c r="AA10" s="10">
        <v>915</v>
      </c>
      <c r="AB10" s="10">
        <v>960</v>
      </c>
      <c r="AC10" s="10">
        <v>893</v>
      </c>
      <c r="AD10" s="10">
        <v>951</v>
      </c>
      <c r="AE10" s="10">
        <v>939</v>
      </c>
      <c r="AF10" s="10">
        <v>996</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6.950000000000003">
      <c r="A12" s="20"/>
      <c r="B12" s="11" t="s">
        <v>916</v>
      </c>
      <c r="C12" s="12">
        <v>6088</v>
      </c>
      <c r="D12" s="12">
        <v>192</v>
      </c>
      <c r="E12" s="12">
        <v>295</v>
      </c>
      <c r="F12" s="12">
        <v>228</v>
      </c>
      <c r="G12" s="12">
        <v>343</v>
      </c>
      <c r="H12" s="12">
        <v>320</v>
      </c>
      <c r="I12" s="12">
        <v>393</v>
      </c>
      <c r="J12" s="12">
        <v>72</v>
      </c>
      <c r="K12" s="12">
        <v>263</v>
      </c>
      <c r="L12" s="12">
        <v>277</v>
      </c>
      <c r="M12" s="12">
        <v>293</v>
      </c>
      <c r="N12" s="12">
        <v>209</v>
      </c>
      <c r="O12" s="12">
        <v>186</v>
      </c>
      <c r="P12" s="12">
        <v>316</v>
      </c>
      <c r="Q12" s="12">
        <v>235</v>
      </c>
      <c r="R12" s="12">
        <v>136</v>
      </c>
      <c r="S12" s="12">
        <v>193</v>
      </c>
      <c r="T12" s="12">
        <v>246</v>
      </c>
      <c r="U12" s="12">
        <v>123</v>
      </c>
      <c r="V12" s="12">
        <v>296</v>
      </c>
      <c r="W12" s="12">
        <v>135</v>
      </c>
      <c r="X12" s="12">
        <v>286</v>
      </c>
      <c r="Y12" s="12">
        <v>263</v>
      </c>
      <c r="Z12" s="12">
        <v>159</v>
      </c>
      <c r="AA12" s="12">
        <v>238</v>
      </c>
      <c r="AB12" s="12">
        <v>240</v>
      </c>
      <c r="AC12" s="12">
        <v>265</v>
      </c>
      <c r="AD12" s="12">
        <v>278</v>
      </c>
      <c r="AE12" s="12">
        <v>259</v>
      </c>
      <c r="AF12" s="12">
        <v>306</v>
      </c>
    </row>
    <row r="13" spans="1:32" ht="36.950000000000003">
      <c r="A13" s="20"/>
      <c r="B13" s="13" t="s">
        <v>917</v>
      </c>
      <c r="C13" s="14">
        <v>0.31</v>
      </c>
      <c r="D13" s="14">
        <v>0.23</v>
      </c>
      <c r="E13" s="14">
        <v>0.37</v>
      </c>
      <c r="F13" s="14">
        <v>0.31</v>
      </c>
      <c r="G13" s="14">
        <v>0.4</v>
      </c>
      <c r="H13" s="14">
        <v>0.37</v>
      </c>
      <c r="I13" s="14">
        <v>0.37</v>
      </c>
      <c r="J13" s="14">
        <v>0.35</v>
      </c>
      <c r="K13" s="14">
        <v>0.37</v>
      </c>
      <c r="L13" s="14">
        <v>0.37</v>
      </c>
      <c r="M13" s="14">
        <v>0.36</v>
      </c>
      <c r="N13" s="14">
        <v>0.28999999999999998</v>
      </c>
      <c r="O13" s="14">
        <v>0.25</v>
      </c>
      <c r="P13" s="14">
        <v>0.38</v>
      </c>
      <c r="Q13" s="14">
        <v>0.3</v>
      </c>
      <c r="R13" s="14">
        <v>0.36</v>
      </c>
      <c r="S13" s="14">
        <v>0.28000000000000003</v>
      </c>
      <c r="T13" s="14">
        <v>0.34</v>
      </c>
      <c r="U13" s="14">
        <v>0.31</v>
      </c>
      <c r="V13" s="14">
        <v>0.38</v>
      </c>
      <c r="W13" s="14">
        <v>0.36</v>
      </c>
      <c r="X13" s="14">
        <v>0.34</v>
      </c>
      <c r="Y13" s="14">
        <v>0.42</v>
      </c>
      <c r="Z13" s="14">
        <v>0.2</v>
      </c>
      <c r="AA13" s="14">
        <v>0.31</v>
      </c>
      <c r="AB13" s="14">
        <v>0.28999999999999998</v>
      </c>
      <c r="AC13" s="14">
        <v>0.4</v>
      </c>
      <c r="AD13" s="14">
        <v>0.36</v>
      </c>
      <c r="AE13" s="14">
        <v>0.33</v>
      </c>
      <c r="AF13" s="14">
        <v>0.36</v>
      </c>
    </row>
    <row r="14" spans="1:32" ht="48.95">
      <c r="A14" s="20"/>
      <c r="B14" s="11" t="s">
        <v>918</v>
      </c>
      <c r="C14" s="12">
        <v>4722</v>
      </c>
      <c r="D14" s="12">
        <v>144</v>
      </c>
      <c r="E14" s="12">
        <v>241</v>
      </c>
      <c r="F14" s="12">
        <v>161</v>
      </c>
      <c r="G14" s="12">
        <v>259</v>
      </c>
      <c r="H14" s="12">
        <v>221</v>
      </c>
      <c r="I14" s="12">
        <v>275</v>
      </c>
      <c r="J14" s="12">
        <v>54</v>
      </c>
      <c r="K14" s="12">
        <v>167</v>
      </c>
      <c r="L14" s="12">
        <v>211</v>
      </c>
      <c r="M14" s="12">
        <v>299</v>
      </c>
      <c r="N14" s="12">
        <v>147</v>
      </c>
      <c r="O14" s="12">
        <v>140</v>
      </c>
      <c r="P14" s="12">
        <v>260</v>
      </c>
      <c r="Q14" s="12">
        <v>195</v>
      </c>
      <c r="R14" s="12">
        <v>142</v>
      </c>
      <c r="S14" s="12">
        <v>86</v>
      </c>
      <c r="T14" s="12">
        <v>139</v>
      </c>
      <c r="U14" s="12">
        <v>85</v>
      </c>
      <c r="V14" s="12">
        <v>217</v>
      </c>
      <c r="W14" s="12">
        <v>64</v>
      </c>
      <c r="X14" s="12">
        <v>187</v>
      </c>
      <c r="Y14" s="12">
        <v>206</v>
      </c>
      <c r="Z14" s="12">
        <v>173</v>
      </c>
      <c r="AA14" s="12">
        <v>217</v>
      </c>
      <c r="AB14" s="12">
        <v>217</v>
      </c>
      <c r="AC14" s="12">
        <v>87</v>
      </c>
      <c r="AD14" s="12">
        <v>230</v>
      </c>
      <c r="AE14" s="12">
        <v>164</v>
      </c>
      <c r="AF14" s="12">
        <v>229</v>
      </c>
    </row>
    <row r="15" spans="1:32" ht="36.950000000000003">
      <c r="A15" s="20"/>
      <c r="B15" s="13" t="s">
        <v>919</v>
      </c>
      <c r="C15" s="14">
        <v>0.22</v>
      </c>
      <c r="D15" s="14">
        <v>0.17</v>
      </c>
      <c r="E15" s="14">
        <v>0.28999999999999998</v>
      </c>
      <c r="F15" s="14">
        <v>0.19</v>
      </c>
      <c r="G15" s="14">
        <v>0.32</v>
      </c>
      <c r="H15" s="14">
        <v>0.23</v>
      </c>
      <c r="I15" s="14">
        <v>0.23</v>
      </c>
      <c r="J15" s="14">
        <v>0.24</v>
      </c>
      <c r="K15" s="14">
        <v>0.21</v>
      </c>
      <c r="L15" s="14">
        <v>0.25</v>
      </c>
      <c r="M15" s="14">
        <v>0.36</v>
      </c>
      <c r="N15" s="14">
        <v>0.17</v>
      </c>
      <c r="O15" s="14">
        <v>0.19</v>
      </c>
      <c r="P15" s="14">
        <v>0.3</v>
      </c>
      <c r="Q15" s="14">
        <v>0.23</v>
      </c>
      <c r="R15" s="14">
        <v>0.37</v>
      </c>
      <c r="S15" s="14">
        <v>0.1</v>
      </c>
      <c r="T15" s="14">
        <v>0.17</v>
      </c>
      <c r="U15" s="14">
        <v>0.2</v>
      </c>
      <c r="V15" s="14">
        <v>0.25</v>
      </c>
      <c r="W15" s="14">
        <v>0.14000000000000001</v>
      </c>
      <c r="X15" s="14">
        <v>0.22</v>
      </c>
      <c r="Y15" s="14">
        <v>0.28999999999999998</v>
      </c>
      <c r="Z15" s="14">
        <v>0.2</v>
      </c>
      <c r="AA15" s="14">
        <v>0.25</v>
      </c>
      <c r="AB15" s="14">
        <v>0.26</v>
      </c>
      <c r="AC15" s="14">
        <v>0.1</v>
      </c>
      <c r="AD15" s="14">
        <v>0.27</v>
      </c>
      <c r="AE15" s="14">
        <v>0.19</v>
      </c>
      <c r="AF15" s="14">
        <v>0.28999999999999998</v>
      </c>
    </row>
    <row r="16" spans="1:32" ht="24.95">
      <c r="A16" s="20"/>
      <c r="B16" s="11" t="s">
        <v>920</v>
      </c>
      <c r="C16" s="12">
        <v>6001</v>
      </c>
      <c r="D16" s="12">
        <v>220</v>
      </c>
      <c r="E16" s="12">
        <v>230</v>
      </c>
      <c r="F16" s="12">
        <v>178</v>
      </c>
      <c r="G16" s="12">
        <v>411</v>
      </c>
      <c r="H16" s="12">
        <v>284</v>
      </c>
      <c r="I16" s="12">
        <v>362</v>
      </c>
      <c r="J16" s="12">
        <v>78</v>
      </c>
      <c r="K16" s="12">
        <v>195</v>
      </c>
      <c r="L16" s="12">
        <v>235</v>
      </c>
      <c r="M16" s="12">
        <v>317</v>
      </c>
      <c r="N16" s="12">
        <v>218</v>
      </c>
      <c r="O16" s="12">
        <v>191</v>
      </c>
      <c r="P16" s="12">
        <v>230</v>
      </c>
      <c r="Q16" s="12">
        <v>231</v>
      </c>
      <c r="R16" s="12">
        <v>106</v>
      </c>
      <c r="S16" s="12">
        <v>186</v>
      </c>
      <c r="T16" s="12">
        <v>228</v>
      </c>
      <c r="U16" s="12">
        <v>110</v>
      </c>
      <c r="V16" s="12">
        <v>226</v>
      </c>
      <c r="W16" s="12">
        <v>91</v>
      </c>
      <c r="X16" s="12">
        <v>302</v>
      </c>
      <c r="Y16" s="12">
        <v>211</v>
      </c>
      <c r="Z16" s="12">
        <v>210</v>
      </c>
      <c r="AA16" s="12">
        <v>269</v>
      </c>
      <c r="AB16" s="12">
        <v>194</v>
      </c>
      <c r="AC16" s="12">
        <v>134</v>
      </c>
      <c r="AD16" s="12">
        <v>203</v>
      </c>
      <c r="AE16" s="12">
        <v>291</v>
      </c>
      <c r="AF16" s="12">
        <v>348</v>
      </c>
    </row>
    <row r="17" spans="1:32" ht="24.95">
      <c r="A17" s="20"/>
      <c r="B17" s="13" t="s">
        <v>921</v>
      </c>
      <c r="C17" s="14">
        <v>0.3</v>
      </c>
      <c r="D17" s="14">
        <v>0.28000000000000003</v>
      </c>
      <c r="E17" s="14">
        <v>0.28999999999999998</v>
      </c>
      <c r="F17" s="14">
        <v>0.24</v>
      </c>
      <c r="G17" s="14">
        <v>0.51</v>
      </c>
      <c r="H17" s="14">
        <v>0.33</v>
      </c>
      <c r="I17" s="14">
        <v>0.34</v>
      </c>
      <c r="J17" s="14">
        <v>0.37</v>
      </c>
      <c r="K17" s="14">
        <v>0.26</v>
      </c>
      <c r="L17" s="14">
        <v>0.32</v>
      </c>
      <c r="M17" s="14">
        <v>0.42</v>
      </c>
      <c r="N17" s="14">
        <v>0.28000000000000003</v>
      </c>
      <c r="O17" s="14">
        <v>0.27</v>
      </c>
      <c r="P17" s="14">
        <v>0.27</v>
      </c>
      <c r="Q17" s="14">
        <v>0.3</v>
      </c>
      <c r="R17" s="14">
        <v>0.28999999999999998</v>
      </c>
      <c r="S17" s="14">
        <v>0.26</v>
      </c>
      <c r="T17" s="14">
        <v>0.31</v>
      </c>
      <c r="U17" s="14">
        <v>0.28000000000000003</v>
      </c>
      <c r="V17" s="14">
        <v>0.28000000000000003</v>
      </c>
      <c r="W17" s="14">
        <v>0.23</v>
      </c>
      <c r="X17" s="14">
        <v>0.4</v>
      </c>
      <c r="Y17" s="14">
        <v>0.33</v>
      </c>
      <c r="Z17" s="14">
        <v>0.26</v>
      </c>
      <c r="AA17" s="14">
        <v>0.35</v>
      </c>
      <c r="AB17" s="14">
        <v>0.23</v>
      </c>
      <c r="AC17" s="14">
        <v>0.17</v>
      </c>
      <c r="AD17" s="14">
        <v>0.24</v>
      </c>
      <c r="AE17" s="14">
        <v>0.38</v>
      </c>
      <c r="AF17" s="14">
        <v>0.41</v>
      </c>
    </row>
    <row r="18" spans="1:32" ht="36.950000000000003">
      <c r="A18" s="20"/>
      <c r="B18" s="11" t="s">
        <v>922</v>
      </c>
      <c r="C18" s="12">
        <v>5241</v>
      </c>
      <c r="D18" s="12">
        <v>194</v>
      </c>
      <c r="E18" s="12">
        <v>218</v>
      </c>
      <c r="F18" s="12">
        <v>209</v>
      </c>
      <c r="G18" s="12">
        <v>322</v>
      </c>
      <c r="H18" s="12">
        <v>243</v>
      </c>
      <c r="I18" s="12">
        <v>296</v>
      </c>
      <c r="J18" s="12">
        <v>54</v>
      </c>
      <c r="K18" s="12">
        <v>188</v>
      </c>
      <c r="L18" s="12">
        <v>216</v>
      </c>
      <c r="M18" s="12">
        <v>270</v>
      </c>
      <c r="N18" s="12">
        <v>165</v>
      </c>
      <c r="O18" s="12">
        <v>152</v>
      </c>
      <c r="P18" s="12">
        <v>265</v>
      </c>
      <c r="Q18" s="12">
        <v>190</v>
      </c>
      <c r="R18" s="12">
        <v>149</v>
      </c>
      <c r="S18" s="12">
        <v>167</v>
      </c>
      <c r="T18" s="12">
        <v>241</v>
      </c>
      <c r="U18" s="12">
        <v>75</v>
      </c>
      <c r="V18" s="12">
        <v>241</v>
      </c>
      <c r="W18" s="12">
        <v>108</v>
      </c>
      <c r="X18" s="12">
        <v>321</v>
      </c>
      <c r="Y18" s="12">
        <v>215</v>
      </c>
      <c r="Z18" s="12">
        <v>195</v>
      </c>
      <c r="AA18" s="12">
        <v>182</v>
      </c>
      <c r="AB18" s="12">
        <v>220</v>
      </c>
      <c r="AC18" s="12">
        <v>178</v>
      </c>
      <c r="AD18" s="12">
        <v>284</v>
      </c>
      <c r="AE18" s="12">
        <v>230</v>
      </c>
      <c r="AF18" s="12">
        <v>306</v>
      </c>
    </row>
    <row r="19" spans="1:32" ht="24.95">
      <c r="A19" s="20"/>
      <c r="B19" s="13" t="s">
        <v>923</v>
      </c>
      <c r="C19" s="14">
        <v>0.25</v>
      </c>
      <c r="D19" s="14">
        <v>0.24</v>
      </c>
      <c r="E19" s="14">
        <v>0.26</v>
      </c>
      <c r="F19" s="14">
        <v>0.27</v>
      </c>
      <c r="G19" s="14">
        <v>0.45</v>
      </c>
      <c r="H19" s="14">
        <v>0.25</v>
      </c>
      <c r="I19" s="14">
        <v>0.25</v>
      </c>
      <c r="J19" s="14">
        <v>0.23</v>
      </c>
      <c r="K19" s="14">
        <v>0.25</v>
      </c>
      <c r="L19" s="14">
        <v>0.27</v>
      </c>
      <c r="M19" s="14">
        <v>0.34</v>
      </c>
      <c r="N19" s="14">
        <v>0.2</v>
      </c>
      <c r="O19" s="14">
        <v>0.21</v>
      </c>
      <c r="P19" s="14">
        <v>0.3</v>
      </c>
      <c r="Q19" s="14">
        <v>0.23</v>
      </c>
      <c r="R19" s="14">
        <v>0.41</v>
      </c>
      <c r="S19" s="14">
        <v>0.22</v>
      </c>
      <c r="T19" s="14">
        <v>0.34</v>
      </c>
      <c r="U19" s="14">
        <v>0.18</v>
      </c>
      <c r="V19" s="14">
        <v>0.28000000000000003</v>
      </c>
      <c r="W19" s="14">
        <v>0.25</v>
      </c>
      <c r="X19" s="14">
        <v>0.43</v>
      </c>
      <c r="Y19" s="14">
        <v>0.3</v>
      </c>
      <c r="Z19" s="14">
        <v>0.25</v>
      </c>
      <c r="AA19" s="14">
        <v>0.22</v>
      </c>
      <c r="AB19" s="14">
        <v>0.26</v>
      </c>
      <c r="AC19" s="14">
        <v>0.22</v>
      </c>
      <c r="AD19" s="14">
        <v>0.33</v>
      </c>
      <c r="AE19" s="14">
        <v>0.31</v>
      </c>
      <c r="AF19" s="14">
        <v>0.37</v>
      </c>
    </row>
    <row r="20" spans="1:32" ht="24.95">
      <c r="A20" s="20"/>
      <c r="B20" s="11" t="s">
        <v>924</v>
      </c>
      <c r="C20" s="12">
        <v>4643</v>
      </c>
      <c r="D20" s="12">
        <v>180</v>
      </c>
      <c r="E20" s="12">
        <v>202</v>
      </c>
      <c r="F20" s="12">
        <v>176</v>
      </c>
      <c r="G20" s="12">
        <v>292</v>
      </c>
      <c r="H20" s="12">
        <v>205</v>
      </c>
      <c r="I20" s="12">
        <v>265</v>
      </c>
      <c r="J20" s="12">
        <v>59</v>
      </c>
      <c r="K20" s="12">
        <v>139</v>
      </c>
      <c r="L20" s="12">
        <v>178</v>
      </c>
      <c r="M20" s="12">
        <v>203</v>
      </c>
      <c r="N20" s="12">
        <v>134</v>
      </c>
      <c r="O20" s="12">
        <v>166</v>
      </c>
      <c r="P20" s="12">
        <v>229</v>
      </c>
      <c r="Q20" s="12">
        <v>174</v>
      </c>
      <c r="R20" s="12">
        <v>88</v>
      </c>
      <c r="S20" s="12">
        <v>84</v>
      </c>
      <c r="T20" s="12">
        <v>110</v>
      </c>
      <c r="U20" s="12">
        <v>80</v>
      </c>
      <c r="V20" s="12">
        <v>220</v>
      </c>
      <c r="W20" s="12">
        <v>117</v>
      </c>
      <c r="X20" s="12">
        <v>220</v>
      </c>
      <c r="Y20" s="12">
        <v>169</v>
      </c>
      <c r="Z20" s="12">
        <v>178</v>
      </c>
      <c r="AA20" s="12">
        <v>178</v>
      </c>
      <c r="AB20" s="12">
        <v>189</v>
      </c>
      <c r="AC20" s="12">
        <v>140</v>
      </c>
      <c r="AD20" s="12">
        <v>205</v>
      </c>
      <c r="AE20" s="12">
        <v>177</v>
      </c>
      <c r="AF20" s="12">
        <v>313</v>
      </c>
    </row>
    <row r="21" spans="1:32" ht="24.95">
      <c r="A21" s="20"/>
      <c r="B21" s="13" t="s">
        <v>925</v>
      </c>
      <c r="C21" s="14">
        <v>0.21</v>
      </c>
      <c r="D21" s="14">
        <v>0.2</v>
      </c>
      <c r="E21" s="14">
        <v>0.23</v>
      </c>
      <c r="F21" s="14">
        <v>0.21</v>
      </c>
      <c r="G21" s="14">
        <v>0.32</v>
      </c>
      <c r="H21" s="14">
        <v>0.2</v>
      </c>
      <c r="I21" s="14">
        <v>0.21</v>
      </c>
      <c r="J21" s="14">
        <v>0.25</v>
      </c>
      <c r="K21" s="14">
        <v>0.16</v>
      </c>
      <c r="L21" s="14">
        <v>0.2</v>
      </c>
      <c r="M21" s="14">
        <v>0.23</v>
      </c>
      <c r="N21" s="14">
        <v>0.15</v>
      </c>
      <c r="O21" s="14">
        <v>0.22</v>
      </c>
      <c r="P21" s="14">
        <v>0.25</v>
      </c>
      <c r="Q21" s="14">
        <v>0.21</v>
      </c>
      <c r="R21" s="14">
        <v>0.22</v>
      </c>
      <c r="S21" s="14">
        <v>0.1</v>
      </c>
      <c r="T21" s="14">
        <v>0.13</v>
      </c>
      <c r="U21" s="14">
        <v>0.19</v>
      </c>
      <c r="V21" s="14">
        <v>0.25</v>
      </c>
      <c r="W21" s="14">
        <v>0.27</v>
      </c>
      <c r="X21" s="14">
        <v>0.24</v>
      </c>
      <c r="Y21" s="14">
        <v>0.24</v>
      </c>
      <c r="Z21" s="14">
        <v>0.21</v>
      </c>
      <c r="AA21" s="14">
        <v>0.2</v>
      </c>
      <c r="AB21" s="14">
        <v>0.21</v>
      </c>
      <c r="AC21" s="14">
        <v>0.17</v>
      </c>
      <c r="AD21" s="14">
        <v>0.23</v>
      </c>
      <c r="AE21" s="14">
        <v>0.2</v>
      </c>
      <c r="AF21" s="14">
        <v>0.34</v>
      </c>
    </row>
    <row r="22" spans="1:32" ht="24.95">
      <c r="A22" s="20"/>
      <c r="B22" s="11" t="s">
        <v>926</v>
      </c>
      <c r="C22" s="12">
        <v>3806</v>
      </c>
      <c r="D22" s="12">
        <v>179</v>
      </c>
      <c r="E22" s="12">
        <v>166</v>
      </c>
      <c r="F22" s="12">
        <v>122</v>
      </c>
      <c r="G22" s="12">
        <v>284</v>
      </c>
      <c r="H22" s="12">
        <v>169</v>
      </c>
      <c r="I22" s="12">
        <v>209</v>
      </c>
      <c r="J22" s="12">
        <v>40</v>
      </c>
      <c r="K22" s="12">
        <v>104</v>
      </c>
      <c r="L22" s="12">
        <v>184</v>
      </c>
      <c r="M22" s="12">
        <v>183</v>
      </c>
      <c r="N22" s="12">
        <v>109</v>
      </c>
      <c r="O22" s="12">
        <v>130</v>
      </c>
      <c r="P22" s="12">
        <v>201</v>
      </c>
      <c r="Q22" s="12">
        <v>139</v>
      </c>
      <c r="R22" s="12">
        <v>106</v>
      </c>
      <c r="S22" s="12">
        <v>98</v>
      </c>
      <c r="T22" s="12">
        <v>124</v>
      </c>
      <c r="U22" s="12">
        <v>68</v>
      </c>
      <c r="V22" s="12">
        <v>174</v>
      </c>
      <c r="W22" s="12">
        <v>69</v>
      </c>
      <c r="X22" s="12">
        <v>224</v>
      </c>
      <c r="Y22" s="12">
        <v>169</v>
      </c>
      <c r="Z22" s="12">
        <v>109</v>
      </c>
      <c r="AA22" s="12">
        <v>135</v>
      </c>
      <c r="AB22" s="12">
        <v>148</v>
      </c>
      <c r="AC22" s="12">
        <v>83</v>
      </c>
      <c r="AD22" s="12">
        <v>203</v>
      </c>
      <c r="AE22" s="12">
        <v>150</v>
      </c>
      <c r="AF22" s="12">
        <v>309</v>
      </c>
    </row>
    <row r="23" spans="1:32">
      <c r="A23" s="20"/>
      <c r="B23" s="13" t="s">
        <v>927</v>
      </c>
      <c r="C23" s="14">
        <v>0.17</v>
      </c>
      <c r="D23" s="14">
        <v>0.2</v>
      </c>
      <c r="E23" s="14">
        <v>0.19</v>
      </c>
      <c r="F23" s="14">
        <v>0.15</v>
      </c>
      <c r="G23" s="14">
        <v>0.31</v>
      </c>
      <c r="H23" s="14">
        <v>0.16</v>
      </c>
      <c r="I23" s="14">
        <v>0.16</v>
      </c>
      <c r="J23" s="14">
        <v>0.17</v>
      </c>
      <c r="K23" s="14">
        <v>0.12</v>
      </c>
      <c r="L23" s="14">
        <v>0.21</v>
      </c>
      <c r="M23" s="14">
        <v>0.21</v>
      </c>
      <c r="N23" s="14">
        <v>0.12</v>
      </c>
      <c r="O23" s="14">
        <v>0.17</v>
      </c>
      <c r="P23" s="14">
        <v>0.22</v>
      </c>
      <c r="Q23" s="14">
        <v>0.16</v>
      </c>
      <c r="R23" s="14">
        <v>0.26</v>
      </c>
      <c r="S23" s="14">
        <v>0.12</v>
      </c>
      <c r="T23" s="14">
        <v>0.14000000000000001</v>
      </c>
      <c r="U23" s="14">
        <v>0.15</v>
      </c>
      <c r="V23" s="14">
        <v>0.2</v>
      </c>
      <c r="W23" s="14">
        <v>0.15</v>
      </c>
      <c r="X23" s="14">
        <v>0.24</v>
      </c>
      <c r="Y23" s="14">
        <v>0.23</v>
      </c>
      <c r="Z23" s="14">
        <v>0.12</v>
      </c>
      <c r="AA23" s="14">
        <v>0.16</v>
      </c>
      <c r="AB23" s="14">
        <v>0.16</v>
      </c>
      <c r="AC23" s="14">
        <v>0.1</v>
      </c>
      <c r="AD23" s="14">
        <v>0.23</v>
      </c>
      <c r="AE23" s="14">
        <v>0.17</v>
      </c>
      <c r="AF23" s="14">
        <v>0.33</v>
      </c>
    </row>
    <row r="24" spans="1:32" ht="48.95">
      <c r="A24" s="20"/>
      <c r="B24" s="11" t="s">
        <v>928</v>
      </c>
      <c r="C24" s="12">
        <v>5912</v>
      </c>
      <c r="D24" s="12">
        <v>165</v>
      </c>
      <c r="E24" s="12">
        <v>296</v>
      </c>
      <c r="F24" s="12">
        <v>241</v>
      </c>
      <c r="G24" s="12">
        <v>240</v>
      </c>
      <c r="H24" s="12">
        <v>360</v>
      </c>
      <c r="I24" s="12">
        <v>429</v>
      </c>
      <c r="J24" s="12">
        <v>69</v>
      </c>
      <c r="K24" s="12">
        <v>232</v>
      </c>
      <c r="L24" s="12">
        <v>269</v>
      </c>
      <c r="M24" s="12">
        <v>252</v>
      </c>
      <c r="N24" s="12">
        <v>204</v>
      </c>
      <c r="O24" s="12">
        <v>148</v>
      </c>
      <c r="P24" s="12">
        <v>297</v>
      </c>
      <c r="Q24" s="12">
        <v>215</v>
      </c>
      <c r="R24" s="12">
        <v>172</v>
      </c>
      <c r="S24" s="12">
        <v>146</v>
      </c>
      <c r="T24" s="12">
        <v>251</v>
      </c>
      <c r="U24" s="12">
        <v>94</v>
      </c>
      <c r="V24" s="12">
        <v>322</v>
      </c>
      <c r="W24" s="12">
        <v>148</v>
      </c>
      <c r="X24" s="12">
        <v>198</v>
      </c>
      <c r="Y24" s="12">
        <v>264</v>
      </c>
      <c r="Z24" s="12">
        <v>190</v>
      </c>
      <c r="AA24" s="12">
        <v>244</v>
      </c>
      <c r="AB24" s="12">
        <v>280</v>
      </c>
      <c r="AC24" s="12">
        <v>281</v>
      </c>
      <c r="AD24" s="12">
        <v>329</v>
      </c>
      <c r="AE24" s="12">
        <v>240</v>
      </c>
      <c r="AF24" s="12">
        <v>249</v>
      </c>
    </row>
    <row r="25" spans="1:32" ht="24.95">
      <c r="A25" s="20"/>
      <c r="B25" s="13" t="s">
        <v>929</v>
      </c>
      <c r="C25" s="14">
        <v>0.28000000000000003</v>
      </c>
      <c r="D25" s="14">
        <v>0.18</v>
      </c>
      <c r="E25" s="14">
        <v>0.4</v>
      </c>
      <c r="F25" s="14">
        <v>0.31</v>
      </c>
      <c r="G25" s="14">
        <v>0.26</v>
      </c>
      <c r="H25" s="14">
        <v>0.38</v>
      </c>
      <c r="I25" s="14">
        <v>0.37</v>
      </c>
      <c r="J25" s="14">
        <v>0.3</v>
      </c>
      <c r="K25" s="14">
        <v>0.3</v>
      </c>
      <c r="L25" s="14">
        <v>0.35</v>
      </c>
      <c r="M25" s="14">
        <v>0.31</v>
      </c>
      <c r="N25" s="14">
        <v>0.25</v>
      </c>
      <c r="O25" s="14">
        <v>0.19</v>
      </c>
      <c r="P25" s="14">
        <v>0.38</v>
      </c>
      <c r="Q25" s="14">
        <v>0.26</v>
      </c>
      <c r="R25" s="14">
        <v>0.47</v>
      </c>
      <c r="S25" s="14">
        <v>0.18</v>
      </c>
      <c r="T25" s="14">
        <v>0.32</v>
      </c>
      <c r="U25" s="14">
        <v>0.21</v>
      </c>
      <c r="V25" s="14">
        <v>0.41</v>
      </c>
      <c r="W25" s="14">
        <v>0.36</v>
      </c>
      <c r="X25" s="14">
        <v>0.21</v>
      </c>
      <c r="Y25" s="14">
        <v>0.39</v>
      </c>
      <c r="Z25" s="14">
        <v>0.23</v>
      </c>
      <c r="AA25" s="14">
        <v>0.3</v>
      </c>
      <c r="AB25" s="14">
        <v>0.33</v>
      </c>
      <c r="AC25" s="14">
        <v>0.36</v>
      </c>
      <c r="AD25" s="14">
        <v>0.41</v>
      </c>
      <c r="AE25" s="14">
        <v>0.27</v>
      </c>
      <c r="AF25" s="14">
        <v>0.26</v>
      </c>
    </row>
    <row r="26" spans="1:32">
      <c r="A26" s="20"/>
      <c r="B26" s="11" t="s">
        <v>930</v>
      </c>
      <c r="C26" s="12">
        <v>4285</v>
      </c>
      <c r="D26" s="12">
        <v>180</v>
      </c>
      <c r="E26" s="12">
        <v>209</v>
      </c>
      <c r="F26" s="12">
        <v>170</v>
      </c>
      <c r="G26" s="12">
        <v>205</v>
      </c>
      <c r="H26" s="12">
        <v>239</v>
      </c>
      <c r="I26" s="12">
        <v>294</v>
      </c>
      <c r="J26" s="12">
        <v>56</v>
      </c>
      <c r="K26" s="12">
        <v>143</v>
      </c>
      <c r="L26" s="12">
        <v>173</v>
      </c>
      <c r="M26" s="12">
        <v>219</v>
      </c>
      <c r="N26" s="12">
        <v>131</v>
      </c>
      <c r="O26" s="12">
        <v>123</v>
      </c>
      <c r="P26" s="12">
        <v>234</v>
      </c>
      <c r="Q26" s="12">
        <v>177</v>
      </c>
      <c r="R26" s="12">
        <v>103</v>
      </c>
      <c r="S26" s="12">
        <v>91</v>
      </c>
      <c r="T26" s="12">
        <v>132</v>
      </c>
      <c r="U26" s="12">
        <v>85</v>
      </c>
      <c r="V26" s="12">
        <v>179</v>
      </c>
      <c r="W26" s="12">
        <v>74</v>
      </c>
      <c r="X26" s="12">
        <v>172</v>
      </c>
      <c r="Y26" s="12">
        <v>156</v>
      </c>
      <c r="Z26" s="12">
        <v>153</v>
      </c>
      <c r="AA26" s="12">
        <v>133</v>
      </c>
      <c r="AB26" s="12">
        <v>183</v>
      </c>
      <c r="AC26" s="12">
        <v>143</v>
      </c>
      <c r="AD26" s="12">
        <v>218</v>
      </c>
      <c r="AE26" s="12">
        <v>137</v>
      </c>
      <c r="AF26" s="12">
        <v>148</v>
      </c>
    </row>
    <row r="27" spans="1:32">
      <c r="A27" s="20"/>
      <c r="B27" s="13" t="s">
        <v>931</v>
      </c>
      <c r="C27" s="14">
        <v>0.2</v>
      </c>
      <c r="D27" s="14">
        <v>0.21</v>
      </c>
      <c r="E27" s="14">
        <v>0.24</v>
      </c>
      <c r="F27" s="14">
        <v>0.22</v>
      </c>
      <c r="G27" s="14">
        <v>0.22</v>
      </c>
      <c r="H27" s="14">
        <v>0.24</v>
      </c>
      <c r="I27" s="14">
        <v>0.24</v>
      </c>
      <c r="J27" s="14">
        <v>0.24</v>
      </c>
      <c r="K27" s="14">
        <v>0.17</v>
      </c>
      <c r="L27" s="14">
        <v>0.21</v>
      </c>
      <c r="M27" s="14">
        <v>0.26</v>
      </c>
      <c r="N27" s="14">
        <v>0.15</v>
      </c>
      <c r="O27" s="14">
        <v>0.16</v>
      </c>
      <c r="P27" s="14">
        <v>0.26</v>
      </c>
      <c r="Q27" s="14">
        <v>0.22</v>
      </c>
      <c r="R27" s="14">
        <v>0.27</v>
      </c>
      <c r="S27" s="14">
        <v>0.11</v>
      </c>
      <c r="T27" s="14">
        <v>0.16</v>
      </c>
      <c r="U27" s="14">
        <v>0.2</v>
      </c>
      <c r="V27" s="14">
        <v>0.2</v>
      </c>
      <c r="W27" s="14">
        <v>0.16</v>
      </c>
      <c r="X27" s="14">
        <v>0.19</v>
      </c>
      <c r="Y27" s="14">
        <v>0.22</v>
      </c>
      <c r="Z27" s="14">
        <v>0.18</v>
      </c>
      <c r="AA27" s="14">
        <v>0.16</v>
      </c>
      <c r="AB27" s="14">
        <v>0.2</v>
      </c>
      <c r="AC27" s="14">
        <v>0.17</v>
      </c>
      <c r="AD27" s="14">
        <v>0.24</v>
      </c>
      <c r="AE27" s="14">
        <v>0.15</v>
      </c>
      <c r="AF27" s="14">
        <v>0.15</v>
      </c>
    </row>
    <row r="28" spans="1:32" ht="36.950000000000003">
      <c r="A28" s="20"/>
      <c r="B28" s="11" t="s">
        <v>932</v>
      </c>
      <c r="C28" s="12">
        <v>5614</v>
      </c>
      <c r="D28" s="12">
        <v>202</v>
      </c>
      <c r="E28" s="12">
        <v>266</v>
      </c>
      <c r="F28" s="12">
        <v>168</v>
      </c>
      <c r="G28" s="12">
        <v>329</v>
      </c>
      <c r="H28" s="12">
        <v>266</v>
      </c>
      <c r="I28" s="12">
        <v>339</v>
      </c>
      <c r="J28" s="12">
        <v>73</v>
      </c>
      <c r="K28" s="12">
        <v>224</v>
      </c>
      <c r="L28" s="12">
        <v>227</v>
      </c>
      <c r="M28" s="12">
        <v>333</v>
      </c>
      <c r="N28" s="12">
        <v>159</v>
      </c>
      <c r="O28" s="12">
        <v>192</v>
      </c>
      <c r="P28" s="12">
        <v>295</v>
      </c>
      <c r="Q28" s="12">
        <v>204</v>
      </c>
      <c r="R28" s="12">
        <v>159</v>
      </c>
      <c r="S28" s="12">
        <v>151</v>
      </c>
      <c r="T28" s="12">
        <v>156</v>
      </c>
      <c r="U28" s="12">
        <v>102</v>
      </c>
      <c r="V28" s="12">
        <v>245</v>
      </c>
      <c r="W28" s="12">
        <v>129</v>
      </c>
      <c r="X28" s="12">
        <v>283</v>
      </c>
      <c r="Y28" s="12">
        <v>227</v>
      </c>
      <c r="Z28" s="12">
        <v>173</v>
      </c>
      <c r="AA28" s="12">
        <v>227</v>
      </c>
      <c r="AB28" s="12">
        <v>249</v>
      </c>
      <c r="AC28" s="12">
        <v>170</v>
      </c>
      <c r="AD28" s="12">
        <v>225</v>
      </c>
      <c r="AE28" s="12">
        <v>213</v>
      </c>
      <c r="AF28" s="12">
        <v>397</v>
      </c>
    </row>
    <row r="29" spans="1:32" ht="36.950000000000003">
      <c r="A29" s="20"/>
      <c r="B29" s="13" t="s">
        <v>933</v>
      </c>
      <c r="C29" s="14">
        <v>0.27</v>
      </c>
      <c r="D29" s="14">
        <v>0.24</v>
      </c>
      <c r="E29" s="14">
        <v>0.34</v>
      </c>
      <c r="F29" s="14">
        <v>0.21</v>
      </c>
      <c r="G29" s="14">
        <v>0.39</v>
      </c>
      <c r="H29" s="14">
        <v>0.27</v>
      </c>
      <c r="I29" s="14">
        <v>0.28000000000000003</v>
      </c>
      <c r="J29" s="14">
        <v>0.32</v>
      </c>
      <c r="K29" s="14">
        <v>0.27</v>
      </c>
      <c r="L29" s="14">
        <v>0.28000000000000003</v>
      </c>
      <c r="M29" s="14">
        <v>0.41</v>
      </c>
      <c r="N29" s="14">
        <v>0.19</v>
      </c>
      <c r="O29" s="14">
        <v>0.27</v>
      </c>
      <c r="P29" s="14">
        <v>0.34</v>
      </c>
      <c r="Q29" s="14">
        <v>0.25</v>
      </c>
      <c r="R29" s="14">
        <v>0.41</v>
      </c>
      <c r="S29" s="14">
        <v>0.19</v>
      </c>
      <c r="T29" s="14">
        <v>0.19</v>
      </c>
      <c r="U29" s="14">
        <v>0.25</v>
      </c>
      <c r="V29" s="14">
        <v>0.28999999999999998</v>
      </c>
      <c r="W29" s="14">
        <v>0.3</v>
      </c>
      <c r="X29" s="14">
        <v>0.32</v>
      </c>
      <c r="Y29" s="14">
        <v>0.32</v>
      </c>
      <c r="Z29" s="14">
        <v>0.21</v>
      </c>
      <c r="AA29" s="14">
        <v>0.27</v>
      </c>
      <c r="AB29" s="14">
        <v>0.28999999999999998</v>
      </c>
      <c r="AC29" s="14">
        <v>0.21</v>
      </c>
      <c r="AD29" s="14">
        <v>0.26</v>
      </c>
      <c r="AE29" s="14">
        <v>0.25</v>
      </c>
      <c r="AF29" s="14">
        <v>0.46</v>
      </c>
    </row>
    <row r="30" spans="1:32" ht="24.95">
      <c r="A30" s="20"/>
      <c r="B30" s="11" t="s">
        <v>934</v>
      </c>
      <c r="C30" s="12">
        <v>5227</v>
      </c>
      <c r="D30" s="12">
        <v>158</v>
      </c>
      <c r="E30" s="12">
        <v>223</v>
      </c>
      <c r="F30" s="12">
        <v>216</v>
      </c>
      <c r="G30" s="12">
        <v>162</v>
      </c>
      <c r="H30" s="12">
        <v>251</v>
      </c>
      <c r="I30" s="12">
        <v>313</v>
      </c>
      <c r="J30" s="12">
        <v>62</v>
      </c>
      <c r="K30" s="12">
        <v>265</v>
      </c>
      <c r="L30" s="12">
        <v>245</v>
      </c>
      <c r="M30" s="12">
        <v>244</v>
      </c>
      <c r="N30" s="12">
        <v>260</v>
      </c>
      <c r="O30" s="12">
        <v>174</v>
      </c>
      <c r="P30" s="12">
        <v>272</v>
      </c>
      <c r="Q30" s="12">
        <v>201</v>
      </c>
      <c r="R30" s="12">
        <v>135</v>
      </c>
      <c r="S30" s="12">
        <v>176</v>
      </c>
      <c r="T30" s="12">
        <v>220</v>
      </c>
      <c r="U30" s="12">
        <v>96</v>
      </c>
      <c r="V30" s="12">
        <v>250</v>
      </c>
      <c r="W30" s="12">
        <v>70</v>
      </c>
      <c r="X30" s="12">
        <v>132</v>
      </c>
      <c r="Y30" s="12">
        <v>226</v>
      </c>
      <c r="Z30" s="12">
        <v>126</v>
      </c>
      <c r="AA30" s="12">
        <v>260</v>
      </c>
      <c r="AB30" s="12">
        <v>231</v>
      </c>
      <c r="AC30" s="12">
        <v>150</v>
      </c>
      <c r="AD30" s="12">
        <v>192</v>
      </c>
      <c r="AE30" s="12">
        <v>160</v>
      </c>
      <c r="AF30" s="12">
        <v>199</v>
      </c>
    </row>
    <row r="31" spans="1:32">
      <c r="A31" s="20"/>
      <c r="B31" s="13" t="s">
        <v>935</v>
      </c>
      <c r="C31" s="14">
        <v>0.25</v>
      </c>
      <c r="D31" s="14">
        <v>0.18</v>
      </c>
      <c r="E31" s="14">
        <v>0.26</v>
      </c>
      <c r="F31" s="14">
        <v>0.27</v>
      </c>
      <c r="G31" s="14">
        <v>0.18</v>
      </c>
      <c r="H31" s="14">
        <v>0.26</v>
      </c>
      <c r="I31" s="14">
        <v>0.26</v>
      </c>
      <c r="J31" s="14">
        <v>0.27</v>
      </c>
      <c r="K31" s="14">
        <v>0.34</v>
      </c>
      <c r="L31" s="14">
        <v>0.28999999999999998</v>
      </c>
      <c r="M31" s="14">
        <v>0.28999999999999998</v>
      </c>
      <c r="N31" s="14">
        <v>0.34</v>
      </c>
      <c r="O31" s="14">
        <v>0.25</v>
      </c>
      <c r="P31" s="14">
        <v>0.3</v>
      </c>
      <c r="Q31" s="14">
        <v>0.26</v>
      </c>
      <c r="R31" s="14">
        <v>0.35</v>
      </c>
      <c r="S31" s="14">
        <v>0.23</v>
      </c>
      <c r="T31" s="14">
        <v>0.28000000000000003</v>
      </c>
      <c r="U31" s="14">
        <v>0.25</v>
      </c>
      <c r="V31" s="14">
        <v>0.28999999999999998</v>
      </c>
      <c r="W31" s="14">
        <v>0.16</v>
      </c>
      <c r="X31" s="14">
        <v>0.14000000000000001</v>
      </c>
      <c r="Y31" s="14">
        <v>0.32</v>
      </c>
      <c r="Z31" s="14">
        <v>0.14000000000000001</v>
      </c>
      <c r="AA31" s="14">
        <v>0.33</v>
      </c>
      <c r="AB31" s="14">
        <v>0.26</v>
      </c>
      <c r="AC31" s="14">
        <v>0.18</v>
      </c>
      <c r="AD31" s="14">
        <v>0.22</v>
      </c>
      <c r="AE31" s="14">
        <v>0.18</v>
      </c>
      <c r="AF31" s="14">
        <v>0.2</v>
      </c>
    </row>
    <row r="32" spans="1:32">
      <c r="A32" s="20"/>
      <c r="B32" s="11" t="s">
        <v>519</v>
      </c>
      <c r="C32" s="12">
        <v>77</v>
      </c>
      <c r="D32" s="12">
        <v>1</v>
      </c>
      <c r="E32" s="12">
        <v>3</v>
      </c>
      <c r="F32" s="12">
        <v>0</v>
      </c>
      <c r="G32" s="12">
        <v>4</v>
      </c>
      <c r="H32" s="12">
        <v>9</v>
      </c>
      <c r="I32" s="12">
        <v>9</v>
      </c>
      <c r="J32" s="12">
        <v>1</v>
      </c>
      <c r="K32" s="12">
        <v>12</v>
      </c>
      <c r="L32" s="12">
        <v>1</v>
      </c>
      <c r="M32" s="12">
        <v>0</v>
      </c>
      <c r="N32" s="12">
        <v>3</v>
      </c>
      <c r="O32" s="12">
        <v>2</v>
      </c>
      <c r="P32" s="12">
        <v>1</v>
      </c>
      <c r="Q32" s="12">
        <v>1</v>
      </c>
      <c r="R32" s="12">
        <v>0</v>
      </c>
      <c r="S32" s="12">
        <v>9</v>
      </c>
      <c r="T32" s="12">
        <v>9</v>
      </c>
      <c r="U32" s="12">
        <v>7</v>
      </c>
      <c r="V32" s="12">
        <v>0</v>
      </c>
      <c r="W32" s="12">
        <v>0</v>
      </c>
      <c r="X32" s="12">
        <v>2</v>
      </c>
      <c r="Y32" s="12">
        <v>9</v>
      </c>
      <c r="Z32" s="12">
        <v>1</v>
      </c>
      <c r="AA32" s="12">
        <v>3</v>
      </c>
      <c r="AB32" s="12">
        <v>3</v>
      </c>
      <c r="AC32" s="12">
        <v>4</v>
      </c>
      <c r="AD32" s="12">
        <v>7</v>
      </c>
      <c r="AE32" s="12">
        <v>1</v>
      </c>
      <c r="AF32" s="12">
        <v>0</v>
      </c>
    </row>
    <row r="33" spans="1:32">
      <c r="A33" s="20"/>
      <c r="B33" s="13" t="s">
        <v>520</v>
      </c>
      <c r="C33" s="15" t="s">
        <v>459</v>
      </c>
      <c r="D33" s="15" t="s">
        <v>459</v>
      </c>
      <c r="E33" s="15" t="s">
        <v>459</v>
      </c>
      <c r="F33" s="15" t="s">
        <v>459</v>
      </c>
      <c r="G33" s="15" t="s">
        <v>459</v>
      </c>
      <c r="H33" s="14">
        <v>0.01</v>
      </c>
      <c r="I33" s="14">
        <v>0.01</v>
      </c>
      <c r="J33" s="15" t="s">
        <v>459</v>
      </c>
      <c r="K33" s="14">
        <v>0.01</v>
      </c>
      <c r="L33" s="15" t="s">
        <v>459</v>
      </c>
      <c r="M33" s="15" t="s">
        <v>459</v>
      </c>
      <c r="N33" s="15" t="s">
        <v>459</v>
      </c>
      <c r="O33" s="15" t="s">
        <v>459</v>
      </c>
      <c r="P33" s="15" t="s">
        <v>459</v>
      </c>
      <c r="Q33" s="15" t="s">
        <v>459</v>
      </c>
      <c r="R33" s="15" t="s">
        <v>459</v>
      </c>
      <c r="S33" s="14">
        <v>0.01</v>
      </c>
      <c r="T33" s="14">
        <v>0.01</v>
      </c>
      <c r="U33" s="14">
        <v>0.01</v>
      </c>
      <c r="V33" s="15" t="s">
        <v>459</v>
      </c>
      <c r="W33" s="15" t="s">
        <v>459</v>
      </c>
      <c r="X33" s="15" t="s">
        <v>459</v>
      </c>
      <c r="Y33" s="14">
        <v>0.01</v>
      </c>
      <c r="Z33" s="15" t="s">
        <v>459</v>
      </c>
      <c r="AA33" s="15" t="s">
        <v>459</v>
      </c>
      <c r="AB33" s="15" t="s">
        <v>459</v>
      </c>
      <c r="AC33" s="15" t="s">
        <v>459</v>
      </c>
      <c r="AD33" s="14">
        <v>0.01</v>
      </c>
      <c r="AE33" s="15" t="s">
        <v>459</v>
      </c>
      <c r="AF33" s="15" t="s">
        <v>459</v>
      </c>
    </row>
    <row r="34" spans="1:32" ht="24.95">
      <c r="A34" s="20"/>
      <c r="B34" s="11" t="s">
        <v>551</v>
      </c>
      <c r="C34" s="12">
        <v>742</v>
      </c>
      <c r="D34" s="12">
        <v>16</v>
      </c>
      <c r="E34" s="12">
        <v>7</v>
      </c>
      <c r="F34" s="12">
        <v>23</v>
      </c>
      <c r="G34" s="12">
        <v>25</v>
      </c>
      <c r="H34" s="12">
        <v>17</v>
      </c>
      <c r="I34" s="12">
        <v>25</v>
      </c>
      <c r="J34" s="12">
        <v>8</v>
      </c>
      <c r="K34" s="12">
        <v>18</v>
      </c>
      <c r="L34" s="12">
        <v>19</v>
      </c>
      <c r="M34" s="12">
        <v>22</v>
      </c>
      <c r="N34" s="12">
        <v>30</v>
      </c>
      <c r="O34" s="12">
        <v>62</v>
      </c>
      <c r="P34" s="12">
        <v>3</v>
      </c>
      <c r="Q34" s="12">
        <v>31</v>
      </c>
      <c r="R34" s="12">
        <v>16</v>
      </c>
      <c r="S34" s="12">
        <v>48</v>
      </c>
      <c r="T34" s="12">
        <v>21</v>
      </c>
      <c r="U34" s="12">
        <v>25</v>
      </c>
      <c r="V34" s="12">
        <v>14</v>
      </c>
      <c r="W34" s="12">
        <v>10</v>
      </c>
      <c r="X34" s="12">
        <v>36</v>
      </c>
      <c r="Y34" s="12">
        <v>39</v>
      </c>
      <c r="Z34" s="12">
        <v>11</v>
      </c>
      <c r="AA34" s="12">
        <v>10</v>
      </c>
      <c r="AB34" s="12">
        <v>8</v>
      </c>
      <c r="AC34" s="12">
        <v>31</v>
      </c>
      <c r="AD34" s="12">
        <v>32</v>
      </c>
      <c r="AE34" s="12">
        <v>31</v>
      </c>
      <c r="AF34" s="12">
        <v>44</v>
      </c>
    </row>
    <row r="35" spans="1:32">
      <c r="A35" s="20"/>
      <c r="B35" s="13" t="s">
        <v>522</v>
      </c>
      <c r="C35" s="14">
        <v>0.03</v>
      </c>
      <c r="D35" s="14">
        <v>0.02</v>
      </c>
      <c r="E35" s="14">
        <v>0.01</v>
      </c>
      <c r="F35" s="14">
        <v>0.03</v>
      </c>
      <c r="G35" s="14">
        <v>0.03</v>
      </c>
      <c r="H35" s="14">
        <v>0.02</v>
      </c>
      <c r="I35" s="14">
        <v>0.02</v>
      </c>
      <c r="J35" s="14">
        <v>0.03</v>
      </c>
      <c r="K35" s="14">
        <v>0.02</v>
      </c>
      <c r="L35" s="14">
        <v>0.02</v>
      </c>
      <c r="M35" s="14">
        <v>0.02</v>
      </c>
      <c r="N35" s="14">
        <v>0.03</v>
      </c>
      <c r="O35" s="14">
        <v>0.08</v>
      </c>
      <c r="P35" s="15" t="s">
        <v>459</v>
      </c>
      <c r="Q35" s="14">
        <v>0.03</v>
      </c>
      <c r="R35" s="14">
        <v>0.04</v>
      </c>
      <c r="S35" s="14">
        <v>0.05</v>
      </c>
      <c r="T35" s="14">
        <v>0.02</v>
      </c>
      <c r="U35" s="14">
        <v>0.05</v>
      </c>
      <c r="V35" s="14">
        <v>0.01</v>
      </c>
      <c r="W35" s="14">
        <v>0.02</v>
      </c>
      <c r="X35" s="14">
        <v>0.04</v>
      </c>
      <c r="Y35" s="14">
        <v>0.05</v>
      </c>
      <c r="Z35" s="14">
        <v>0.01</v>
      </c>
      <c r="AA35" s="14">
        <v>0.01</v>
      </c>
      <c r="AB35" s="14">
        <v>0.01</v>
      </c>
      <c r="AC35" s="14">
        <v>0.03</v>
      </c>
      <c r="AD35" s="14">
        <v>0.03</v>
      </c>
      <c r="AE35" s="14">
        <v>0.03</v>
      </c>
      <c r="AF35" s="14">
        <v>0.04</v>
      </c>
    </row>
    <row r="36" spans="1:32">
      <c r="A36" s="20"/>
      <c r="B36" s="11" t="s">
        <v>468</v>
      </c>
      <c r="C36" s="12">
        <v>418</v>
      </c>
      <c r="D36" s="12">
        <v>3</v>
      </c>
      <c r="E36" s="12">
        <v>11</v>
      </c>
      <c r="F36" s="12">
        <v>22</v>
      </c>
      <c r="G36" s="12">
        <v>12</v>
      </c>
      <c r="H36" s="12">
        <v>15</v>
      </c>
      <c r="I36" s="12">
        <v>16</v>
      </c>
      <c r="J36" s="12">
        <v>2</v>
      </c>
      <c r="K36" s="12">
        <v>29</v>
      </c>
      <c r="L36" s="12">
        <v>11</v>
      </c>
      <c r="M36" s="12">
        <v>7</v>
      </c>
      <c r="N36" s="12">
        <v>29</v>
      </c>
      <c r="O36" s="12">
        <v>34</v>
      </c>
      <c r="P36" s="12">
        <v>2</v>
      </c>
      <c r="Q36" s="12">
        <v>4</v>
      </c>
      <c r="R36" s="12">
        <v>3</v>
      </c>
      <c r="S36" s="12">
        <v>62</v>
      </c>
      <c r="T36" s="12">
        <v>12</v>
      </c>
      <c r="U36" s="12">
        <v>3</v>
      </c>
      <c r="V36" s="12">
        <v>12</v>
      </c>
      <c r="W36" s="12">
        <v>5</v>
      </c>
      <c r="X36" s="12">
        <v>1</v>
      </c>
      <c r="Y36" s="12">
        <v>11</v>
      </c>
      <c r="Z36" s="12">
        <v>12</v>
      </c>
      <c r="AA36" s="12">
        <v>29</v>
      </c>
      <c r="AB36" s="12">
        <v>8</v>
      </c>
      <c r="AC36" s="12">
        <v>6</v>
      </c>
      <c r="AD36" s="12">
        <v>24</v>
      </c>
      <c r="AE36" s="12">
        <v>44</v>
      </c>
      <c r="AF36" s="12">
        <v>4</v>
      </c>
    </row>
    <row r="37" spans="1:32">
      <c r="A37" s="20"/>
      <c r="B37" s="13" t="s">
        <v>469</v>
      </c>
      <c r="C37" s="14">
        <v>0.02</v>
      </c>
      <c r="D37" s="15" t="s">
        <v>459</v>
      </c>
      <c r="E37" s="14">
        <v>0.01</v>
      </c>
      <c r="F37" s="14">
        <v>0.03</v>
      </c>
      <c r="G37" s="14">
        <v>0.01</v>
      </c>
      <c r="H37" s="14">
        <v>0.01</v>
      </c>
      <c r="I37" s="14">
        <v>0.01</v>
      </c>
      <c r="J37" s="14">
        <v>0.01</v>
      </c>
      <c r="K37" s="14">
        <v>0.03</v>
      </c>
      <c r="L37" s="14">
        <v>0.01</v>
      </c>
      <c r="M37" s="14">
        <v>0.01</v>
      </c>
      <c r="N37" s="14">
        <v>0.03</v>
      </c>
      <c r="O37" s="14">
        <v>0.04</v>
      </c>
      <c r="P37" s="15" t="s">
        <v>459</v>
      </c>
      <c r="Q37" s="15" t="s">
        <v>459</v>
      </c>
      <c r="R37" s="14">
        <v>0.01</v>
      </c>
      <c r="S37" s="14">
        <v>7.0000000000000007E-2</v>
      </c>
      <c r="T37" s="14">
        <v>0.01</v>
      </c>
      <c r="U37" s="14">
        <v>0.01</v>
      </c>
      <c r="V37" s="14">
        <v>0.01</v>
      </c>
      <c r="W37" s="14">
        <v>0.01</v>
      </c>
      <c r="X37" s="15" t="s">
        <v>459</v>
      </c>
      <c r="Y37" s="14">
        <v>0.01</v>
      </c>
      <c r="Z37" s="14">
        <v>0.01</v>
      </c>
      <c r="AA37" s="14">
        <v>0.03</v>
      </c>
      <c r="AB37" s="14">
        <v>0.01</v>
      </c>
      <c r="AC37" s="14">
        <v>0.01</v>
      </c>
      <c r="AD37" s="14">
        <v>0.02</v>
      </c>
      <c r="AE37" s="14">
        <v>0.05</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149</v>
      </c>
      <c r="C3" s="18"/>
      <c r="D3" s="18"/>
      <c r="E3" s="18"/>
      <c r="F3" s="18"/>
      <c r="H3" s="18" t="s">
        <v>150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6.950000000000003">
      <c r="A12" s="20"/>
      <c r="B12" s="11" t="s">
        <v>916</v>
      </c>
      <c r="C12" s="12">
        <v>9733</v>
      </c>
      <c r="D12" s="12">
        <v>314</v>
      </c>
      <c r="E12" s="12">
        <v>419</v>
      </c>
      <c r="F12" s="12">
        <v>368</v>
      </c>
      <c r="G12" s="12">
        <v>439</v>
      </c>
      <c r="H12" s="12">
        <v>520</v>
      </c>
      <c r="I12" s="12">
        <v>639</v>
      </c>
      <c r="J12" s="12">
        <v>119</v>
      </c>
      <c r="K12" s="12">
        <v>435</v>
      </c>
      <c r="L12" s="12">
        <v>428</v>
      </c>
      <c r="M12" s="12">
        <v>408</v>
      </c>
      <c r="N12" s="12">
        <v>397</v>
      </c>
      <c r="O12" s="12">
        <v>277</v>
      </c>
      <c r="P12" s="12">
        <v>460</v>
      </c>
      <c r="Q12" s="12">
        <v>366</v>
      </c>
      <c r="R12" s="12">
        <v>181</v>
      </c>
      <c r="S12" s="12">
        <v>369</v>
      </c>
      <c r="T12" s="12">
        <v>405</v>
      </c>
      <c r="U12" s="12">
        <v>189</v>
      </c>
      <c r="V12" s="12">
        <v>468</v>
      </c>
      <c r="W12" s="12">
        <v>238</v>
      </c>
      <c r="X12" s="12">
        <v>408</v>
      </c>
      <c r="Y12" s="12">
        <v>406</v>
      </c>
      <c r="Z12" s="12">
        <v>283</v>
      </c>
      <c r="AA12" s="12">
        <v>384</v>
      </c>
      <c r="AB12" s="12">
        <v>377</v>
      </c>
      <c r="AC12" s="12">
        <v>495</v>
      </c>
      <c r="AD12" s="12">
        <v>452</v>
      </c>
      <c r="AE12" s="12">
        <v>419</v>
      </c>
      <c r="AF12" s="12">
        <v>452</v>
      </c>
    </row>
    <row r="13" spans="1:32" ht="36.950000000000003">
      <c r="A13" s="20"/>
      <c r="B13" s="13" t="s">
        <v>917</v>
      </c>
      <c r="C13" s="14">
        <v>0.37</v>
      </c>
      <c r="D13" s="14">
        <v>0.31</v>
      </c>
      <c r="E13" s="14">
        <v>0.41</v>
      </c>
      <c r="F13" s="14">
        <v>0.37</v>
      </c>
      <c r="G13" s="14">
        <v>0.44</v>
      </c>
      <c r="H13" s="14">
        <v>0.43</v>
      </c>
      <c r="I13" s="14">
        <v>0.42</v>
      </c>
      <c r="J13" s="14">
        <v>0.4</v>
      </c>
      <c r="K13" s="14">
        <v>0.43</v>
      </c>
      <c r="L13" s="14">
        <v>0.42</v>
      </c>
      <c r="M13" s="14">
        <v>0.41</v>
      </c>
      <c r="N13" s="14">
        <v>0.4</v>
      </c>
      <c r="O13" s="14">
        <v>0.28000000000000003</v>
      </c>
      <c r="P13" s="14">
        <v>0.45</v>
      </c>
      <c r="Q13" s="14">
        <v>0.36</v>
      </c>
      <c r="R13" s="14">
        <v>0.36</v>
      </c>
      <c r="S13" s="14">
        <v>0.37</v>
      </c>
      <c r="T13" s="14">
        <v>0.4</v>
      </c>
      <c r="U13" s="14">
        <v>0.37</v>
      </c>
      <c r="V13" s="14">
        <v>0.46</v>
      </c>
      <c r="W13" s="14">
        <v>0.47</v>
      </c>
      <c r="X13" s="14">
        <v>0.4</v>
      </c>
      <c r="Y13" s="14">
        <v>0.4</v>
      </c>
      <c r="Z13" s="14">
        <v>0.28000000000000003</v>
      </c>
      <c r="AA13" s="14">
        <v>0.36</v>
      </c>
      <c r="AB13" s="14">
        <v>0.36</v>
      </c>
      <c r="AC13" s="14">
        <v>0.49</v>
      </c>
      <c r="AD13" s="14">
        <v>0.45</v>
      </c>
      <c r="AE13" s="14">
        <v>0.42</v>
      </c>
      <c r="AF13" s="14">
        <v>0.44</v>
      </c>
    </row>
    <row r="14" spans="1:32" ht="48.95">
      <c r="A14" s="20"/>
      <c r="B14" s="11" t="s">
        <v>918</v>
      </c>
      <c r="C14" s="12">
        <v>6889</v>
      </c>
      <c r="D14" s="12">
        <v>239</v>
      </c>
      <c r="E14" s="12">
        <v>315</v>
      </c>
      <c r="F14" s="12">
        <v>209</v>
      </c>
      <c r="G14" s="12">
        <v>400</v>
      </c>
      <c r="H14" s="12">
        <v>329</v>
      </c>
      <c r="I14" s="12">
        <v>407</v>
      </c>
      <c r="J14" s="12">
        <v>78</v>
      </c>
      <c r="K14" s="12">
        <v>236</v>
      </c>
      <c r="L14" s="12">
        <v>268</v>
      </c>
      <c r="M14" s="12">
        <v>388</v>
      </c>
      <c r="N14" s="12">
        <v>213</v>
      </c>
      <c r="O14" s="12">
        <v>223</v>
      </c>
      <c r="P14" s="12">
        <v>355</v>
      </c>
      <c r="Q14" s="12">
        <v>260</v>
      </c>
      <c r="R14" s="12">
        <v>186</v>
      </c>
      <c r="S14" s="12">
        <v>138</v>
      </c>
      <c r="T14" s="12">
        <v>186</v>
      </c>
      <c r="U14" s="12">
        <v>129</v>
      </c>
      <c r="V14" s="12">
        <v>288</v>
      </c>
      <c r="W14" s="12">
        <v>94</v>
      </c>
      <c r="X14" s="12">
        <v>290</v>
      </c>
      <c r="Y14" s="12">
        <v>275</v>
      </c>
      <c r="Z14" s="12">
        <v>262</v>
      </c>
      <c r="AA14" s="12">
        <v>270</v>
      </c>
      <c r="AB14" s="12">
        <v>327</v>
      </c>
      <c r="AC14" s="12">
        <v>127</v>
      </c>
      <c r="AD14" s="12">
        <v>318</v>
      </c>
      <c r="AE14" s="12">
        <v>257</v>
      </c>
      <c r="AF14" s="12">
        <v>447</v>
      </c>
    </row>
    <row r="15" spans="1:32" ht="36.950000000000003">
      <c r="A15" s="20"/>
      <c r="B15" s="13" t="s">
        <v>919</v>
      </c>
      <c r="C15" s="14">
        <v>0.26</v>
      </c>
      <c r="D15" s="14">
        <v>0.24</v>
      </c>
      <c r="E15" s="14">
        <v>0.31</v>
      </c>
      <c r="F15" s="14">
        <v>0.21</v>
      </c>
      <c r="G15" s="14">
        <v>0.4</v>
      </c>
      <c r="H15" s="14">
        <v>0.27</v>
      </c>
      <c r="I15" s="14">
        <v>0.27</v>
      </c>
      <c r="J15" s="14">
        <v>0.27</v>
      </c>
      <c r="K15" s="14">
        <v>0.23</v>
      </c>
      <c r="L15" s="14">
        <v>0.27</v>
      </c>
      <c r="M15" s="14">
        <v>0.39</v>
      </c>
      <c r="N15" s="14">
        <v>0.21</v>
      </c>
      <c r="O15" s="14">
        <v>0.22</v>
      </c>
      <c r="P15" s="14">
        <v>0.35</v>
      </c>
      <c r="Q15" s="14">
        <v>0.26</v>
      </c>
      <c r="R15" s="14">
        <v>0.37</v>
      </c>
      <c r="S15" s="14">
        <v>0.14000000000000001</v>
      </c>
      <c r="T15" s="14">
        <v>0.18</v>
      </c>
      <c r="U15" s="14">
        <v>0.25</v>
      </c>
      <c r="V15" s="14">
        <v>0.28000000000000003</v>
      </c>
      <c r="W15" s="14">
        <v>0.19</v>
      </c>
      <c r="X15" s="14">
        <v>0.28000000000000003</v>
      </c>
      <c r="Y15" s="14">
        <v>0.27</v>
      </c>
      <c r="Z15" s="14">
        <v>0.26</v>
      </c>
      <c r="AA15" s="14">
        <v>0.26</v>
      </c>
      <c r="AB15" s="14">
        <v>0.31</v>
      </c>
      <c r="AC15" s="14">
        <v>0.13</v>
      </c>
      <c r="AD15" s="14">
        <v>0.32</v>
      </c>
      <c r="AE15" s="14">
        <v>0.26</v>
      </c>
      <c r="AF15" s="14">
        <v>0.44</v>
      </c>
    </row>
    <row r="16" spans="1:32" ht="24.95">
      <c r="A16" s="20"/>
      <c r="B16" s="11" t="s">
        <v>920</v>
      </c>
      <c r="C16" s="12">
        <v>9643</v>
      </c>
      <c r="D16" s="12">
        <v>386</v>
      </c>
      <c r="E16" s="12">
        <v>357</v>
      </c>
      <c r="F16" s="12">
        <v>304</v>
      </c>
      <c r="G16" s="12">
        <v>565</v>
      </c>
      <c r="H16" s="12">
        <v>480</v>
      </c>
      <c r="I16" s="12">
        <v>597</v>
      </c>
      <c r="J16" s="12">
        <v>117</v>
      </c>
      <c r="K16" s="12">
        <v>324</v>
      </c>
      <c r="L16" s="12">
        <v>414</v>
      </c>
      <c r="M16" s="12">
        <v>483</v>
      </c>
      <c r="N16" s="12">
        <v>355</v>
      </c>
      <c r="O16" s="12">
        <v>313</v>
      </c>
      <c r="P16" s="12">
        <v>348</v>
      </c>
      <c r="Q16" s="12">
        <v>352</v>
      </c>
      <c r="R16" s="12">
        <v>170</v>
      </c>
      <c r="S16" s="12">
        <v>338</v>
      </c>
      <c r="T16" s="12">
        <v>380</v>
      </c>
      <c r="U16" s="12">
        <v>177</v>
      </c>
      <c r="V16" s="12">
        <v>363</v>
      </c>
      <c r="W16" s="12">
        <v>163</v>
      </c>
      <c r="X16" s="12">
        <v>521</v>
      </c>
      <c r="Y16" s="12">
        <v>343</v>
      </c>
      <c r="Z16" s="12">
        <v>327</v>
      </c>
      <c r="AA16" s="12">
        <v>420</v>
      </c>
      <c r="AB16" s="12">
        <v>321</v>
      </c>
      <c r="AC16" s="12">
        <v>241</v>
      </c>
      <c r="AD16" s="12">
        <v>315</v>
      </c>
      <c r="AE16" s="12">
        <v>472</v>
      </c>
      <c r="AF16" s="12">
        <v>505</v>
      </c>
    </row>
    <row r="17" spans="1:32" ht="24.95">
      <c r="A17" s="20"/>
      <c r="B17" s="13" t="s">
        <v>921</v>
      </c>
      <c r="C17" s="14">
        <v>0.37</v>
      </c>
      <c r="D17" s="14">
        <v>0.39</v>
      </c>
      <c r="E17" s="14">
        <v>0.35</v>
      </c>
      <c r="F17" s="14">
        <v>0.3</v>
      </c>
      <c r="G17" s="14">
        <v>0.56000000000000005</v>
      </c>
      <c r="H17" s="14">
        <v>0.39</v>
      </c>
      <c r="I17" s="14">
        <v>0.4</v>
      </c>
      <c r="J17" s="14">
        <v>0.4</v>
      </c>
      <c r="K17" s="14">
        <v>0.32</v>
      </c>
      <c r="L17" s="14">
        <v>0.41</v>
      </c>
      <c r="M17" s="14">
        <v>0.48</v>
      </c>
      <c r="N17" s="14">
        <v>0.35</v>
      </c>
      <c r="O17" s="14">
        <v>0.31</v>
      </c>
      <c r="P17" s="14">
        <v>0.34</v>
      </c>
      <c r="Q17" s="14">
        <v>0.35</v>
      </c>
      <c r="R17" s="14">
        <v>0.34</v>
      </c>
      <c r="S17" s="14">
        <v>0.34</v>
      </c>
      <c r="T17" s="14">
        <v>0.37</v>
      </c>
      <c r="U17" s="14">
        <v>0.35</v>
      </c>
      <c r="V17" s="14">
        <v>0.36</v>
      </c>
      <c r="W17" s="14">
        <v>0.32</v>
      </c>
      <c r="X17" s="14">
        <v>0.51</v>
      </c>
      <c r="Y17" s="14">
        <v>0.34</v>
      </c>
      <c r="Z17" s="14">
        <v>0.32</v>
      </c>
      <c r="AA17" s="14">
        <v>0.4</v>
      </c>
      <c r="AB17" s="14">
        <v>0.31</v>
      </c>
      <c r="AC17" s="14">
        <v>0.24</v>
      </c>
      <c r="AD17" s="14">
        <v>0.31</v>
      </c>
      <c r="AE17" s="14">
        <v>0.47</v>
      </c>
      <c r="AF17" s="14">
        <v>0.49</v>
      </c>
    </row>
    <row r="18" spans="1:32" ht="36.950000000000003">
      <c r="A18" s="20"/>
      <c r="B18" s="11" t="s">
        <v>922</v>
      </c>
      <c r="C18" s="12">
        <v>7963</v>
      </c>
      <c r="D18" s="12">
        <v>332</v>
      </c>
      <c r="E18" s="12">
        <v>295</v>
      </c>
      <c r="F18" s="12">
        <v>313</v>
      </c>
      <c r="G18" s="12">
        <v>557</v>
      </c>
      <c r="H18" s="12">
        <v>341</v>
      </c>
      <c r="I18" s="12">
        <v>418</v>
      </c>
      <c r="J18" s="12">
        <v>76</v>
      </c>
      <c r="K18" s="12">
        <v>303</v>
      </c>
      <c r="L18" s="12">
        <v>325</v>
      </c>
      <c r="M18" s="12">
        <v>384</v>
      </c>
      <c r="N18" s="12">
        <v>243</v>
      </c>
      <c r="O18" s="12">
        <v>245</v>
      </c>
      <c r="P18" s="12">
        <v>355</v>
      </c>
      <c r="Q18" s="12">
        <v>270</v>
      </c>
      <c r="R18" s="12">
        <v>213</v>
      </c>
      <c r="S18" s="12">
        <v>299</v>
      </c>
      <c r="T18" s="12">
        <v>422</v>
      </c>
      <c r="U18" s="12">
        <v>116</v>
      </c>
      <c r="V18" s="12">
        <v>313</v>
      </c>
      <c r="W18" s="12">
        <v>151</v>
      </c>
      <c r="X18" s="12">
        <v>534</v>
      </c>
      <c r="Y18" s="12">
        <v>270</v>
      </c>
      <c r="Z18" s="12">
        <v>355</v>
      </c>
      <c r="AA18" s="12">
        <v>285</v>
      </c>
      <c r="AB18" s="12">
        <v>322</v>
      </c>
      <c r="AC18" s="12">
        <v>269</v>
      </c>
      <c r="AD18" s="12">
        <v>382</v>
      </c>
      <c r="AE18" s="12">
        <v>435</v>
      </c>
      <c r="AF18" s="12">
        <v>471</v>
      </c>
    </row>
    <row r="19" spans="1:32" ht="24.95">
      <c r="A19" s="20"/>
      <c r="B19" s="13" t="s">
        <v>923</v>
      </c>
      <c r="C19" s="14">
        <v>0.3</v>
      </c>
      <c r="D19" s="14">
        <v>0.33</v>
      </c>
      <c r="E19" s="14">
        <v>0.28999999999999998</v>
      </c>
      <c r="F19" s="14">
        <v>0.31</v>
      </c>
      <c r="G19" s="14">
        <v>0.55000000000000004</v>
      </c>
      <c r="H19" s="14">
        <v>0.28000000000000003</v>
      </c>
      <c r="I19" s="14">
        <v>0.28000000000000003</v>
      </c>
      <c r="J19" s="14">
        <v>0.26</v>
      </c>
      <c r="K19" s="14">
        <v>0.3</v>
      </c>
      <c r="L19" s="14">
        <v>0.32</v>
      </c>
      <c r="M19" s="14">
        <v>0.38</v>
      </c>
      <c r="N19" s="14">
        <v>0.24</v>
      </c>
      <c r="O19" s="14">
        <v>0.24</v>
      </c>
      <c r="P19" s="14">
        <v>0.35</v>
      </c>
      <c r="Q19" s="14">
        <v>0.27</v>
      </c>
      <c r="R19" s="14">
        <v>0.43</v>
      </c>
      <c r="S19" s="14">
        <v>0.3</v>
      </c>
      <c r="T19" s="14">
        <v>0.42</v>
      </c>
      <c r="U19" s="14">
        <v>0.23</v>
      </c>
      <c r="V19" s="14">
        <v>0.31</v>
      </c>
      <c r="W19" s="14">
        <v>0.3</v>
      </c>
      <c r="X19" s="14">
        <v>0.52</v>
      </c>
      <c r="Y19" s="14">
        <v>0.27</v>
      </c>
      <c r="Z19" s="14">
        <v>0.35</v>
      </c>
      <c r="AA19" s="14">
        <v>0.27</v>
      </c>
      <c r="AB19" s="14">
        <v>0.31</v>
      </c>
      <c r="AC19" s="14">
        <v>0.27</v>
      </c>
      <c r="AD19" s="14">
        <v>0.38</v>
      </c>
      <c r="AE19" s="14">
        <v>0.43</v>
      </c>
      <c r="AF19" s="14">
        <v>0.46</v>
      </c>
    </row>
    <row r="20" spans="1:32" ht="24.95">
      <c r="A20" s="20"/>
      <c r="B20" s="11" t="s">
        <v>924</v>
      </c>
      <c r="C20" s="12">
        <v>5951</v>
      </c>
      <c r="D20" s="12">
        <v>222</v>
      </c>
      <c r="E20" s="12">
        <v>245</v>
      </c>
      <c r="F20" s="12">
        <v>236</v>
      </c>
      <c r="G20" s="12">
        <v>337</v>
      </c>
      <c r="H20" s="12">
        <v>256</v>
      </c>
      <c r="I20" s="12">
        <v>333</v>
      </c>
      <c r="J20" s="12">
        <v>76</v>
      </c>
      <c r="K20" s="12">
        <v>173</v>
      </c>
      <c r="L20" s="12">
        <v>202</v>
      </c>
      <c r="M20" s="12">
        <v>247</v>
      </c>
      <c r="N20" s="12">
        <v>167</v>
      </c>
      <c r="O20" s="12">
        <v>221</v>
      </c>
      <c r="P20" s="12">
        <v>291</v>
      </c>
      <c r="Q20" s="12">
        <v>230</v>
      </c>
      <c r="R20" s="12">
        <v>107</v>
      </c>
      <c r="S20" s="12">
        <v>123</v>
      </c>
      <c r="T20" s="12">
        <v>141</v>
      </c>
      <c r="U20" s="12">
        <v>119</v>
      </c>
      <c r="V20" s="12">
        <v>277</v>
      </c>
      <c r="W20" s="12">
        <v>154</v>
      </c>
      <c r="X20" s="12">
        <v>264</v>
      </c>
      <c r="Y20" s="12">
        <v>222</v>
      </c>
      <c r="Z20" s="12">
        <v>247</v>
      </c>
      <c r="AA20" s="12">
        <v>222</v>
      </c>
      <c r="AB20" s="12">
        <v>247</v>
      </c>
      <c r="AC20" s="12">
        <v>184</v>
      </c>
      <c r="AD20" s="12">
        <v>261</v>
      </c>
      <c r="AE20" s="12">
        <v>231</v>
      </c>
      <c r="AF20" s="12">
        <v>378</v>
      </c>
    </row>
    <row r="21" spans="1:32" ht="24.95">
      <c r="A21" s="20"/>
      <c r="B21" s="13" t="s">
        <v>925</v>
      </c>
      <c r="C21" s="14">
        <v>0.23</v>
      </c>
      <c r="D21" s="14">
        <v>0.22</v>
      </c>
      <c r="E21" s="14">
        <v>0.24</v>
      </c>
      <c r="F21" s="14">
        <v>0.24</v>
      </c>
      <c r="G21" s="14">
        <v>0.34</v>
      </c>
      <c r="H21" s="14">
        <v>0.21</v>
      </c>
      <c r="I21" s="14">
        <v>0.22</v>
      </c>
      <c r="J21" s="14">
        <v>0.26</v>
      </c>
      <c r="K21" s="14">
        <v>0.17</v>
      </c>
      <c r="L21" s="14">
        <v>0.2</v>
      </c>
      <c r="M21" s="14">
        <v>0.25</v>
      </c>
      <c r="N21" s="14">
        <v>0.17</v>
      </c>
      <c r="O21" s="14">
        <v>0.22</v>
      </c>
      <c r="P21" s="14">
        <v>0.28999999999999998</v>
      </c>
      <c r="Q21" s="14">
        <v>0.23</v>
      </c>
      <c r="R21" s="14">
        <v>0.21</v>
      </c>
      <c r="S21" s="14">
        <v>0.12</v>
      </c>
      <c r="T21" s="14">
        <v>0.14000000000000001</v>
      </c>
      <c r="U21" s="14">
        <v>0.23</v>
      </c>
      <c r="V21" s="14">
        <v>0.27</v>
      </c>
      <c r="W21" s="14">
        <v>0.31</v>
      </c>
      <c r="X21" s="14">
        <v>0.26</v>
      </c>
      <c r="Y21" s="14">
        <v>0.22</v>
      </c>
      <c r="Z21" s="14">
        <v>0.25</v>
      </c>
      <c r="AA21" s="14">
        <v>0.21</v>
      </c>
      <c r="AB21" s="14">
        <v>0.24</v>
      </c>
      <c r="AC21" s="14">
        <v>0.18</v>
      </c>
      <c r="AD21" s="14">
        <v>0.26</v>
      </c>
      <c r="AE21" s="14">
        <v>0.23</v>
      </c>
      <c r="AF21" s="14">
        <v>0.37</v>
      </c>
    </row>
    <row r="22" spans="1:32" ht="24.95">
      <c r="A22" s="20"/>
      <c r="B22" s="11" t="s">
        <v>926</v>
      </c>
      <c r="C22" s="12">
        <v>4713</v>
      </c>
      <c r="D22" s="12">
        <v>220</v>
      </c>
      <c r="E22" s="12">
        <v>195</v>
      </c>
      <c r="F22" s="12">
        <v>165</v>
      </c>
      <c r="G22" s="12">
        <v>330</v>
      </c>
      <c r="H22" s="12">
        <v>190</v>
      </c>
      <c r="I22" s="12">
        <v>244</v>
      </c>
      <c r="J22" s="12">
        <v>54</v>
      </c>
      <c r="K22" s="12">
        <v>130</v>
      </c>
      <c r="L22" s="12">
        <v>216</v>
      </c>
      <c r="M22" s="12">
        <v>207</v>
      </c>
      <c r="N22" s="12">
        <v>127</v>
      </c>
      <c r="O22" s="12">
        <v>167</v>
      </c>
      <c r="P22" s="12">
        <v>247</v>
      </c>
      <c r="Q22" s="12">
        <v>184</v>
      </c>
      <c r="R22" s="12">
        <v>122</v>
      </c>
      <c r="S22" s="12">
        <v>133</v>
      </c>
      <c r="T22" s="12">
        <v>148</v>
      </c>
      <c r="U22" s="12">
        <v>82</v>
      </c>
      <c r="V22" s="12">
        <v>233</v>
      </c>
      <c r="W22" s="12">
        <v>95</v>
      </c>
      <c r="X22" s="12">
        <v>263</v>
      </c>
      <c r="Y22" s="12">
        <v>217</v>
      </c>
      <c r="Z22" s="12">
        <v>142</v>
      </c>
      <c r="AA22" s="12">
        <v>181</v>
      </c>
      <c r="AB22" s="12">
        <v>199</v>
      </c>
      <c r="AC22" s="12">
        <v>109</v>
      </c>
      <c r="AD22" s="12">
        <v>252</v>
      </c>
      <c r="AE22" s="12">
        <v>183</v>
      </c>
      <c r="AF22" s="12">
        <v>357</v>
      </c>
    </row>
    <row r="23" spans="1:32">
      <c r="A23" s="20"/>
      <c r="B23" s="13" t="s">
        <v>927</v>
      </c>
      <c r="C23" s="14">
        <v>0.18</v>
      </c>
      <c r="D23" s="14">
        <v>0.22</v>
      </c>
      <c r="E23" s="14">
        <v>0.19</v>
      </c>
      <c r="F23" s="14">
        <v>0.16</v>
      </c>
      <c r="G23" s="14">
        <v>0.33</v>
      </c>
      <c r="H23" s="14">
        <v>0.16</v>
      </c>
      <c r="I23" s="14">
        <v>0.16</v>
      </c>
      <c r="J23" s="14">
        <v>0.18</v>
      </c>
      <c r="K23" s="14">
        <v>0.13</v>
      </c>
      <c r="L23" s="14">
        <v>0.21</v>
      </c>
      <c r="M23" s="14">
        <v>0.21</v>
      </c>
      <c r="N23" s="14">
        <v>0.13</v>
      </c>
      <c r="O23" s="14">
        <v>0.17</v>
      </c>
      <c r="P23" s="14">
        <v>0.24</v>
      </c>
      <c r="Q23" s="14">
        <v>0.18</v>
      </c>
      <c r="R23" s="14">
        <v>0.24</v>
      </c>
      <c r="S23" s="14">
        <v>0.13</v>
      </c>
      <c r="T23" s="14">
        <v>0.15</v>
      </c>
      <c r="U23" s="14">
        <v>0.16</v>
      </c>
      <c r="V23" s="14">
        <v>0.23</v>
      </c>
      <c r="W23" s="14">
        <v>0.19</v>
      </c>
      <c r="X23" s="14">
        <v>0.26</v>
      </c>
      <c r="Y23" s="14">
        <v>0.22</v>
      </c>
      <c r="Z23" s="14">
        <v>0.14000000000000001</v>
      </c>
      <c r="AA23" s="14">
        <v>0.17</v>
      </c>
      <c r="AB23" s="14">
        <v>0.19</v>
      </c>
      <c r="AC23" s="14">
        <v>0.11</v>
      </c>
      <c r="AD23" s="14">
        <v>0.25</v>
      </c>
      <c r="AE23" s="14">
        <v>0.18</v>
      </c>
      <c r="AF23" s="14">
        <v>0.35</v>
      </c>
    </row>
    <row r="24" spans="1:32" ht="48.95">
      <c r="A24" s="20"/>
      <c r="B24" s="11" t="s">
        <v>928</v>
      </c>
      <c r="C24" s="12">
        <v>8207</v>
      </c>
      <c r="D24" s="12">
        <v>222</v>
      </c>
      <c r="E24" s="12">
        <v>473</v>
      </c>
      <c r="F24" s="12">
        <v>335</v>
      </c>
      <c r="G24" s="12">
        <v>279</v>
      </c>
      <c r="H24" s="12">
        <v>476</v>
      </c>
      <c r="I24" s="12">
        <v>567</v>
      </c>
      <c r="J24" s="12">
        <v>91</v>
      </c>
      <c r="K24" s="12">
        <v>341</v>
      </c>
      <c r="L24" s="12">
        <v>399</v>
      </c>
      <c r="M24" s="12">
        <v>357</v>
      </c>
      <c r="N24" s="12">
        <v>304</v>
      </c>
      <c r="O24" s="12">
        <v>187</v>
      </c>
      <c r="P24" s="12">
        <v>485</v>
      </c>
      <c r="Q24" s="12">
        <v>308</v>
      </c>
      <c r="R24" s="12">
        <v>228</v>
      </c>
      <c r="S24" s="12">
        <v>222</v>
      </c>
      <c r="T24" s="12">
        <v>340</v>
      </c>
      <c r="U24" s="12">
        <v>117</v>
      </c>
      <c r="V24" s="12">
        <v>470</v>
      </c>
      <c r="W24" s="12">
        <v>211</v>
      </c>
      <c r="X24" s="12">
        <v>227</v>
      </c>
      <c r="Y24" s="12">
        <v>355</v>
      </c>
      <c r="Z24" s="12">
        <v>313</v>
      </c>
      <c r="AA24" s="12">
        <v>359</v>
      </c>
      <c r="AB24" s="12">
        <v>400</v>
      </c>
      <c r="AC24" s="12">
        <v>403</v>
      </c>
      <c r="AD24" s="12">
        <v>472</v>
      </c>
      <c r="AE24" s="12">
        <v>304</v>
      </c>
      <c r="AF24" s="12">
        <v>277</v>
      </c>
    </row>
    <row r="25" spans="1:32" ht="24.95">
      <c r="A25" s="20"/>
      <c r="B25" s="13" t="s">
        <v>929</v>
      </c>
      <c r="C25" s="14">
        <v>0.31</v>
      </c>
      <c r="D25" s="14">
        <v>0.22</v>
      </c>
      <c r="E25" s="14">
        <v>0.46</v>
      </c>
      <c r="F25" s="14">
        <v>0.33</v>
      </c>
      <c r="G25" s="14">
        <v>0.28000000000000003</v>
      </c>
      <c r="H25" s="14">
        <v>0.39</v>
      </c>
      <c r="I25" s="14">
        <v>0.38</v>
      </c>
      <c r="J25" s="14">
        <v>0.31</v>
      </c>
      <c r="K25" s="14">
        <v>0.34</v>
      </c>
      <c r="L25" s="14">
        <v>0.4</v>
      </c>
      <c r="M25" s="14">
        <v>0.36</v>
      </c>
      <c r="N25" s="14">
        <v>0.3</v>
      </c>
      <c r="O25" s="14">
        <v>0.19</v>
      </c>
      <c r="P25" s="14">
        <v>0.47</v>
      </c>
      <c r="Q25" s="14">
        <v>0.3</v>
      </c>
      <c r="R25" s="14">
        <v>0.46</v>
      </c>
      <c r="S25" s="14">
        <v>0.22</v>
      </c>
      <c r="T25" s="14">
        <v>0.34</v>
      </c>
      <c r="U25" s="14">
        <v>0.23</v>
      </c>
      <c r="V25" s="14">
        <v>0.46</v>
      </c>
      <c r="W25" s="14">
        <v>0.42</v>
      </c>
      <c r="X25" s="14">
        <v>0.22</v>
      </c>
      <c r="Y25" s="14">
        <v>0.35</v>
      </c>
      <c r="Z25" s="14">
        <v>0.31</v>
      </c>
      <c r="AA25" s="14">
        <v>0.34</v>
      </c>
      <c r="AB25" s="14">
        <v>0.38</v>
      </c>
      <c r="AC25" s="14">
        <v>0.4</v>
      </c>
      <c r="AD25" s="14">
        <v>0.47</v>
      </c>
      <c r="AE25" s="14">
        <v>0.3</v>
      </c>
      <c r="AF25" s="14">
        <v>0.27</v>
      </c>
    </row>
    <row r="26" spans="1:32">
      <c r="A26" s="20"/>
      <c r="B26" s="11" t="s">
        <v>930</v>
      </c>
      <c r="C26" s="12">
        <v>6105</v>
      </c>
      <c r="D26" s="12">
        <v>288</v>
      </c>
      <c r="E26" s="12">
        <v>264</v>
      </c>
      <c r="F26" s="12">
        <v>264</v>
      </c>
      <c r="G26" s="12">
        <v>245</v>
      </c>
      <c r="H26" s="12">
        <v>320</v>
      </c>
      <c r="I26" s="12">
        <v>394</v>
      </c>
      <c r="J26" s="12">
        <v>74</v>
      </c>
      <c r="K26" s="12">
        <v>197</v>
      </c>
      <c r="L26" s="12">
        <v>240</v>
      </c>
      <c r="M26" s="12">
        <v>287</v>
      </c>
      <c r="N26" s="12">
        <v>195</v>
      </c>
      <c r="O26" s="12">
        <v>194</v>
      </c>
      <c r="P26" s="12">
        <v>312</v>
      </c>
      <c r="Q26" s="12">
        <v>276</v>
      </c>
      <c r="R26" s="12">
        <v>141</v>
      </c>
      <c r="S26" s="12">
        <v>134</v>
      </c>
      <c r="T26" s="12">
        <v>182</v>
      </c>
      <c r="U26" s="12">
        <v>124</v>
      </c>
      <c r="V26" s="12">
        <v>246</v>
      </c>
      <c r="W26" s="12">
        <v>100</v>
      </c>
      <c r="X26" s="12">
        <v>234</v>
      </c>
      <c r="Y26" s="12">
        <v>205</v>
      </c>
      <c r="Z26" s="12">
        <v>217</v>
      </c>
      <c r="AA26" s="12">
        <v>195</v>
      </c>
      <c r="AB26" s="12">
        <v>244</v>
      </c>
      <c r="AC26" s="12">
        <v>212</v>
      </c>
      <c r="AD26" s="12">
        <v>274</v>
      </c>
      <c r="AE26" s="12">
        <v>179</v>
      </c>
      <c r="AF26" s="12">
        <v>164</v>
      </c>
    </row>
    <row r="27" spans="1:32">
      <c r="A27" s="20"/>
      <c r="B27" s="13" t="s">
        <v>931</v>
      </c>
      <c r="C27" s="14">
        <v>0.23</v>
      </c>
      <c r="D27" s="14">
        <v>0.28999999999999998</v>
      </c>
      <c r="E27" s="14">
        <v>0.26</v>
      </c>
      <c r="F27" s="14">
        <v>0.26</v>
      </c>
      <c r="G27" s="14">
        <v>0.24</v>
      </c>
      <c r="H27" s="14">
        <v>0.26</v>
      </c>
      <c r="I27" s="14">
        <v>0.26</v>
      </c>
      <c r="J27" s="14">
        <v>0.25</v>
      </c>
      <c r="K27" s="14">
        <v>0.2</v>
      </c>
      <c r="L27" s="14">
        <v>0.24</v>
      </c>
      <c r="M27" s="14">
        <v>0.28999999999999998</v>
      </c>
      <c r="N27" s="14">
        <v>0.19</v>
      </c>
      <c r="O27" s="14">
        <v>0.19</v>
      </c>
      <c r="P27" s="14">
        <v>0.31</v>
      </c>
      <c r="Q27" s="14">
        <v>0.27</v>
      </c>
      <c r="R27" s="14">
        <v>0.28000000000000003</v>
      </c>
      <c r="S27" s="14">
        <v>0.13</v>
      </c>
      <c r="T27" s="14">
        <v>0.18</v>
      </c>
      <c r="U27" s="14">
        <v>0.24</v>
      </c>
      <c r="V27" s="14">
        <v>0.24</v>
      </c>
      <c r="W27" s="14">
        <v>0.2</v>
      </c>
      <c r="X27" s="14">
        <v>0.23</v>
      </c>
      <c r="Y27" s="14">
        <v>0.2</v>
      </c>
      <c r="Z27" s="14">
        <v>0.22</v>
      </c>
      <c r="AA27" s="14">
        <v>0.19</v>
      </c>
      <c r="AB27" s="14">
        <v>0.23</v>
      </c>
      <c r="AC27" s="14">
        <v>0.21</v>
      </c>
      <c r="AD27" s="14">
        <v>0.27</v>
      </c>
      <c r="AE27" s="14">
        <v>0.18</v>
      </c>
      <c r="AF27" s="14">
        <v>0.16</v>
      </c>
    </row>
    <row r="28" spans="1:32" ht="36.950000000000003">
      <c r="A28" s="20"/>
      <c r="B28" s="11" t="s">
        <v>932</v>
      </c>
      <c r="C28" s="12">
        <v>7981</v>
      </c>
      <c r="D28" s="12">
        <v>301</v>
      </c>
      <c r="E28" s="12">
        <v>404</v>
      </c>
      <c r="F28" s="12">
        <v>257</v>
      </c>
      <c r="G28" s="12">
        <v>435</v>
      </c>
      <c r="H28" s="12">
        <v>358</v>
      </c>
      <c r="I28" s="12">
        <v>457</v>
      </c>
      <c r="J28" s="12">
        <v>99</v>
      </c>
      <c r="K28" s="12">
        <v>284</v>
      </c>
      <c r="L28" s="12">
        <v>319</v>
      </c>
      <c r="M28" s="12">
        <v>435</v>
      </c>
      <c r="N28" s="12">
        <v>238</v>
      </c>
      <c r="O28" s="12">
        <v>292</v>
      </c>
      <c r="P28" s="12">
        <v>389</v>
      </c>
      <c r="Q28" s="12">
        <v>298</v>
      </c>
      <c r="R28" s="12">
        <v>199</v>
      </c>
      <c r="S28" s="12">
        <v>219</v>
      </c>
      <c r="T28" s="12">
        <v>217</v>
      </c>
      <c r="U28" s="12">
        <v>158</v>
      </c>
      <c r="V28" s="12">
        <v>330</v>
      </c>
      <c r="W28" s="12">
        <v>179</v>
      </c>
      <c r="X28" s="12">
        <v>373</v>
      </c>
      <c r="Y28" s="12">
        <v>286</v>
      </c>
      <c r="Z28" s="12">
        <v>266</v>
      </c>
      <c r="AA28" s="12">
        <v>301</v>
      </c>
      <c r="AB28" s="12">
        <v>361</v>
      </c>
      <c r="AC28" s="12">
        <v>266</v>
      </c>
      <c r="AD28" s="12">
        <v>317</v>
      </c>
      <c r="AE28" s="12">
        <v>289</v>
      </c>
      <c r="AF28" s="12">
        <v>534</v>
      </c>
    </row>
    <row r="29" spans="1:32" ht="36.950000000000003">
      <c r="A29" s="20"/>
      <c r="B29" s="13" t="s">
        <v>933</v>
      </c>
      <c r="C29" s="14">
        <v>0.3</v>
      </c>
      <c r="D29" s="14">
        <v>0.3</v>
      </c>
      <c r="E29" s="14">
        <v>0.4</v>
      </c>
      <c r="F29" s="14">
        <v>0.26</v>
      </c>
      <c r="G29" s="14">
        <v>0.43</v>
      </c>
      <c r="H29" s="14">
        <v>0.28999999999999998</v>
      </c>
      <c r="I29" s="14">
        <v>0.3</v>
      </c>
      <c r="J29" s="14">
        <v>0.34</v>
      </c>
      <c r="K29" s="14">
        <v>0.28000000000000003</v>
      </c>
      <c r="L29" s="14">
        <v>0.32</v>
      </c>
      <c r="M29" s="14">
        <v>0.43</v>
      </c>
      <c r="N29" s="14">
        <v>0.24</v>
      </c>
      <c r="O29" s="14">
        <v>0.28999999999999998</v>
      </c>
      <c r="P29" s="14">
        <v>0.38</v>
      </c>
      <c r="Q29" s="14">
        <v>0.28999999999999998</v>
      </c>
      <c r="R29" s="14">
        <v>0.4</v>
      </c>
      <c r="S29" s="14">
        <v>0.22</v>
      </c>
      <c r="T29" s="14">
        <v>0.21</v>
      </c>
      <c r="U29" s="14">
        <v>0.31</v>
      </c>
      <c r="V29" s="14">
        <v>0.32</v>
      </c>
      <c r="W29" s="14">
        <v>0.36</v>
      </c>
      <c r="X29" s="14">
        <v>0.37</v>
      </c>
      <c r="Y29" s="14">
        <v>0.28000000000000003</v>
      </c>
      <c r="Z29" s="14">
        <v>0.26</v>
      </c>
      <c r="AA29" s="14">
        <v>0.28999999999999998</v>
      </c>
      <c r="AB29" s="14">
        <v>0.35</v>
      </c>
      <c r="AC29" s="14">
        <v>0.26</v>
      </c>
      <c r="AD29" s="14">
        <v>0.32</v>
      </c>
      <c r="AE29" s="14">
        <v>0.28999999999999998</v>
      </c>
      <c r="AF29" s="14">
        <v>0.52</v>
      </c>
    </row>
    <row r="30" spans="1:32" ht="24.95">
      <c r="A30" s="20"/>
      <c r="B30" s="11" t="s">
        <v>934</v>
      </c>
      <c r="C30" s="12">
        <v>7634</v>
      </c>
      <c r="D30" s="12">
        <v>239</v>
      </c>
      <c r="E30" s="12">
        <v>289</v>
      </c>
      <c r="F30" s="12">
        <v>297</v>
      </c>
      <c r="G30" s="12">
        <v>215</v>
      </c>
      <c r="H30" s="12">
        <v>333</v>
      </c>
      <c r="I30" s="12">
        <v>417</v>
      </c>
      <c r="J30" s="12">
        <v>84</v>
      </c>
      <c r="K30" s="12">
        <v>363</v>
      </c>
      <c r="L30" s="12">
        <v>313</v>
      </c>
      <c r="M30" s="12">
        <v>328</v>
      </c>
      <c r="N30" s="12">
        <v>406</v>
      </c>
      <c r="O30" s="12">
        <v>305</v>
      </c>
      <c r="P30" s="12">
        <v>326</v>
      </c>
      <c r="Q30" s="12">
        <v>321</v>
      </c>
      <c r="R30" s="12">
        <v>174</v>
      </c>
      <c r="S30" s="12">
        <v>271</v>
      </c>
      <c r="T30" s="12">
        <v>303</v>
      </c>
      <c r="U30" s="12">
        <v>174</v>
      </c>
      <c r="V30" s="12">
        <v>323</v>
      </c>
      <c r="W30" s="12">
        <v>97</v>
      </c>
      <c r="X30" s="12">
        <v>172</v>
      </c>
      <c r="Y30" s="12">
        <v>292</v>
      </c>
      <c r="Z30" s="12">
        <v>183</v>
      </c>
      <c r="AA30" s="12">
        <v>381</v>
      </c>
      <c r="AB30" s="12">
        <v>308</v>
      </c>
      <c r="AC30" s="12">
        <v>220</v>
      </c>
      <c r="AD30" s="12">
        <v>272</v>
      </c>
      <c r="AE30" s="12">
        <v>187</v>
      </c>
      <c r="AF30" s="12">
        <v>212</v>
      </c>
    </row>
    <row r="31" spans="1:32">
      <c r="A31" s="20"/>
      <c r="B31" s="13" t="s">
        <v>935</v>
      </c>
      <c r="C31" s="14">
        <v>0.28999999999999998</v>
      </c>
      <c r="D31" s="14">
        <v>0.24</v>
      </c>
      <c r="E31" s="14">
        <v>0.28000000000000003</v>
      </c>
      <c r="F31" s="14">
        <v>0.3</v>
      </c>
      <c r="G31" s="14">
        <v>0.21</v>
      </c>
      <c r="H31" s="14">
        <v>0.27</v>
      </c>
      <c r="I31" s="14">
        <v>0.28000000000000003</v>
      </c>
      <c r="J31" s="14">
        <v>0.28999999999999998</v>
      </c>
      <c r="K31" s="14">
        <v>0.36</v>
      </c>
      <c r="L31" s="14">
        <v>0.31</v>
      </c>
      <c r="M31" s="14">
        <v>0.33</v>
      </c>
      <c r="N31" s="14">
        <v>0.4</v>
      </c>
      <c r="O31" s="14">
        <v>0.3</v>
      </c>
      <c r="P31" s="14">
        <v>0.32</v>
      </c>
      <c r="Q31" s="14">
        <v>0.31</v>
      </c>
      <c r="R31" s="14">
        <v>0.35</v>
      </c>
      <c r="S31" s="14">
        <v>0.27</v>
      </c>
      <c r="T31" s="14">
        <v>0.3</v>
      </c>
      <c r="U31" s="14">
        <v>0.34</v>
      </c>
      <c r="V31" s="14">
        <v>0.32</v>
      </c>
      <c r="W31" s="14">
        <v>0.19</v>
      </c>
      <c r="X31" s="14">
        <v>0.17</v>
      </c>
      <c r="Y31" s="14">
        <v>0.28999999999999998</v>
      </c>
      <c r="Z31" s="14">
        <v>0.18</v>
      </c>
      <c r="AA31" s="14">
        <v>0.36</v>
      </c>
      <c r="AB31" s="14">
        <v>0.3</v>
      </c>
      <c r="AC31" s="14">
        <v>0.22</v>
      </c>
      <c r="AD31" s="14">
        <v>0.27</v>
      </c>
      <c r="AE31" s="14">
        <v>0.19</v>
      </c>
      <c r="AF31" s="14">
        <v>0.21</v>
      </c>
    </row>
    <row r="32" spans="1:32">
      <c r="A32" s="20"/>
      <c r="B32" s="11" t="s">
        <v>519</v>
      </c>
      <c r="C32" s="12">
        <v>149</v>
      </c>
      <c r="D32" s="12">
        <v>2</v>
      </c>
      <c r="E32" s="12">
        <v>4</v>
      </c>
      <c r="F32" s="12">
        <v>1</v>
      </c>
      <c r="G32" s="12">
        <v>6</v>
      </c>
      <c r="H32" s="12">
        <v>19</v>
      </c>
      <c r="I32" s="12">
        <v>21</v>
      </c>
      <c r="J32" s="12">
        <v>2</v>
      </c>
      <c r="K32" s="12">
        <v>20</v>
      </c>
      <c r="L32" s="12">
        <v>3</v>
      </c>
      <c r="M32" s="12">
        <v>5</v>
      </c>
      <c r="N32" s="12">
        <v>6</v>
      </c>
      <c r="O32" s="12">
        <v>2</v>
      </c>
      <c r="P32" s="12">
        <v>1</v>
      </c>
      <c r="Q32" s="12">
        <v>1</v>
      </c>
      <c r="R32" s="12">
        <v>2</v>
      </c>
      <c r="S32" s="12">
        <v>16</v>
      </c>
      <c r="T32" s="12">
        <v>10</v>
      </c>
      <c r="U32" s="12">
        <v>7</v>
      </c>
      <c r="V32" s="12">
        <v>1</v>
      </c>
      <c r="W32" s="12">
        <v>0</v>
      </c>
      <c r="X32" s="12">
        <v>2</v>
      </c>
      <c r="Y32" s="12">
        <v>17</v>
      </c>
      <c r="Z32" s="12">
        <v>4</v>
      </c>
      <c r="AA32" s="12">
        <v>3</v>
      </c>
      <c r="AB32" s="12">
        <v>6</v>
      </c>
      <c r="AC32" s="12">
        <v>4</v>
      </c>
      <c r="AD32" s="12">
        <v>8</v>
      </c>
      <c r="AE32" s="12">
        <v>4</v>
      </c>
      <c r="AF32" s="12">
        <v>2</v>
      </c>
    </row>
    <row r="33" spans="1:32">
      <c r="A33" s="20"/>
      <c r="B33" s="13" t="s">
        <v>520</v>
      </c>
      <c r="C33" s="14">
        <v>0.01</v>
      </c>
      <c r="D33" s="15" t="s">
        <v>459</v>
      </c>
      <c r="E33" s="15" t="s">
        <v>459</v>
      </c>
      <c r="F33" s="15" t="s">
        <v>459</v>
      </c>
      <c r="G33" s="14">
        <v>0.01</v>
      </c>
      <c r="H33" s="14">
        <v>0.02</v>
      </c>
      <c r="I33" s="14">
        <v>0.01</v>
      </c>
      <c r="J33" s="14">
        <v>0.01</v>
      </c>
      <c r="K33" s="14">
        <v>0.02</v>
      </c>
      <c r="L33" s="15" t="s">
        <v>459</v>
      </c>
      <c r="M33" s="14">
        <v>0.01</v>
      </c>
      <c r="N33" s="14">
        <v>0.01</v>
      </c>
      <c r="O33" s="15" t="s">
        <v>459</v>
      </c>
      <c r="P33" s="15" t="s">
        <v>459</v>
      </c>
      <c r="Q33" s="15" t="s">
        <v>459</v>
      </c>
      <c r="R33" s="15" t="s">
        <v>459</v>
      </c>
      <c r="S33" s="14">
        <v>0.02</v>
      </c>
      <c r="T33" s="14">
        <v>0.01</v>
      </c>
      <c r="U33" s="14">
        <v>0.01</v>
      </c>
      <c r="V33" s="15" t="s">
        <v>459</v>
      </c>
      <c r="W33" s="15" t="s">
        <v>459</v>
      </c>
      <c r="X33" s="15" t="s">
        <v>459</v>
      </c>
      <c r="Y33" s="14">
        <v>0.02</v>
      </c>
      <c r="Z33" s="15" t="s">
        <v>459</v>
      </c>
      <c r="AA33" s="15" t="s">
        <v>459</v>
      </c>
      <c r="AB33" s="14">
        <v>0.01</v>
      </c>
      <c r="AC33" s="15" t="s">
        <v>459</v>
      </c>
      <c r="AD33" s="14">
        <v>0.01</v>
      </c>
      <c r="AE33" s="15" t="s">
        <v>459</v>
      </c>
      <c r="AF33" s="15" t="s">
        <v>459</v>
      </c>
    </row>
    <row r="34" spans="1:32" ht="24.95">
      <c r="A34" s="20"/>
      <c r="B34" s="11" t="s">
        <v>551</v>
      </c>
      <c r="C34" s="12">
        <v>2042</v>
      </c>
      <c r="D34" s="12">
        <v>36</v>
      </c>
      <c r="E34" s="12">
        <v>65</v>
      </c>
      <c r="F34" s="12">
        <v>67</v>
      </c>
      <c r="G34" s="12">
        <v>28</v>
      </c>
      <c r="H34" s="12">
        <v>114</v>
      </c>
      <c r="I34" s="12">
        <v>148</v>
      </c>
      <c r="J34" s="12">
        <v>34</v>
      </c>
      <c r="K34" s="12">
        <v>69</v>
      </c>
      <c r="L34" s="12">
        <v>60</v>
      </c>
      <c r="M34" s="12">
        <v>71</v>
      </c>
      <c r="N34" s="12">
        <v>46</v>
      </c>
      <c r="O34" s="12">
        <v>137</v>
      </c>
      <c r="P34" s="12">
        <v>34</v>
      </c>
      <c r="Q34" s="12">
        <v>86</v>
      </c>
      <c r="R34" s="12">
        <v>39</v>
      </c>
      <c r="S34" s="12">
        <v>67</v>
      </c>
      <c r="T34" s="12">
        <v>91</v>
      </c>
      <c r="U34" s="12">
        <v>38</v>
      </c>
      <c r="V34" s="12">
        <v>47</v>
      </c>
      <c r="W34" s="12">
        <v>9</v>
      </c>
      <c r="X34" s="12">
        <v>48</v>
      </c>
      <c r="Y34" s="12">
        <v>204</v>
      </c>
      <c r="Z34" s="12">
        <v>38</v>
      </c>
      <c r="AA34" s="12">
        <v>52</v>
      </c>
      <c r="AB34" s="12">
        <v>41</v>
      </c>
      <c r="AC34" s="12">
        <v>113</v>
      </c>
      <c r="AD34" s="12">
        <v>39</v>
      </c>
      <c r="AE34" s="12">
        <v>35</v>
      </c>
      <c r="AF34" s="12">
        <v>20</v>
      </c>
    </row>
    <row r="35" spans="1:32">
      <c r="A35" s="20"/>
      <c r="B35" s="13" t="s">
        <v>522</v>
      </c>
      <c r="C35" s="14">
        <v>0.08</v>
      </c>
      <c r="D35" s="14">
        <v>0.04</v>
      </c>
      <c r="E35" s="14">
        <v>0.06</v>
      </c>
      <c r="F35" s="14">
        <v>7.0000000000000007E-2</v>
      </c>
      <c r="G35" s="14">
        <v>0.03</v>
      </c>
      <c r="H35" s="14">
        <v>0.09</v>
      </c>
      <c r="I35" s="14">
        <v>0.1</v>
      </c>
      <c r="J35" s="14">
        <v>0.11</v>
      </c>
      <c r="K35" s="14">
        <v>7.0000000000000007E-2</v>
      </c>
      <c r="L35" s="14">
        <v>0.06</v>
      </c>
      <c r="M35" s="14">
        <v>7.0000000000000007E-2</v>
      </c>
      <c r="N35" s="14">
        <v>0.05</v>
      </c>
      <c r="O35" s="14">
        <v>0.14000000000000001</v>
      </c>
      <c r="P35" s="14">
        <v>0.03</v>
      </c>
      <c r="Q35" s="14">
        <v>0.08</v>
      </c>
      <c r="R35" s="14">
        <v>0.08</v>
      </c>
      <c r="S35" s="14">
        <v>7.0000000000000007E-2</v>
      </c>
      <c r="T35" s="14">
        <v>0.09</v>
      </c>
      <c r="U35" s="14">
        <v>7.0000000000000007E-2</v>
      </c>
      <c r="V35" s="14">
        <v>0.05</v>
      </c>
      <c r="W35" s="14">
        <v>0.02</v>
      </c>
      <c r="X35" s="14">
        <v>0.05</v>
      </c>
      <c r="Y35" s="14">
        <v>0.2</v>
      </c>
      <c r="Z35" s="14">
        <v>0.04</v>
      </c>
      <c r="AA35" s="14">
        <v>0.05</v>
      </c>
      <c r="AB35" s="14">
        <v>0.04</v>
      </c>
      <c r="AC35" s="14">
        <v>0.11</v>
      </c>
      <c r="AD35" s="14">
        <v>0.04</v>
      </c>
      <c r="AE35" s="14">
        <v>0.04</v>
      </c>
      <c r="AF35" s="14">
        <v>0.02</v>
      </c>
    </row>
    <row r="36" spans="1:32">
      <c r="A36" s="20"/>
      <c r="B36" s="11" t="s">
        <v>468</v>
      </c>
      <c r="C36" s="12">
        <v>902</v>
      </c>
      <c r="D36" s="12">
        <v>15</v>
      </c>
      <c r="E36" s="12">
        <v>40</v>
      </c>
      <c r="F36" s="12">
        <v>58</v>
      </c>
      <c r="G36" s="12">
        <v>19</v>
      </c>
      <c r="H36" s="12">
        <v>40</v>
      </c>
      <c r="I36" s="12">
        <v>49</v>
      </c>
      <c r="J36" s="12">
        <v>8</v>
      </c>
      <c r="K36" s="12">
        <v>60</v>
      </c>
      <c r="L36" s="12">
        <v>38</v>
      </c>
      <c r="M36" s="12">
        <v>15</v>
      </c>
      <c r="N36" s="12">
        <v>46</v>
      </c>
      <c r="O36" s="12">
        <v>44</v>
      </c>
      <c r="P36" s="12">
        <v>19</v>
      </c>
      <c r="Q36" s="12">
        <v>28</v>
      </c>
      <c r="R36" s="12">
        <v>37</v>
      </c>
      <c r="S36" s="12">
        <v>65</v>
      </c>
      <c r="T36" s="12">
        <v>43</v>
      </c>
      <c r="U36" s="12">
        <v>3</v>
      </c>
      <c r="V36" s="12">
        <v>28</v>
      </c>
      <c r="W36" s="12">
        <v>16</v>
      </c>
      <c r="X36" s="12">
        <v>7</v>
      </c>
      <c r="Y36" s="12">
        <v>33</v>
      </c>
      <c r="Z36" s="12">
        <v>36</v>
      </c>
      <c r="AA36" s="12">
        <v>86</v>
      </c>
      <c r="AB36" s="12">
        <v>38</v>
      </c>
      <c r="AC36" s="12">
        <v>4</v>
      </c>
      <c r="AD36" s="12">
        <v>17</v>
      </c>
      <c r="AE36" s="12">
        <v>26</v>
      </c>
      <c r="AF36" s="12">
        <v>4</v>
      </c>
    </row>
    <row r="37" spans="1:32">
      <c r="A37" s="20"/>
      <c r="B37" s="13" t="s">
        <v>469</v>
      </c>
      <c r="C37" s="14">
        <v>0.03</v>
      </c>
      <c r="D37" s="14">
        <v>0.01</v>
      </c>
      <c r="E37" s="14">
        <v>0.04</v>
      </c>
      <c r="F37" s="14">
        <v>0.06</v>
      </c>
      <c r="G37" s="14">
        <v>0.02</v>
      </c>
      <c r="H37" s="14">
        <v>0.03</v>
      </c>
      <c r="I37" s="14">
        <v>0.03</v>
      </c>
      <c r="J37" s="14">
        <v>0.03</v>
      </c>
      <c r="K37" s="14">
        <v>0.06</v>
      </c>
      <c r="L37" s="14">
        <v>0.04</v>
      </c>
      <c r="M37" s="14">
        <v>0.01</v>
      </c>
      <c r="N37" s="14">
        <v>0.05</v>
      </c>
      <c r="O37" s="14">
        <v>0.04</v>
      </c>
      <c r="P37" s="14">
        <v>0.02</v>
      </c>
      <c r="Q37" s="14">
        <v>0.03</v>
      </c>
      <c r="R37" s="14">
        <v>7.0000000000000007E-2</v>
      </c>
      <c r="S37" s="14">
        <v>0.06</v>
      </c>
      <c r="T37" s="14">
        <v>0.04</v>
      </c>
      <c r="U37" s="14">
        <v>0.01</v>
      </c>
      <c r="V37" s="14">
        <v>0.03</v>
      </c>
      <c r="W37" s="14">
        <v>0.03</v>
      </c>
      <c r="X37" s="14">
        <v>0.01</v>
      </c>
      <c r="Y37" s="14">
        <v>0.03</v>
      </c>
      <c r="Z37" s="14">
        <v>0.04</v>
      </c>
      <c r="AA37" s="14">
        <v>0.08</v>
      </c>
      <c r="AB37" s="14">
        <v>0.04</v>
      </c>
      <c r="AC37" s="15" t="s">
        <v>459</v>
      </c>
      <c r="AD37" s="14">
        <v>0.02</v>
      </c>
      <c r="AE37" s="14">
        <v>0.03</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151</v>
      </c>
      <c r="C3" s="18"/>
      <c r="D3" s="18"/>
      <c r="E3" s="18"/>
      <c r="F3" s="18"/>
      <c r="H3" s="18" t="s">
        <v>152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938</v>
      </c>
      <c r="C12" s="12">
        <v>1813</v>
      </c>
      <c r="D12" s="12">
        <v>84</v>
      </c>
      <c r="E12" s="12">
        <v>78</v>
      </c>
      <c r="F12" s="12">
        <v>83</v>
      </c>
      <c r="G12" s="12">
        <v>39</v>
      </c>
      <c r="H12" s="12">
        <v>43</v>
      </c>
      <c r="I12" s="12">
        <v>62</v>
      </c>
      <c r="J12" s="12">
        <v>19</v>
      </c>
      <c r="K12" s="12">
        <v>84</v>
      </c>
      <c r="L12" s="12">
        <v>62</v>
      </c>
      <c r="M12" s="12">
        <v>100</v>
      </c>
      <c r="N12" s="12">
        <v>65</v>
      </c>
      <c r="O12" s="12">
        <v>88</v>
      </c>
      <c r="P12" s="12">
        <v>81</v>
      </c>
      <c r="Q12" s="12">
        <v>79</v>
      </c>
      <c r="R12" s="12">
        <v>46</v>
      </c>
      <c r="S12" s="12">
        <v>67</v>
      </c>
      <c r="T12" s="12">
        <v>51</v>
      </c>
      <c r="U12" s="12">
        <v>21</v>
      </c>
      <c r="V12" s="12">
        <v>96</v>
      </c>
      <c r="W12" s="12">
        <v>46</v>
      </c>
      <c r="X12" s="12">
        <v>17</v>
      </c>
      <c r="Y12" s="12">
        <v>123</v>
      </c>
      <c r="Z12" s="12">
        <v>83</v>
      </c>
      <c r="AA12" s="12">
        <v>75</v>
      </c>
      <c r="AB12" s="12">
        <v>89</v>
      </c>
      <c r="AC12" s="12">
        <v>59</v>
      </c>
      <c r="AD12" s="12">
        <v>99</v>
      </c>
      <c r="AE12" s="12">
        <v>20</v>
      </c>
      <c r="AF12" s="12">
        <v>45</v>
      </c>
    </row>
    <row r="13" spans="1:32" ht="24.95">
      <c r="A13" s="20"/>
      <c r="B13" s="13" t="s">
        <v>939</v>
      </c>
      <c r="C13" s="14">
        <v>7.0000000000000007E-2</v>
      </c>
      <c r="D13" s="14">
        <v>0.08</v>
      </c>
      <c r="E13" s="14">
        <v>0.08</v>
      </c>
      <c r="F13" s="14">
        <v>0.08</v>
      </c>
      <c r="G13" s="14">
        <v>0.04</v>
      </c>
      <c r="H13" s="14">
        <v>0.04</v>
      </c>
      <c r="I13" s="14">
        <v>0.04</v>
      </c>
      <c r="J13" s="14">
        <v>7.0000000000000007E-2</v>
      </c>
      <c r="K13" s="14">
        <v>0.08</v>
      </c>
      <c r="L13" s="14">
        <v>0.06</v>
      </c>
      <c r="M13" s="14">
        <v>0.1</v>
      </c>
      <c r="N13" s="14">
        <v>0.06</v>
      </c>
      <c r="O13" s="14">
        <v>0.09</v>
      </c>
      <c r="P13" s="14">
        <v>0.08</v>
      </c>
      <c r="Q13" s="14">
        <v>0.08</v>
      </c>
      <c r="R13" s="14">
        <v>0.09</v>
      </c>
      <c r="S13" s="14">
        <v>7.0000000000000007E-2</v>
      </c>
      <c r="T13" s="14">
        <v>0.05</v>
      </c>
      <c r="U13" s="14">
        <v>0.04</v>
      </c>
      <c r="V13" s="14">
        <v>0.09</v>
      </c>
      <c r="W13" s="14">
        <v>0.09</v>
      </c>
      <c r="X13" s="14">
        <v>0.02</v>
      </c>
      <c r="Y13" s="14">
        <v>0.12</v>
      </c>
      <c r="Z13" s="14">
        <v>0.08</v>
      </c>
      <c r="AA13" s="14">
        <v>7.0000000000000007E-2</v>
      </c>
      <c r="AB13" s="14">
        <v>0.09</v>
      </c>
      <c r="AC13" s="14">
        <v>0.06</v>
      </c>
      <c r="AD13" s="14">
        <v>0.1</v>
      </c>
      <c r="AE13" s="14">
        <v>0.02</v>
      </c>
      <c r="AF13" s="14">
        <v>0.04</v>
      </c>
    </row>
    <row r="14" spans="1:32">
      <c r="A14" s="20"/>
      <c r="B14" s="11" t="s">
        <v>940</v>
      </c>
      <c r="C14" s="12">
        <v>1376</v>
      </c>
      <c r="D14" s="12">
        <v>93</v>
      </c>
      <c r="E14" s="12">
        <v>48</v>
      </c>
      <c r="F14" s="12">
        <v>27</v>
      </c>
      <c r="G14" s="12">
        <v>25</v>
      </c>
      <c r="H14" s="12">
        <v>30</v>
      </c>
      <c r="I14" s="12">
        <v>39</v>
      </c>
      <c r="J14" s="12">
        <v>9</v>
      </c>
      <c r="K14" s="12">
        <v>49</v>
      </c>
      <c r="L14" s="12">
        <v>53</v>
      </c>
      <c r="M14" s="12">
        <v>80</v>
      </c>
      <c r="N14" s="12">
        <v>37</v>
      </c>
      <c r="O14" s="12">
        <v>92</v>
      </c>
      <c r="P14" s="12">
        <v>59</v>
      </c>
      <c r="Q14" s="12">
        <v>66</v>
      </c>
      <c r="R14" s="12">
        <v>20</v>
      </c>
      <c r="S14" s="12">
        <v>50</v>
      </c>
      <c r="T14" s="12">
        <v>54</v>
      </c>
      <c r="U14" s="12">
        <v>36</v>
      </c>
      <c r="V14" s="12">
        <v>41</v>
      </c>
      <c r="W14" s="12">
        <v>32</v>
      </c>
      <c r="X14" s="12">
        <v>32</v>
      </c>
      <c r="Y14" s="12">
        <v>43</v>
      </c>
      <c r="Z14" s="12">
        <v>60</v>
      </c>
      <c r="AA14" s="12">
        <v>67</v>
      </c>
      <c r="AB14" s="12">
        <v>64</v>
      </c>
      <c r="AC14" s="12">
        <v>27</v>
      </c>
      <c r="AD14" s="12">
        <v>38</v>
      </c>
      <c r="AE14" s="12">
        <v>20</v>
      </c>
      <c r="AF14" s="12">
        <v>12</v>
      </c>
    </row>
    <row r="15" spans="1:32">
      <c r="A15" s="20"/>
      <c r="B15" s="13" t="s">
        <v>941</v>
      </c>
      <c r="C15" s="14">
        <v>0.05</v>
      </c>
      <c r="D15" s="14">
        <v>0.09</v>
      </c>
      <c r="E15" s="14">
        <v>0.05</v>
      </c>
      <c r="F15" s="14">
        <v>0.03</v>
      </c>
      <c r="G15" s="14">
        <v>0.03</v>
      </c>
      <c r="H15" s="14">
        <v>0.02</v>
      </c>
      <c r="I15" s="14">
        <v>0.03</v>
      </c>
      <c r="J15" s="14">
        <v>0.03</v>
      </c>
      <c r="K15" s="14">
        <v>0.05</v>
      </c>
      <c r="L15" s="14">
        <v>0.05</v>
      </c>
      <c r="M15" s="14">
        <v>0.08</v>
      </c>
      <c r="N15" s="14">
        <v>0.04</v>
      </c>
      <c r="O15" s="14">
        <v>0.09</v>
      </c>
      <c r="P15" s="14">
        <v>0.06</v>
      </c>
      <c r="Q15" s="14">
        <v>0.06</v>
      </c>
      <c r="R15" s="14">
        <v>0.04</v>
      </c>
      <c r="S15" s="14">
        <v>0.05</v>
      </c>
      <c r="T15" s="14">
        <v>0.05</v>
      </c>
      <c r="U15" s="14">
        <v>7.0000000000000007E-2</v>
      </c>
      <c r="V15" s="14">
        <v>0.04</v>
      </c>
      <c r="W15" s="14">
        <v>0.06</v>
      </c>
      <c r="X15" s="14">
        <v>0.03</v>
      </c>
      <c r="Y15" s="14">
        <v>0.04</v>
      </c>
      <c r="Z15" s="14">
        <v>0.06</v>
      </c>
      <c r="AA15" s="14">
        <v>0.06</v>
      </c>
      <c r="AB15" s="14">
        <v>0.06</v>
      </c>
      <c r="AC15" s="14">
        <v>0.03</v>
      </c>
      <c r="AD15" s="14">
        <v>0.04</v>
      </c>
      <c r="AE15" s="14">
        <v>0.02</v>
      </c>
      <c r="AF15" s="14">
        <v>0.01</v>
      </c>
    </row>
    <row r="16" spans="1:32" ht="24.95">
      <c r="A16" s="20"/>
      <c r="B16" s="11" t="s">
        <v>942</v>
      </c>
      <c r="C16" s="12">
        <v>3719</v>
      </c>
      <c r="D16" s="12">
        <v>142</v>
      </c>
      <c r="E16" s="12">
        <v>106</v>
      </c>
      <c r="F16" s="12">
        <v>94</v>
      </c>
      <c r="G16" s="12">
        <v>334</v>
      </c>
      <c r="H16" s="12">
        <v>258</v>
      </c>
      <c r="I16" s="12">
        <v>305</v>
      </c>
      <c r="J16" s="12">
        <v>47</v>
      </c>
      <c r="K16" s="12">
        <v>182</v>
      </c>
      <c r="L16" s="12">
        <v>134</v>
      </c>
      <c r="M16" s="12">
        <v>82</v>
      </c>
      <c r="N16" s="12">
        <v>132</v>
      </c>
      <c r="O16" s="12">
        <v>114</v>
      </c>
      <c r="P16" s="12">
        <v>77</v>
      </c>
      <c r="Q16" s="12">
        <v>75</v>
      </c>
      <c r="R16" s="12">
        <v>29</v>
      </c>
      <c r="S16" s="12">
        <v>156</v>
      </c>
      <c r="T16" s="12">
        <v>169</v>
      </c>
      <c r="U16" s="12">
        <v>100</v>
      </c>
      <c r="V16" s="12">
        <v>72</v>
      </c>
      <c r="W16" s="12">
        <v>36</v>
      </c>
      <c r="X16" s="12">
        <v>347</v>
      </c>
      <c r="Y16" s="12">
        <v>111</v>
      </c>
      <c r="Z16" s="12">
        <v>105</v>
      </c>
      <c r="AA16" s="12">
        <v>77</v>
      </c>
      <c r="AB16" s="12">
        <v>81</v>
      </c>
      <c r="AC16" s="12">
        <v>91</v>
      </c>
      <c r="AD16" s="12">
        <v>104</v>
      </c>
      <c r="AE16" s="12">
        <v>248</v>
      </c>
      <c r="AF16" s="12">
        <v>366</v>
      </c>
    </row>
    <row r="17" spans="1:32" ht="24.95">
      <c r="A17" s="20"/>
      <c r="B17" s="13" t="s">
        <v>943</v>
      </c>
      <c r="C17" s="14">
        <v>0.14000000000000001</v>
      </c>
      <c r="D17" s="14">
        <v>0.14000000000000001</v>
      </c>
      <c r="E17" s="14">
        <v>0.1</v>
      </c>
      <c r="F17" s="14">
        <v>0.09</v>
      </c>
      <c r="G17" s="14">
        <v>0.33</v>
      </c>
      <c r="H17" s="14">
        <v>0.21</v>
      </c>
      <c r="I17" s="14">
        <v>0.2</v>
      </c>
      <c r="J17" s="14">
        <v>0.16</v>
      </c>
      <c r="K17" s="14">
        <v>0.18</v>
      </c>
      <c r="L17" s="14">
        <v>0.13</v>
      </c>
      <c r="M17" s="14">
        <v>0.08</v>
      </c>
      <c r="N17" s="14">
        <v>0.13</v>
      </c>
      <c r="O17" s="14">
        <v>0.11</v>
      </c>
      <c r="P17" s="14">
        <v>0.08</v>
      </c>
      <c r="Q17" s="14">
        <v>7.0000000000000007E-2</v>
      </c>
      <c r="R17" s="14">
        <v>0.06</v>
      </c>
      <c r="S17" s="14">
        <v>0.16</v>
      </c>
      <c r="T17" s="14">
        <v>0.17</v>
      </c>
      <c r="U17" s="14">
        <v>0.2</v>
      </c>
      <c r="V17" s="14">
        <v>7.0000000000000007E-2</v>
      </c>
      <c r="W17" s="14">
        <v>7.0000000000000007E-2</v>
      </c>
      <c r="X17" s="14">
        <v>0.34</v>
      </c>
      <c r="Y17" s="14">
        <v>0.11</v>
      </c>
      <c r="Z17" s="14">
        <v>0.1</v>
      </c>
      <c r="AA17" s="14">
        <v>7.0000000000000007E-2</v>
      </c>
      <c r="AB17" s="14">
        <v>0.08</v>
      </c>
      <c r="AC17" s="14">
        <v>0.09</v>
      </c>
      <c r="AD17" s="14">
        <v>0.1</v>
      </c>
      <c r="AE17" s="14">
        <v>0.25</v>
      </c>
      <c r="AF17" s="14">
        <v>0.36</v>
      </c>
    </row>
    <row r="18" spans="1:32" ht="24.95">
      <c r="A18" s="20"/>
      <c r="B18" s="11" t="s">
        <v>944</v>
      </c>
      <c r="C18" s="12">
        <v>2116</v>
      </c>
      <c r="D18" s="12">
        <v>50</v>
      </c>
      <c r="E18" s="12">
        <v>106</v>
      </c>
      <c r="F18" s="12">
        <v>68</v>
      </c>
      <c r="G18" s="12">
        <v>57</v>
      </c>
      <c r="H18" s="12">
        <v>80</v>
      </c>
      <c r="I18" s="12">
        <v>98</v>
      </c>
      <c r="J18" s="12">
        <v>18</v>
      </c>
      <c r="K18" s="12">
        <v>136</v>
      </c>
      <c r="L18" s="12">
        <v>72</v>
      </c>
      <c r="M18" s="12">
        <v>76</v>
      </c>
      <c r="N18" s="12">
        <v>86</v>
      </c>
      <c r="O18" s="12">
        <v>66</v>
      </c>
      <c r="P18" s="12">
        <v>115</v>
      </c>
      <c r="Q18" s="12">
        <v>98</v>
      </c>
      <c r="R18" s="12">
        <v>18</v>
      </c>
      <c r="S18" s="12">
        <v>52</v>
      </c>
      <c r="T18" s="12">
        <v>51</v>
      </c>
      <c r="U18" s="12">
        <v>54</v>
      </c>
      <c r="V18" s="12">
        <v>102</v>
      </c>
      <c r="W18" s="12">
        <v>48</v>
      </c>
      <c r="X18" s="12">
        <v>48</v>
      </c>
      <c r="Y18" s="12">
        <v>68</v>
      </c>
      <c r="Z18" s="12">
        <v>128</v>
      </c>
      <c r="AA18" s="12">
        <v>75</v>
      </c>
      <c r="AB18" s="12">
        <v>120</v>
      </c>
      <c r="AC18" s="12">
        <v>58</v>
      </c>
      <c r="AD18" s="12">
        <v>70</v>
      </c>
      <c r="AE18" s="12">
        <v>124</v>
      </c>
      <c r="AF18" s="12">
        <v>54</v>
      </c>
    </row>
    <row r="19" spans="1:32" ht="24.95">
      <c r="A19" s="20"/>
      <c r="B19" s="13" t="s">
        <v>945</v>
      </c>
      <c r="C19" s="14">
        <v>0.08</v>
      </c>
      <c r="D19" s="14">
        <v>0.05</v>
      </c>
      <c r="E19" s="14">
        <v>0.1</v>
      </c>
      <c r="F19" s="14">
        <v>7.0000000000000007E-2</v>
      </c>
      <c r="G19" s="14">
        <v>0.06</v>
      </c>
      <c r="H19" s="14">
        <v>7.0000000000000007E-2</v>
      </c>
      <c r="I19" s="14">
        <v>0.06</v>
      </c>
      <c r="J19" s="14">
        <v>0.06</v>
      </c>
      <c r="K19" s="14">
        <v>0.14000000000000001</v>
      </c>
      <c r="L19" s="14">
        <v>7.0000000000000007E-2</v>
      </c>
      <c r="M19" s="14">
        <v>0.08</v>
      </c>
      <c r="N19" s="14">
        <v>0.08</v>
      </c>
      <c r="O19" s="14">
        <v>0.06</v>
      </c>
      <c r="P19" s="14">
        <v>0.11</v>
      </c>
      <c r="Q19" s="14">
        <v>0.1</v>
      </c>
      <c r="R19" s="14">
        <v>0.04</v>
      </c>
      <c r="S19" s="14">
        <v>0.05</v>
      </c>
      <c r="T19" s="14">
        <v>0.05</v>
      </c>
      <c r="U19" s="14">
        <v>0.11</v>
      </c>
      <c r="V19" s="14">
        <v>0.1</v>
      </c>
      <c r="W19" s="14">
        <v>0.1</v>
      </c>
      <c r="X19" s="14">
        <v>0.05</v>
      </c>
      <c r="Y19" s="14">
        <v>7.0000000000000007E-2</v>
      </c>
      <c r="Z19" s="14">
        <v>0.13</v>
      </c>
      <c r="AA19" s="14">
        <v>7.0000000000000007E-2</v>
      </c>
      <c r="AB19" s="14">
        <v>0.12</v>
      </c>
      <c r="AC19" s="14">
        <v>0.06</v>
      </c>
      <c r="AD19" s="14">
        <v>7.0000000000000007E-2</v>
      </c>
      <c r="AE19" s="14">
        <v>0.12</v>
      </c>
      <c r="AF19" s="14">
        <v>0.05</v>
      </c>
    </row>
    <row r="20" spans="1:32">
      <c r="A20" s="20"/>
      <c r="B20" s="11" t="s">
        <v>946</v>
      </c>
      <c r="C20" s="12">
        <v>4349</v>
      </c>
      <c r="D20" s="12">
        <v>133</v>
      </c>
      <c r="E20" s="12">
        <v>138</v>
      </c>
      <c r="F20" s="12">
        <v>226</v>
      </c>
      <c r="G20" s="12">
        <v>60</v>
      </c>
      <c r="H20" s="12">
        <v>201</v>
      </c>
      <c r="I20" s="12">
        <v>252</v>
      </c>
      <c r="J20" s="12">
        <v>50</v>
      </c>
      <c r="K20" s="12">
        <v>125</v>
      </c>
      <c r="L20" s="12">
        <v>266</v>
      </c>
      <c r="M20" s="12">
        <v>191</v>
      </c>
      <c r="N20" s="12">
        <v>181</v>
      </c>
      <c r="O20" s="12">
        <v>187</v>
      </c>
      <c r="P20" s="12">
        <v>143</v>
      </c>
      <c r="Q20" s="12">
        <v>195</v>
      </c>
      <c r="R20" s="12">
        <v>124</v>
      </c>
      <c r="S20" s="12">
        <v>235</v>
      </c>
      <c r="T20" s="12">
        <v>161</v>
      </c>
      <c r="U20" s="12">
        <v>75</v>
      </c>
      <c r="V20" s="12">
        <v>148</v>
      </c>
      <c r="W20" s="12">
        <v>101</v>
      </c>
      <c r="X20" s="12">
        <v>87</v>
      </c>
      <c r="Y20" s="12">
        <v>147</v>
      </c>
      <c r="Z20" s="12">
        <v>169</v>
      </c>
      <c r="AA20" s="12">
        <v>190</v>
      </c>
      <c r="AB20" s="12">
        <v>119</v>
      </c>
      <c r="AC20" s="12">
        <v>196</v>
      </c>
      <c r="AD20" s="12">
        <v>185</v>
      </c>
      <c r="AE20" s="12">
        <v>51</v>
      </c>
      <c r="AF20" s="12">
        <v>48</v>
      </c>
    </row>
    <row r="21" spans="1:32">
      <c r="A21" s="20"/>
      <c r="B21" s="13" t="s">
        <v>947</v>
      </c>
      <c r="C21" s="14">
        <v>0.16</v>
      </c>
      <c r="D21" s="14">
        <v>0.13</v>
      </c>
      <c r="E21" s="14">
        <v>0.14000000000000001</v>
      </c>
      <c r="F21" s="14">
        <v>0.22</v>
      </c>
      <c r="G21" s="14">
        <v>0.06</v>
      </c>
      <c r="H21" s="14">
        <v>0.17</v>
      </c>
      <c r="I21" s="14">
        <v>0.17</v>
      </c>
      <c r="J21" s="14">
        <v>0.17</v>
      </c>
      <c r="K21" s="14">
        <v>0.12</v>
      </c>
      <c r="L21" s="14">
        <v>0.27</v>
      </c>
      <c r="M21" s="14">
        <v>0.19</v>
      </c>
      <c r="N21" s="14">
        <v>0.18</v>
      </c>
      <c r="O21" s="14">
        <v>0.19</v>
      </c>
      <c r="P21" s="14">
        <v>0.14000000000000001</v>
      </c>
      <c r="Q21" s="14">
        <v>0.19</v>
      </c>
      <c r="R21" s="14">
        <v>0.25</v>
      </c>
      <c r="S21" s="14">
        <v>0.23</v>
      </c>
      <c r="T21" s="14">
        <v>0.16</v>
      </c>
      <c r="U21" s="14">
        <v>0.15</v>
      </c>
      <c r="V21" s="14">
        <v>0.15</v>
      </c>
      <c r="W21" s="14">
        <v>0.2</v>
      </c>
      <c r="X21" s="14">
        <v>0.09</v>
      </c>
      <c r="Y21" s="14">
        <v>0.15</v>
      </c>
      <c r="Z21" s="14">
        <v>0.17</v>
      </c>
      <c r="AA21" s="14">
        <v>0.18</v>
      </c>
      <c r="AB21" s="14">
        <v>0.11</v>
      </c>
      <c r="AC21" s="14">
        <v>0.19</v>
      </c>
      <c r="AD21" s="14">
        <v>0.18</v>
      </c>
      <c r="AE21" s="14">
        <v>0.05</v>
      </c>
      <c r="AF21" s="14">
        <v>0.05</v>
      </c>
    </row>
    <row r="22" spans="1:32" ht="24.95">
      <c r="A22" s="20"/>
      <c r="B22" s="11" t="s">
        <v>948</v>
      </c>
      <c r="C22" s="12">
        <v>3158</v>
      </c>
      <c r="D22" s="12">
        <v>106</v>
      </c>
      <c r="E22" s="12">
        <v>130</v>
      </c>
      <c r="F22" s="12">
        <v>134</v>
      </c>
      <c r="G22" s="12">
        <v>165</v>
      </c>
      <c r="H22" s="12">
        <v>150</v>
      </c>
      <c r="I22" s="12">
        <v>194</v>
      </c>
      <c r="J22" s="12">
        <v>44</v>
      </c>
      <c r="K22" s="12">
        <v>93</v>
      </c>
      <c r="L22" s="12">
        <v>113</v>
      </c>
      <c r="M22" s="12">
        <v>103</v>
      </c>
      <c r="N22" s="12">
        <v>102</v>
      </c>
      <c r="O22" s="12">
        <v>88</v>
      </c>
      <c r="P22" s="12">
        <v>167</v>
      </c>
      <c r="Q22" s="12">
        <v>139</v>
      </c>
      <c r="R22" s="12">
        <v>62</v>
      </c>
      <c r="S22" s="12">
        <v>110</v>
      </c>
      <c r="T22" s="12">
        <v>111</v>
      </c>
      <c r="U22" s="12">
        <v>84</v>
      </c>
      <c r="V22" s="12">
        <v>174</v>
      </c>
      <c r="W22" s="12">
        <v>58</v>
      </c>
      <c r="X22" s="12">
        <v>103</v>
      </c>
      <c r="Y22" s="12">
        <v>101</v>
      </c>
      <c r="Z22" s="12">
        <v>125</v>
      </c>
      <c r="AA22" s="12">
        <v>121</v>
      </c>
      <c r="AB22" s="12">
        <v>135</v>
      </c>
      <c r="AC22" s="12">
        <v>176</v>
      </c>
      <c r="AD22" s="12">
        <v>179</v>
      </c>
      <c r="AE22" s="12">
        <v>145</v>
      </c>
      <c r="AF22" s="12">
        <v>160</v>
      </c>
    </row>
    <row r="23" spans="1:32" ht="24.95">
      <c r="A23" s="20"/>
      <c r="B23" s="13" t="s">
        <v>949</v>
      </c>
      <c r="C23" s="14">
        <v>0.12</v>
      </c>
      <c r="D23" s="14">
        <v>0.11</v>
      </c>
      <c r="E23" s="14">
        <v>0.13</v>
      </c>
      <c r="F23" s="14">
        <v>0.13</v>
      </c>
      <c r="G23" s="14">
        <v>0.16</v>
      </c>
      <c r="H23" s="14">
        <v>0.12</v>
      </c>
      <c r="I23" s="14">
        <v>0.13</v>
      </c>
      <c r="J23" s="14">
        <v>0.15</v>
      </c>
      <c r="K23" s="14">
        <v>0.09</v>
      </c>
      <c r="L23" s="14">
        <v>0.11</v>
      </c>
      <c r="M23" s="14">
        <v>0.1</v>
      </c>
      <c r="N23" s="14">
        <v>0.1</v>
      </c>
      <c r="O23" s="14">
        <v>0.09</v>
      </c>
      <c r="P23" s="14">
        <v>0.16</v>
      </c>
      <c r="Q23" s="14">
        <v>0.14000000000000001</v>
      </c>
      <c r="R23" s="14">
        <v>0.12</v>
      </c>
      <c r="S23" s="14">
        <v>0.11</v>
      </c>
      <c r="T23" s="14">
        <v>0.11</v>
      </c>
      <c r="U23" s="14">
        <v>0.17</v>
      </c>
      <c r="V23" s="14">
        <v>0.17</v>
      </c>
      <c r="W23" s="14">
        <v>0.12</v>
      </c>
      <c r="X23" s="14">
        <v>0.1</v>
      </c>
      <c r="Y23" s="14">
        <v>0.1</v>
      </c>
      <c r="Z23" s="14">
        <v>0.12</v>
      </c>
      <c r="AA23" s="14">
        <v>0.11</v>
      </c>
      <c r="AB23" s="14">
        <v>0.13</v>
      </c>
      <c r="AC23" s="14">
        <v>0.18</v>
      </c>
      <c r="AD23" s="14">
        <v>0.18</v>
      </c>
      <c r="AE23" s="14">
        <v>0.15</v>
      </c>
      <c r="AF23" s="14">
        <v>0.16</v>
      </c>
    </row>
    <row r="24" spans="1:32" ht="36.950000000000003">
      <c r="A24" s="20"/>
      <c r="B24" s="11" t="s">
        <v>950</v>
      </c>
      <c r="C24" s="12">
        <v>933</v>
      </c>
      <c r="D24" s="12">
        <v>34</v>
      </c>
      <c r="E24" s="12">
        <v>48</v>
      </c>
      <c r="F24" s="12">
        <v>26</v>
      </c>
      <c r="G24" s="12">
        <v>18</v>
      </c>
      <c r="H24" s="12">
        <v>14</v>
      </c>
      <c r="I24" s="12">
        <v>18</v>
      </c>
      <c r="J24" s="12">
        <v>4</v>
      </c>
      <c r="K24" s="12">
        <v>16</v>
      </c>
      <c r="L24" s="12">
        <v>26</v>
      </c>
      <c r="M24" s="12">
        <v>36</v>
      </c>
      <c r="N24" s="12">
        <v>26</v>
      </c>
      <c r="O24" s="12">
        <v>29</v>
      </c>
      <c r="P24" s="12">
        <v>74</v>
      </c>
      <c r="Q24" s="12">
        <v>68</v>
      </c>
      <c r="R24" s="12">
        <v>4</v>
      </c>
      <c r="S24" s="12">
        <v>24</v>
      </c>
      <c r="T24" s="12">
        <v>33</v>
      </c>
      <c r="U24" s="12">
        <v>11</v>
      </c>
      <c r="V24" s="12">
        <v>69</v>
      </c>
      <c r="W24" s="12">
        <v>28</v>
      </c>
      <c r="X24" s="12">
        <v>14</v>
      </c>
      <c r="Y24" s="12">
        <v>34</v>
      </c>
      <c r="Z24" s="12">
        <v>56</v>
      </c>
      <c r="AA24" s="12">
        <v>37</v>
      </c>
      <c r="AB24" s="12">
        <v>80</v>
      </c>
      <c r="AC24" s="12">
        <v>52</v>
      </c>
      <c r="AD24" s="12">
        <v>38</v>
      </c>
      <c r="AE24" s="12">
        <v>8</v>
      </c>
      <c r="AF24" s="12">
        <v>16</v>
      </c>
    </row>
    <row r="25" spans="1:32" ht="36.950000000000003">
      <c r="A25" s="20"/>
      <c r="B25" s="13" t="s">
        <v>951</v>
      </c>
      <c r="C25" s="14">
        <v>0.04</v>
      </c>
      <c r="D25" s="14">
        <v>0.03</v>
      </c>
      <c r="E25" s="14">
        <v>0.05</v>
      </c>
      <c r="F25" s="14">
        <v>0.03</v>
      </c>
      <c r="G25" s="14">
        <v>0.02</v>
      </c>
      <c r="H25" s="14">
        <v>0.01</v>
      </c>
      <c r="I25" s="14">
        <v>0.01</v>
      </c>
      <c r="J25" s="14">
        <v>0.01</v>
      </c>
      <c r="K25" s="14">
        <v>0.02</v>
      </c>
      <c r="L25" s="14">
        <v>0.03</v>
      </c>
      <c r="M25" s="14">
        <v>0.03</v>
      </c>
      <c r="N25" s="14">
        <v>0.03</v>
      </c>
      <c r="O25" s="14">
        <v>0.03</v>
      </c>
      <c r="P25" s="14">
        <v>7.0000000000000007E-2</v>
      </c>
      <c r="Q25" s="14">
        <v>7.0000000000000007E-2</v>
      </c>
      <c r="R25" s="14">
        <v>0.01</v>
      </c>
      <c r="S25" s="14">
        <v>0.02</v>
      </c>
      <c r="T25" s="14">
        <v>0.03</v>
      </c>
      <c r="U25" s="14">
        <v>0.02</v>
      </c>
      <c r="V25" s="14">
        <v>7.0000000000000007E-2</v>
      </c>
      <c r="W25" s="14">
        <v>0.06</v>
      </c>
      <c r="X25" s="14">
        <v>0.01</v>
      </c>
      <c r="Y25" s="14">
        <v>0.03</v>
      </c>
      <c r="Z25" s="14">
        <v>0.06</v>
      </c>
      <c r="AA25" s="14">
        <v>0.04</v>
      </c>
      <c r="AB25" s="14">
        <v>0.08</v>
      </c>
      <c r="AC25" s="14">
        <v>0.05</v>
      </c>
      <c r="AD25" s="14">
        <v>0.04</v>
      </c>
      <c r="AE25" s="14">
        <v>0.01</v>
      </c>
      <c r="AF25" s="14">
        <v>0.02</v>
      </c>
    </row>
    <row r="26" spans="1:32" ht="36.950000000000003">
      <c r="A26" s="20"/>
      <c r="B26" s="11" t="s">
        <v>952</v>
      </c>
      <c r="C26" s="12">
        <v>2703</v>
      </c>
      <c r="D26" s="12">
        <v>102</v>
      </c>
      <c r="E26" s="12">
        <v>127</v>
      </c>
      <c r="F26" s="12">
        <v>138</v>
      </c>
      <c r="G26" s="12">
        <v>84</v>
      </c>
      <c r="H26" s="12">
        <v>96</v>
      </c>
      <c r="I26" s="12">
        <v>125</v>
      </c>
      <c r="J26" s="12">
        <v>29</v>
      </c>
      <c r="K26" s="12">
        <v>80</v>
      </c>
      <c r="L26" s="12">
        <v>64</v>
      </c>
      <c r="M26" s="12">
        <v>88</v>
      </c>
      <c r="N26" s="12">
        <v>97</v>
      </c>
      <c r="O26" s="12">
        <v>131</v>
      </c>
      <c r="P26" s="12">
        <v>123</v>
      </c>
      <c r="Q26" s="12">
        <v>90</v>
      </c>
      <c r="R26" s="12">
        <v>52</v>
      </c>
      <c r="S26" s="12">
        <v>68</v>
      </c>
      <c r="T26" s="12">
        <v>107</v>
      </c>
      <c r="U26" s="12">
        <v>41</v>
      </c>
      <c r="V26" s="12">
        <v>112</v>
      </c>
      <c r="W26" s="12">
        <v>47</v>
      </c>
      <c r="X26" s="12">
        <v>129</v>
      </c>
      <c r="Y26" s="12">
        <v>90</v>
      </c>
      <c r="Z26" s="12">
        <v>103</v>
      </c>
      <c r="AA26" s="12">
        <v>125</v>
      </c>
      <c r="AB26" s="12">
        <v>117</v>
      </c>
      <c r="AC26" s="12">
        <v>125</v>
      </c>
      <c r="AD26" s="12">
        <v>98</v>
      </c>
      <c r="AE26" s="12">
        <v>150</v>
      </c>
      <c r="AF26" s="12">
        <v>105</v>
      </c>
    </row>
    <row r="27" spans="1:32" ht="36.950000000000003">
      <c r="A27" s="20"/>
      <c r="B27" s="13" t="s">
        <v>953</v>
      </c>
      <c r="C27" s="14">
        <v>0.1</v>
      </c>
      <c r="D27" s="14">
        <v>0.1</v>
      </c>
      <c r="E27" s="14">
        <v>0.12</v>
      </c>
      <c r="F27" s="14">
        <v>0.14000000000000001</v>
      </c>
      <c r="G27" s="14">
        <v>0.08</v>
      </c>
      <c r="H27" s="14">
        <v>0.08</v>
      </c>
      <c r="I27" s="14">
        <v>0.08</v>
      </c>
      <c r="J27" s="14">
        <v>0.1</v>
      </c>
      <c r="K27" s="14">
        <v>0.08</v>
      </c>
      <c r="L27" s="14">
        <v>0.06</v>
      </c>
      <c r="M27" s="14">
        <v>0.09</v>
      </c>
      <c r="N27" s="14">
        <v>0.1</v>
      </c>
      <c r="O27" s="14">
        <v>0.13</v>
      </c>
      <c r="P27" s="14">
        <v>0.12</v>
      </c>
      <c r="Q27" s="14">
        <v>0.09</v>
      </c>
      <c r="R27" s="14">
        <v>0.1</v>
      </c>
      <c r="S27" s="14">
        <v>7.0000000000000007E-2</v>
      </c>
      <c r="T27" s="14">
        <v>0.1</v>
      </c>
      <c r="U27" s="14">
        <v>0.08</v>
      </c>
      <c r="V27" s="14">
        <v>0.11</v>
      </c>
      <c r="W27" s="14">
        <v>0.09</v>
      </c>
      <c r="X27" s="14">
        <v>0.13</v>
      </c>
      <c r="Y27" s="14">
        <v>0.09</v>
      </c>
      <c r="Z27" s="14">
        <v>0.1</v>
      </c>
      <c r="AA27" s="14">
        <v>0.12</v>
      </c>
      <c r="AB27" s="14">
        <v>0.11</v>
      </c>
      <c r="AC27" s="14">
        <v>0.12</v>
      </c>
      <c r="AD27" s="14">
        <v>0.1</v>
      </c>
      <c r="AE27" s="14">
        <v>0.15</v>
      </c>
      <c r="AF27" s="14">
        <v>0.1</v>
      </c>
    </row>
    <row r="28" spans="1:32" ht="24.95">
      <c r="A28" s="20"/>
      <c r="B28" s="11" t="s">
        <v>954</v>
      </c>
      <c r="C28" s="12">
        <v>1497</v>
      </c>
      <c r="D28" s="12">
        <v>75</v>
      </c>
      <c r="E28" s="12">
        <v>57</v>
      </c>
      <c r="F28" s="12">
        <v>69</v>
      </c>
      <c r="G28" s="12">
        <v>84</v>
      </c>
      <c r="H28" s="12">
        <v>76</v>
      </c>
      <c r="I28" s="12">
        <v>91</v>
      </c>
      <c r="J28" s="12">
        <v>15</v>
      </c>
      <c r="K28" s="12">
        <v>63</v>
      </c>
      <c r="L28" s="12">
        <v>57</v>
      </c>
      <c r="M28" s="12">
        <v>51</v>
      </c>
      <c r="N28" s="12">
        <v>40</v>
      </c>
      <c r="O28" s="12">
        <v>39</v>
      </c>
      <c r="P28" s="12">
        <v>66</v>
      </c>
      <c r="Q28" s="12">
        <v>54</v>
      </c>
      <c r="R28" s="12">
        <v>17</v>
      </c>
      <c r="S28" s="12">
        <v>60</v>
      </c>
      <c r="T28" s="12">
        <v>67</v>
      </c>
      <c r="U28" s="12">
        <v>31</v>
      </c>
      <c r="V28" s="12">
        <v>75</v>
      </c>
      <c r="W28" s="12">
        <v>62</v>
      </c>
      <c r="X28" s="12">
        <v>95</v>
      </c>
      <c r="Y28" s="12">
        <v>70</v>
      </c>
      <c r="Z28" s="12">
        <v>56</v>
      </c>
      <c r="AA28" s="12">
        <v>62</v>
      </c>
      <c r="AB28" s="12">
        <v>56</v>
      </c>
      <c r="AC28" s="12">
        <v>72</v>
      </c>
      <c r="AD28" s="12">
        <v>75</v>
      </c>
      <c r="AE28" s="12">
        <v>62</v>
      </c>
      <c r="AF28" s="12">
        <v>102</v>
      </c>
    </row>
    <row r="29" spans="1:32">
      <c r="A29" s="20"/>
      <c r="B29" s="13" t="s">
        <v>955</v>
      </c>
      <c r="C29" s="14">
        <v>0.06</v>
      </c>
      <c r="D29" s="14">
        <v>0.08</v>
      </c>
      <c r="E29" s="14">
        <v>0.06</v>
      </c>
      <c r="F29" s="14">
        <v>7.0000000000000007E-2</v>
      </c>
      <c r="G29" s="14">
        <v>0.08</v>
      </c>
      <c r="H29" s="14">
        <v>0.06</v>
      </c>
      <c r="I29" s="14">
        <v>0.06</v>
      </c>
      <c r="J29" s="14">
        <v>0.05</v>
      </c>
      <c r="K29" s="14">
        <v>0.06</v>
      </c>
      <c r="L29" s="14">
        <v>0.06</v>
      </c>
      <c r="M29" s="14">
        <v>0.05</v>
      </c>
      <c r="N29" s="14">
        <v>0.04</v>
      </c>
      <c r="O29" s="14">
        <v>0.04</v>
      </c>
      <c r="P29" s="14">
        <v>7.0000000000000007E-2</v>
      </c>
      <c r="Q29" s="14">
        <v>0.05</v>
      </c>
      <c r="R29" s="14">
        <v>0.03</v>
      </c>
      <c r="S29" s="14">
        <v>0.06</v>
      </c>
      <c r="T29" s="14">
        <v>7.0000000000000007E-2</v>
      </c>
      <c r="U29" s="14">
        <v>0.06</v>
      </c>
      <c r="V29" s="14">
        <v>7.0000000000000007E-2</v>
      </c>
      <c r="W29" s="14">
        <v>0.12</v>
      </c>
      <c r="X29" s="14">
        <v>0.09</v>
      </c>
      <c r="Y29" s="14">
        <v>7.0000000000000007E-2</v>
      </c>
      <c r="Z29" s="14">
        <v>0.06</v>
      </c>
      <c r="AA29" s="14">
        <v>0.06</v>
      </c>
      <c r="AB29" s="14">
        <v>0.05</v>
      </c>
      <c r="AC29" s="14">
        <v>7.0000000000000007E-2</v>
      </c>
      <c r="AD29" s="14">
        <v>7.0000000000000007E-2</v>
      </c>
      <c r="AE29" s="14">
        <v>0.06</v>
      </c>
      <c r="AF29" s="14">
        <v>0.1</v>
      </c>
    </row>
    <row r="30" spans="1:32" ht="24.95">
      <c r="A30" s="20"/>
      <c r="B30" s="11" t="s">
        <v>956</v>
      </c>
      <c r="C30" s="12">
        <v>3121</v>
      </c>
      <c r="D30" s="12">
        <v>144</v>
      </c>
      <c r="E30" s="12">
        <v>105</v>
      </c>
      <c r="F30" s="12">
        <v>68</v>
      </c>
      <c r="G30" s="12">
        <v>92</v>
      </c>
      <c r="H30" s="12">
        <v>199</v>
      </c>
      <c r="I30" s="12">
        <v>251</v>
      </c>
      <c r="J30" s="12">
        <v>52</v>
      </c>
      <c r="K30" s="12">
        <v>127</v>
      </c>
      <c r="L30" s="12">
        <v>111</v>
      </c>
      <c r="M30" s="12">
        <v>137</v>
      </c>
      <c r="N30" s="12">
        <v>104</v>
      </c>
      <c r="O30" s="12">
        <v>110</v>
      </c>
      <c r="P30" s="12">
        <v>95</v>
      </c>
      <c r="Q30" s="12">
        <v>124</v>
      </c>
      <c r="R30" s="12">
        <v>70</v>
      </c>
      <c r="S30" s="12">
        <v>73</v>
      </c>
      <c r="T30" s="12">
        <v>110</v>
      </c>
      <c r="U30" s="12">
        <v>30</v>
      </c>
      <c r="V30" s="12">
        <v>88</v>
      </c>
      <c r="W30" s="12">
        <v>26</v>
      </c>
      <c r="X30" s="12">
        <v>112</v>
      </c>
      <c r="Y30" s="12">
        <v>166</v>
      </c>
      <c r="Z30" s="12">
        <v>89</v>
      </c>
      <c r="AA30" s="12">
        <v>92</v>
      </c>
      <c r="AB30" s="12">
        <v>117</v>
      </c>
      <c r="AC30" s="12">
        <v>90</v>
      </c>
      <c r="AD30" s="12">
        <v>87</v>
      </c>
      <c r="AE30" s="12">
        <v>134</v>
      </c>
      <c r="AF30" s="12">
        <v>81</v>
      </c>
    </row>
    <row r="31" spans="1:32">
      <c r="A31" s="20"/>
      <c r="B31" s="13" t="s">
        <v>957</v>
      </c>
      <c r="C31" s="14">
        <v>0.12</v>
      </c>
      <c r="D31" s="14">
        <v>0.14000000000000001</v>
      </c>
      <c r="E31" s="14">
        <v>0.1</v>
      </c>
      <c r="F31" s="14">
        <v>7.0000000000000007E-2</v>
      </c>
      <c r="G31" s="14">
        <v>0.09</v>
      </c>
      <c r="H31" s="14">
        <v>0.16</v>
      </c>
      <c r="I31" s="14">
        <v>0.17</v>
      </c>
      <c r="J31" s="14">
        <v>0.18</v>
      </c>
      <c r="K31" s="14">
        <v>0.13</v>
      </c>
      <c r="L31" s="14">
        <v>0.11</v>
      </c>
      <c r="M31" s="14">
        <v>0.14000000000000001</v>
      </c>
      <c r="N31" s="14">
        <v>0.1</v>
      </c>
      <c r="O31" s="14">
        <v>0.11</v>
      </c>
      <c r="P31" s="14">
        <v>0.09</v>
      </c>
      <c r="Q31" s="14">
        <v>0.12</v>
      </c>
      <c r="R31" s="14">
        <v>0.14000000000000001</v>
      </c>
      <c r="S31" s="14">
        <v>7.0000000000000007E-2</v>
      </c>
      <c r="T31" s="14">
        <v>0.11</v>
      </c>
      <c r="U31" s="14">
        <v>0.06</v>
      </c>
      <c r="V31" s="14">
        <v>0.09</v>
      </c>
      <c r="W31" s="14">
        <v>0.05</v>
      </c>
      <c r="X31" s="14">
        <v>0.11</v>
      </c>
      <c r="Y31" s="14">
        <v>0.16</v>
      </c>
      <c r="Z31" s="14">
        <v>0.09</v>
      </c>
      <c r="AA31" s="14">
        <v>0.09</v>
      </c>
      <c r="AB31" s="14">
        <v>0.11</v>
      </c>
      <c r="AC31" s="14">
        <v>0.09</v>
      </c>
      <c r="AD31" s="14">
        <v>0.09</v>
      </c>
      <c r="AE31" s="14">
        <v>0.13</v>
      </c>
      <c r="AF31" s="14">
        <v>0.08</v>
      </c>
    </row>
    <row r="32" spans="1:32">
      <c r="A32" s="20"/>
      <c r="B32" s="11" t="s">
        <v>519</v>
      </c>
      <c r="C32" s="12">
        <v>154</v>
      </c>
      <c r="D32" s="12">
        <v>4</v>
      </c>
      <c r="E32" s="12">
        <v>0</v>
      </c>
      <c r="F32" s="12">
        <v>3</v>
      </c>
      <c r="G32" s="12">
        <v>4</v>
      </c>
      <c r="H32" s="12">
        <v>19</v>
      </c>
      <c r="I32" s="12">
        <v>19</v>
      </c>
      <c r="J32" s="12">
        <v>0</v>
      </c>
      <c r="K32" s="12">
        <v>1</v>
      </c>
      <c r="L32" s="12">
        <v>9</v>
      </c>
      <c r="M32" s="12">
        <v>6</v>
      </c>
      <c r="N32" s="12">
        <v>16</v>
      </c>
      <c r="O32" s="12">
        <v>1</v>
      </c>
      <c r="P32" s="12">
        <v>0</v>
      </c>
      <c r="Q32" s="12">
        <v>2</v>
      </c>
      <c r="R32" s="12">
        <v>0</v>
      </c>
      <c r="S32" s="12">
        <v>8</v>
      </c>
      <c r="T32" s="12">
        <v>7</v>
      </c>
      <c r="U32" s="12">
        <v>2</v>
      </c>
      <c r="V32" s="12">
        <v>0</v>
      </c>
      <c r="W32" s="12">
        <v>0</v>
      </c>
      <c r="X32" s="12">
        <v>3</v>
      </c>
      <c r="Y32" s="12">
        <v>6</v>
      </c>
      <c r="Z32" s="12">
        <v>0</v>
      </c>
      <c r="AA32" s="12">
        <v>7</v>
      </c>
      <c r="AB32" s="12">
        <v>5</v>
      </c>
      <c r="AC32" s="12">
        <v>5</v>
      </c>
      <c r="AD32" s="12">
        <v>4</v>
      </c>
      <c r="AE32" s="12">
        <v>4</v>
      </c>
      <c r="AF32" s="12">
        <v>5</v>
      </c>
    </row>
    <row r="33" spans="1:32">
      <c r="A33" s="20"/>
      <c r="B33" s="13" t="s">
        <v>520</v>
      </c>
      <c r="C33" s="14">
        <v>0.01</v>
      </c>
      <c r="D33" s="14">
        <v>0.01</v>
      </c>
      <c r="E33" s="15" t="s">
        <v>459</v>
      </c>
      <c r="F33" s="15" t="s">
        <v>459</v>
      </c>
      <c r="G33" s="15" t="s">
        <v>459</v>
      </c>
      <c r="H33" s="14">
        <v>0.02</v>
      </c>
      <c r="I33" s="14">
        <v>0.01</v>
      </c>
      <c r="J33" s="15" t="s">
        <v>459</v>
      </c>
      <c r="K33" s="15" t="s">
        <v>459</v>
      </c>
      <c r="L33" s="14">
        <v>0.01</v>
      </c>
      <c r="M33" s="14">
        <v>0.01</v>
      </c>
      <c r="N33" s="14">
        <v>0.02</v>
      </c>
      <c r="O33" s="15" t="s">
        <v>459</v>
      </c>
      <c r="P33" s="15" t="s">
        <v>459</v>
      </c>
      <c r="Q33" s="15" t="s">
        <v>459</v>
      </c>
      <c r="R33" s="15" t="s">
        <v>459</v>
      </c>
      <c r="S33" s="14">
        <v>0.01</v>
      </c>
      <c r="T33" s="14">
        <v>0.01</v>
      </c>
      <c r="U33" s="15" t="s">
        <v>459</v>
      </c>
      <c r="V33" s="15" t="s">
        <v>459</v>
      </c>
      <c r="W33" s="15" t="s">
        <v>459</v>
      </c>
      <c r="X33" s="15" t="s">
        <v>459</v>
      </c>
      <c r="Y33" s="14">
        <v>0.01</v>
      </c>
      <c r="Z33" s="15" t="s">
        <v>459</v>
      </c>
      <c r="AA33" s="14">
        <v>0.01</v>
      </c>
      <c r="AB33" s="14">
        <v>0.01</v>
      </c>
      <c r="AC33" s="14">
        <v>0.01</v>
      </c>
      <c r="AD33" s="15" t="s">
        <v>459</v>
      </c>
      <c r="AE33" s="15" t="s">
        <v>459</v>
      </c>
      <c r="AF33" s="15" t="s">
        <v>459</v>
      </c>
    </row>
    <row r="34" spans="1:32" ht="24.95">
      <c r="A34" s="20"/>
      <c r="B34" s="11" t="s">
        <v>551</v>
      </c>
      <c r="C34" s="12">
        <v>651</v>
      </c>
      <c r="D34" s="12">
        <v>19</v>
      </c>
      <c r="E34" s="12">
        <v>28</v>
      </c>
      <c r="F34" s="12">
        <v>25</v>
      </c>
      <c r="G34" s="12">
        <v>16</v>
      </c>
      <c r="H34" s="12">
        <v>24</v>
      </c>
      <c r="I34" s="12">
        <v>30</v>
      </c>
      <c r="J34" s="12">
        <v>5</v>
      </c>
      <c r="K34" s="12">
        <v>15</v>
      </c>
      <c r="L34" s="12">
        <v>18</v>
      </c>
      <c r="M34" s="12">
        <v>38</v>
      </c>
      <c r="N34" s="12">
        <v>59</v>
      </c>
      <c r="O34" s="12">
        <v>30</v>
      </c>
      <c r="P34" s="12">
        <v>12</v>
      </c>
      <c r="Q34" s="12">
        <v>10</v>
      </c>
      <c r="R34" s="12">
        <v>29</v>
      </c>
      <c r="S34" s="12">
        <v>34</v>
      </c>
      <c r="T34" s="12">
        <v>44</v>
      </c>
      <c r="U34" s="12">
        <v>14</v>
      </c>
      <c r="V34" s="12">
        <v>25</v>
      </c>
      <c r="W34" s="12">
        <v>7</v>
      </c>
      <c r="X34" s="12">
        <v>25</v>
      </c>
      <c r="Y34" s="12">
        <v>27</v>
      </c>
      <c r="Z34" s="12">
        <v>4</v>
      </c>
      <c r="AA34" s="12">
        <v>33</v>
      </c>
      <c r="AB34" s="12">
        <v>26</v>
      </c>
      <c r="AC34" s="12">
        <v>54</v>
      </c>
      <c r="AD34" s="12">
        <v>14</v>
      </c>
      <c r="AE34" s="12">
        <v>18</v>
      </c>
      <c r="AF34" s="12">
        <v>18</v>
      </c>
    </row>
    <row r="35" spans="1:32">
      <c r="A35" s="20"/>
      <c r="B35" s="13" t="s">
        <v>522</v>
      </c>
      <c r="C35" s="14">
        <v>0.02</v>
      </c>
      <c r="D35" s="14">
        <v>0.02</v>
      </c>
      <c r="E35" s="14">
        <v>0.03</v>
      </c>
      <c r="F35" s="14">
        <v>0.02</v>
      </c>
      <c r="G35" s="14">
        <v>0.02</v>
      </c>
      <c r="H35" s="14">
        <v>0.02</v>
      </c>
      <c r="I35" s="14">
        <v>0.02</v>
      </c>
      <c r="J35" s="14">
        <v>0.02</v>
      </c>
      <c r="K35" s="14">
        <v>0.02</v>
      </c>
      <c r="L35" s="14">
        <v>0.02</v>
      </c>
      <c r="M35" s="14">
        <v>0.04</v>
      </c>
      <c r="N35" s="14">
        <v>0.06</v>
      </c>
      <c r="O35" s="14">
        <v>0.03</v>
      </c>
      <c r="P35" s="14">
        <v>0.01</v>
      </c>
      <c r="Q35" s="14">
        <v>0.01</v>
      </c>
      <c r="R35" s="14">
        <v>0.06</v>
      </c>
      <c r="S35" s="14">
        <v>0.03</v>
      </c>
      <c r="T35" s="14">
        <v>0.04</v>
      </c>
      <c r="U35" s="14">
        <v>0.03</v>
      </c>
      <c r="V35" s="14">
        <v>0.03</v>
      </c>
      <c r="W35" s="14">
        <v>0.01</v>
      </c>
      <c r="X35" s="14">
        <v>0.02</v>
      </c>
      <c r="Y35" s="14">
        <v>0.03</v>
      </c>
      <c r="Z35" s="15" t="s">
        <v>459</v>
      </c>
      <c r="AA35" s="14">
        <v>0.03</v>
      </c>
      <c r="AB35" s="14">
        <v>0.02</v>
      </c>
      <c r="AC35" s="14">
        <v>0.05</v>
      </c>
      <c r="AD35" s="14">
        <v>0.01</v>
      </c>
      <c r="AE35" s="14">
        <v>0.02</v>
      </c>
      <c r="AF35" s="14">
        <v>0.02</v>
      </c>
    </row>
    <row r="36" spans="1:32">
      <c r="A36" s="20"/>
      <c r="B36" s="11" t="s">
        <v>468</v>
      </c>
      <c r="C36" s="12">
        <v>731</v>
      </c>
      <c r="D36" s="12">
        <v>16</v>
      </c>
      <c r="E36" s="12">
        <v>47</v>
      </c>
      <c r="F36" s="12">
        <v>46</v>
      </c>
      <c r="G36" s="12">
        <v>26</v>
      </c>
      <c r="H36" s="12">
        <v>26</v>
      </c>
      <c r="I36" s="12">
        <v>27</v>
      </c>
      <c r="J36" s="12">
        <v>1</v>
      </c>
      <c r="K36" s="12">
        <v>34</v>
      </c>
      <c r="L36" s="12">
        <v>22</v>
      </c>
      <c r="M36" s="12">
        <v>15</v>
      </c>
      <c r="N36" s="12">
        <v>60</v>
      </c>
      <c r="O36" s="12">
        <v>28</v>
      </c>
      <c r="P36" s="12">
        <v>10</v>
      </c>
      <c r="Q36" s="12">
        <v>18</v>
      </c>
      <c r="R36" s="12">
        <v>28</v>
      </c>
      <c r="S36" s="12">
        <v>70</v>
      </c>
      <c r="T36" s="12">
        <v>47</v>
      </c>
      <c r="U36" s="12">
        <v>7</v>
      </c>
      <c r="V36" s="12">
        <v>15</v>
      </c>
      <c r="W36" s="12">
        <v>12</v>
      </c>
      <c r="X36" s="12">
        <v>10</v>
      </c>
      <c r="Y36" s="12">
        <v>20</v>
      </c>
      <c r="Z36" s="12">
        <v>28</v>
      </c>
      <c r="AA36" s="12">
        <v>90</v>
      </c>
      <c r="AB36" s="12">
        <v>31</v>
      </c>
      <c r="AC36" s="12">
        <v>4</v>
      </c>
      <c r="AD36" s="12">
        <v>15</v>
      </c>
      <c r="AE36" s="12">
        <v>17</v>
      </c>
      <c r="AF36" s="12">
        <v>9</v>
      </c>
    </row>
    <row r="37" spans="1:32">
      <c r="A37" s="20"/>
      <c r="B37" s="13" t="s">
        <v>469</v>
      </c>
      <c r="C37" s="14">
        <v>0.03</v>
      </c>
      <c r="D37" s="14">
        <v>0.02</v>
      </c>
      <c r="E37" s="14">
        <v>0.04</v>
      </c>
      <c r="F37" s="14">
        <v>0.05</v>
      </c>
      <c r="G37" s="14">
        <v>0.03</v>
      </c>
      <c r="H37" s="14">
        <v>0.02</v>
      </c>
      <c r="I37" s="14">
        <v>0.02</v>
      </c>
      <c r="J37" s="15" t="s">
        <v>459</v>
      </c>
      <c r="K37" s="14">
        <v>0.03</v>
      </c>
      <c r="L37" s="14">
        <v>0.02</v>
      </c>
      <c r="M37" s="14">
        <v>0.01</v>
      </c>
      <c r="N37" s="14">
        <v>0.06</v>
      </c>
      <c r="O37" s="14">
        <v>0.03</v>
      </c>
      <c r="P37" s="14">
        <v>0.01</v>
      </c>
      <c r="Q37" s="14">
        <v>0.02</v>
      </c>
      <c r="R37" s="14">
        <v>0.06</v>
      </c>
      <c r="S37" s="14">
        <v>7.0000000000000007E-2</v>
      </c>
      <c r="T37" s="14">
        <v>0.05</v>
      </c>
      <c r="U37" s="14">
        <v>0.01</v>
      </c>
      <c r="V37" s="14">
        <v>0.01</v>
      </c>
      <c r="W37" s="14">
        <v>0.03</v>
      </c>
      <c r="X37" s="14">
        <v>0.01</v>
      </c>
      <c r="Y37" s="14">
        <v>0.02</v>
      </c>
      <c r="Z37" s="14">
        <v>0.03</v>
      </c>
      <c r="AA37" s="14">
        <v>0.09</v>
      </c>
      <c r="AB37" s="14">
        <v>0.03</v>
      </c>
      <c r="AC37" s="15" t="s">
        <v>459</v>
      </c>
      <c r="AD37" s="14">
        <v>0.02</v>
      </c>
      <c r="AE37" s="14">
        <v>0.02</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153</v>
      </c>
      <c r="C3" s="18"/>
      <c r="D3" s="18"/>
      <c r="E3" s="18"/>
      <c r="F3" s="18"/>
      <c r="H3" s="18" t="s">
        <v>154</v>
      </c>
      <c r="I3" s="18"/>
      <c r="J3" s="18"/>
      <c r="K3" s="18"/>
      <c r="L3" s="18"/>
    </row>
    <row r="4" spans="1:32" ht="27" customHeight="1">
      <c r="B4" s="18"/>
      <c r="C4" s="18"/>
      <c r="D4" s="18"/>
      <c r="E4" s="18"/>
      <c r="F4" s="18"/>
      <c r="H4" s="18"/>
      <c r="I4" s="18"/>
      <c r="J4" s="18"/>
      <c r="K4" s="18"/>
      <c r="L4" s="18"/>
    </row>
    <row r="5" spans="1:32" ht="12" customHeight="1">
      <c r="B5" s="18" t="s">
        <v>958</v>
      </c>
      <c r="C5" s="18"/>
      <c r="D5" s="18"/>
      <c r="E5" s="18"/>
      <c r="F5" s="18"/>
      <c r="H5" s="18" t="s">
        <v>959</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24937</v>
      </c>
      <c r="D10" s="10">
        <v>969</v>
      </c>
      <c r="E10" s="10">
        <v>943</v>
      </c>
      <c r="F10" s="10">
        <v>934</v>
      </c>
      <c r="G10" s="10">
        <v>961</v>
      </c>
      <c r="H10" s="10">
        <v>1166</v>
      </c>
      <c r="I10" s="10">
        <v>1453</v>
      </c>
      <c r="J10" s="10">
        <v>287</v>
      </c>
      <c r="K10" s="10">
        <v>957</v>
      </c>
      <c r="L10" s="10">
        <v>967</v>
      </c>
      <c r="M10" s="10">
        <v>949</v>
      </c>
      <c r="N10" s="10">
        <v>885</v>
      </c>
      <c r="O10" s="10">
        <v>945</v>
      </c>
      <c r="P10" s="10">
        <v>1001</v>
      </c>
      <c r="Q10" s="10">
        <v>990</v>
      </c>
      <c r="R10" s="10">
        <v>443</v>
      </c>
      <c r="S10" s="10">
        <v>904</v>
      </c>
      <c r="T10" s="10">
        <v>923</v>
      </c>
      <c r="U10" s="10">
        <v>486</v>
      </c>
      <c r="V10" s="10">
        <v>978</v>
      </c>
      <c r="W10" s="10">
        <v>484</v>
      </c>
      <c r="X10" s="10">
        <v>986</v>
      </c>
      <c r="Y10" s="10">
        <v>960</v>
      </c>
      <c r="Z10" s="10">
        <v>975</v>
      </c>
      <c r="AA10" s="10">
        <v>930</v>
      </c>
      <c r="AB10" s="10">
        <v>982</v>
      </c>
      <c r="AC10" s="10">
        <v>951</v>
      </c>
      <c r="AD10" s="10">
        <v>977</v>
      </c>
      <c r="AE10" s="10">
        <v>966</v>
      </c>
      <c r="AF10" s="10">
        <v>993</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938</v>
      </c>
      <c r="C12" s="12">
        <v>5252</v>
      </c>
      <c r="D12" s="12">
        <v>180</v>
      </c>
      <c r="E12" s="12">
        <v>255</v>
      </c>
      <c r="F12" s="12">
        <v>237</v>
      </c>
      <c r="G12" s="12">
        <v>151</v>
      </c>
      <c r="H12" s="12">
        <v>178</v>
      </c>
      <c r="I12" s="12">
        <v>248</v>
      </c>
      <c r="J12" s="12">
        <v>70</v>
      </c>
      <c r="K12" s="12">
        <v>212</v>
      </c>
      <c r="L12" s="12">
        <v>218</v>
      </c>
      <c r="M12" s="12">
        <v>369</v>
      </c>
      <c r="N12" s="12">
        <v>161</v>
      </c>
      <c r="O12" s="12">
        <v>236</v>
      </c>
      <c r="P12" s="12">
        <v>255</v>
      </c>
      <c r="Q12" s="12">
        <v>257</v>
      </c>
      <c r="R12" s="12">
        <v>156</v>
      </c>
      <c r="S12" s="12">
        <v>128</v>
      </c>
      <c r="T12" s="12">
        <v>232</v>
      </c>
      <c r="U12" s="12">
        <v>76</v>
      </c>
      <c r="V12" s="12">
        <v>271</v>
      </c>
      <c r="W12" s="12">
        <v>121</v>
      </c>
      <c r="X12" s="12">
        <v>107</v>
      </c>
      <c r="Y12" s="12">
        <v>361</v>
      </c>
      <c r="Z12" s="12">
        <v>128</v>
      </c>
      <c r="AA12" s="12">
        <v>224</v>
      </c>
      <c r="AB12" s="12">
        <v>228</v>
      </c>
      <c r="AC12" s="12">
        <v>175</v>
      </c>
      <c r="AD12" s="12">
        <v>252</v>
      </c>
      <c r="AE12" s="12">
        <v>82</v>
      </c>
      <c r="AF12" s="12">
        <v>122</v>
      </c>
    </row>
    <row r="13" spans="1:32" ht="24.95">
      <c r="A13" s="20"/>
      <c r="B13" s="13" t="s">
        <v>939</v>
      </c>
      <c r="C13" s="14">
        <v>0.23</v>
      </c>
      <c r="D13" s="14">
        <v>0.2</v>
      </c>
      <c r="E13" s="14">
        <v>0.28999999999999998</v>
      </c>
      <c r="F13" s="14">
        <v>0.28000000000000003</v>
      </c>
      <c r="G13" s="14">
        <v>0.16</v>
      </c>
      <c r="H13" s="14">
        <v>0.16</v>
      </c>
      <c r="I13" s="14">
        <v>0.18</v>
      </c>
      <c r="J13" s="14">
        <v>0.26</v>
      </c>
      <c r="K13" s="14">
        <v>0.24</v>
      </c>
      <c r="L13" s="14">
        <v>0.24</v>
      </c>
      <c r="M13" s="14">
        <v>0.43</v>
      </c>
      <c r="N13" s="14">
        <v>0.2</v>
      </c>
      <c r="O13" s="14">
        <v>0.27</v>
      </c>
      <c r="P13" s="14">
        <v>0.28000000000000003</v>
      </c>
      <c r="Q13" s="14">
        <v>0.28000000000000003</v>
      </c>
      <c r="R13" s="14">
        <v>0.39</v>
      </c>
      <c r="S13" s="14">
        <v>0.15</v>
      </c>
      <c r="T13" s="14">
        <v>0.27</v>
      </c>
      <c r="U13" s="14">
        <v>0.16</v>
      </c>
      <c r="V13" s="14">
        <v>0.31</v>
      </c>
      <c r="W13" s="14">
        <v>0.28000000000000003</v>
      </c>
      <c r="X13" s="14">
        <v>0.11</v>
      </c>
      <c r="Y13" s="14">
        <v>0.43</v>
      </c>
      <c r="Z13" s="14">
        <v>0.14000000000000001</v>
      </c>
      <c r="AA13" s="14">
        <v>0.26</v>
      </c>
      <c r="AB13" s="14">
        <v>0.26</v>
      </c>
      <c r="AC13" s="14">
        <v>0.2</v>
      </c>
      <c r="AD13" s="14">
        <v>0.28999999999999998</v>
      </c>
      <c r="AE13" s="14">
        <v>0.09</v>
      </c>
      <c r="AF13" s="14">
        <v>0.13</v>
      </c>
    </row>
    <row r="14" spans="1:32">
      <c r="A14" s="20"/>
      <c r="B14" s="11" t="s">
        <v>940</v>
      </c>
      <c r="C14" s="12">
        <v>4217</v>
      </c>
      <c r="D14" s="12">
        <v>189</v>
      </c>
      <c r="E14" s="12">
        <v>208</v>
      </c>
      <c r="F14" s="12">
        <v>150</v>
      </c>
      <c r="G14" s="12">
        <v>111</v>
      </c>
      <c r="H14" s="12">
        <v>121</v>
      </c>
      <c r="I14" s="12">
        <v>173</v>
      </c>
      <c r="J14" s="12">
        <v>52</v>
      </c>
      <c r="K14" s="12">
        <v>173</v>
      </c>
      <c r="L14" s="12">
        <v>166</v>
      </c>
      <c r="M14" s="12">
        <v>239</v>
      </c>
      <c r="N14" s="12">
        <v>138</v>
      </c>
      <c r="O14" s="12">
        <v>207</v>
      </c>
      <c r="P14" s="12">
        <v>196</v>
      </c>
      <c r="Q14" s="12">
        <v>195</v>
      </c>
      <c r="R14" s="12">
        <v>119</v>
      </c>
      <c r="S14" s="12">
        <v>126</v>
      </c>
      <c r="T14" s="12">
        <v>164</v>
      </c>
      <c r="U14" s="12">
        <v>101</v>
      </c>
      <c r="V14" s="12">
        <v>185</v>
      </c>
      <c r="W14" s="12">
        <v>72</v>
      </c>
      <c r="X14" s="12">
        <v>125</v>
      </c>
      <c r="Y14" s="12">
        <v>220</v>
      </c>
      <c r="Z14" s="12">
        <v>141</v>
      </c>
      <c r="AA14" s="12">
        <v>187</v>
      </c>
      <c r="AB14" s="12">
        <v>201</v>
      </c>
      <c r="AC14" s="12">
        <v>141</v>
      </c>
      <c r="AD14" s="12">
        <v>120</v>
      </c>
      <c r="AE14" s="12">
        <v>100</v>
      </c>
      <c r="AF14" s="12">
        <v>84</v>
      </c>
    </row>
    <row r="15" spans="1:32">
      <c r="A15" s="20"/>
      <c r="B15" s="13" t="s">
        <v>941</v>
      </c>
      <c r="C15" s="14">
        <v>0.18</v>
      </c>
      <c r="D15" s="14">
        <v>0.22</v>
      </c>
      <c r="E15" s="14">
        <v>0.23</v>
      </c>
      <c r="F15" s="14">
        <v>0.17</v>
      </c>
      <c r="G15" s="14">
        <v>0.12</v>
      </c>
      <c r="H15" s="14">
        <v>0.11</v>
      </c>
      <c r="I15" s="14">
        <v>0.12</v>
      </c>
      <c r="J15" s="14">
        <v>0.19</v>
      </c>
      <c r="K15" s="14">
        <v>0.19</v>
      </c>
      <c r="L15" s="14">
        <v>0.18</v>
      </c>
      <c r="M15" s="14">
        <v>0.27</v>
      </c>
      <c r="N15" s="14">
        <v>0.16</v>
      </c>
      <c r="O15" s="14">
        <v>0.24</v>
      </c>
      <c r="P15" s="14">
        <v>0.21</v>
      </c>
      <c r="Q15" s="14">
        <v>0.21</v>
      </c>
      <c r="R15" s="14">
        <v>0.28000000000000003</v>
      </c>
      <c r="S15" s="14">
        <v>0.15</v>
      </c>
      <c r="T15" s="14">
        <v>0.19</v>
      </c>
      <c r="U15" s="14">
        <v>0.22</v>
      </c>
      <c r="V15" s="14">
        <v>0.2</v>
      </c>
      <c r="W15" s="14">
        <v>0.16</v>
      </c>
      <c r="X15" s="14">
        <v>0.13</v>
      </c>
      <c r="Y15" s="14">
        <v>0.24</v>
      </c>
      <c r="Z15" s="14">
        <v>0.15</v>
      </c>
      <c r="AA15" s="14">
        <v>0.22</v>
      </c>
      <c r="AB15" s="14">
        <v>0.22</v>
      </c>
      <c r="AC15" s="14">
        <v>0.15</v>
      </c>
      <c r="AD15" s="14">
        <v>0.13</v>
      </c>
      <c r="AE15" s="14">
        <v>0.11</v>
      </c>
      <c r="AF15" s="14">
        <v>0.09</v>
      </c>
    </row>
    <row r="16" spans="1:32" ht="24.95">
      <c r="A16" s="20"/>
      <c r="B16" s="11" t="s">
        <v>942</v>
      </c>
      <c r="C16" s="12">
        <v>5768</v>
      </c>
      <c r="D16" s="12">
        <v>188</v>
      </c>
      <c r="E16" s="12">
        <v>254</v>
      </c>
      <c r="F16" s="12">
        <v>230</v>
      </c>
      <c r="G16" s="12">
        <v>292</v>
      </c>
      <c r="H16" s="12">
        <v>327</v>
      </c>
      <c r="I16" s="12">
        <v>399</v>
      </c>
      <c r="J16" s="12">
        <v>72</v>
      </c>
      <c r="K16" s="12">
        <v>249</v>
      </c>
      <c r="L16" s="12">
        <v>220</v>
      </c>
      <c r="M16" s="12">
        <v>224</v>
      </c>
      <c r="N16" s="12">
        <v>204</v>
      </c>
      <c r="O16" s="12">
        <v>191</v>
      </c>
      <c r="P16" s="12">
        <v>233</v>
      </c>
      <c r="Q16" s="12">
        <v>206</v>
      </c>
      <c r="R16" s="12">
        <v>93</v>
      </c>
      <c r="S16" s="12">
        <v>201</v>
      </c>
      <c r="T16" s="12">
        <v>219</v>
      </c>
      <c r="U16" s="12">
        <v>115</v>
      </c>
      <c r="V16" s="12">
        <v>216</v>
      </c>
      <c r="W16" s="12">
        <v>62</v>
      </c>
      <c r="X16" s="12">
        <v>271</v>
      </c>
      <c r="Y16" s="12">
        <v>318</v>
      </c>
      <c r="Z16" s="12">
        <v>164</v>
      </c>
      <c r="AA16" s="12">
        <v>190</v>
      </c>
      <c r="AB16" s="12">
        <v>198</v>
      </c>
      <c r="AC16" s="12">
        <v>226</v>
      </c>
      <c r="AD16" s="12">
        <v>186</v>
      </c>
      <c r="AE16" s="12">
        <v>298</v>
      </c>
      <c r="AF16" s="12">
        <v>297</v>
      </c>
    </row>
    <row r="17" spans="1:32" ht="24.95">
      <c r="A17" s="20"/>
      <c r="B17" s="13" t="s">
        <v>943</v>
      </c>
      <c r="C17" s="14">
        <v>0.27</v>
      </c>
      <c r="D17" s="14">
        <v>0.23</v>
      </c>
      <c r="E17" s="14">
        <v>0.3</v>
      </c>
      <c r="F17" s="14">
        <v>0.27</v>
      </c>
      <c r="G17" s="14">
        <v>0.47</v>
      </c>
      <c r="H17" s="14">
        <v>0.36</v>
      </c>
      <c r="I17" s="14">
        <v>0.35</v>
      </c>
      <c r="J17" s="14">
        <v>0.3</v>
      </c>
      <c r="K17" s="14">
        <v>0.32</v>
      </c>
      <c r="L17" s="14">
        <v>0.26</v>
      </c>
      <c r="M17" s="14">
        <v>0.26</v>
      </c>
      <c r="N17" s="14">
        <v>0.27</v>
      </c>
      <c r="O17" s="14">
        <v>0.23</v>
      </c>
      <c r="P17" s="14">
        <v>0.25</v>
      </c>
      <c r="Q17" s="14">
        <v>0.22</v>
      </c>
      <c r="R17" s="14">
        <v>0.23</v>
      </c>
      <c r="S17" s="14">
        <v>0.27</v>
      </c>
      <c r="T17" s="14">
        <v>0.28999999999999998</v>
      </c>
      <c r="U17" s="14">
        <v>0.3</v>
      </c>
      <c r="V17" s="14">
        <v>0.24</v>
      </c>
      <c r="W17" s="14">
        <v>0.14000000000000001</v>
      </c>
      <c r="X17" s="14">
        <v>0.42</v>
      </c>
      <c r="Y17" s="14">
        <v>0.37</v>
      </c>
      <c r="Z17" s="14">
        <v>0.19</v>
      </c>
      <c r="AA17" s="14">
        <v>0.22</v>
      </c>
      <c r="AB17" s="14">
        <v>0.22</v>
      </c>
      <c r="AC17" s="14">
        <v>0.26</v>
      </c>
      <c r="AD17" s="14">
        <v>0.21</v>
      </c>
      <c r="AE17" s="14">
        <v>0.41</v>
      </c>
      <c r="AF17" s="14">
        <v>0.47</v>
      </c>
    </row>
    <row r="18" spans="1:32" ht="24.95">
      <c r="A18" s="20"/>
      <c r="B18" s="11" t="s">
        <v>944</v>
      </c>
      <c r="C18" s="12">
        <v>5700</v>
      </c>
      <c r="D18" s="12">
        <v>171</v>
      </c>
      <c r="E18" s="12">
        <v>256</v>
      </c>
      <c r="F18" s="12">
        <v>177</v>
      </c>
      <c r="G18" s="12">
        <v>141</v>
      </c>
      <c r="H18" s="12">
        <v>321</v>
      </c>
      <c r="I18" s="12">
        <v>424</v>
      </c>
      <c r="J18" s="12">
        <v>103</v>
      </c>
      <c r="K18" s="12">
        <v>236</v>
      </c>
      <c r="L18" s="12">
        <v>211</v>
      </c>
      <c r="M18" s="12">
        <v>261</v>
      </c>
      <c r="N18" s="12">
        <v>160</v>
      </c>
      <c r="O18" s="12">
        <v>234</v>
      </c>
      <c r="P18" s="12">
        <v>244</v>
      </c>
      <c r="Q18" s="12">
        <v>199</v>
      </c>
      <c r="R18" s="12">
        <v>96</v>
      </c>
      <c r="S18" s="12">
        <v>128</v>
      </c>
      <c r="T18" s="12">
        <v>166</v>
      </c>
      <c r="U18" s="12">
        <v>120</v>
      </c>
      <c r="V18" s="12">
        <v>314</v>
      </c>
      <c r="W18" s="12">
        <v>103</v>
      </c>
      <c r="X18" s="12">
        <v>159</v>
      </c>
      <c r="Y18" s="12">
        <v>326</v>
      </c>
      <c r="Z18" s="12">
        <v>162</v>
      </c>
      <c r="AA18" s="12">
        <v>216</v>
      </c>
      <c r="AB18" s="12">
        <v>220</v>
      </c>
      <c r="AC18" s="12">
        <v>204</v>
      </c>
      <c r="AD18" s="12">
        <v>238</v>
      </c>
      <c r="AE18" s="12">
        <v>266</v>
      </c>
      <c r="AF18" s="12">
        <v>188</v>
      </c>
    </row>
    <row r="19" spans="1:32" ht="24.95">
      <c r="A19" s="20"/>
      <c r="B19" s="13" t="s">
        <v>945</v>
      </c>
      <c r="C19" s="14">
        <v>0.25</v>
      </c>
      <c r="D19" s="14">
        <v>0.19</v>
      </c>
      <c r="E19" s="14">
        <v>0.31</v>
      </c>
      <c r="F19" s="14">
        <v>0.2</v>
      </c>
      <c r="G19" s="14">
        <v>0.16</v>
      </c>
      <c r="H19" s="14">
        <v>0.3</v>
      </c>
      <c r="I19" s="14">
        <v>0.31</v>
      </c>
      <c r="J19" s="14">
        <v>0.38</v>
      </c>
      <c r="K19" s="14">
        <v>0.28999999999999998</v>
      </c>
      <c r="L19" s="14">
        <v>0.24</v>
      </c>
      <c r="M19" s="14">
        <v>0.3</v>
      </c>
      <c r="N19" s="14">
        <v>0.2</v>
      </c>
      <c r="O19" s="14">
        <v>0.27</v>
      </c>
      <c r="P19" s="14">
        <v>0.28000000000000003</v>
      </c>
      <c r="Q19" s="14">
        <v>0.22</v>
      </c>
      <c r="R19" s="14">
        <v>0.23</v>
      </c>
      <c r="S19" s="14">
        <v>0.15</v>
      </c>
      <c r="T19" s="14">
        <v>0.19</v>
      </c>
      <c r="U19" s="14">
        <v>0.28000000000000003</v>
      </c>
      <c r="V19" s="14">
        <v>0.36</v>
      </c>
      <c r="W19" s="14">
        <v>0.24</v>
      </c>
      <c r="X19" s="14">
        <v>0.17</v>
      </c>
      <c r="Y19" s="14">
        <v>0.37</v>
      </c>
      <c r="Z19" s="14">
        <v>0.19</v>
      </c>
      <c r="AA19" s="14">
        <v>0.25</v>
      </c>
      <c r="AB19" s="14">
        <v>0.25</v>
      </c>
      <c r="AC19" s="14">
        <v>0.23</v>
      </c>
      <c r="AD19" s="14">
        <v>0.26</v>
      </c>
      <c r="AE19" s="14">
        <v>0.32</v>
      </c>
      <c r="AF19" s="14">
        <v>0.2</v>
      </c>
    </row>
    <row r="20" spans="1:32">
      <c r="A20" s="20"/>
      <c r="B20" s="11" t="s">
        <v>946</v>
      </c>
      <c r="C20" s="12">
        <v>6188</v>
      </c>
      <c r="D20" s="12">
        <v>221</v>
      </c>
      <c r="E20" s="12">
        <v>236</v>
      </c>
      <c r="F20" s="12">
        <v>300</v>
      </c>
      <c r="G20" s="12">
        <v>175</v>
      </c>
      <c r="H20" s="12">
        <v>290</v>
      </c>
      <c r="I20" s="12">
        <v>393</v>
      </c>
      <c r="J20" s="12">
        <v>103</v>
      </c>
      <c r="K20" s="12">
        <v>249</v>
      </c>
      <c r="L20" s="12">
        <v>226</v>
      </c>
      <c r="M20" s="12">
        <v>312</v>
      </c>
      <c r="N20" s="12">
        <v>190</v>
      </c>
      <c r="O20" s="12">
        <v>227</v>
      </c>
      <c r="P20" s="12">
        <v>269</v>
      </c>
      <c r="Q20" s="12">
        <v>283</v>
      </c>
      <c r="R20" s="12">
        <v>133</v>
      </c>
      <c r="S20" s="12">
        <v>201</v>
      </c>
      <c r="T20" s="12">
        <v>270</v>
      </c>
      <c r="U20" s="12">
        <v>130</v>
      </c>
      <c r="V20" s="12">
        <v>263</v>
      </c>
      <c r="W20" s="12">
        <v>145</v>
      </c>
      <c r="X20" s="12">
        <v>212</v>
      </c>
      <c r="Y20" s="12">
        <v>327</v>
      </c>
      <c r="Z20" s="12">
        <v>180</v>
      </c>
      <c r="AA20" s="12">
        <v>249</v>
      </c>
      <c r="AB20" s="12">
        <v>212</v>
      </c>
      <c r="AC20" s="12">
        <v>250</v>
      </c>
      <c r="AD20" s="12">
        <v>326</v>
      </c>
      <c r="AE20" s="12">
        <v>197</v>
      </c>
      <c r="AF20" s="12">
        <v>127</v>
      </c>
    </row>
    <row r="21" spans="1:32">
      <c r="A21" s="20"/>
      <c r="B21" s="13" t="s">
        <v>947</v>
      </c>
      <c r="C21" s="14">
        <v>0.3</v>
      </c>
      <c r="D21" s="14">
        <v>0.26</v>
      </c>
      <c r="E21" s="14">
        <v>0.28999999999999998</v>
      </c>
      <c r="F21" s="14">
        <v>0.42</v>
      </c>
      <c r="G21" s="14">
        <v>0.19</v>
      </c>
      <c r="H21" s="14">
        <v>0.3</v>
      </c>
      <c r="I21" s="14">
        <v>0.33</v>
      </c>
      <c r="J21" s="14">
        <v>0.44</v>
      </c>
      <c r="K21" s="14">
        <v>0.3</v>
      </c>
      <c r="L21" s="14">
        <v>0.32</v>
      </c>
      <c r="M21" s="14">
        <v>0.41</v>
      </c>
      <c r="N21" s="14">
        <v>0.27</v>
      </c>
      <c r="O21" s="14">
        <v>0.3</v>
      </c>
      <c r="P21" s="14">
        <v>0.31</v>
      </c>
      <c r="Q21" s="14">
        <v>0.36</v>
      </c>
      <c r="R21" s="14">
        <v>0.42</v>
      </c>
      <c r="S21" s="14">
        <v>0.3</v>
      </c>
      <c r="T21" s="14">
        <v>0.36</v>
      </c>
      <c r="U21" s="14">
        <v>0.32</v>
      </c>
      <c r="V21" s="14">
        <v>0.32</v>
      </c>
      <c r="W21" s="14">
        <v>0.38</v>
      </c>
      <c r="X21" s="14">
        <v>0.24</v>
      </c>
      <c r="Y21" s="14">
        <v>0.4</v>
      </c>
      <c r="Z21" s="14">
        <v>0.22</v>
      </c>
      <c r="AA21" s="14">
        <v>0.34</v>
      </c>
      <c r="AB21" s="14">
        <v>0.25</v>
      </c>
      <c r="AC21" s="14">
        <v>0.33</v>
      </c>
      <c r="AD21" s="14">
        <v>0.41</v>
      </c>
      <c r="AE21" s="14">
        <v>0.22</v>
      </c>
      <c r="AF21" s="14">
        <v>0.13</v>
      </c>
    </row>
    <row r="22" spans="1:32" ht="24.95">
      <c r="A22" s="20"/>
      <c r="B22" s="11" t="s">
        <v>948</v>
      </c>
      <c r="C22" s="12">
        <v>7142</v>
      </c>
      <c r="D22" s="12">
        <v>227</v>
      </c>
      <c r="E22" s="12">
        <v>281</v>
      </c>
      <c r="F22" s="12">
        <v>342</v>
      </c>
      <c r="G22" s="12">
        <v>279</v>
      </c>
      <c r="H22" s="12">
        <v>375</v>
      </c>
      <c r="I22" s="12">
        <v>485</v>
      </c>
      <c r="J22" s="12">
        <v>110</v>
      </c>
      <c r="K22" s="12">
        <v>227</v>
      </c>
      <c r="L22" s="12">
        <v>293</v>
      </c>
      <c r="M22" s="12">
        <v>291</v>
      </c>
      <c r="N22" s="12">
        <v>191</v>
      </c>
      <c r="O22" s="12">
        <v>274</v>
      </c>
      <c r="P22" s="12">
        <v>312</v>
      </c>
      <c r="Q22" s="12">
        <v>282</v>
      </c>
      <c r="R22" s="12">
        <v>125</v>
      </c>
      <c r="S22" s="12">
        <v>181</v>
      </c>
      <c r="T22" s="12">
        <v>262</v>
      </c>
      <c r="U22" s="12">
        <v>146</v>
      </c>
      <c r="V22" s="12">
        <v>315</v>
      </c>
      <c r="W22" s="12">
        <v>155</v>
      </c>
      <c r="X22" s="12">
        <v>268</v>
      </c>
      <c r="Y22" s="12">
        <v>398</v>
      </c>
      <c r="Z22" s="12">
        <v>222</v>
      </c>
      <c r="AA22" s="12">
        <v>234</v>
      </c>
      <c r="AB22" s="12">
        <v>251</v>
      </c>
      <c r="AC22" s="12">
        <v>275</v>
      </c>
      <c r="AD22" s="12">
        <v>350</v>
      </c>
      <c r="AE22" s="12">
        <v>280</v>
      </c>
      <c r="AF22" s="12">
        <v>282</v>
      </c>
    </row>
    <row r="23" spans="1:32" ht="24.95">
      <c r="A23" s="20"/>
      <c r="B23" s="13" t="s">
        <v>949</v>
      </c>
      <c r="C23" s="14">
        <v>0.33</v>
      </c>
      <c r="D23" s="14">
        <v>0.26</v>
      </c>
      <c r="E23" s="14">
        <v>0.35</v>
      </c>
      <c r="F23" s="14">
        <v>0.43</v>
      </c>
      <c r="G23" s="14">
        <v>0.35</v>
      </c>
      <c r="H23" s="14">
        <v>0.37</v>
      </c>
      <c r="I23" s="14">
        <v>0.39</v>
      </c>
      <c r="J23" s="14">
        <v>0.45</v>
      </c>
      <c r="K23" s="14">
        <v>0.26</v>
      </c>
      <c r="L23" s="14">
        <v>0.34</v>
      </c>
      <c r="M23" s="14">
        <v>0.34</v>
      </c>
      <c r="N23" s="14">
        <v>0.24</v>
      </c>
      <c r="O23" s="14">
        <v>0.32</v>
      </c>
      <c r="P23" s="14">
        <v>0.37</v>
      </c>
      <c r="Q23" s="14">
        <v>0.33</v>
      </c>
      <c r="R23" s="14">
        <v>0.33</v>
      </c>
      <c r="S23" s="14">
        <v>0.23</v>
      </c>
      <c r="T23" s="14">
        <v>0.32</v>
      </c>
      <c r="U23" s="14">
        <v>0.36</v>
      </c>
      <c r="V23" s="14">
        <v>0.39</v>
      </c>
      <c r="W23" s="14">
        <v>0.36</v>
      </c>
      <c r="X23" s="14">
        <v>0.3</v>
      </c>
      <c r="Y23" s="14">
        <v>0.46</v>
      </c>
      <c r="Z23" s="14">
        <v>0.26</v>
      </c>
      <c r="AA23" s="14">
        <v>0.28999999999999998</v>
      </c>
      <c r="AB23" s="14">
        <v>0.3</v>
      </c>
      <c r="AC23" s="14">
        <v>0.35</v>
      </c>
      <c r="AD23" s="14">
        <v>0.44</v>
      </c>
      <c r="AE23" s="14">
        <v>0.34</v>
      </c>
      <c r="AF23" s="14">
        <v>0.34</v>
      </c>
    </row>
    <row r="24" spans="1:32" ht="36.950000000000003">
      <c r="A24" s="20"/>
      <c r="B24" s="11" t="s">
        <v>950</v>
      </c>
      <c r="C24" s="12">
        <v>2898</v>
      </c>
      <c r="D24" s="12">
        <v>104</v>
      </c>
      <c r="E24" s="12">
        <v>126</v>
      </c>
      <c r="F24" s="12">
        <v>116</v>
      </c>
      <c r="G24" s="12">
        <v>80</v>
      </c>
      <c r="H24" s="12">
        <v>99</v>
      </c>
      <c r="I24" s="12">
        <v>134</v>
      </c>
      <c r="J24" s="12">
        <v>35</v>
      </c>
      <c r="K24" s="12">
        <v>97</v>
      </c>
      <c r="L24" s="12">
        <v>142</v>
      </c>
      <c r="M24" s="12">
        <v>153</v>
      </c>
      <c r="N24" s="12">
        <v>77</v>
      </c>
      <c r="O24" s="12">
        <v>79</v>
      </c>
      <c r="P24" s="12">
        <v>194</v>
      </c>
      <c r="Q24" s="12">
        <v>157</v>
      </c>
      <c r="R24" s="12">
        <v>64</v>
      </c>
      <c r="S24" s="12">
        <v>54</v>
      </c>
      <c r="T24" s="12">
        <v>149</v>
      </c>
      <c r="U24" s="12">
        <v>42</v>
      </c>
      <c r="V24" s="12">
        <v>158</v>
      </c>
      <c r="W24" s="12">
        <v>73</v>
      </c>
      <c r="X24" s="12">
        <v>96</v>
      </c>
      <c r="Y24" s="12">
        <v>211</v>
      </c>
      <c r="Z24" s="12">
        <v>137</v>
      </c>
      <c r="AA24" s="12">
        <v>130</v>
      </c>
      <c r="AB24" s="12">
        <v>146</v>
      </c>
      <c r="AC24" s="12">
        <v>126</v>
      </c>
      <c r="AD24" s="12">
        <v>124</v>
      </c>
      <c r="AE24" s="12">
        <v>60</v>
      </c>
      <c r="AF24" s="12">
        <v>68</v>
      </c>
    </row>
    <row r="25" spans="1:32" ht="36.950000000000003">
      <c r="A25" s="20"/>
      <c r="B25" s="13" t="s">
        <v>951</v>
      </c>
      <c r="C25" s="14">
        <v>0.12</v>
      </c>
      <c r="D25" s="14">
        <v>0.11</v>
      </c>
      <c r="E25" s="14">
        <v>0.14000000000000001</v>
      </c>
      <c r="F25" s="14">
        <v>0.13</v>
      </c>
      <c r="G25" s="14">
        <v>0.08</v>
      </c>
      <c r="H25" s="14">
        <v>0.09</v>
      </c>
      <c r="I25" s="14">
        <v>0.09</v>
      </c>
      <c r="J25" s="14">
        <v>0.12</v>
      </c>
      <c r="K25" s="14">
        <v>0.1</v>
      </c>
      <c r="L25" s="14">
        <v>0.15</v>
      </c>
      <c r="M25" s="14">
        <v>0.17</v>
      </c>
      <c r="N25" s="14">
        <v>0.09</v>
      </c>
      <c r="O25" s="14">
        <v>0.09</v>
      </c>
      <c r="P25" s="14">
        <v>0.21</v>
      </c>
      <c r="Q25" s="14">
        <v>0.17</v>
      </c>
      <c r="R25" s="14">
        <v>0.15</v>
      </c>
      <c r="S25" s="14">
        <v>0.06</v>
      </c>
      <c r="T25" s="14">
        <v>0.17</v>
      </c>
      <c r="U25" s="14">
        <v>0.09</v>
      </c>
      <c r="V25" s="14">
        <v>0.17</v>
      </c>
      <c r="W25" s="14">
        <v>0.16</v>
      </c>
      <c r="X25" s="14">
        <v>0.1</v>
      </c>
      <c r="Y25" s="14">
        <v>0.23</v>
      </c>
      <c r="Z25" s="14">
        <v>0.15</v>
      </c>
      <c r="AA25" s="14">
        <v>0.15</v>
      </c>
      <c r="AB25" s="14">
        <v>0.16</v>
      </c>
      <c r="AC25" s="14">
        <v>0.14000000000000001</v>
      </c>
      <c r="AD25" s="14">
        <v>0.13</v>
      </c>
      <c r="AE25" s="14">
        <v>0.06</v>
      </c>
      <c r="AF25" s="14">
        <v>7.0000000000000007E-2</v>
      </c>
    </row>
    <row r="26" spans="1:32" ht="36.950000000000003">
      <c r="A26" s="20"/>
      <c r="B26" s="11" t="s">
        <v>952</v>
      </c>
      <c r="C26" s="12">
        <v>6021</v>
      </c>
      <c r="D26" s="12">
        <v>212</v>
      </c>
      <c r="E26" s="12">
        <v>241</v>
      </c>
      <c r="F26" s="12">
        <v>302</v>
      </c>
      <c r="G26" s="12">
        <v>271</v>
      </c>
      <c r="H26" s="12">
        <v>269</v>
      </c>
      <c r="I26" s="12">
        <v>345</v>
      </c>
      <c r="J26" s="12">
        <v>76</v>
      </c>
      <c r="K26" s="12">
        <v>238</v>
      </c>
      <c r="L26" s="12">
        <v>186</v>
      </c>
      <c r="M26" s="12">
        <v>287</v>
      </c>
      <c r="N26" s="12">
        <v>177</v>
      </c>
      <c r="O26" s="12">
        <v>245</v>
      </c>
      <c r="P26" s="12">
        <v>284</v>
      </c>
      <c r="Q26" s="12">
        <v>252</v>
      </c>
      <c r="R26" s="12">
        <v>149</v>
      </c>
      <c r="S26" s="12">
        <v>132</v>
      </c>
      <c r="T26" s="12">
        <v>262</v>
      </c>
      <c r="U26" s="12">
        <v>126</v>
      </c>
      <c r="V26" s="12">
        <v>258</v>
      </c>
      <c r="W26" s="12">
        <v>121</v>
      </c>
      <c r="X26" s="12">
        <v>239</v>
      </c>
      <c r="Y26" s="12">
        <v>370</v>
      </c>
      <c r="Z26" s="12">
        <v>156</v>
      </c>
      <c r="AA26" s="12">
        <v>190</v>
      </c>
      <c r="AB26" s="12">
        <v>223</v>
      </c>
      <c r="AC26" s="12">
        <v>234</v>
      </c>
      <c r="AD26" s="12">
        <v>266</v>
      </c>
      <c r="AE26" s="12">
        <v>264</v>
      </c>
      <c r="AF26" s="12">
        <v>289</v>
      </c>
    </row>
    <row r="27" spans="1:32" ht="36.950000000000003">
      <c r="A27" s="20"/>
      <c r="B27" s="13" t="s">
        <v>953</v>
      </c>
      <c r="C27" s="14">
        <v>0.27</v>
      </c>
      <c r="D27" s="14">
        <v>0.24</v>
      </c>
      <c r="E27" s="14">
        <v>0.3</v>
      </c>
      <c r="F27" s="14">
        <v>0.38</v>
      </c>
      <c r="G27" s="14">
        <v>0.31</v>
      </c>
      <c r="H27" s="14">
        <v>0.25</v>
      </c>
      <c r="I27" s="14">
        <v>0.26</v>
      </c>
      <c r="J27" s="14">
        <v>0.28999999999999998</v>
      </c>
      <c r="K27" s="14">
        <v>0.27</v>
      </c>
      <c r="L27" s="14">
        <v>0.21</v>
      </c>
      <c r="M27" s="14">
        <v>0.33</v>
      </c>
      <c r="N27" s="14">
        <v>0.22</v>
      </c>
      <c r="O27" s="14">
        <v>0.3</v>
      </c>
      <c r="P27" s="14">
        <v>0.32</v>
      </c>
      <c r="Q27" s="14">
        <v>0.28000000000000003</v>
      </c>
      <c r="R27" s="14">
        <v>0.38</v>
      </c>
      <c r="S27" s="14">
        <v>0.16</v>
      </c>
      <c r="T27" s="14">
        <v>0.32</v>
      </c>
      <c r="U27" s="14">
        <v>0.28000000000000003</v>
      </c>
      <c r="V27" s="14">
        <v>0.3</v>
      </c>
      <c r="W27" s="14">
        <v>0.28000000000000003</v>
      </c>
      <c r="X27" s="14">
        <v>0.28000000000000003</v>
      </c>
      <c r="Y27" s="14">
        <v>0.43</v>
      </c>
      <c r="Z27" s="14">
        <v>0.18</v>
      </c>
      <c r="AA27" s="14">
        <v>0.24</v>
      </c>
      <c r="AB27" s="14">
        <v>0.26</v>
      </c>
      <c r="AC27" s="14">
        <v>0.28000000000000003</v>
      </c>
      <c r="AD27" s="14">
        <v>0.3</v>
      </c>
      <c r="AE27" s="14">
        <v>0.32</v>
      </c>
      <c r="AF27" s="14">
        <v>0.33</v>
      </c>
    </row>
    <row r="28" spans="1:32" ht="24.95">
      <c r="A28" s="20"/>
      <c r="B28" s="11" t="s">
        <v>954</v>
      </c>
      <c r="C28" s="12">
        <v>4105</v>
      </c>
      <c r="D28" s="12">
        <v>155</v>
      </c>
      <c r="E28" s="12">
        <v>142</v>
      </c>
      <c r="F28" s="12">
        <v>217</v>
      </c>
      <c r="G28" s="12">
        <v>226</v>
      </c>
      <c r="H28" s="12">
        <v>177</v>
      </c>
      <c r="I28" s="12">
        <v>224</v>
      </c>
      <c r="J28" s="12">
        <v>46</v>
      </c>
      <c r="K28" s="12">
        <v>152</v>
      </c>
      <c r="L28" s="12">
        <v>189</v>
      </c>
      <c r="M28" s="12">
        <v>208</v>
      </c>
      <c r="N28" s="12">
        <v>121</v>
      </c>
      <c r="O28" s="12">
        <v>133</v>
      </c>
      <c r="P28" s="12">
        <v>219</v>
      </c>
      <c r="Q28" s="12">
        <v>187</v>
      </c>
      <c r="R28" s="12">
        <v>89</v>
      </c>
      <c r="S28" s="12">
        <v>115</v>
      </c>
      <c r="T28" s="12">
        <v>196</v>
      </c>
      <c r="U28" s="12">
        <v>73</v>
      </c>
      <c r="V28" s="12">
        <v>198</v>
      </c>
      <c r="W28" s="12">
        <v>118</v>
      </c>
      <c r="X28" s="12">
        <v>213</v>
      </c>
      <c r="Y28" s="12">
        <v>292</v>
      </c>
      <c r="Z28" s="12">
        <v>103</v>
      </c>
      <c r="AA28" s="12">
        <v>126</v>
      </c>
      <c r="AB28" s="12">
        <v>160</v>
      </c>
      <c r="AC28" s="12">
        <v>214</v>
      </c>
      <c r="AD28" s="12">
        <v>153</v>
      </c>
      <c r="AE28" s="12">
        <v>142</v>
      </c>
      <c r="AF28" s="12">
        <v>178</v>
      </c>
    </row>
    <row r="29" spans="1:32">
      <c r="A29" s="20"/>
      <c r="B29" s="13" t="s">
        <v>955</v>
      </c>
      <c r="C29" s="14">
        <v>0.18</v>
      </c>
      <c r="D29" s="14">
        <v>0.17</v>
      </c>
      <c r="E29" s="14">
        <v>0.16</v>
      </c>
      <c r="F29" s="14">
        <v>0.25</v>
      </c>
      <c r="G29" s="14">
        <v>0.26</v>
      </c>
      <c r="H29" s="14">
        <v>0.16</v>
      </c>
      <c r="I29" s="14">
        <v>0.16</v>
      </c>
      <c r="J29" s="14">
        <v>0.17</v>
      </c>
      <c r="K29" s="14">
        <v>0.17</v>
      </c>
      <c r="L29" s="14">
        <v>0.21</v>
      </c>
      <c r="M29" s="14">
        <v>0.23</v>
      </c>
      <c r="N29" s="14">
        <v>0.14000000000000001</v>
      </c>
      <c r="O29" s="14">
        <v>0.15</v>
      </c>
      <c r="P29" s="14">
        <v>0.23</v>
      </c>
      <c r="Q29" s="14">
        <v>0.2</v>
      </c>
      <c r="R29" s="14">
        <v>0.21</v>
      </c>
      <c r="S29" s="14">
        <v>0.14000000000000001</v>
      </c>
      <c r="T29" s="14">
        <v>0.23</v>
      </c>
      <c r="U29" s="14">
        <v>0.16</v>
      </c>
      <c r="V29" s="14">
        <v>0.22</v>
      </c>
      <c r="W29" s="14">
        <v>0.28000000000000003</v>
      </c>
      <c r="X29" s="14">
        <v>0.24</v>
      </c>
      <c r="Y29" s="14">
        <v>0.33</v>
      </c>
      <c r="Z29" s="14">
        <v>0.11</v>
      </c>
      <c r="AA29" s="14">
        <v>0.15</v>
      </c>
      <c r="AB29" s="14">
        <v>0.17</v>
      </c>
      <c r="AC29" s="14">
        <v>0.24</v>
      </c>
      <c r="AD29" s="14">
        <v>0.17</v>
      </c>
      <c r="AE29" s="14">
        <v>0.16</v>
      </c>
      <c r="AF29" s="14">
        <v>0.2</v>
      </c>
    </row>
    <row r="30" spans="1:32" ht="24.95">
      <c r="A30" s="20"/>
      <c r="B30" s="11" t="s">
        <v>956</v>
      </c>
      <c r="C30" s="12">
        <v>6727</v>
      </c>
      <c r="D30" s="12">
        <v>250</v>
      </c>
      <c r="E30" s="12">
        <v>285</v>
      </c>
      <c r="F30" s="12">
        <v>262</v>
      </c>
      <c r="G30" s="12">
        <v>256</v>
      </c>
      <c r="H30" s="12">
        <v>347</v>
      </c>
      <c r="I30" s="12">
        <v>453</v>
      </c>
      <c r="J30" s="12">
        <v>106</v>
      </c>
      <c r="K30" s="12">
        <v>285</v>
      </c>
      <c r="L30" s="12">
        <v>301</v>
      </c>
      <c r="M30" s="12">
        <v>315</v>
      </c>
      <c r="N30" s="12">
        <v>220</v>
      </c>
      <c r="O30" s="12">
        <v>259</v>
      </c>
      <c r="P30" s="12">
        <v>289</v>
      </c>
      <c r="Q30" s="12">
        <v>266</v>
      </c>
      <c r="R30" s="12">
        <v>187</v>
      </c>
      <c r="S30" s="12">
        <v>161</v>
      </c>
      <c r="T30" s="12">
        <v>276</v>
      </c>
      <c r="U30" s="12">
        <v>92</v>
      </c>
      <c r="V30" s="12">
        <v>264</v>
      </c>
      <c r="W30" s="12">
        <v>77</v>
      </c>
      <c r="X30" s="12">
        <v>243</v>
      </c>
      <c r="Y30" s="12">
        <v>380</v>
      </c>
      <c r="Z30" s="12">
        <v>159</v>
      </c>
      <c r="AA30" s="12">
        <v>268</v>
      </c>
      <c r="AB30" s="12">
        <v>236</v>
      </c>
      <c r="AC30" s="12">
        <v>271</v>
      </c>
      <c r="AD30" s="12">
        <v>225</v>
      </c>
      <c r="AE30" s="12">
        <v>286</v>
      </c>
      <c r="AF30" s="12">
        <v>246</v>
      </c>
    </row>
    <row r="31" spans="1:32">
      <c r="A31" s="20"/>
      <c r="B31" s="13" t="s">
        <v>957</v>
      </c>
      <c r="C31" s="14">
        <v>0.31</v>
      </c>
      <c r="D31" s="14">
        <v>0.3</v>
      </c>
      <c r="E31" s="14">
        <v>0.34</v>
      </c>
      <c r="F31" s="14">
        <v>0.3</v>
      </c>
      <c r="G31" s="14">
        <v>0.28999999999999998</v>
      </c>
      <c r="H31" s="14">
        <v>0.36</v>
      </c>
      <c r="I31" s="14">
        <v>0.38</v>
      </c>
      <c r="J31" s="14">
        <v>0.45</v>
      </c>
      <c r="K31" s="14">
        <v>0.34</v>
      </c>
      <c r="L31" s="14">
        <v>0.35</v>
      </c>
      <c r="M31" s="14">
        <v>0.39</v>
      </c>
      <c r="N31" s="14">
        <v>0.28000000000000003</v>
      </c>
      <c r="O31" s="14">
        <v>0.31</v>
      </c>
      <c r="P31" s="14">
        <v>0.32</v>
      </c>
      <c r="Q31" s="14">
        <v>0.31</v>
      </c>
      <c r="R31" s="14">
        <v>0.5</v>
      </c>
      <c r="S31" s="14">
        <v>0.19</v>
      </c>
      <c r="T31" s="14">
        <v>0.34</v>
      </c>
      <c r="U31" s="14">
        <v>0.2</v>
      </c>
      <c r="V31" s="14">
        <v>0.3</v>
      </c>
      <c r="W31" s="14">
        <v>0.17</v>
      </c>
      <c r="X31" s="14">
        <v>0.28000000000000003</v>
      </c>
      <c r="Y31" s="14">
        <v>0.48</v>
      </c>
      <c r="Z31" s="14">
        <v>0.18</v>
      </c>
      <c r="AA31" s="14">
        <v>0.32</v>
      </c>
      <c r="AB31" s="14">
        <v>0.27</v>
      </c>
      <c r="AC31" s="14">
        <v>0.31</v>
      </c>
      <c r="AD31" s="14">
        <v>0.25</v>
      </c>
      <c r="AE31" s="14">
        <v>0.34</v>
      </c>
      <c r="AF31" s="14">
        <v>0.27</v>
      </c>
    </row>
    <row r="32" spans="1:32">
      <c r="A32" s="20"/>
      <c r="B32" s="11" t="s">
        <v>519</v>
      </c>
      <c r="C32" s="12">
        <v>135</v>
      </c>
      <c r="D32" s="12">
        <v>6</v>
      </c>
      <c r="E32" s="12">
        <v>1</v>
      </c>
      <c r="F32" s="12">
        <v>0</v>
      </c>
      <c r="G32" s="12">
        <v>4</v>
      </c>
      <c r="H32" s="12">
        <v>15</v>
      </c>
      <c r="I32" s="12">
        <v>15</v>
      </c>
      <c r="J32" s="12">
        <v>1</v>
      </c>
      <c r="K32" s="12">
        <v>7</v>
      </c>
      <c r="L32" s="12">
        <v>4</v>
      </c>
      <c r="M32" s="12">
        <v>3</v>
      </c>
      <c r="N32" s="12">
        <v>13</v>
      </c>
      <c r="O32" s="12">
        <v>1</v>
      </c>
      <c r="P32" s="12">
        <v>0</v>
      </c>
      <c r="Q32" s="12">
        <v>3</v>
      </c>
      <c r="R32" s="12">
        <v>1</v>
      </c>
      <c r="S32" s="12">
        <v>6</v>
      </c>
      <c r="T32" s="12">
        <v>3</v>
      </c>
      <c r="U32" s="12">
        <v>6</v>
      </c>
      <c r="V32" s="12">
        <v>0</v>
      </c>
      <c r="W32" s="12">
        <v>1</v>
      </c>
      <c r="X32" s="12">
        <v>4</v>
      </c>
      <c r="Y32" s="12">
        <v>6</v>
      </c>
      <c r="Z32" s="12">
        <v>0</v>
      </c>
      <c r="AA32" s="12">
        <v>13</v>
      </c>
      <c r="AB32" s="12">
        <v>2</v>
      </c>
      <c r="AC32" s="12">
        <v>5</v>
      </c>
      <c r="AD32" s="12">
        <v>5</v>
      </c>
      <c r="AE32" s="12">
        <v>1</v>
      </c>
      <c r="AF32" s="12">
        <v>2</v>
      </c>
    </row>
    <row r="33" spans="1:32">
      <c r="A33" s="20"/>
      <c r="B33" s="13" t="s">
        <v>520</v>
      </c>
      <c r="C33" s="14">
        <v>0.01</v>
      </c>
      <c r="D33" s="14">
        <v>0.01</v>
      </c>
      <c r="E33" s="15" t="s">
        <v>459</v>
      </c>
      <c r="F33" s="15" t="s">
        <v>459</v>
      </c>
      <c r="G33" s="15" t="s">
        <v>459</v>
      </c>
      <c r="H33" s="14">
        <v>0.01</v>
      </c>
      <c r="I33" s="14">
        <v>0.01</v>
      </c>
      <c r="J33" s="15" t="s">
        <v>459</v>
      </c>
      <c r="K33" s="14">
        <v>0.01</v>
      </c>
      <c r="L33" s="15" t="s">
        <v>459</v>
      </c>
      <c r="M33" s="15" t="s">
        <v>459</v>
      </c>
      <c r="N33" s="14">
        <v>0.02</v>
      </c>
      <c r="O33" s="15" t="s">
        <v>459</v>
      </c>
      <c r="P33" s="15" t="s">
        <v>459</v>
      </c>
      <c r="Q33" s="15" t="s">
        <v>459</v>
      </c>
      <c r="R33" s="15" t="s">
        <v>459</v>
      </c>
      <c r="S33" s="14">
        <v>0.01</v>
      </c>
      <c r="T33" s="15" t="s">
        <v>459</v>
      </c>
      <c r="U33" s="14">
        <v>0.01</v>
      </c>
      <c r="V33" s="15" t="s">
        <v>459</v>
      </c>
      <c r="W33" s="15" t="s">
        <v>459</v>
      </c>
      <c r="X33" s="15" t="s">
        <v>459</v>
      </c>
      <c r="Y33" s="14">
        <v>0.01</v>
      </c>
      <c r="Z33" s="15" t="s">
        <v>459</v>
      </c>
      <c r="AA33" s="14">
        <v>0.01</v>
      </c>
      <c r="AB33" s="15" t="s">
        <v>459</v>
      </c>
      <c r="AC33" s="15" t="s">
        <v>459</v>
      </c>
      <c r="AD33" s="15" t="s">
        <v>459</v>
      </c>
      <c r="AE33" s="15" t="s">
        <v>459</v>
      </c>
      <c r="AF33" s="15" t="s">
        <v>459</v>
      </c>
    </row>
    <row r="34" spans="1:32" ht="24.95">
      <c r="A34" s="20"/>
      <c r="B34" s="11" t="s">
        <v>551</v>
      </c>
      <c r="C34" s="12">
        <v>551</v>
      </c>
      <c r="D34" s="12">
        <v>15</v>
      </c>
      <c r="E34" s="12">
        <v>7</v>
      </c>
      <c r="F34" s="12">
        <v>5</v>
      </c>
      <c r="G34" s="12">
        <v>44</v>
      </c>
      <c r="H34" s="12">
        <v>24</v>
      </c>
      <c r="I34" s="12">
        <v>25</v>
      </c>
      <c r="J34" s="12">
        <v>2</v>
      </c>
      <c r="K34" s="12">
        <v>16</v>
      </c>
      <c r="L34" s="12">
        <v>27</v>
      </c>
      <c r="M34" s="12">
        <v>14</v>
      </c>
      <c r="N34" s="12">
        <v>40</v>
      </c>
      <c r="O34" s="12">
        <v>29</v>
      </c>
      <c r="P34" s="12">
        <v>1</v>
      </c>
      <c r="Q34" s="12">
        <v>7</v>
      </c>
      <c r="R34" s="12">
        <v>13</v>
      </c>
      <c r="S34" s="12">
        <v>30</v>
      </c>
      <c r="T34" s="12">
        <v>18</v>
      </c>
      <c r="U34" s="12">
        <v>16</v>
      </c>
      <c r="V34" s="12">
        <v>3</v>
      </c>
      <c r="W34" s="12">
        <v>6</v>
      </c>
      <c r="X34" s="12">
        <v>40</v>
      </c>
      <c r="Y34" s="12">
        <v>17</v>
      </c>
      <c r="Z34" s="12">
        <v>2</v>
      </c>
      <c r="AA34" s="12">
        <v>9</v>
      </c>
      <c r="AB34" s="12">
        <v>10</v>
      </c>
      <c r="AC34" s="12">
        <v>31</v>
      </c>
      <c r="AD34" s="12">
        <v>12</v>
      </c>
      <c r="AE34" s="12">
        <v>45</v>
      </c>
      <c r="AF34" s="12">
        <v>104</v>
      </c>
    </row>
    <row r="35" spans="1:32">
      <c r="A35" s="20"/>
      <c r="B35" s="13" t="s">
        <v>522</v>
      </c>
      <c r="C35" s="14">
        <v>0.02</v>
      </c>
      <c r="D35" s="14">
        <v>0.02</v>
      </c>
      <c r="E35" s="14">
        <v>0.01</v>
      </c>
      <c r="F35" s="14">
        <v>0.01</v>
      </c>
      <c r="G35" s="14">
        <v>0.05</v>
      </c>
      <c r="H35" s="14">
        <v>0.02</v>
      </c>
      <c r="I35" s="14">
        <v>0.02</v>
      </c>
      <c r="J35" s="14">
        <v>0.01</v>
      </c>
      <c r="K35" s="14">
        <v>0.02</v>
      </c>
      <c r="L35" s="14">
        <v>0.03</v>
      </c>
      <c r="M35" s="14">
        <v>0.01</v>
      </c>
      <c r="N35" s="14">
        <v>0.05</v>
      </c>
      <c r="O35" s="14">
        <v>0.03</v>
      </c>
      <c r="P35" s="15" t="s">
        <v>459</v>
      </c>
      <c r="Q35" s="14">
        <v>0.01</v>
      </c>
      <c r="R35" s="14">
        <v>0.03</v>
      </c>
      <c r="S35" s="14">
        <v>0.03</v>
      </c>
      <c r="T35" s="14">
        <v>0.02</v>
      </c>
      <c r="U35" s="14">
        <v>0.03</v>
      </c>
      <c r="V35" s="15" t="s">
        <v>459</v>
      </c>
      <c r="W35" s="14">
        <v>0.01</v>
      </c>
      <c r="X35" s="14">
        <v>0.04</v>
      </c>
      <c r="Y35" s="14">
        <v>0.02</v>
      </c>
      <c r="Z35" s="15" t="s">
        <v>459</v>
      </c>
      <c r="AA35" s="14">
        <v>0.01</v>
      </c>
      <c r="AB35" s="14">
        <v>0.01</v>
      </c>
      <c r="AC35" s="14">
        <v>0.03</v>
      </c>
      <c r="AD35" s="14">
        <v>0.01</v>
      </c>
      <c r="AE35" s="14">
        <v>0.05</v>
      </c>
      <c r="AF35" s="14">
        <v>0.1</v>
      </c>
    </row>
    <row r="36" spans="1:32">
      <c r="A36" s="20"/>
      <c r="B36" s="11" t="s">
        <v>468</v>
      </c>
      <c r="C36" s="12">
        <v>374</v>
      </c>
      <c r="D36" s="12">
        <v>3</v>
      </c>
      <c r="E36" s="12">
        <v>17</v>
      </c>
      <c r="F36" s="12">
        <v>16</v>
      </c>
      <c r="G36" s="12">
        <v>17</v>
      </c>
      <c r="H36" s="12">
        <v>10</v>
      </c>
      <c r="I36" s="12">
        <v>10</v>
      </c>
      <c r="J36" s="12">
        <v>1</v>
      </c>
      <c r="K36" s="12">
        <v>35</v>
      </c>
      <c r="L36" s="12">
        <v>12</v>
      </c>
      <c r="M36" s="12">
        <v>14</v>
      </c>
      <c r="N36" s="12">
        <v>37</v>
      </c>
      <c r="O36" s="12">
        <v>26</v>
      </c>
      <c r="P36" s="12">
        <v>2</v>
      </c>
      <c r="Q36" s="12">
        <v>4</v>
      </c>
      <c r="R36" s="12">
        <v>2</v>
      </c>
      <c r="S36" s="12">
        <v>72</v>
      </c>
      <c r="T36" s="12">
        <v>24</v>
      </c>
      <c r="U36" s="12">
        <v>7</v>
      </c>
      <c r="V36" s="12">
        <v>7</v>
      </c>
      <c r="W36" s="12">
        <v>5</v>
      </c>
      <c r="X36" s="12">
        <v>9</v>
      </c>
      <c r="Y36" s="12">
        <v>4</v>
      </c>
      <c r="Z36" s="12">
        <v>1</v>
      </c>
      <c r="AA36" s="12">
        <v>21</v>
      </c>
      <c r="AB36" s="12">
        <v>14</v>
      </c>
      <c r="AC36" s="12">
        <v>8</v>
      </c>
      <c r="AD36" s="12">
        <v>18</v>
      </c>
      <c r="AE36" s="12">
        <v>31</v>
      </c>
      <c r="AF36" s="12">
        <v>9</v>
      </c>
    </row>
    <row r="37" spans="1:32">
      <c r="A37" s="20"/>
      <c r="B37" s="13" t="s">
        <v>469</v>
      </c>
      <c r="C37" s="14">
        <v>0.02</v>
      </c>
      <c r="D37" s="15" t="s">
        <v>459</v>
      </c>
      <c r="E37" s="14">
        <v>0.02</v>
      </c>
      <c r="F37" s="14">
        <v>0.02</v>
      </c>
      <c r="G37" s="14">
        <v>0.02</v>
      </c>
      <c r="H37" s="14">
        <v>0.01</v>
      </c>
      <c r="I37" s="14">
        <v>0.01</v>
      </c>
      <c r="J37" s="15" t="s">
        <v>459</v>
      </c>
      <c r="K37" s="14">
        <v>0.04</v>
      </c>
      <c r="L37" s="14">
        <v>0.01</v>
      </c>
      <c r="M37" s="14">
        <v>0.01</v>
      </c>
      <c r="N37" s="14">
        <v>0.04</v>
      </c>
      <c r="O37" s="14">
        <v>0.03</v>
      </c>
      <c r="P37" s="15" t="s">
        <v>459</v>
      </c>
      <c r="Q37" s="15" t="s">
        <v>459</v>
      </c>
      <c r="R37" s="15" t="s">
        <v>459</v>
      </c>
      <c r="S37" s="14">
        <v>0.08</v>
      </c>
      <c r="T37" s="14">
        <v>0.03</v>
      </c>
      <c r="U37" s="14">
        <v>0.01</v>
      </c>
      <c r="V37" s="14">
        <v>0.01</v>
      </c>
      <c r="W37" s="14">
        <v>0.01</v>
      </c>
      <c r="X37" s="14">
        <v>0.01</v>
      </c>
      <c r="Y37" s="15" t="s">
        <v>459</v>
      </c>
      <c r="Z37" s="15" t="s">
        <v>459</v>
      </c>
      <c r="AA37" s="14">
        <v>0.02</v>
      </c>
      <c r="AB37" s="14">
        <v>0.01</v>
      </c>
      <c r="AC37" s="14">
        <v>0.01</v>
      </c>
      <c r="AD37" s="14">
        <v>0.02</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155</v>
      </c>
      <c r="C3" s="18"/>
      <c r="D3" s="18"/>
      <c r="E3" s="18"/>
      <c r="F3" s="18"/>
      <c r="H3" s="18" t="s">
        <v>156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HYPERLINK("#Content!A79","&lt;&lt;Back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938</v>
      </c>
      <c r="C12" s="12">
        <v>7065</v>
      </c>
      <c r="D12" s="12">
        <v>265</v>
      </c>
      <c r="E12" s="12">
        <v>333</v>
      </c>
      <c r="F12" s="12">
        <v>320</v>
      </c>
      <c r="G12" s="12">
        <v>190</v>
      </c>
      <c r="H12" s="12">
        <v>221</v>
      </c>
      <c r="I12" s="12">
        <v>310</v>
      </c>
      <c r="J12" s="12">
        <v>89</v>
      </c>
      <c r="K12" s="12">
        <v>296</v>
      </c>
      <c r="L12" s="12">
        <v>280</v>
      </c>
      <c r="M12" s="12">
        <v>469</v>
      </c>
      <c r="N12" s="12">
        <v>226</v>
      </c>
      <c r="O12" s="12">
        <v>324</v>
      </c>
      <c r="P12" s="12">
        <v>336</v>
      </c>
      <c r="Q12" s="12">
        <v>337</v>
      </c>
      <c r="R12" s="12">
        <v>202</v>
      </c>
      <c r="S12" s="12">
        <v>196</v>
      </c>
      <c r="T12" s="12">
        <v>282</v>
      </c>
      <c r="U12" s="12">
        <v>98</v>
      </c>
      <c r="V12" s="12">
        <v>366</v>
      </c>
      <c r="W12" s="12">
        <v>167</v>
      </c>
      <c r="X12" s="12">
        <v>124</v>
      </c>
      <c r="Y12" s="12">
        <v>484</v>
      </c>
      <c r="Z12" s="12">
        <v>211</v>
      </c>
      <c r="AA12" s="12">
        <v>299</v>
      </c>
      <c r="AB12" s="12">
        <v>317</v>
      </c>
      <c r="AC12" s="12">
        <v>234</v>
      </c>
      <c r="AD12" s="12">
        <v>351</v>
      </c>
      <c r="AE12" s="12">
        <v>102</v>
      </c>
      <c r="AF12" s="12">
        <v>167</v>
      </c>
    </row>
    <row r="13" spans="1:32" ht="24.95">
      <c r="A13" s="20"/>
      <c r="B13" s="13" t="s">
        <v>939</v>
      </c>
      <c r="C13" s="14">
        <v>0.27</v>
      </c>
      <c r="D13" s="14">
        <v>0.26</v>
      </c>
      <c r="E13" s="14">
        <v>0.33</v>
      </c>
      <c r="F13" s="14">
        <v>0.32</v>
      </c>
      <c r="G13" s="14">
        <v>0.19</v>
      </c>
      <c r="H13" s="14">
        <v>0.18</v>
      </c>
      <c r="I13" s="14">
        <v>0.21</v>
      </c>
      <c r="J13" s="14">
        <v>0.3</v>
      </c>
      <c r="K13" s="14">
        <v>0.28999999999999998</v>
      </c>
      <c r="L13" s="14">
        <v>0.28000000000000003</v>
      </c>
      <c r="M13" s="14">
        <v>0.47</v>
      </c>
      <c r="N13" s="14">
        <v>0.23</v>
      </c>
      <c r="O13" s="14">
        <v>0.32</v>
      </c>
      <c r="P13" s="14">
        <v>0.33</v>
      </c>
      <c r="Q13" s="14">
        <v>0.33</v>
      </c>
      <c r="R13" s="14">
        <v>0.4</v>
      </c>
      <c r="S13" s="14">
        <v>0.19</v>
      </c>
      <c r="T13" s="14">
        <v>0.28000000000000003</v>
      </c>
      <c r="U13" s="14">
        <v>0.19</v>
      </c>
      <c r="V13" s="14">
        <v>0.36</v>
      </c>
      <c r="W13" s="14">
        <v>0.33</v>
      </c>
      <c r="X13" s="14">
        <v>0.12</v>
      </c>
      <c r="Y13" s="14">
        <v>0.48</v>
      </c>
      <c r="Z13" s="14">
        <v>0.21</v>
      </c>
      <c r="AA13" s="14">
        <v>0.28000000000000003</v>
      </c>
      <c r="AB13" s="14">
        <v>0.3</v>
      </c>
      <c r="AC13" s="14">
        <v>0.23</v>
      </c>
      <c r="AD13" s="14">
        <v>0.35</v>
      </c>
      <c r="AE13" s="14">
        <v>0.1</v>
      </c>
      <c r="AF13" s="14">
        <v>0.16</v>
      </c>
    </row>
    <row r="14" spans="1:32">
      <c r="A14" s="20"/>
      <c r="B14" s="11" t="s">
        <v>940</v>
      </c>
      <c r="C14" s="12">
        <v>5594</v>
      </c>
      <c r="D14" s="12">
        <v>282</v>
      </c>
      <c r="E14" s="12">
        <v>256</v>
      </c>
      <c r="F14" s="12">
        <v>177</v>
      </c>
      <c r="G14" s="12">
        <v>137</v>
      </c>
      <c r="H14" s="12">
        <v>152</v>
      </c>
      <c r="I14" s="12">
        <v>213</v>
      </c>
      <c r="J14" s="12">
        <v>61</v>
      </c>
      <c r="K14" s="12">
        <v>223</v>
      </c>
      <c r="L14" s="12">
        <v>218</v>
      </c>
      <c r="M14" s="12">
        <v>319</v>
      </c>
      <c r="N14" s="12">
        <v>175</v>
      </c>
      <c r="O14" s="12">
        <v>299</v>
      </c>
      <c r="P14" s="12">
        <v>255</v>
      </c>
      <c r="Q14" s="12">
        <v>262</v>
      </c>
      <c r="R14" s="12">
        <v>139</v>
      </c>
      <c r="S14" s="12">
        <v>176</v>
      </c>
      <c r="T14" s="12">
        <v>218</v>
      </c>
      <c r="U14" s="12">
        <v>137</v>
      </c>
      <c r="V14" s="12">
        <v>226</v>
      </c>
      <c r="W14" s="12">
        <v>104</v>
      </c>
      <c r="X14" s="12">
        <v>157</v>
      </c>
      <c r="Y14" s="12">
        <v>263</v>
      </c>
      <c r="Z14" s="12">
        <v>201</v>
      </c>
      <c r="AA14" s="12">
        <v>253</v>
      </c>
      <c r="AB14" s="12">
        <v>265</v>
      </c>
      <c r="AC14" s="12">
        <v>168</v>
      </c>
      <c r="AD14" s="12">
        <v>158</v>
      </c>
      <c r="AE14" s="12">
        <v>120</v>
      </c>
      <c r="AF14" s="12">
        <v>96</v>
      </c>
    </row>
    <row r="15" spans="1:32">
      <c r="A15" s="20"/>
      <c r="B15" s="13" t="s">
        <v>941</v>
      </c>
      <c r="C15" s="14">
        <v>0.21</v>
      </c>
      <c r="D15" s="14">
        <v>0.28000000000000003</v>
      </c>
      <c r="E15" s="14">
        <v>0.25</v>
      </c>
      <c r="F15" s="14">
        <v>0.18</v>
      </c>
      <c r="G15" s="14">
        <v>0.14000000000000001</v>
      </c>
      <c r="H15" s="14">
        <v>0.12</v>
      </c>
      <c r="I15" s="14">
        <v>0.14000000000000001</v>
      </c>
      <c r="J15" s="14">
        <v>0.21</v>
      </c>
      <c r="K15" s="14">
        <v>0.22</v>
      </c>
      <c r="L15" s="14">
        <v>0.22</v>
      </c>
      <c r="M15" s="14">
        <v>0.32</v>
      </c>
      <c r="N15" s="14">
        <v>0.17</v>
      </c>
      <c r="O15" s="14">
        <v>0.3</v>
      </c>
      <c r="P15" s="14">
        <v>0.25</v>
      </c>
      <c r="Q15" s="14">
        <v>0.26</v>
      </c>
      <c r="R15" s="14">
        <v>0.28000000000000003</v>
      </c>
      <c r="S15" s="14">
        <v>0.17</v>
      </c>
      <c r="T15" s="14">
        <v>0.22</v>
      </c>
      <c r="U15" s="14">
        <v>0.27</v>
      </c>
      <c r="V15" s="14">
        <v>0.22</v>
      </c>
      <c r="W15" s="14">
        <v>0.21</v>
      </c>
      <c r="X15" s="14">
        <v>0.15</v>
      </c>
      <c r="Y15" s="14">
        <v>0.26</v>
      </c>
      <c r="Z15" s="14">
        <v>0.2</v>
      </c>
      <c r="AA15" s="14">
        <v>0.24</v>
      </c>
      <c r="AB15" s="14">
        <v>0.26</v>
      </c>
      <c r="AC15" s="14">
        <v>0.17</v>
      </c>
      <c r="AD15" s="14">
        <v>0.16</v>
      </c>
      <c r="AE15" s="14">
        <v>0.12</v>
      </c>
      <c r="AF15" s="14">
        <v>0.09</v>
      </c>
    </row>
    <row r="16" spans="1:32" ht="24.95">
      <c r="A16" s="20"/>
      <c r="B16" s="11" t="s">
        <v>942</v>
      </c>
      <c r="C16" s="12">
        <v>9487</v>
      </c>
      <c r="D16" s="12">
        <v>330</v>
      </c>
      <c r="E16" s="12">
        <v>361</v>
      </c>
      <c r="F16" s="12">
        <v>323</v>
      </c>
      <c r="G16" s="12">
        <v>626</v>
      </c>
      <c r="H16" s="12">
        <v>585</v>
      </c>
      <c r="I16" s="12">
        <v>704</v>
      </c>
      <c r="J16" s="12">
        <v>119</v>
      </c>
      <c r="K16" s="12">
        <v>432</v>
      </c>
      <c r="L16" s="12">
        <v>354</v>
      </c>
      <c r="M16" s="12">
        <v>305</v>
      </c>
      <c r="N16" s="12">
        <v>336</v>
      </c>
      <c r="O16" s="12">
        <v>305</v>
      </c>
      <c r="P16" s="12">
        <v>310</v>
      </c>
      <c r="Q16" s="12">
        <v>280</v>
      </c>
      <c r="R16" s="12">
        <v>122</v>
      </c>
      <c r="S16" s="12">
        <v>357</v>
      </c>
      <c r="T16" s="12">
        <v>387</v>
      </c>
      <c r="U16" s="12">
        <v>215</v>
      </c>
      <c r="V16" s="12">
        <v>288</v>
      </c>
      <c r="W16" s="12">
        <v>99</v>
      </c>
      <c r="X16" s="12">
        <v>618</v>
      </c>
      <c r="Y16" s="12">
        <v>429</v>
      </c>
      <c r="Z16" s="12">
        <v>269</v>
      </c>
      <c r="AA16" s="12">
        <v>267</v>
      </c>
      <c r="AB16" s="12">
        <v>279</v>
      </c>
      <c r="AC16" s="12">
        <v>317</v>
      </c>
      <c r="AD16" s="12">
        <v>291</v>
      </c>
      <c r="AE16" s="12">
        <v>546</v>
      </c>
      <c r="AF16" s="12">
        <v>662</v>
      </c>
    </row>
    <row r="17" spans="1:32" ht="24.95">
      <c r="A17" s="20"/>
      <c r="B17" s="13" t="s">
        <v>943</v>
      </c>
      <c r="C17" s="14">
        <v>0.36</v>
      </c>
      <c r="D17" s="14">
        <v>0.33</v>
      </c>
      <c r="E17" s="14">
        <v>0.35</v>
      </c>
      <c r="F17" s="14">
        <v>0.32</v>
      </c>
      <c r="G17" s="14">
        <v>0.62</v>
      </c>
      <c r="H17" s="14">
        <v>0.48</v>
      </c>
      <c r="I17" s="14">
        <v>0.47</v>
      </c>
      <c r="J17" s="14">
        <v>0.41</v>
      </c>
      <c r="K17" s="14">
        <v>0.43</v>
      </c>
      <c r="L17" s="14">
        <v>0.35</v>
      </c>
      <c r="M17" s="14">
        <v>0.3</v>
      </c>
      <c r="N17" s="14">
        <v>0.33</v>
      </c>
      <c r="O17" s="14">
        <v>0.3</v>
      </c>
      <c r="P17" s="14">
        <v>0.3</v>
      </c>
      <c r="Q17" s="14">
        <v>0.28000000000000003</v>
      </c>
      <c r="R17" s="14">
        <v>0.24</v>
      </c>
      <c r="S17" s="14">
        <v>0.35</v>
      </c>
      <c r="T17" s="14">
        <v>0.38</v>
      </c>
      <c r="U17" s="14">
        <v>0.42</v>
      </c>
      <c r="V17" s="14">
        <v>0.28000000000000003</v>
      </c>
      <c r="W17" s="14">
        <v>0.2</v>
      </c>
      <c r="X17" s="14">
        <v>0.61</v>
      </c>
      <c r="Y17" s="14">
        <v>0.43</v>
      </c>
      <c r="Z17" s="14">
        <v>0.27</v>
      </c>
      <c r="AA17" s="14">
        <v>0.25</v>
      </c>
      <c r="AB17" s="14">
        <v>0.27</v>
      </c>
      <c r="AC17" s="14">
        <v>0.31</v>
      </c>
      <c r="AD17" s="14">
        <v>0.28999999999999998</v>
      </c>
      <c r="AE17" s="14">
        <v>0.55000000000000004</v>
      </c>
      <c r="AF17" s="14">
        <v>0.65</v>
      </c>
    </row>
    <row r="18" spans="1:32" ht="24.95">
      <c r="A18" s="20"/>
      <c r="B18" s="11" t="s">
        <v>944</v>
      </c>
      <c r="C18" s="12">
        <v>7815</v>
      </c>
      <c r="D18" s="12">
        <v>222</v>
      </c>
      <c r="E18" s="12">
        <v>362</v>
      </c>
      <c r="F18" s="12">
        <v>245</v>
      </c>
      <c r="G18" s="12">
        <v>198</v>
      </c>
      <c r="H18" s="12">
        <v>401</v>
      </c>
      <c r="I18" s="12">
        <v>522</v>
      </c>
      <c r="J18" s="12">
        <v>122</v>
      </c>
      <c r="K18" s="12">
        <v>372</v>
      </c>
      <c r="L18" s="12">
        <v>284</v>
      </c>
      <c r="M18" s="12">
        <v>337</v>
      </c>
      <c r="N18" s="12">
        <v>246</v>
      </c>
      <c r="O18" s="12">
        <v>299</v>
      </c>
      <c r="P18" s="12">
        <v>359</v>
      </c>
      <c r="Q18" s="12">
        <v>298</v>
      </c>
      <c r="R18" s="12">
        <v>113</v>
      </c>
      <c r="S18" s="12">
        <v>180</v>
      </c>
      <c r="T18" s="12">
        <v>217</v>
      </c>
      <c r="U18" s="12">
        <v>174</v>
      </c>
      <c r="V18" s="12">
        <v>417</v>
      </c>
      <c r="W18" s="12">
        <v>151</v>
      </c>
      <c r="X18" s="12">
        <v>207</v>
      </c>
      <c r="Y18" s="12">
        <v>394</v>
      </c>
      <c r="Z18" s="12">
        <v>290</v>
      </c>
      <c r="AA18" s="12">
        <v>291</v>
      </c>
      <c r="AB18" s="12">
        <v>339</v>
      </c>
      <c r="AC18" s="12">
        <v>262</v>
      </c>
      <c r="AD18" s="12">
        <v>308</v>
      </c>
      <c r="AE18" s="12">
        <v>390</v>
      </c>
      <c r="AF18" s="12">
        <v>242</v>
      </c>
    </row>
    <row r="19" spans="1:32" ht="24.95">
      <c r="A19" s="20"/>
      <c r="B19" s="13" t="s">
        <v>945</v>
      </c>
      <c r="C19" s="14">
        <v>0.3</v>
      </c>
      <c r="D19" s="14">
        <v>0.22</v>
      </c>
      <c r="E19" s="14">
        <v>0.36</v>
      </c>
      <c r="F19" s="14">
        <v>0.24</v>
      </c>
      <c r="G19" s="14">
        <v>0.2</v>
      </c>
      <c r="H19" s="14">
        <v>0.33</v>
      </c>
      <c r="I19" s="14">
        <v>0.35</v>
      </c>
      <c r="J19" s="14">
        <v>0.41</v>
      </c>
      <c r="K19" s="14">
        <v>0.37</v>
      </c>
      <c r="L19" s="14">
        <v>0.28000000000000003</v>
      </c>
      <c r="M19" s="14">
        <v>0.34</v>
      </c>
      <c r="N19" s="14">
        <v>0.25</v>
      </c>
      <c r="O19" s="14">
        <v>0.3</v>
      </c>
      <c r="P19" s="14">
        <v>0.35</v>
      </c>
      <c r="Q19" s="14">
        <v>0.28999999999999998</v>
      </c>
      <c r="R19" s="14">
        <v>0.23</v>
      </c>
      <c r="S19" s="14">
        <v>0.18</v>
      </c>
      <c r="T19" s="14">
        <v>0.21</v>
      </c>
      <c r="U19" s="14">
        <v>0.34</v>
      </c>
      <c r="V19" s="14">
        <v>0.41</v>
      </c>
      <c r="W19" s="14">
        <v>0.3</v>
      </c>
      <c r="X19" s="14">
        <v>0.2</v>
      </c>
      <c r="Y19" s="14">
        <v>0.39</v>
      </c>
      <c r="Z19" s="14">
        <v>0.28999999999999998</v>
      </c>
      <c r="AA19" s="14">
        <v>0.28000000000000003</v>
      </c>
      <c r="AB19" s="14">
        <v>0.33</v>
      </c>
      <c r="AC19" s="14">
        <v>0.26</v>
      </c>
      <c r="AD19" s="14">
        <v>0.31</v>
      </c>
      <c r="AE19" s="14">
        <v>0.39</v>
      </c>
      <c r="AF19" s="14">
        <v>0.24</v>
      </c>
    </row>
    <row r="20" spans="1:32">
      <c r="A20" s="20"/>
      <c r="B20" s="11" t="s">
        <v>946</v>
      </c>
      <c r="C20" s="12">
        <v>10537</v>
      </c>
      <c r="D20" s="12">
        <v>354</v>
      </c>
      <c r="E20" s="12">
        <v>374</v>
      </c>
      <c r="F20" s="12">
        <v>527</v>
      </c>
      <c r="G20" s="12">
        <v>235</v>
      </c>
      <c r="H20" s="12">
        <v>491</v>
      </c>
      <c r="I20" s="12">
        <v>645</v>
      </c>
      <c r="J20" s="12">
        <v>153</v>
      </c>
      <c r="K20" s="12">
        <v>374</v>
      </c>
      <c r="L20" s="12">
        <v>492</v>
      </c>
      <c r="M20" s="12">
        <v>503</v>
      </c>
      <c r="N20" s="12">
        <v>371</v>
      </c>
      <c r="O20" s="12">
        <v>414</v>
      </c>
      <c r="P20" s="12">
        <v>411</v>
      </c>
      <c r="Q20" s="12">
        <v>478</v>
      </c>
      <c r="R20" s="12">
        <v>257</v>
      </c>
      <c r="S20" s="12">
        <v>437</v>
      </c>
      <c r="T20" s="12">
        <v>431</v>
      </c>
      <c r="U20" s="12">
        <v>205</v>
      </c>
      <c r="V20" s="12">
        <v>411</v>
      </c>
      <c r="W20" s="12">
        <v>246</v>
      </c>
      <c r="X20" s="12">
        <v>298</v>
      </c>
      <c r="Y20" s="12">
        <v>474</v>
      </c>
      <c r="Z20" s="12">
        <v>349</v>
      </c>
      <c r="AA20" s="12">
        <v>439</v>
      </c>
      <c r="AB20" s="12">
        <v>331</v>
      </c>
      <c r="AC20" s="12">
        <v>447</v>
      </c>
      <c r="AD20" s="12">
        <v>510</v>
      </c>
      <c r="AE20" s="12">
        <v>249</v>
      </c>
      <c r="AF20" s="12">
        <v>176</v>
      </c>
    </row>
    <row r="21" spans="1:32">
      <c r="A21" s="20"/>
      <c r="B21" s="13" t="s">
        <v>947</v>
      </c>
      <c r="C21" s="14">
        <v>0.4</v>
      </c>
      <c r="D21" s="14">
        <v>0.35</v>
      </c>
      <c r="E21" s="14">
        <v>0.37</v>
      </c>
      <c r="F21" s="14">
        <v>0.52</v>
      </c>
      <c r="G21" s="14">
        <v>0.23</v>
      </c>
      <c r="H21" s="14">
        <v>0.4</v>
      </c>
      <c r="I21" s="14">
        <v>0.43</v>
      </c>
      <c r="J21" s="14">
        <v>0.52</v>
      </c>
      <c r="K21" s="14">
        <v>0.37</v>
      </c>
      <c r="L21" s="14">
        <v>0.49</v>
      </c>
      <c r="M21" s="14">
        <v>0.5</v>
      </c>
      <c r="N21" s="14">
        <v>0.37</v>
      </c>
      <c r="O21" s="14">
        <v>0.41</v>
      </c>
      <c r="P21" s="14">
        <v>0.4</v>
      </c>
      <c r="Q21" s="14">
        <v>0.47</v>
      </c>
      <c r="R21" s="14">
        <v>0.51</v>
      </c>
      <c r="S21" s="14">
        <v>0.43</v>
      </c>
      <c r="T21" s="14">
        <v>0.43</v>
      </c>
      <c r="U21" s="14">
        <v>0.4</v>
      </c>
      <c r="V21" s="14">
        <v>0.4</v>
      </c>
      <c r="W21" s="14">
        <v>0.49</v>
      </c>
      <c r="X21" s="14">
        <v>0.28999999999999998</v>
      </c>
      <c r="Y21" s="14">
        <v>0.47</v>
      </c>
      <c r="Z21" s="14">
        <v>0.35</v>
      </c>
      <c r="AA21" s="14">
        <v>0.42</v>
      </c>
      <c r="AB21" s="14">
        <v>0.32</v>
      </c>
      <c r="AC21" s="14">
        <v>0.44</v>
      </c>
      <c r="AD21" s="14">
        <v>0.51</v>
      </c>
      <c r="AE21" s="14">
        <v>0.25</v>
      </c>
      <c r="AF21" s="14">
        <v>0.17</v>
      </c>
    </row>
    <row r="22" spans="1:32" ht="24.95">
      <c r="A22" s="20"/>
      <c r="B22" s="11" t="s">
        <v>948</v>
      </c>
      <c r="C22" s="12">
        <v>10299</v>
      </c>
      <c r="D22" s="12">
        <v>333</v>
      </c>
      <c r="E22" s="12">
        <v>411</v>
      </c>
      <c r="F22" s="12">
        <v>476</v>
      </c>
      <c r="G22" s="12">
        <v>444</v>
      </c>
      <c r="H22" s="12">
        <v>525</v>
      </c>
      <c r="I22" s="12">
        <v>679</v>
      </c>
      <c r="J22" s="12">
        <v>154</v>
      </c>
      <c r="K22" s="12">
        <v>319</v>
      </c>
      <c r="L22" s="12">
        <v>406</v>
      </c>
      <c r="M22" s="12">
        <v>393</v>
      </c>
      <c r="N22" s="12">
        <v>293</v>
      </c>
      <c r="O22" s="12">
        <v>362</v>
      </c>
      <c r="P22" s="12">
        <v>479</v>
      </c>
      <c r="Q22" s="12">
        <v>421</v>
      </c>
      <c r="R22" s="12">
        <v>188</v>
      </c>
      <c r="S22" s="12">
        <v>290</v>
      </c>
      <c r="T22" s="12">
        <v>373</v>
      </c>
      <c r="U22" s="12">
        <v>230</v>
      </c>
      <c r="V22" s="12">
        <v>489</v>
      </c>
      <c r="W22" s="12">
        <v>213</v>
      </c>
      <c r="X22" s="12">
        <v>371</v>
      </c>
      <c r="Y22" s="12">
        <v>499</v>
      </c>
      <c r="Z22" s="12">
        <v>347</v>
      </c>
      <c r="AA22" s="12">
        <v>355</v>
      </c>
      <c r="AB22" s="12">
        <v>386</v>
      </c>
      <c r="AC22" s="12">
        <v>451</v>
      </c>
      <c r="AD22" s="12">
        <v>529</v>
      </c>
      <c r="AE22" s="12">
        <v>425</v>
      </c>
      <c r="AF22" s="12">
        <v>441</v>
      </c>
    </row>
    <row r="23" spans="1:32" ht="24.95">
      <c r="A23" s="20"/>
      <c r="B23" s="13" t="s">
        <v>949</v>
      </c>
      <c r="C23" s="14">
        <v>0.39</v>
      </c>
      <c r="D23" s="14">
        <v>0.33</v>
      </c>
      <c r="E23" s="14">
        <v>0.4</v>
      </c>
      <c r="F23" s="14">
        <v>0.47</v>
      </c>
      <c r="G23" s="14">
        <v>0.44</v>
      </c>
      <c r="H23" s="14">
        <v>0.43</v>
      </c>
      <c r="I23" s="14">
        <v>0.45</v>
      </c>
      <c r="J23" s="14">
        <v>0.52</v>
      </c>
      <c r="K23" s="14">
        <v>0.32</v>
      </c>
      <c r="L23" s="14">
        <v>0.4</v>
      </c>
      <c r="M23" s="14">
        <v>0.39</v>
      </c>
      <c r="N23" s="14">
        <v>0.28999999999999998</v>
      </c>
      <c r="O23" s="14">
        <v>0.36</v>
      </c>
      <c r="P23" s="14">
        <v>0.47</v>
      </c>
      <c r="Q23" s="14">
        <v>0.41</v>
      </c>
      <c r="R23" s="14">
        <v>0.38</v>
      </c>
      <c r="S23" s="14">
        <v>0.28999999999999998</v>
      </c>
      <c r="T23" s="14">
        <v>0.37</v>
      </c>
      <c r="U23" s="14">
        <v>0.45</v>
      </c>
      <c r="V23" s="14">
        <v>0.48</v>
      </c>
      <c r="W23" s="14">
        <v>0.42</v>
      </c>
      <c r="X23" s="14">
        <v>0.36</v>
      </c>
      <c r="Y23" s="14">
        <v>0.49</v>
      </c>
      <c r="Z23" s="14">
        <v>0.34</v>
      </c>
      <c r="AA23" s="14">
        <v>0.34</v>
      </c>
      <c r="AB23" s="14">
        <v>0.37</v>
      </c>
      <c r="AC23" s="14">
        <v>0.45</v>
      </c>
      <c r="AD23" s="14">
        <v>0.53</v>
      </c>
      <c r="AE23" s="14">
        <v>0.42</v>
      </c>
      <c r="AF23" s="14">
        <v>0.43</v>
      </c>
    </row>
    <row r="24" spans="1:32" ht="36.950000000000003">
      <c r="A24" s="20"/>
      <c r="B24" s="11" t="s">
        <v>950</v>
      </c>
      <c r="C24" s="12">
        <v>3831</v>
      </c>
      <c r="D24" s="12">
        <v>138</v>
      </c>
      <c r="E24" s="12">
        <v>174</v>
      </c>
      <c r="F24" s="12">
        <v>142</v>
      </c>
      <c r="G24" s="12">
        <v>98</v>
      </c>
      <c r="H24" s="12">
        <v>113</v>
      </c>
      <c r="I24" s="12">
        <v>152</v>
      </c>
      <c r="J24" s="12">
        <v>39</v>
      </c>
      <c r="K24" s="12">
        <v>113</v>
      </c>
      <c r="L24" s="12">
        <v>169</v>
      </c>
      <c r="M24" s="12">
        <v>189</v>
      </c>
      <c r="N24" s="12">
        <v>103</v>
      </c>
      <c r="O24" s="12">
        <v>108</v>
      </c>
      <c r="P24" s="12">
        <v>268</v>
      </c>
      <c r="Q24" s="12">
        <v>224</v>
      </c>
      <c r="R24" s="12">
        <v>68</v>
      </c>
      <c r="S24" s="12">
        <v>78</v>
      </c>
      <c r="T24" s="12">
        <v>183</v>
      </c>
      <c r="U24" s="12">
        <v>54</v>
      </c>
      <c r="V24" s="12">
        <v>227</v>
      </c>
      <c r="W24" s="12">
        <v>101</v>
      </c>
      <c r="X24" s="12">
        <v>110</v>
      </c>
      <c r="Y24" s="12">
        <v>245</v>
      </c>
      <c r="Z24" s="12">
        <v>193</v>
      </c>
      <c r="AA24" s="12">
        <v>167</v>
      </c>
      <c r="AB24" s="12">
        <v>227</v>
      </c>
      <c r="AC24" s="12">
        <v>178</v>
      </c>
      <c r="AD24" s="12">
        <v>162</v>
      </c>
      <c r="AE24" s="12">
        <v>69</v>
      </c>
      <c r="AF24" s="12">
        <v>84</v>
      </c>
    </row>
    <row r="25" spans="1:32" ht="36.950000000000003">
      <c r="A25" s="20"/>
      <c r="B25" s="13" t="s">
        <v>951</v>
      </c>
      <c r="C25" s="14">
        <v>0.15</v>
      </c>
      <c r="D25" s="14">
        <v>0.14000000000000001</v>
      </c>
      <c r="E25" s="14">
        <v>0.17</v>
      </c>
      <c r="F25" s="14">
        <v>0.14000000000000001</v>
      </c>
      <c r="G25" s="14">
        <v>0.1</v>
      </c>
      <c r="H25" s="14">
        <v>0.09</v>
      </c>
      <c r="I25" s="14">
        <v>0.1</v>
      </c>
      <c r="J25" s="14">
        <v>0.13</v>
      </c>
      <c r="K25" s="14">
        <v>0.11</v>
      </c>
      <c r="L25" s="14">
        <v>0.17</v>
      </c>
      <c r="M25" s="14">
        <v>0.19</v>
      </c>
      <c r="N25" s="14">
        <v>0.1</v>
      </c>
      <c r="O25" s="14">
        <v>0.11</v>
      </c>
      <c r="P25" s="14">
        <v>0.26</v>
      </c>
      <c r="Q25" s="14">
        <v>0.22</v>
      </c>
      <c r="R25" s="14">
        <v>0.14000000000000001</v>
      </c>
      <c r="S25" s="14">
        <v>0.08</v>
      </c>
      <c r="T25" s="14">
        <v>0.18</v>
      </c>
      <c r="U25" s="14">
        <v>0.11</v>
      </c>
      <c r="V25" s="14">
        <v>0.22</v>
      </c>
      <c r="W25" s="14">
        <v>0.2</v>
      </c>
      <c r="X25" s="14">
        <v>0.11</v>
      </c>
      <c r="Y25" s="14">
        <v>0.24</v>
      </c>
      <c r="Z25" s="14">
        <v>0.19</v>
      </c>
      <c r="AA25" s="14">
        <v>0.16</v>
      </c>
      <c r="AB25" s="14">
        <v>0.22</v>
      </c>
      <c r="AC25" s="14">
        <v>0.18</v>
      </c>
      <c r="AD25" s="14">
        <v>0.16</v>
      </c>
      <c r="AE25" s="14">
        <v>7.0000000000000007E-2</v>
      </c>
      <c r="AF25" s="14">
        <v>0.08</v>
      </c>
    </row>
    <row r="26" spans="1:32" ht="36.950000000000003">
      <c r="A26" s="20"/>
      <c r="B26" s="11" t="s">
        <v>952</v>
      </c>
      <c r="C26" s="12">
        <v>8724</v>
      </c>
      <c r="D26" s="12">
        <v>314</v>
      </c>
      <c r="E26" s="12">
        <v>368</v>
      </c>
      <c r="F26" s="12">
        <v>439</v>
      </c>
      <c r="G26" s="12">
        <v>355</v>
      </c>
      <c r="H26" s="12">
        <v>365</v>
      </c>
      <c r="I26" s="12">
        <v>470</v>
      </c>
      <c r="J26" s="12">
        <v>104</v>
      </c>
      <c r="K26" s="12">
        <v>318</v>
      </c>
      <c r="L26" s="12">
        <v>250</v>
      </c>
      <c r="M26" s="12">
        <v>374</v>
      </c>
      <c r="N26" s="12">
        <v>274</v>
      </c>
      <c r="O26" s="12">
        <v>376</v>
      </c>
      <c r="P26" s="12">
        <v>408</v>
      </c>
      <c r="Q26" s="12">
        <v>342</v>
      </c>
      <c r="R26" s="12">
        <v>201</v>
      </c>
      <c r="S26" s="12">
        <v>200</v>
      </c>
      <c r="T26" s="12">
        <v>369</v>
      </c>
      <c r="U26" s="12">
        <v>167</v>
      </c>
      <c r="V26" s="12">
        <v>369</v>
      </c>
      <c r="W26" s="12">
        <v>168</v>
      </c>
      <c r="X26" s="12">
        <v>368</v>
      </c>
      <c r="Y26" s="12">
        <v>460</v>
      </c>
      <c r="Z26" s="12">
        <v>259</v>
      </c>
      <c r="AA26" s="12">
        <v>315</v>
      </c>
      <c r="AB26" s="12">
        <v>340</v>
      </c>
      <c r="AC26" s="12">
        <v>359</v>
      </c>
      <c r="AD26" s="12">
        <v>364</v>
      </c>
      <c r="AE26" s="12">
        <v>414</v>
      </c>
      <c r="AF26" s="12">
        <v>394</v>
      </c>
    </row>
    <row r="27" spans="1:32" ht="36.950000000000003">
      <c r="A27" s="20"/>
      <c r="B27" s="13" t="s">
        <v>953</v>
      </c>
      <c r="C27" s="14">
        <v>0.33</v>
      </c>
      <c r="D27" s="14">
        <v>0.31</v>
      </c>
      <c r="E27" s="14">
        <v>0.36</v>
      </c>
      <c r="F27" s="14">
        <v>0.44</v>
      </c>
      <c r="G27" s="14">
        <v>0.35</v>
      </c>
      <c r="H27" s="14">
        <v>0.3</v>
      </c>
      <c r="I27" s="14">
        <v>0.31</v>
      </c>
      <c r="J27" s="14">
        <v>0.36</v>
      </c>
      <c r="K27" s="14">
        <v>0.32</v>
      </c>
      <c r="L27" s="14">
        <v>0.25</v>
      </c>
      <c r="M27" s="14">
        <v>0.37</v>
      </c>
      <c r="N27" s="14">
        <v>0.27</v>
      </c>
      <c r="O27" s="14">
        <v>0.37</v>
      </c>
      <c r="P27" s="14">
        <v>0.4</v>
      </c>
      <c r="Q27" s="14">
        <v>0.34</v>
      </c>
      <c r="R27" s="14">
        <v>0.4</v>
      </c>
      <c r="S27" s="14">
        <v>0.2</v>
      </c>
      <c r="T27" s="14">
        <v>0.36</v>
      </c>
      <c r="U27" s="14">
        <v>0.33</v>
      </c>
      <c r="V27" s="14">
        <v>0.36</v>
      </c>
      <c r="W27" s="14">
        <v>0.33</v>
      </c>
      <c r="X27" s="14">
        <v>0.36</v>
      </c>
      <c r="Y27" s="14">
        <v>0.46</v>
      </c>
      <c r="Z27" s="14">
        <v>0.26</v>
      </c>
      <c r="AA27" s="14">
        <v>0.3</v>
      </c>
      <c r="AB27" s="14">
        <v>0.33</v>
      </c>
      <c r="AC27" s="14">
        <v>0.36</v>
      </c>
      <c r="AD27" s="14">
        <v>0.36</v>
      </c>
      <c r="AE27" s="14">
        <v>0.41</v>
      </c>
      <c r="AF27" s="14">
        <v>0.39</v>
      </c>
    </row>
    <row r="28" spans="1:32" ht="24.95">
      <c r="A28" s="20"/>
      <c r="B28" s="11" t="s">
        <v>954</v>
      </c>
      <c r="C28" s="12">
        <v>5602</v>
      </c>
      <c r="D28" s="12">
        <v>231</v>
      </c>
      <c r="E28" s="12">
        <v>199</v>
      </c>
      <c r="F28" s="12">
        <v>285</v>
      </c>
      <c r="G28" s="12">
        <v>310</v>
      </c>
      <c r="H28" s="12">
        <v>253</v>
      </c>
      <c r="I28" s="12">
        <v>314</v>
      </c>
      <c r="J28" s="12">
        <v>61</v>
      </c>
      <c r="K28" s="12">
        <v>215</v>
      </c>
      <c r="L28" s="12">
        <v>246</v>
      </c>
      <c r="M28" s="12">
        <v>259</v>
      </c>
      <c r="N28" s="12">
        <v>161</v>
      </c>
      <c r="O28" s="12">
        <v>172</v>
      </c>
      <c r="P28" s="12">
        <v>285</v>
      </c>
      <c r="Q28" s="12">
        <v>242</v>
      </c>
      <c r="R28" s="12">
        <v>106</v>
      </c>
      <c r="S28" s="12">
        <v>175</v>
      </c>
      <c r="T28" s="12">
        <v>263</v>
      </c>
      <c r="U28" s="12">
        <v>104</v>
      </c>
      <c r="V28" s="12">
        <v>273</v>
      </c>
      <c r="W28" s="12">
        <v>180</v>
      </c>
      <c r="X28" s="12">
        <v>307</v>
      </c>
      <c r="Y28" s="12">
        <v>363</v>
      </c>
      <c r="Z28" s="12">
        <v>159</v>
      </c>
      <c r="AA28" s="12">
        <v>188</v>
      </c>
      <c r="AB28" s="12">
        <v>216</v>
      </c>
      <c r="AC28" s="12">
        <v>287</v>
      </c>
      <c r="AD28" s="12">
        <v>228</v>
      </c>
      <c r="AE28" s="12">
        <v>205</v>
      </c>
      <c r="AF28" s="12">
        <v>279</v>
      </c>
    </row>
    <row r="29" spans="1:32">
      <c r="A29" s="20"/>
      <c r="B29" s="13" t="s">
        <v>955</v>
      </c>
      <c r="C29" s="14">
        <v>0.21</v>
      </c>
      <c r="D29" s="14">
        <v>0.23</v>
      </c>
      <c r="E29" s="14">
        <v>0.2</v>
      </c>
      <c r="F29" s="14">
        <v>0.28000000000000003</v>
      </c>
      <c r="G29" s="14">
        <v>0.31</v>
      </c>
      <c r="H29" s="14">
        <v>0.21</v>
      </c>
      <c r="I29" s="14">
        <v>0.21</v>
      </c>
      <c r="J29" s="14">
        <v>0.21</v>
      </c>
      <c r="K29" s="14">
        <v>0.21</v>
      </c>
      <c r="L29" s="14">
        <v>0.24</v>
      </c>
      <c r="M29" s="14">
        <v>0.26</v>
      </c>
      <c r="N29" s="14">
        <v>0.16</v>
      </c>
      <c r="O29" s="14">
        <v>0.17</v>
      </c>
      <c r="P29" s="14">
        <v>0.28000000000000003</v>
      </c>
      <c r="Q29" s="14">
        <v>0.24</v>
      </c>
      <c r="R29" s="14">
        <v>0.21</v>
      </c>
      <c r="S29" s="14">
        <v>0.17</v>
      </c>
      <c r="T29" s="14">
        <v>0.26</v>
      </c>
      <c r="U29" s="14">
        <v>0.21</v>
      </c>
      <c r="V29" s="14">
        <v>0.27</v>
      </c>
      <c r="W29" s="14">
        <v>0.36</v>
      </c>
      <c r="X29" s="14">
        <v>0.3</v>
      </c>
      <c r="Y29" s="14">
        <v>0.36</v>
      </c>
      <c r="Z29" s="14">
        <v>0.16</v>
      </c>
      <c r="AA29" s="14">
        <v>0.18</v>
      </c>
      <c r="AB29" s="14">
        <v>0.21</v>
      </c>
      <c r="AC29" s="14">
        <v>0.28000000000000003</v>
      </c>
      <c r="AD29" s="14">
        <v>0.23</v>
      </c>
      <c r="AE29" s="14">
        <v>0.2</v>
      </c>
      <c r="AF29" s="14">
        <v>0.27</v>
      </c>
    </row>
    <row r="30" spans="1:32" ht="24.95">
      <c r="A30" s="20"/>
      <c r="B30" s="11" t="s">
        <v>956</v>
      </c>
      <c r="C30" s="12">
        <v>9848</v>
      </c>
      <c r="D30" s="12">
        <v>394</v>
      </c>
      <c r="E30" s="12">
        <v>390</v>
      </c>
      <c r="F30" s="12">
        <v>330</v>
      </c>
      <c r="G30" s="12">
        <v>348</v>
      </c>
      <c r="H30" s="12">
        <v>546</v>
      </c>
      <c r="I30" s="12">
        <v>704</v>
      </c>
      <c r="J30" s="12">
        <v>158</v>
      </c>
      <c r="K30" s="12">
        <v>413</v>
      </c>
      <c r="L30" s="12">
        <v>412</v>
      </c>
      <c r="M30" s="12">
        <v>451</v>
      </c>
      <c r="N30" s="12">
        <v>324</v>
      </c>
      <c r="O30" s="12">
        <v>368</v>
      </c>
      <c r="P30" s="12">
        <v>385</v>
      </c>
      <c r="Q30" s="12">
        <v>390</v>
      </c>
      <c r="R30" s="12">
        <v>257</v>
      </c>
      <c r="S30" s="12">
        <v>235</v>
      </c>
      <c r="T30" s="12">
        <v>386</v>
      </c>
      <c r="U30" s="12">
        <v>122</v>
      </c>
      <c r="V30" s="12">
        <v>352</v>
      </c>
      <c r="W30" s="12">
        <v>103</v>
      </c>
      <c r="X30" s="12">
        <v>355</v>
      </c>
      <c r="Y30" s="12">
        <v>546</v>
      </c>
      <c r="Z30" s="12">
        <v>248</v>
      </c>
      <c r="AA30" s="12">
        <v>360</v>
      </c>
      <c r="AB30" s="12">
        <v>353</v>
      </c>
      <c r="AC30" s="12">
        <v>360</v>
      </c>
      <c r="AD30" s="12">
        <v>312</v>
      </c>
      <c r="AE30" s="12">
        <v>420</v>
      </c>
      <c r="AF30" s="12">
        <v>327</v>
      </c>
    </row>
    <row r="31" spans="1:32">
      <c r="A31" s="20"/>
      <c r="B31" s="13" t="s">
        <v>957</v>
      </c>
      <c r="C31" s="14">
        <v>0.37</v>
      </c>
      <c r="D31" s="14">
        <v>0.39</v>
      </c>
      <c r="E31" s="14">
        <v>0.38</v>
      </c>
      <c r="F31" s="14">
        <v>0.33</v>
      </c>
      <c r="G31" s="14">
        <v>0.35</v>
      </c>
      <c r="H31" s="14">
        <v>0.45</v>
      </c>
      <c r="I31" s="14">
        <v>0.47</v>
      </c>
      <c r="J31" s="14">
        <v>0.54</v>
      </c>
      <c r="K31" s="14">
        <v>0.41</v>
      </c>
      <c r="L31" s="14">
        <v>0.41</v>
      </c>
      <c r="M31" s="14">
        <v>0.45</v>
      </c>
      <c r="N31" s="14">
        <v>0.32</v>
      </c>
      <c r="O31" s="14">
        <v>0.37</v>
      </c>
      <c r="P31" s="14">
        <v>0.38</v>
      </c>
      <c r="Q31" s="14">
        <v>0.38</v>
      </c>
      <c r="R31" s="14">
        <v>0.51</v>
      </c>
      <c r="S31" s="14">
        <v>0.23</v>
      </c>
      <c r="T31" s="14">
        <v>0.38</v>
      </c>
      <c r="U31" s="14">
        <v>0.24</v>
      </c>
      <c r="V31" s="14">
        <v>0.35</v>
      </c>
      <c r="W31" s="14">
        <v>0.2</v>
      </c>
      <c r="X31" s="14">
        <v>0.35</v>
      </c>
      <c r="Y31" s="14">
        <v>0.54</v>
      </c>
      <c r="Z31" s="14">
        <v>0.25</v>
      </c>
      <c r="AA31" s="14">
        <v>0.34</v>
      </c>
      <c r="AB31" s="14">
        <v>0.34</v>
      </c>
      <c r="AC31" s="14">
        <v>0.36</v>
      </c>
      <c r="AD31" s="14">
        <v>0.31</v>
      </c>
      <c r="AE31" s="14">
        <v>0.42</v>
      </c>
      <c r="AF31" s="14">
        <v>0.32</v>
      </c>
    </row>
    <row r="32" spans="1:32">
      <c r="A32" s="20"/>
      <c r="B32" s="11" t="s">
        <v>519</v>
      </c>
      <c r="C32" s="12">
        <v>237</v>
      </c>
      <c r="D32" s="12">
        <v>8</v>
      </c>
      <c r="E32" s="12">
        <v>1</v>
      </c>
      <c r="F32" s="12">
        <v>3</v>
      </c>
      <c r="G32" s="12">
        <v>7</v>
      </c>
      <c r="H32" s="12">
        <v>28</v>
      </c>
      <c r="I32" s="12">
        <v>28</v>
      </c>
      <c r="J32" s="12">
        <v>1</v>
      </c>
      <c r="K32" s="12">
        <v>8</v>
      </c>
      <c r="L32" s="12">
        <v>10</v>
      </c>
      <c r="M32" s="12">
        <v>8</v>
      </c>
      <c r="N32" s="12">
        <v>23</v>
      </c>
      <c r="O32" s="12">
        <v>1</v>
      </c>
      <c r="P32" s="12">
        <v>0</v>
      </c>
      <c r="Q32" s="12">
        <v>4</v>
      </c>
      <c r="R32" s="12">
        <v>1</v>
      </c>
      <c r="S32" s="12">
        <v>11</v>
      </c>
      <c r="T32" s="12">
        <v>9</v>
      </c>
      <c r="U32" s="12">
        <v>8</v>
      </c>
      <c r="V32" s="12">
        <v>0</v>
      </c>
      <c r="W32" s="12">
        <v>1</v>
      </c>
      <c r="X32" s="12">
        <v>7</v>
      </c>
      <c r="Y32" s="12">
        <v>11</v>
      </c>
      <c r="Z32" s="12">
        <v>0</v>
      </c>
      <c r="AA32" s="12">
        <v>15</v>
      </c>
      <c r="AB32" s="12">
        <v>6</v>
      </c>
      <c r="AC32" s="12">
        <v>6</v>
      </c>
      <c r="AD32" s="12">
        <v>5</v>
      </c>
      <c r="AE32" s="12">
        <v>5</v>
      </c>
      <c r="AF32" s="12">
        <v>7</v>
      </c>
    </row>
    <row r="33" spans="1:32">
      <c r="A33" s="20"/>
      <c r="B33" s="13" t="s">
        <v>520</v>
      </c>
      <c r="C33" s="14">
        <v>0.01</v>
      </c>
      <c r="D33" s="14">
        <v>0.01</v>
      </c>
      <c r="E33" s="15" t="s">
        <v>459</v>
      </c>
      <c r="F33" s="15" t="s">
        <v>459</v>
      </c>
      <c r="G33" s="14">
        <v>0.01</v>
      </c>
      <c r="H33" s="14">
        <v>0.02</v>
      </c>
      <c r="I33" s="14">
        <v>0.02</v>
      </c>
      <c r="J33" s="15" t="s">
        <v>459</v>
      </c>
      <c r="K33" s="14">
        <v>0.01</v>
      </c>
      <c r="L33" s="14">
        <v>0.01</v>
      </c>
      <c r="M33" s="14">
        <v>0.01</v>
      </c>
      <c r="N33" s="14">
        <v>0.02</v>
      </c>
      <c r="O33" s="15" t="s">
        <v>459</v>
      </c>
      <c r="P33" s="15" t="s">
        <v>459</v>
      </c>
      <c r="Q33" s="15" t="s">
        <v>459</v>
      </c>
      <c r="R33" s="15" t="s">
        <v>459</v>
      </c>
      <c r="S33" s="14">
        <v>0.01</v>
      </c>
      <c r="T33" s="14">
        <v>0.01</v>
      </c>
      <c r="U33" s="14">
        <v>0.02</v>
      </c>
      <c r="V33" s="15" t="s">
        <v>459</v>
      </c>
      <c r="W33" s="15" t="s">
        <v>459</v>
      </c>
      <c r="X33" s="14">
        <v>0.01</v>
      </c>
      <c r="Y33" s="14">
        <v>0.01</v>
      </c>
      <c r="Z33" s="15" t="s">
        <v>459</v>
      </c>
      <c r="AA33" s="14">
        <v>0.01</v>
      </c>
      <c r="AB33" s="14">
        <v>0.01</v>
      </c>
      <c r="AC33" s="14">
        <v>0.01</v>
      </c>
      <c r="AD33" s="14">
        <v>0.01</v>
      </c>
      <c r="AE33" s="15" t="s">
        <v>459</v>
      </c>
      <c r="AF33" s="14">
        <v>0.01</v>
      </c>
    </row>
    <row r="34" spans="1:32" ht="24.95">
      <c r="A34" s="20"/>
      <c r="B34" s="11" t="s">
        <v>551</v>
      </c>
      <c r="C34" s="12">
        <v>651</v>
      </c>
      <c r="D34" s="12">
        <v>19</v>
      </c>
      <c r="E34" s="12">
        <v>28</v>
      </c>
      <c r="F34" s="12">
        <v>25</v>
      </c>
      <c r="G34" s="12">
        <v>16</v>
      </c>
      <c r="H34" s="12">
        <v>24</v>
      </c>
      <c r="I34" s="12">
        <v>30</v>
      </c>
      <c r="J34" s="12">
        <v>5</v>
      </c>
      <c r="K34" s="12">
        <v>15</v>
      </c>
      <c r="L34" s="12">
        <v>18</v>
      </c>
      <c r="M34" s="12">
        <v>38</v>
      </c>
      <c r="N34" s="12">
        <v>59</v>
      </c>
      <c r="O34" s="12">
        <v>30</v>
      </c>
      <c r="P34" s="12">
        <v>12</v>
      </c>
      <c r="Q34" s="12">
        <v>10</v>
      </c>
      <c r="R34" s="12">
        <v>29</v>
      </c>
      <c r="S34" s="12">
        <v>34</v>
      </c>
      <c r="T34" s="12">
        <v>44</v>
      </c>
      <c r="U34" s="12">
        <v>14</v>
      </c>
      <c r="V34" s="12">
        <v>25</v>
      </c>
      <c r="W34" s="12">
        <v>7</v>
      </c>
      <c r="X34" s="12">
        <v>25</v>
      </c>
      <c r="Y34" s="12">
        <v>27</v>
      </c>
      <c r="Z34" s="12">
        <v>4</v>
      </c>
      <c r="AA34" s="12">
        <v>33</v>
      </c>
      <c r="AB34" s="12">
        <v>26</v>
      </c>
      <c r="AC34" s="12">
        <v>54</v>
      </c>
      <c r="AD34" s="12">
        <v>14</v>
      </c>
      <c r="AE34" s="12">
        <v>18</v>
      </c>
      <c r="AF34" s="12">
        <v>18</v>
      </c>
    </row>
    <row r="35" spans="1:32">
      <c r="A35" s="20"/>
      <c r="B35" s="13" t="s">
        <v>522</v>
      </c>
      <c r="C35" s="14">
        <v>0.02</v>
      </c>
      <c r="D35" s="14">
        <v>0.02</v>
      </c>
      <c r="E35" s="14">
        <v>0.03</v>
      </c>
      <c r="F35" s="14">
        <v>0.02</v>
      </c>
      <c r="G35" s="14">
        <v>0.02</v>
      </c>
      <c r="H35" s="14">
        <v>0.02</v>
      </c>
      <c r="I35" s="14">
        <v>0.02</v>
      </c>
      <c r="J35" s="14">
        <v>0.02</v>
      </c>
      <c r="K35" s="14">
        <v>0.02</v>
      </c>
      <c r="L35" s="14">
        <v>0.02</v>
      </c>
      <c r="M35" s="14">
        <v>0.04</v>
      </c>
      <c r="N35" s="14">
        <v>0.06</v>
      </c>
      <c r="O35" s="14">
        <v>0.03</v>
      </c>
      <c r="P35" s="14">
        <v>0.01</v>
      </c>
      <c r="Q35" s="14">
        <v>0.01</v>
      </c>
      <c r="R35" s="14">
        <v>0.06</v>
      </c>
      <c r="S35" s="14">
        <v>0.03</v>
      </c>
      <c r="T35" s="14">
        <v>0.04</v>
      </c>
      <c r="U35" s="14">
        <v>0.03</v>
      </c>
      <c r="V35" s="14">
        <v>0.02</v>
      </c>
      <c r="W35" s="14">
        <v>0.01</v>
      </c>
      <c r="X35" s="14">
        <v>0.02</v>
      </c>
      <c r="Y35" s="14">
        <v>0.03</v>
      </c>
      <c r="Z35" s="15" t="s">
        <v>459</v>
      </c>
      <c r="AA35" s="14">
        <v>0.03</v>
      </c>
      <c r="AB35" s="14">
        <v>0.02</v>
      </c>
      <c r="AC35" s="14">
        <v>0.05</v>
      </c>
      <c r="AD35" s="14">
        <v>0.01</v>
      </c>
      <c r="AE35" s="14">
        <v>0.02</v>
      </c>
      <c r="AF35" s="14">
        <v>0.02</v>
      </c>
    </row>
    <row r="36" spans="1:32">
      <c r="A36" s="20"/>
      <c r="B36" s="11" t="s">
        <v>468</v>
      </c>
      <c r="C36" s="12">
        <v>731</v>
      </c>
      <c r="D36" s="12">
        <v>16</v>
      </c>
      <c r="E36" s="12">
        <v>47</v>
      </c>
      <c r="F36" s="12">
        <v>46</v>
      </c>
      <c r="G36" s="12">
        <v>26</v>
      </c>
      <c r="H36" s="12">
        <v>26</v>
      </c>
      <c r="I36" s="12">
        <v>27</v>
      </c>
      <c r="J36" s="12">
        <v>1</v>
      </c>
      <c r="K36" s="12">
        <v>34</v>
      </c>
      <c r="L36" s="12">
        <v>22</v>
      </c>
      <c r="M36" s="12">
        <v>15</v>
      </c>
      <c r="N36" s="12">
        <v>60</v>
      </c>
      <c r="O36" s="12">
        <v>28</v>
      </c>
      <c r="P36" s="12">
        <v>10</v>
      </c>
      <c r="Q36" s="12">
        <v>18</v>
      </c>
      <c r="R36" s="12">
        <v>28</v>
      </c>
      <c r="S36" s="12">
        <v>70</v>
      </c>
      <c r="T36" s="12">
        <v>47</v>
      </c>
      <c r="U36" s="12">
        <v>7</v>
      </c>
      <c r="V36" s="12">
        <v>15</v>
      </c>
      <c r="W36" s="12">
        <v>12</v>
      </c>
      <c r="X36" s="12">
        <v>10</v>
      </c>
      <c r="Y36" s="12">
        <v>20</v>
      </c>
      <c r="Z36" s="12">
        <v>28</v>
      </c>
      <c r="AA36" s="12">
        <v>90</v>
      </c>
      <c r="AB36" s="12">
        <v>31</v>
      </c>
      <c r="AC36" s="12">
        <v>4</v>
      </c>
      <c r="AD36" s="12">
        <v>15</v>
      </c>
      <c r="AE36" s="12">
        <v>17</v>
      </c>
      <c r="AF36" s="12">
        <v>9</v>
      </c>
    </row>
    <row r="37" spans="1:32">
      <c r="A37" s="20"/>
      <c r="B37" s="13" t="s">
        <v>469</v>
      </c>
      <c r="C37" s="14">
        <v>0.03</v>
      </c>
      <c r="D37" s="14">
        <v>0.02</v>
      </c>
      <c r="E37" s="14">
        <v>0.05</v>
      </c>
      <c r="F37" s="14">
        <v>0.05</v>
      </c>
      <c r="G37" s="14">
        <v>0.03</v>
      </c>
      <c r="H37" s="14">
        <v>0.02</v>
      </c>
      <c r="I37" s="14">
        <v>0.02</v>
      </c>
      <c r="J37" s="15" t="s">
        <v>459</v>
      </c>
      <c r="K37" s="14">
        <v>0.03</v>
      </c>
      <c r="L37" s="14">
        <v>0.02</v>
      </c>
      <c r="M37" s="14">
        <v>0.02</v>
      </c>
      <c r="N37" s="14">
        <v>0.06</v>
      </c>
      <c r="O37" s="14">
        <v>0.03</v>
      </c>
      <c r="P37" s="14">
        <v>0.01</v>
      </c>
      <c r="Q37" s="14">
        <v>0.02</v>
      </c>
      <c r="R37" s="14">
        <v>0.06</v>
      </c>
      <c r="S37" s="14">
        <v>7.0000000000000007E-2</v>
      </c>
      <c r="T37" s="14">
        <v>0.05</v>
      </c>
      <c r="U37" s="14">
        <v>0.01</v>
      </c>
      <c r="V37" s="14">
        <v>0.01</v>
      </c>
      <c r="W37" s="14">
        <v>0.02</v>
      </c>
      <c r="X37" s="14">
        <v>0.01</v>
      </c>
      <c r="Y37" s="14">
        <v>0.02</v>
      </c>
      <c r="Z37" s="14">
        <v>0.03</v>
      </c>
      <c r="AA37" s="14">
        <v>0.09</v>
      </c>
      <c r="AB37" s="14">
        <v>0.03</v>
      </c>
      <c r="AC37" s="15" t="s">
        <v>459</v>
      </c>
      <c r="AD37" s="14">
        <v>0.01</v>
      </c>
      <c r="AE37" s="14">
        <v>0.02</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157</v>
      </c>
      <c r="C3" s="18"/>
      <c r="D3" s="18"/>
      <c r="E3" s="18"/>
      <c r="F3" s="18"/>
      <c r="H3" s="18" t="s">
        <v>158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960</v>
      </c>
      <c r="C12" s="12">
        <v>1982</v>
      </c>
      <c r="D12" s="12">
        <v>65</v>
      </c>
      <c r="E12" s="12">
        <v>78</v>
      </c>
      <c r="F12" s="12">
        <v>61</v>
      </c>
      <c r="G12" s="12">
        <v>46</v>
      </c>
      <c r="H12" s="12">
        <v>96</v>
      </c>
      <c r="I12" s="12">
        <v>113</v>
      </c>
      <c r="J12" s="12">
        <v>17</v>
      </c>
      <c r="K12" s="12">
        <v>53</v>
      </c>
      <c r="L12" s="12">
        <v>100</v>
      </c>
      <c r="M12" s="12">
        <v>62</v>
      </c>
      <c r="N12" s="12">
        <v>90</v>
      </c>
      <c r="O12" s="12">
        <v>45</v>
      </c>
      <c r="P12" s="12">
        <v>69</v>
      </c>
      <c r="Q12" s="12">
        <v>114</v>
      </c>
      <c r="R12" s="12">
        <v>31</v>
      </c>
      <c r="S12" s="12">
        <v>69</v>
      </c>
      <c r="T12" s="12">
        <v>54</v>
      </c>
      <c r="U12" s="12">
        <v>25</v>
      </c>
      <c r="V12" s="12">
        <v>71</v>
      </c>
      <c r="W12" s="12">
        <v>55</v>
      </c>
      <c r="X12" s="12">
        <v>55</v>
      </c>
      <c r="Y12" s="12">
        <v>71</v>
      </c>
      <c r="Z12" s="12">
        <v>99</v>
      </c>
      <c r="AA12" s="12">
        <v>79</v>
      </c>
      <c r="AB12" s="12">
        <v>72</v>
      </c>
      <c r="AC12" s="12">
        <v>75</v>
      </c>
      <c r="AD12" s="12">
        <v>59</v>
      </c>
      <c r="AE12" s="12">
        <v>73</v>
      </c>
      <c r="AF12" s="12">
        <v>43</v>
      </c>
    </row>
    <row r="13" spans="1:32" ht="36.950000000000003">
      <c r="A13" s="20"/>
      <c r="B13" s="13" t="s">
        <v>961</v>
      </c>
      <c r="C13" s="14">
        <v>7.0000000000000007E-2</v>
      </c>
      <c r="D13" s="14">
        <v>7.0000000000000007E-2</v>
      </c>
      <c r="E13" s="14">
        <v>0.08</v>
      </c>
      <c r="F13" s="14">
        <v>0.06</v>
      </c>
      <c r="G13" s="14">
        <v>0.04</v>
      </c>
      <c r="H13" s="14">
        <v>0.08</v>
      </c>
      <c r="I13" s="14">
        <v>7.0000000000000007E-2</v>
      </c>
      <c r="J13" s="14">
        <v>0.06</v>
      </c>
      <c r="K13" s="14">
        <v>0.05</v>
      </c>
      <c r="L13" s="14">
        <v>0.1</v>
      </c>
      <c r="M13" s="14">
        <v>0.06</v>
      </c>
      <c r="N13" s="14">
        <v>0.09</v>
      </c>
      <c r="O13" s="14">
        <v>0.05</v>
      </c>
      <c r="P13" s="14">
        <v>7.0000000000000007E-2</v>
      </c>
      <c r="Q13" s="14">
        <v>0.11</v>
      </c>
      <c r="R13" s="14">
        <v>0.06</v>
      </c>
      <c r="S13" s="14">
        <v>7.0000000000000007E-2</v>
      </c>
      <c r="T13" s="14">
        <v>0.05</v>
      </c>
      <c r="U13" s="14">
        <v>0.05</v>
      </c>
      <c r="V13" s="14">
        <v>7.0000000000000007E-2</v>
      </c>
      <c r="W13" s="14">
        <v>0.11</v>
      </c>
      <c r="X13" s="14">
        <v>0.06</v>
      </c>
      <c r="Y13" s="14">
        <v>7.0000000000000007E-2</v>
      </c>
      <c r="Z13" s="14">
        <v>0.1</v>
      </c>
      <c r="AA13" s="14">
        <v>0.08</v>
      </c>
      <c r="AB13" s="14">
        <v>7.0000000000000007E-2</v>
      </c>
      <c r="AC13" s="14">
        <v>7.0000000000000007E-2</v>
      </c>
      <c r="AD13" s="14">
        <v>0.06</v>
      </c>
      <c r="AE13" s="14">
        <v>7.0000000000000007E-2</v>
      </c>
      <c r="AF13" s="14">
        <v>0.04</v>
      </c>
    </row>
    <row r="14" spans="1:32" ht="48.95">
      <c r="A14" s="20"/>
      <c r="B14" s="11" t="s">
        <v>962</v>
      </c>
      <c r="C14" s="12">
        <v>3331</v>
      </c>
      <c r="D14" s="12">
        <v>125</v>
      </c>
      <c r="E14" s="12">
        <v>85</v>
      </c>
      <c r="F14" s="12">
        <v>132</v>
      </c>
      <c r="G14" s="12">
        <v>118</v>
      </c>
      <c r="H14" s="12">
        <v>179</v>
      </c>
      <c r="I14" s="12">
        <v>229</v>
      </c>
      <c r="J14" s="12">
        <v>50</v>
      </c>
      <c r="K14" s="12">
        <v>93</v>
      </c>
      <c r="L14" s="12">
        <v>115</v>
      </c>
      <c r="M14" s="12">
        <v>126</v>
      </c>
      <c r="N14" s="12">
        <v>141</v>
      </c>
      <c r="O14" s="12">
        <v>117</v>
      </c>
      <c r="P14" s="12">
        <v>78</v>
      </c>
      <c r="Q14" s="12">
        <v>120</v>
      </c>
      <c r="R14" s="12">
        <v>67</v>
      </c>
      <c r="S14" s="12">
        <v>105</v>
      </c>
      <c r="T14" s="12">
        <v>114</v>
      </c>
      <c r="U14" s="12">
        <v>69</v>
      </c>
      <c r="V14" s="12">
        <v>108</v>
      </c>
      <c r="W14" s="12">
        <v>84</v>
      </c>
      <c r="X14" s="12">
        <v>104</v>
      </c>
      <c r="Y14" s="12">
        <v>119</v>
      </c>
      <c r="Z14" s="12">
        <v>115</v>
      </c>
      <c r="AA14" s="12">
        <v>154</v>
      </c>
      <c r="AB14" s="12">
        <v>101</v>
      </c>
      <c r="AC14" s="12">
        <v>107</v>
      </c>
      <c r="AD14" s="12">
        <v>125</v>
      </c>
      <c r="AE14" s="12">
        <v>190</v>
      </c>
      <c r="AF14" s="12">
        <v>159</v>
      </c>
    </row>
    <row r="15" spans="1:32" ht="48.95">
      <c r="A15" s="20"/>
      <c r="B15" s="13" t="s">
        <v>963</v>
      </c>
      <c r="C15" s="14">
        <v>0.13</v>
      </c>
      <c r="D15" s="14">
        <v>0.12</v>
      </c>
      <c r="E15" s="14">
        <v>0.08</v>
      </c>
      <c r="F15" s="14">
        <v>0.13</v>
      </c>
      <c r="G15" s="14">
        <v>0.12</v>
      </c>
      <c r="H15" s="14">
        <v>0.15</v>
      </c>
      <c r="I15" s="14">
        <v>0.15</v>
      </c>
      <c r="J15" s="14">
        <v>0.17</v>
      </c>
      <c r="K15" s="14">
        <v>0.09</v>
      </c>
      <c r="L15" s="14">
        <v>0.12</v>
      </c>
      <c r="M15" s="14">
        <v>0.13</v>
      </c>
      <c r="N15" s="14">
        <v>0.14000000000000001</v>
      </c>
      <c r="O15" s="14">
        <v>0.12</v>
      </c>
      <c r="P15" s="14">
        <v>0.08</v>
      </c>
      <c r="Q15" s="14">
        <v>0.12</v>
      </c>
      <c r="R15" s="14">
        <v>0.13</v>
      </c>
      <c r="S15" s="14">
        <v>0.1</v>
      </c>
      <c r="T15" s="14">
        <v>0.11</v>
      </c>
      <c r="U15" s="14">
        <v>0.14000000000000001</v>
      </c>
      <c r="V15" s="14">
        <v>0.11</v>
      </c>
      <c r="W15" s="14">
        <v>0.17</v>
      </c>
      <c r="X15" s="14">
        <v>0.1</v>
      </c>
      <c r="Y15" s="14">
        <v>0.12</v>
      </c>
      <c r="Z15" s="14">
        <v>0.11</v>
      </c>
      <c r="AA15" s="14">
        <v>0.15</v>
      </c>
      <c r="AB15" s="14">
        <v>0.1</v>
      </c>
      <c r="AC15" s="14">
        <v>0.11</v>
      </c>
      <c r="AD15" s="14">
        <v>0.12</v>
      </c>
      <c r="AE15" s="14">
        <v>0.19</v>
      </c>
      <c r="AF15" s="14">
        <v>0.16</v>
      </c>
    </row>
    <row r="16" spans="1:32" ht="36.950000000000003">
      <c r="A16" s="20"/>
      <c r="B16" s="11" t="s">
        <v>964</v>
      </c>
      <c r="C16" s="12">
        <v>1780</v>
      </c>
      <c r="D16" s="12">
        <v>71</v>
      </c>
      <c r="E16" s="12">
        <v>90</v>
      </c>
      <c r="F16" s="12">
        <v>96</v>
      </c>
      <c r="G16" s="12">
        <v>83</v>
      </c>
      <c r="H16" s="12">
        <v>75</v>
      </c>
      <c r="I16" s="12">
        <v>100</v>
      </c>
      <c r="J16" s="12">
        <v>25</v>
      </c>
      <c r="K16" s="12">
        <v>99</v>
      </c>
      <c r="L16" s="12">
        <v>65</v>
      </c>
      <c r="M16" s="12">
        <v>69</v>
      </c>
      <c r="N16" s="12">
        <v>59</v>
      </c>
      <c r="O16" s="12">
        <v>51</v>
      </c>
      <c r="P16" s="12">
        <v>105</v>
      </c>
      <c r="Q16" s="12">
        <v>66</v>
      </c>
      <c r="R16" s="12">
        <v>32</v>
      </c>
      <c r="S16" s="12">
        <v>157</v>
      </c>
      <c r="T16" s="12">
        <v>102</v>
      </c>
      <c r="U16" s="12">
        <v>31</v>
      </c>
      <c r="V16" s="12">
        <v>91</v>
      </c>
      <c r="W16" s="12">
        <v>28</v>
      </c>
      <c r="X16" s="12">
        <v>48</v>
      </c>
      <c r="Y16" s="12">
        <v>65</v>
      </c>
      <c r="Z16" s="12">
        <v>98</v>
      </c>
      <c r="AA16" s="12">
        <v>35</v>
      </c>
      <c r="AB16" s="12">
        <v>122</v>
      </c>
      <c r="AC16" s="12">
        <v>94</v>
      </c>
      <c r="AD16" s="12">
        <v>57</v>
      </c>
      <c r="AE16" s="12">
        <v>29</v>
      </c>
      <c r="AF16" s="12">
        <v>32</v>
      </c>
    </row>
    <row r="17" spans="1:32" ht="24.95">
      <c r="A17" s="20"/>
      <c r="B17" s="13" t="s">
        <v>965</v>
      </c>
      <c r="C17" s="14">
        <v>7.0000000000000007E-2</v>
      </c>
      <c r="D17" s="14">
        <v>7.0000000000000007E-2</v>
      </c>
      <c r="E17" s="14">
        <v>0.09</v>
      </c>
      <c r="F17" s="14">
        <v>0.1</v>
      </c>
      <c r="G17" s="14">
        <v>0.08</v>
      </c>
      <c r="H17" s="14">
        <v>0.06</v>
      </c>
      <c r="I17" s="14">
        <v>7.0000000000000007E-2</v>
      </c>
      <c r="J17" s="14">
        <v>0.08</v>
      </c>
      <c r="K17" s="14">
        <v>0.1</v>
      </c>
      <c r="L17" s="14">
        <v>0.06</v>
      </c>
      <c r="M17" s="14">
        <v>7.0000000000000007E-2</v>
      </c>
      <c r="N17" s="14">
        <v>0.06</v>
      </c>
      <c r="O17" s="14">
        <v>0.05</v>
      </c>
      <c r="P17" s="14">
        <v>0.1</v>
      </c>
      <c r="Q17" s="14">
        <v>0.06</v>
      </c>
      <c r="R17" s="14">
        <v>0.06</v>
      </c>
      <c r="S17" s="14">
        <v>0.16</v>
      </c>
      <c r="T17" s="14">
        <v>0.1</v>
      </c>
      <c r="U17" s="14">
        <v>0.06</v>
      </c>
      <c r="V17" s="14">
        <v>0.09</v>
      </c>
      <c r="W17" s="14">
        <v>0.05</v>
      </c>
      <c r="X17" s="14">
        <v>0.05</v>
      </c>
      <c r="Y17" s="14">
        <v>7.0000000000000007E-2</v>
      </c>
      <c r="Z17" s="14">
        <v>0.1</v>
      </c>
      <c r="AA17" s="14">
        <v>0.03</v>
      </c>
      <c r="AB17" s="14">
        <v>0.12</v>
      </c>
      <c r="AC17" s="14">
        <v>0.09</v>
      </c>
      <c r="AD17" s="14">
        <v>0.06</v>
      </c>
      <c r="AE17" s="14">
        <v>0.03</v>
      </c>
      <c r="AF17" s="14">
        <v>0.03</v>
      </c>
    </row>
    <row r="18" spans="1:32" ht="60.95">
      <c r="A18" s="20"/>
      <c r="B18" s="11" t="s">
        <v>966</v>
      </c>
      <c r="C18" s="12">
        <v>1758</v>
      </c>
      <c r="D18" s="12">
        <v>73</v>
      </c>
      <c r="E18" s="12">
        <v>76</v>
      </c>
      <c r="F18" s="12">
        <v>57</v>
      </c>
      <c r="G18" s="12">
        <v>55</v>
      </c>
      <c r="H18" s="12">
        <v>62</v>
      </c>
      <c r="I18" s="12">
        <v>73</v>
      </c>
      <c r="J18" s="12">
        <v>11</v>
      </c>
      <c r="K18" s="12">
        <v>61</v>
      </c>
      <c r="L18" s="12">
        <v>93</v>
      </c>
      <c r="M18" s="12">
        <v>94</v>
      </c>
      <c r="N18" s="12">
        <v>72</v>
      </c>
      <c r="O18" s="12">
        <v>61</v>
      </c>
      <c r="P18" s="12">
        <v>82</v>
      </c>
      <c r="Q18" s="12">
        <v>71</v>
      </c>
      <c r="R18" s="12">
        <v>26</v>
      </c>
      <c r="S18" s="12">
        <v>78</v>
      </c>
      <c r="T18" s="12">
        <v>61</v>
      </c>
      <c r="U18" s="12">
        <v>21</v>
      </c>
      <c r="V18" s="12">
        <v>90</v>
      </c>
      <c r="W18" s="12">
        <v>50</v>
      </c>
      <c r="X18" s="12">
        <v>53</v>
      </c>
      <c r="Y18" s="12">
        <v>59</v>
      </c>
      <c r="Z18" s="12">
        <v>103</v>
      </c>
      <c r="AA18" s="12">
        <v>87</v>
      </c>
      <c r="AB18" s="12">
        <v>98</v>
      </c>
      <c r="AC18" s="12">
        <v>84</v>
      </c>
      <c r="AD18" s="12">
        <v>61</v>
      </c>
      <c r="AE18" s="12">
        <v>26</v>
      </c>
      <c r="AF18" s="12">
        <v>20</v>
      </c>
    </row>
    <row r="19" spans="1:32" ht="48.95">
      <c r="A19" s="20"/>
      <c r="B19" s="13" t="s">
        <v>967</v>
      </c>
      <c r="C19" s="14">
        <v>7.0000000000000007E-2</v>
      </c>
      <c r="D19" s="14">
        <v>7.0000000000000007E-2</v>
      </c>
      <c r="E19" s="14">
        <v>7.0000000000000007E-2</v>
      </c>
      <c r="F19" s="14">
        <v>0.06</v>
      </c>
      <c r="G19" s="14">
        <v>0.05</v>
      </c>
      <c r="H19" s="14">
        <v>0.05</v>
      </c>
      <c r="I19" s="14">
        <v>0.05</v>
      </c>
      <c r="J19" s="14">
        <v>0.04</v>
      </c>
      <c r="K19" s="14">
        <v>0.06</v>
      </c>
      <c r="L19" s="14">
        <v>0.09</v>
      </c>
      <c r="M19" s="14">
        <v>0.09</v>
      </c>
      <c r="N19" s="14">
        <v>7.0000000000000007E-2</v>
      </c>
      <c r="O19" s="14">
        <v>0.06</v>
      </c>
      <c r="P19" s="14">
        <v>0.08</v>
      </c>
      <c r="Q19" s="14">
        <v>7.0000000000000007E-2</v>
      </c>
      <c r="R19" s="14">
        <v>0.05</v>
      </c>
      <c r="S19" s="14">
        <v>0.08</v>
      </c>
      <c r="T19" s="14">
        <v>0.06</v>
      </c>
      <c r="U19" s="14">
        <v>0.04</v>
      </c>
      <c r="V19" s="14">
        <v>0.09</v>
      </c>
      <c r="W19" s="14">
        <v>0.1</v>
      </c>
      <c r="X19" s="14">
        <v>0.05</v>
      </c>
      <c r="Y19" s="14">
        <v>0.06</v>
      </c>
      <c r="Z19" s="14">
        <v>0.1</v>
      </c>
      <c r="AA19" s="14">
        <v>0.08</v>
      </c>
      <c r="AB19" s="14">
        <v>0.09</v>
      </c>
      <c r="AC19" s="14">
        <v>0.08</v>
      </c>
      <c r="AD19" s="14">
        <v>0.06</v>
      </c>
      <c r="AE19" s="14">
        <v>0.03</v>
      </c>
      <c r="AF19" s="14">
        <v>0.02</v>
      </c>
    </row>
    <row r="20" spans="1:32" ht="60.95">
      <c r="A20" s="20"/>
      <c r="B20" s="11" t="s">
        <v>968</v>
      </c>
      <c r="C20" s="12">
        <v>1254</v>
      </c>
      <c r="D20" s="12">
        <v>52</v>
      </c>
      <c r="E20" s="12">
        <v>87</v>
      </c>
      <c r="F20" s="12">
        <v>40</v>
      </c>
      <c r="G20" s="12">
        <v>42</v>
      </c>
      <c r="H20" s="12">
        <v>32</v>
      </c>
      <c r="I20" s="12">
        <v>45</v>
      </c>
      <c r="J20" s="12">
        <v>12</v>
      </c>
      <c r="K20" s="12">
        <v>52</v>
      </c>
      <c r="L20" s="12">
        <v>42</v>
      </c>
      <c r="M20" s="12">
        <v>58</v>
      </c>
      <c r="N20" s="12">
        <v>48</v>
      </c>
      <c r="O20" s="12">
        <v>35</v>
      </c>
      <c r="P20" s="12">
        <v>80</v>
      </c>
      <c r="Q20" s="12">
        <v>69</v>
      </c>
      <c r="R20" s="12">
        <v>18</v>
      </c>
      <c r="S20" s="12">
        <v>57</v>
      </c>
      <c r="T20" s="12">
        <v>53</v>
      </c>
      <c r="U20" s="12">
        <v>21</v>
      </c>
      <c r="V20" s="12">
        <v>87</v>
      </c>
      <c r="W20" s="12">
        <v>29</v>
      </c>
      <c r="X20" s="12">
        <v>24</v>
      </c>
      <c r="Y20" s="12">
        <v>64</v>
      </c>
      <c r="Z20" s="12">
        <v>58</v>
      </c>
      <c r="AA20" s="12">
        <v>71</v>
      </c>
      <c r="AB20" s="12">
        <v>64</v>
      </c>
      <c r="AC20" s="12">
        <v>56</v>
      </c>
      <c r="AD20" s="12">
        <v>61</v>
      </c>
      <c r="AE20" s="12">
        <v>45</v>
      </c>
      <c r="AF20" s="12">
        <v>22</v>
      </c>
    </row>
    <row r="21" spans="1:32" ht="48.95">
      <c r="A21" s="20"/>
      <c r="B21" s="13" t="s">
        <v>969</v>
      </c>
      <c r="C21" s="14">
        <v>0.05</v>
      </c>
      <c r="D21" s="14">
        <v>0.05</v>
      </c>
      <c r="E21" s="14">
        <v>0.08</v>
      </c>
      <c r="F21" s="14">
        <v>0.04</v>
      </c>
      <c r="G21" s="14">
        <v>0.04</v>
      </c>
      <c r="H21" s="14">
        <v>0.02</v>
      </c>
      <c r="I21" s="14">
        <v>0.03</v>
      </c>
      <c r="J21" s="14">
        <v>0.04</v>
      </c>
      <c r="K21" s="14">
        <v>0.05</v>
      </c>
      <c r="L21" s="14">
        <v>0.04</v>
      </c>
      <c r="M21" s="14">
        <v>0.06</v>
      </c>
      <c r="N21" s="14">
        <v>0.05</v>
      </c>
      <c r="O21" s="14">
        <v>0.04</v>
      </c>
      <c r="P21" s="14">
        <v>0.08</v>
      </c>
      <c r="Q21" s="14">
        <v>7.0000000000000007E-2</v>
      </c>
      <c r="R21" s="14">
        <v>0.04</v>
      </c>
      <c r="S21" s="14">
        <v>0.06</v>
      </c>
      <c r="T21" s="14">
        <v>0.05</v>
      </c>
      <c r="U21" s="14">
        <v>0.04</v>
      </c>
      <c r="V21" s="14">
        <v>0.09</v>
      </c>
      <c r="W21" s="14">
        <v>0.06</v>
      </c>
      <c r="X21" s="14">
        <v>0.02</v>
      </c>
      <c r="Y21" s="14">
        <v>0.06</v>
      </c>
      <c r="Z21" s="14">
        <v>0.06</v>
      </c>
      <c r="AA21" s="14">
        <v>7.0000000000000007E-2</v>
      </c>
      <c r="AB21" s="14">
        <v>0.06</v>
      </c>
      <c r="AC21" s="14">
        <v>0.06</v>
      </c>
      <c r="AD21" s="14">
        <v>0.06</v>
      </c>
      <c r="AE21" s="14">
        <v>0.05</v>
      </c>
      <c r="AF21" s="14">
        <v>0.02</v>
      </c>
    </row>
    <row r="22" spans="1:32" ht="48.95">
      <c r="A22" s="20"/>
      <c r="B22" s="11" t="s">
        <v>970</v>
      </c>
      <c r="C22" s="12">
        <v>1759</v>
      </c>
      <c r="D22" s="12">
        <v>72</v>
      </c>
      <c r="E22" s="12">
        <v>67</v>
      </c>
      <c r="F22" s="12">
        <v>64</v>
      </c>
      <c r="G22" s="12">
        <v>49</v>
      </c>
      <c r="H22" s="12">
        <v>66</v>
      </c>
      <c r="I22" s="12">
        <v>88</v>
      </c>
      <c r="J22" s="12">
        <v>22</v>
      </c>
      <c r="K22" s="12">
        <v>56</v>
      </c>
      <c r="L22" s="12">
        <v>58</v>
      </c>
      <c r="M22" s="12">
        <v>51</v>
      </c>
      <c r="N22" s="12">
        <v>58</v>
      </c>
      <c r="O22" s="12">
        <v>62</v>
      </c>
      <c r="P22" s="12">
        <v>75</v>
      </c>
      <c r="Q22" s="12">
        <v>98</v>
      </c>
      <c r="R22" s="12">
        <v>25</v>
      </c>
      <c r="S22" s="12">
        <v>29</v>
      </c>
      <c r="T22" s="12">
        <v>43</v>
      </c>
      <c r="U22" s="12">
        <v>55</v>
      </c>
      <c r="V22" s="12">
        <v>66</v>
      </c>
      <c r="W22" s="12">
        <v>30</v>
      </c>
      <c r="X22" s="12">
        <v>73</v>
      </c>
      <c r="Y22" s="12">
        <v>61</v>
      </c>
      <c r="Z22" s="12">
        <v>83</v>
      </c>
      <c r="AA22" s="12">
        <v>47</v>
      </c>
      <c r="AB22" s="12">
        <v>83</v>
      </c>
      <c r="AC22" s="12">
        <v>80</v>
      </c>
      <c r="AD22" s="12">
        <v>73</v>
      </c>
      <c r="AE22" s="12">
        <v>45</v>
      </c>
      <c r="AF22" s="12">
        <v>38</v>
      </c>
    </row>
    <row r="23" spans="1:32" ht="48.95">
      <c r="A23" s="20"/>
      <c r="B23" s="13" t="s">
        <v>971</v>
      </c>
      <c r="C23" s="14">
        <v>7.0000000000000007E-2</v>
      </c>
      <c r="D23" s="14">
        <v>7.0000000000000007E-2</v>
      </c>
      <c r="E23" s="14">
        <v>7.0000000000000007E-2</v>
      </c>
      <c r="F23" s="14">
        <v>0.06</v>
      </c>
      <c r="G23" s="14">
        <v>0.05</v>
      </c>
      <c r="H23" s="14">
        <v>0.05</v>
      </c>
      <c r="I23" s="14">
        <v>0.06</v>
      </c>
      <c r="J23" s="14">
        <v>0.08</v>
      </c>
      <c r="K23" s="14">
        <v>0.06</v>
      </c>
      <c r="L23" s="14">
        <v>0.06</v>
      </c>
      <c r="M23" s="14">
        <v>0.05</v>
      </c>
      <c r="N23" s="14">
        <v>0.06</v>
      </c>
      <c r="O23" s="14">
        <v>0.06</v>
      </c>
      <c r="P23" s="14">
        <v>7.0000000000000007E-2</v>
      </c>
      <c r="Q23" s="14">
        <v>0.1</v>
      </c>
      <c r="R23" s="14">
        <v>0.05</v>
      </c>
      <c r="S23" s="14">
        <v>0.03</v>
      </c>
      <c r="T23" s="14">
        <v>0.04</v>
      </c>
      <c r="U23" s="14">
        <v>0.11</v>
      </c>
      <c r="V23" s="14">
        <v>0.06</v>
      </c>
      <c r="W23" s="14">
        <v>0.06</v>
      </c>
      <c r="X23" s="14">
        <v>7.0000000000000007E-2</v>
      </c>
      <c r="Y23" s="14">
        <v>0.06</v>
      </c>
      <c r="Z23" s="14">
        <v>0.08</v>
      </c>
      <c r="AA23" s="14">
        <v>0.04</v>
      </c>
      <c r="AB23" s="14">
        <v>0.08</v>
      </c>
      <c r="AC23" s="14">
        <v>0.08</v>
      </c>
      <c r="AD23" s="14">
        <v>7.0000000000000007E-2</v>
      </c>
      <c r="AE23" s="14">
        <v>0.04</v>
      </c>
      <c r="AF23" s="14">
        <v>0.04</v>
      </c>
    </row>
    <row r="24" spans="1:32" ht="60.95">
      <c r="A24" s="20"/>
      <c r="B24" s="11" t="s">
        <v>972</v>
      </c>
      <c r="C24" s="12">
        <v>1956</v>
      </c>
      <c r="D24" s="12">
        <v>66</v>
      </c>
      <c r="E24" s="12">
        <v>80</v>
      </c>
      <c r="F24" s="12">
        <v>67</v>
      </c>
      <c r="G24" s="12">
        <v>49</v>
      </c>
      <c r="H24" s="12">
        <v>58</v>
      </c>
      <c r="I24" s="12">
        <v>74</v>
      </c>
      <c r="J24" s="12">
        <v>16</v>
      </c>
      <c r="K24" s="12">
        <v>47</v>
      </c>
      <c r="L24" s="12">
        <v>45</v>
      </c>
      <c r="M24" s="12">
        <v>72</v>
      </c>
      <c r="N24" s="12">
        <v>89</v>
      </c>
      <c r="O24" s="12">
        <v>101</v>
      </c>
      <c r="P24" s="12">
        <v>86</v>
      </c>
      <c r="Q24" s="12">
        <v>83</v>
      </c>
      <c r="R24" s="12">
        <v>26</v>
      </c>
      <c r="S24" s="12">
        <v>51</v>
      </c>
      <c r="T24" s="12">
        <v>48</v>
      </c>
      <c r="U24" s="12">
        <v>45</v>
      </c>
      <c r="V24" s="12">
        <v>87</v>
      </c>
      <c r="W24" s="12">
        <v>43</v>
      </c>
      <c r="X24" s="12">
        <v>47</v>
      </c>
      <c r="Y24" s="12">
        <v>73</v>
      </c>
      <c r="Z24" s="12">
        <v>79</v>
      </c>
      <c r="AA24" s="12">
        <v>59</v>
      </c>
      <c r="AB24" s="12">
        <v>116</v>
      </c>
      <c r="AC24" s="12">
        <v>89</v>
      </c>
      <c r="AD24" s="12">
        <v>85</v>
      </c>
      <c r="AE24" s="12">
        <v>23</v>
      </c>
      <c r="AF24" s="12">
        <v>51</v>
      </c>
    </row>
    <row r="25" spans="1:32" ht="60.95">
      <c r="A25" s="20"/>
      <c r="B25" s="13" t="s">
        <v>973</v>
      </c>
      <c r="C25" s="14">
        <v>7.0000000000000007E-2</v>
      </c>
      <c r="D25" s="14">
        <v>7.0000000000000007E-2</v>
      </c>
      <c r="E25" s="14">
        <v>0.08</v>
      </c>
      <c r="F25" s="14">
        <v>7.0000000000000007E-2</v>
      </c>
      <c r="G25" s="14">
        <v>0.05</v>
      </c>
      <c r="H25" s="14">
        <v>0.05</v>
      </c>
      <c r="I25" s="14">
        <v>0.05</v>
      </c>
      <c r="J25" s="14">
        <v>0.06</v>
      </c>
      <c r="K25" s="14">
        <v>0.05</v>
      </c>
      <c r="L25" s="14">
        <v>0.05</v>
      </c>
      <c r="M25" s="14">
        <v>7.0000000000000007E-2</v>
      </c>
      <c r="N25" s="14">
        <v>0.09</v>
      </c>
      <c r="O25" s="14">
        <v>0.1</v>
      </c>
      <c r="P25" s="14">
        <v>0.08</v>
      </c>
      <c r="Q25" s="14">
        <v>0.08</v>
      </c>
      <c r="R25" s="14">
        <v>0.05</v>
      </c>
      <c r="S25" s="14">
        <v>0.05</v>
      </c>
      <c r="T25" s="14">
        <v>0.05</v>
      </c>
      <c r="U25" s="14">
        <v>0.09</v>
      </c>
      <c r="V25" s="14">
        <v>0.09</v>
      </c>
      <c r="W25" s="14">
        <v>0.08</v>
      </c>
      <c r="X25" s="14">
        <v>0.05</v>
      </c>
      <c r="Y25" s="14">
        <v>7.0000000000000007E-2</v>
      </c>
      <c r="Z25" s="14">
        <v>0.08</v>
      </c>
      <c r="AA25" s="14">
        <v>0.06</v>
      </c>
      <c r="AB25" s="14">
        <v>0.11</v>
      </c>
      <c r="AC25" s="14">
        <v>0.09</v>
      </c>
      <c r="AD25" s="14">
        <v>0.08</v>
      </c>
      <c r="AE25" s="14">
        <v>0.02</v>
      </c>
      <c r="AF25" s="14">
        <v>0.05</v>
      </c>
    </row>
    <row r="26" spans="1:32" ht="72.95">
      <c r="A26" s="20"/>
      <c r="B26" s="11" t="s">
        <v>974</v>
      </c>
      <c r="C26" s="12">
        <v>3640</v>
      </c>
      <c r="D26" s="12">
        <v>183</v>
      </c>
      <c r="E26" s="12">
        <v>138</v>
      </c>
      <c r="F26" s="12">
        <v>138</v>
      </c>
      <c r="G26" s="12">
        <v>156</v>
      </c>
      <c r="H26" s="12">
        <v>190</v>
      </c>
      <c r="I26" s="12">
        <v>235</v>
      </c>
      <c r="J26" s="12">
        <v>45</v>
      </c>
      <c r="K26" s="12">
        <v>131</v>
      </c>
      <c r="L26" s="12">
        <v>170</v>
      </c>
      <c r="M26" s="12">
        <v>135</v>
      </c>
      <c r="N26" s="12">
        <v>100</v>
      </c>
      <c r="O26" s="12">
        <v>154</v>
      </c>
      <c r="P26" s="12">
        <v>146</v>
      </c>
      <c r="Q26" s="12">
        <v>131</v>
      </c>
      <c r="R26" s="12">
        <v>74</v>
      </c>
      <c r="S26" s="12">
        <v>78</v>
      </c>
      <c r="T26" s="12">
        <v>97</v>
      </c>
      <c r="U26" s="12">
        <v>52</v>
      </c>
      <c r="V26" s="12">
        <v>145</v>
      </c>
      <c r="W26" s="12">
        <v>60</v>
      </c>
      <c r="X26" s="12">
        <v>206</v>
      </c>
      <c r="Y26" s="12">
        <v>96</v>
      </c>
      <c r="Z26" s="12">
        <v>107</v>
      </c>
      <c r="AA26" s="12">
        <v>140</v>
      </c>
      <c r="AB26" s="12">
        <v>105</v>
      </c>
      <c r="AC26" s="12">
        <v>97</v>
      </c>
      <c r="AD26" s="12">
        <v>176</v>
      </c>
      <c r="AE26" s="12">
        <v>177</v>
      </c>
      <c r="AF26" s="12">
        <v>175</v>
      </c>
    </row>
    <row r="27" spans="1:32" ht="60.95">
      <c r="A27" s="20"/>
      <c r="B27" s="13" t="s">
        <v>975</v>
      </c>
      <c r="C27" s="14">
        <v>0.14000000000000001</v>
      </c>
      <c r="D27" s="14">
        <v>0.18</v>
      </c>
      <c r="E27" s="14">
        <v>0.14000000000000001</v>
      </c>
      <c r="F27" s="14">
        <v>0.14000000000000001</v>
      </c>
      <c r="G27" s="14">
        <v>0.16</v>
      </c>
      <c r="H27" s="14">
        <v>0.16</v>
      </c>
      <c r="I27" s="14">
        <v>0.16</v>
      </c>
      <c r="J27" s="14">
        <v>0.15</v>
      </c>
      <c r="K27" s="14">
        <v>0.13</v>
      </c>
      <c r="L27" s="14">
        <v>0.17</v>
      </c>
      <c r="M27" s="14">
        <v>0.14000000000000001</v>
      </c>
      <c r="N27" s="14">
        <v>0.1</v>
      </c>
      <c r="O27" s="14">
        <v>0.15</v>
      </c>
      <c r="P27" s="14">
        <v>0.14000000000000001</v>
      </c>
      <c r="Q27" s="14">
        <v>0.13</v>
      </c>
      <c r="R27" s="14">
        <v>0.15</v>
      </c>
      <c r="S27" s="14">
        <v>0.08</v>
      </c>
      <c r="T27" s="14">
        <v>0.1</v>
      </c>
      <c r="U27" s="14">
        <v>0.1</v>
      </c>
      <c r="V27" s="14">
        <v>0.14000000000000001</v>
      </c>
      <c r="W27" s="14">
        <v>0.12</v>
      </c>
      <c r="X27" s="14">
        <v>0.2</v>
      </c>
      <c r="Y27" s="14">
        <v>0.1</v>
      </c>
      <c r="Z27" s="14">
        <v>0.11</v>
      </c>
      <c r="AA27" s="14">
        <v>0.13</v>
      </c>
      <c r="AB27" s="14">
        <v>0.1</v>
      </c>
      <c r="AC27" s="14">
        <v>0.1</v>
      </c>
      <c r="AD27" s="14">
        <v>0.18</v>
      </c>
      <c r="AE27" s="14">
        <v>0.18</v>
      </c>
      <c r="AF27" s="14">
        <v>0.17</v>
      </c>
    </row>
    <row r="28" spans="1:32" ht="60.95">
      <c r="A28" s="20"/>
      <c r="B28" s="11" t="s">
        <v>976</v>
      </c>
      <c r="C28" s="12">
        <v>4797</v>
      </c>
      <c r="D28" s="12">
        <v>195</v>
      </c>
      <c r="E28" s="12">
        <v>178</v>
      </c>
      <c r="F28" s="12">
        <v>137</v>
      </c>
      <c r="G28" s="12">
        <v>271</v>
      </c>
      <c r="H28" s="12">
        <v>268</v>
      </c>
      <c r="I28" s="12">
        <v>327</v>
      </c>
      <c r="J28" s="12">
        <v>59</v>
      </c>
      <c r="K28" s="12">
        <v>184</v>
      </c>
      <c r="L28" s="12">
        <v>166</v>
      </c>
      <c r="M28" s="12">
        <v>164</v>
      </c>
      <c r="N28" s="12">
        <v>178</v>
      </c>
      <c r="O28" s="12">
        <v>184</v>
      </c>
      <c r="P28" s="12">
        <v>195</v>
      </c>
      <c r="Q28" s="12">
        <v>130</v>
      </c>
      <c r="R28" s="12">
        <v>103</v>
      </c>
      <c r="S28" s="12">
        <v>122</v>
      </c>
      <c r="T28" s="12">
        <v>152</v>
      </c>
      <c r="U28" s="12">
        <v>112</v>
      </c>
      <c r="V28" s="12">
        <v>147</v>
      </c>
      <c r="W28" s="12">
        <v>59</v>
      </c>
      <c r="X28" s="12">
        <v>302</v>
      </c>
      <c r="Y28" s="12">
        <v>154</v>
      </c>
      <c r="Z28" s="12">
        <v>133</v>
      </c>
      <c r="AA28" s="12">
        <v>167</v>
      </c>
      <c r="AB28" s="12">
        <v>121</v>
      </c>
      <c r="AC28" s="12">
        <v>162</v>
      </c>
      <c r="AD28" s="12">
        <v>165</v>
      </c>
      <c r="AE28" s="12">
        <v>319</v>
      </c>
      <c r="AF28" s="12">
        <v>410</v>
      </c>
    </row>
    <row r="29" spans="1:32" ht="48.95">
      <c r="A29" s="20"/>
      <c r="B29" s="13" t="s">
        <v>977</v>
      </c>
      <c r="C29" s="14">
        <v>0.18</v>
      </c>
      <c r="D29" s="14">
        <v>0.2</v>
      </c>
      <c r="E29" s="14">
        <v>0.18</v>
      </c>
      <c r="F29" s="14">
        <v>0.14000000000000001</v>
      </c>
      <c r="G29" s="14">
        <v>0.27</v>
      </c>
      <c r="H29" s="14">
        <v>0.22</v>
      </c>
      <c r="I29" s="14">
        <v>0.22</v>
      </c>
      <c r="J29" s="14">
        <v>0.2</v>
      </c>
      <c r="K29" s="14">
        <v>0.18</v>
      </c>
      <c r="L29" s="14">
        <v>0.17</v>
      </c>
      <c r="M29" s="14">
        <v>0.16</v>
      </c>
      <c r="N29" s="14">
        <v>0.18</v>
      </c>
      <c r="O29" s="14">
        <v>0.18</v>
      </c>
      <c r="P29" s="14">
        <v>0.19</v>
      </c>
      <c r="Q29" s="14">
        <v>0.13</v>
      </c>
      <c r="R29" s="14">
        <v>0.21</v>
      </c>
      <c r="S29" s="14">
        <v>0.12</v>
      </c>
      <c r="T29" s="14">
        <v>0.15</v>
      </c>
      <c r="U29" s="14">
        <v>0.22</v>
      </c>
      <c r="V29" s="14">
        <v>0.14000000000000001</v>
      </c>
      <c r="W29" s="14">
        <v>0.12</v>
      </c>
      <c r="X29" s="14">
        <v>0.3</v>
      </c>
      <c r="Y29" s="14">
        <v>0.15</v>
      </c>
      <c r="Z29" s="14">
        <v>0.13</v>
      </c>
      <c r="AA29" s="14">
        <v>0.16</v>
      </c>
      <c r="AB29" s="14">
        <v>0.12</v>
      </c>
      <c r="AC29" s="14">
        <v>0.16</v>
      </c>
      <c r="AD29" s="14">
        <v>0.16</v>
      </c>
      <c r="AE29" s="14">
        <v>0.32</v>
      </c>
      <c r="AF29" s="14">
        <v>0.4</v>
      </c>
    </row>
    <row r="30" spans="1:32" ht="60.95">
      <c r="A30" s="20"/>
      <c r="B30" s="11" t="s">
        <v>978</v>
      </c>
      <c r="C30" s="12">
        <v>1745</v>
      </c>
      <c r="D30" s="12">
        <v>64</v>
      </c>
      <c r="E30" s="12">
        <v>68</v>
      </c>
      <c r="F30" s="12">
        <v>84</v>
      </c>
      <c r="G30" s="12">
        <v>67</v>
      </c>
      <c r="H30" s="12">
        <v>58</v>
      </c>
      <c r="I30" s="12">
        <v>78</v>
      </c>
      <c r="J30" s="12">
        <v>21</v>
      </c>
      <c r="K30" s="12">
        <v>89</v>
      </c>
      <c r="L30" s="12">
        <v>73</v>
      </c>
      <c r="M30" s="12">
        <v>146</v>
      </c>
      <c r="N30" s="12">
        <v>68</v>
      </c>
      <c r="O30" s="12">
        <v>60</v>
      </c>
      <c r="P30" s="12">
        <v>67</v>
      </c>
      <c r="Q30" s="12">
        <v>78</v>
      </c>
      <c r="R30" s="12">
        <v>56</v>
      </c>
      <c r="S30" s="12">
        <v>63</v>
      </c>
      <c r="T30" s="12">
        <v>131</v>
      </c>
      <c r="U30" s="12">
        <v>31</v>
      </c>
      <c r="V30" s="12">
        <v>63</v>
      </c>
      <c r="W30" s="12">
        <v>26</v>
      </c>
      <c r="X30" s="12">
        <v>54</v>
      </c>
      <c r="Y30" s="12">
        <v>68</v>
      </c>
      <c r="Z30" s="12">
        <v>80</v>
      </c>
      <c r="AA30" s="12">
        <v>42</v>
      </c>
      <c r="AB30" s="12">
        <v>71</v>
      </c>
      <c r="AC30" s="12">
        <v>70</v>
      </c>
      <c r="AD30" s="12">
        <v>96</v>
      </c>
      <c r="AE30" s="12">
        <v>24</v>
      </c>
      <c r="AF30" s="12">
        <v>51</v>
      </c>
    </row>
    <row r="31" spans="1:32" ht="48.95">
      <c r="A31" s="20"/>
      <c r="B31" s="13" t="s">
        <v>979</v>
      </c>
      <c r="C31" s="14">
        <v>7.0000000000000007E-2</v>
      </c>
      <c r="D31" s="14">
        <v>0.06</v>
      </c>
      <c r="E31" s="14">
        <v>7.0000000000000007E-2</v>
      </c>
      <c r="F31" s="14">
        <v>0.08</v>
      </c>
      <c r="G31" s="14">
        <v>7.0000000000000007E-2</v>
      </c>
      <c r="H31" s="14">
        <v>0.05</v>
      </c>
      <c r="I31" s="14">
        <v>0.05</v>
      </c>
      <c r="J31" s="14">
        <v>7.0000000000000007E-2</v>
      </c>
      <c r="K31" s="14">
        <v>0.09</v>
      </c>
      <c r="L31" s="14">
        <v>7.0000000000000007E-2</v>
      </c>
      <c r="M31" s="14">
        <v>0.15</v>
      </c>
      <c r="N31" s="14">
        <v>7.0000000000000007E-2</v>
      </c>
      <c r="O31" s="14">
        <v>0.06</v>
      </c>
      <c r="P31" s="14">
        <v>7.0000000000000007E-2</v>
      </c>
      <c r="Q31" s="14">
        <v>0.08</v>
      </c>
      <c r="R31" s="14">
        <v>0.11</v>
      </c>
      <c r="S31" s="14">
        <v>0.06</v>
      </c>
      <c r="T31" s="14">
        <v>0.13</v>
      </c>
      <c r="U31" s="14">
        <v>0.06</v>
      </c>
      <c r="V31" s="14">
        <v>0.06</v>
      </c>
      <c r="W31" s="14">
        <v>0.05</v>
      </c>
      <c r="X31" s="14">
        <v>0.05</v>
      </c>
      <c r="Y31" s="14">
        <v>7.0000000000000007E-2</v>
      </c>
      <c r="Z31" s="14">
        <v>0.08</v>
      </c>
      <c r="AA31" s="14">
        <v>0.04</v>
      </c>
      <c r="AB31" s="14">
        <v>7.0000000000000007E-2</v>
      </c>
      <c r="AC31" s="14">
        <v>7.0000000000000007E-2</v>
      </c>
      <c r="AD31" s="14">
        <v>0.1</v>
      </c>
      <c r="AE31" s="14">
        <v>0.02</v>
      </c>
      <c r="AF31" s="14">
        <v>0.05</v>
      </c>
    </row>
    <row r="32" spans="1:32">
      <c r="A32" s="20"/>
      <c r="B32" s="11" t="s">
        <v>519</v>
      </c>
      <c r="C32" s="12">
        <v>130</v>
      </c>
      <c r="D32" s="12">
        <v>1</v>
      </c>
      <c r="E32" s="12">
        <v>3</v>
      </c>
      <c r="F32" s="12">
        <v>4</v>
      </c>
      <c r="G32" s="12">
        <v>1</v>
      </c>
      <c r="H32" s="12">
        <v>12</v>
      </c>
      <c r="I32" s="12">
        <v>14</v>
      </c>
      <c r="J32" s="12">
        <v>2</v>
      </c>
      <c r="K32" s="12">
        <v>19</v>
      </c>
      <c r="L32" s="12">
        <v>2</v>
      </c>
      <c r="M32" s="12">
        <v>4</v>
      </c>
      <c r="N32" s="12">
        <v>5</v>
      </c>
      <c r="O32" s="12">
        <v>3</v>
      </c>
      <c r="P32" s="12">
        <v>2</v>
      </c>
      <c r="Q32" s="12">
        <v>2</v>
      </c>
      <c r="R32" s="12">
        <v>0</v>
      </c>
      <c r="S32" s="12">
        <v>21</v>
      </c>
      <c r="T32" s="12">
        <v>5</v>
      </c>
      <c r="U32" s="12">
        <v>1</v>
      </c>
      <c r="V32" s="12">
        <v>0</v>
      </c>
      <c r="W32" s="12">
        <v>0</v>
      </c>
      <c r="X32" s="12">
        <v>3</v>
      </c>
      <c r="Y32" s="12">
        <v>23</v>
      </c>
      <c r="Z32" s="12">
        <v>1</v>
      </c>
      <c r="AA32" s="12">
        <v>10</v>
      </c>
      <c r="AB32" s="12">
        <v>9</v>
      </c>
      <c r="AC32" s="12">
        <v>4</v>
      </c>
      <c r="AD32" s="12">
        <v>0</v>
      </c>
      <c r="AE32" s="12">
        <v>1</v>
      </c>
      <c r="AF32" s="12">
        <v>3</v>
      </c>
    </row>
    <row r="33" spans="1:32">
      <c r="A33" s="20"/>
      <c r="B33" s="13" t="s">
        <v>520</v>
      </c>
      <c r="C33" s="15" t="s">
        <v>459</v>
      </c>
      <c r="D33" s="15" t="s">
        <v>459</v>
      </c>
      <c r="E33" s="15" t="s">
        <v>459</v>
      </c>
      <c r="F33" s="15" t="s">
        <v>459</v>
      </c>
      <c r="G33" s="15" t="s">
        <v>459</v>
      </c>
      <c r="H33" s="14">
        <v>0.01</v>
      </c>
      <c r="I33" s="14">
        <v>0.01</v>
      </c>
      <c r="J33" s="14">
        <v>0.01</v>
      </c>
      <c r="K33" s="14">
        <v>0.02</v>
      </c>
      <c r="L33" s="15" t="s">
        <v>459</v>
      </c>
      <c r="M33" s="15" t="s">
        <v>459</v>
      </c>
      <c r="N33" s="15" t="s">
        <v>459</v>
      </c>
      <c r="O33" s="15" t="s">
        <v>459</v>
      </c>
      <c r="P33" s="15" t="s">
        <v>459</v>
      </c>
      <c r="Q33" s="15" t="s">
        <v>459</v>
      </c>
      <c r="R33" s="15" t="s">
        <v>459</v>
      </c>
      <c r="S33" s="14">
        <v>0.02</v>
      </c>
      <c r="T33" s="14">
        <v>0.01</v>
      </c>
      <c r="U33" s="15" t="s">
        <v>459</v>
      </c>
      <c r="V33" s="15" t="s">
        <v>459</v>
      </c>
      <c r="W33" s="15" t="s">
        <v>459</v>
      </c>
      <c r="X33" s="15" t="s">
        <v>459</v>
      </c>
      <c r="Y33" s="14">
        <v>0.02</v>
      </c>
      <c r="Z33" s="15" t="s">
        <v>459</v>
      </c>
      <c r="AA33" s="14">
        <v>0.01</v>
      </c>
      <c r="AB33" s="14">
        <v>0.01</v>
      </c>
      <c r="AC33" s="15" t="s">
        <v>459</v>
      </c>
      <c r="AD33" s="15" t="s">
        <v>459</v>
      </c>
      <c r="AE33" s="15" t="s">
        <v>459</v>
      </c>
      <c r="AF33" s="15" t="s">
        <v>459</v>
      </c>
    </row>
    <row r="34" spans="1:32" ht="24.95">
      <c r="A34" s="20"/>
      <c r="B34" s="11" t="s">
        <v>551</v>
      </c>
      <c r="C34" s="12">
        <v>944</v>
      </c>
      <c r="D34" s="12">
        <v>15</v>
      </c>
      <c r="E34" s="12">
        <v>25</v>
      </c>
      <c r="F34" s="12">
        <v>43</v>
      </c>
      <c r="G34" s="12">
        <v>19</v>
      </c>
      <c r="H34" s="12">
        <v>59</v>
      </c>
      <c r="I34" s="12">
        <v>66</v>
      </c>
      <c r="J34" s="12">
        <v>7</v>
      </c>
      <c r="K34" s="12">
        <v>43</v>
      </c>
      <c r="L34" s="12">
        <v>21</v>
      </c>
      <c r="M34" s="12">
        <v>8</v>
      </c>
      <c r="N34" s="12">
        <v>32</v>
      </c>
      <c r="O34" s="12">
        <v>69</v>
      </c>
      <c r="P34" s="12">
        <v>7</v>
      </c>
      <c r="Q34" s="12">
        <v>25</v>
      </c>
      <c r="R34" s="12">
        <v>12</v>
      </c>
      <c r="S34" s="12">
        <v>32</v>
      </c>
      <c r="T34" s="12">
        <v>42</v>
      </c>
      <c r="U34" s="12">
        <v>28</v>
      </c>
      <c r="V34" s="12">
        <v>11</v>
      </c>
      <c r="W34" s="12">
        <v>4</v>
      </c>
      <c r="X34" s="12">
        <v>28</v>
      </c>
      <c r="Y34" s="12">
        <v>124</v>
      </c>
      <c r="Z34" s="12">
        <v>17</v>
      </c>
      <c r="AA34" s="12">
        <v>25</v>
      </c>
      <c r="AB34" s="12">
        <v>23</v>
      </c>
      <c r="AC34" s="12">
        <v>59</v>
      </c>
      <c r="AD34" s="12">
        <v>10</v>
      </c>
      <c r="AE34" s="12">
        <v>17</v>
      </c>
      <c r="AF34" s="12">
        <v>4</v>
      </c>
    </row>
    <row r="35" spans="1:32">
      <c r="A35" s="20"/>
      <c r="B35" s="13" t="s">
        <v>522</v>
      </c>
      <c r="C35" s="14">
        <v>0.03</v>
      </c>
      <c r="D35" s="14">
        <v>0.02</v>
      </c>
      <c r="E35" s="14">
        <v>0.02</v>
      </c>
      <c r="F35" s="14">
        <v>0.04</v>
      </c>
      <c r="G35" s="14">
        <v>0.02</v>
      </c>
      <c r="H35" s="14">
        <v>0.05</v>
      </c>
      <c r="I35" s="14">
        <v>0.04</v>
      </c>
      <c r="J35" s="14">
        <v>0.02</v>
      </c>
      <c r="K35" s="14">
        <v>0.04</v>
      </c>
      <c r="L35" s="14">
        <v>0.02</v>
      </c>
      <c r="M35" s="14">
        <v>0.01</v>
      </c>
      <c r="N35" s="14">
        <v>0.03</v>
      </c>
      <c r="O35" s="14">
        <v>7.0000000000000007E-2</v>
      </c>
      <c r="P35" s="14">
        <v>0.01</v>
      </c>
      <c r="Q35" s="14">
        <v>0.02</v>
      </c>
      <c r="R35" s="14">
        <v>0.03</v>
      </c>
      <c r="S35" s="14">
        <v>0.03</v>
      </c>
      <c r="T35" s="14">
        <v>0.04</v>
      </c>
      <c r="U35" s="14">
        <v>0.06</v>
      </c>
      <c r="V35" s="14">
        <v>0.01</v>
      </c>
      <c r="W35" s="14">
        <v>0.01</v>
      </c>
      <c r="X35" s="14">
        <v>0.03</v>
      </c>
      <c r="Y35" s="14">
        <v>0.12</v>
      </c>
      <c r="Z35" s="14">
        <v>0.02</v>
      </c>
      <c r="AA35" s="14">
        <v>0.02</v>
      </c>
      <c r="AB35" s="14">
        <v>0.02</v>
      </c>
      <c r="AC35" s="14">
        <v>0.06</v>
      </c>
      <c r="AD35" s="14">
        <v>0.01</v>
      </c>
      <c r="AE35" s="14">
        <v>0.02</v>
      </c>
      <c r="AF35" s="14">
        <v>0.01</v>
      </c>
    </row>
    <row r="36" spans="1:32">
      <c r="A36" s="20"/>
      <c r="B36" s="11" t="s">
        <v>468</v>
      </c>
      <c r="C36" s="12">
        <v>1243</v>
      </c>
      <c r="D36" s="12">
        <v>21</v>
      </c>
      <c r="E36" s="12">
        <v>43</v>
      </c>
      <c r="F36" s="12">
        <v>82</v>
      </c>
      <c r="G36" s="12">
        <v>50</v>
      </c>
      <c r="H36" s="12">
        <v>61</v>
      </c>
      <c r="I36" s="12">
        <v>68</v>
      </c>
      <c r="J36" s="12">
        <v>7</v>
      </c>
      <c r="K36" s="12">
        <v>80</v>
      </c>
      <c r="L36" s="12">
        <v>54</v>
      </c>
      <c r="M36" s="12">
        <v>14</v>
      </c>
      <c r="N36" s="12">
        <v>64</v>
      </c>
      <c r="O36" s="12">
        <v>60</v>
      </c>
      <c r="P36" s="12">
        <v>31</v>
      </c>
      <c r="Q36" s="12">
        <v>32</v>
      </c>
      <c r="R36" s="12">
        <v>31</v>
      </c>
      <c r="S36" s="12">
        <v>146</v>
      </c>
      <c r="T36" s="12">
        <v>113</v>
      </c>
      <c r="U36" s="12">
        <v>17</v>
      </c>
      <c r="V36" s="12">
        <v>52</v>
      </c>
      <c r="W36" s="12">
        <v>34</v>
      </c>
      <c r="X36" s="12">
        <v>22</v>
      </c>
      <c r="Y36" s="12">
        <v>32</v>
      </c>
      <c r="Z36" s="12">
        <v>35</v>
      </c>
      <c r="AA36" s="12">
        <v>136</v>
      </c>
      <c r="AB36" s="12">
        <v>55</v>
      </c>
      <c r="AC36" s="12">
        <v>35</v>
      </c>
      <c r="AD36" s="12">
        <v>36</v>
      </c>
      <c r="AE36" s="12">
        <v>31</v>
      </c>
      <c r="AF36" s="12">
        <v>11</v>
      </c>
    </row>
    <row r="37" spans="1:32">
      <c r="A37" s="20"/>
      <c r="B37" s="13" t="s">
        <v>469</v>
      </c>
      <c r="C37" s="14">
        <v>0.05</v>
      </c>
      <c r="D37" s="14">
        <v>0.02</v>
      </c>
      <c r="E37" s="14">
        <v>0.04</v>
      </c>
      <c r="F37" s="14">
        <v>0.08</v>
      </c>
      <c r="G37" s="14">
        <v>0.05</v>
      </c>
      <c r="H37" s="14">
        <v>0.05</v>
      </c>
      <c r="I37" s="14">
        <v>0.04</v>
      </c>
      <c r="J37" s="14">
        <v>0.02</v>
      </c>
      <c r="K37" s="14">
        <v>0.08</v>
      </c>
      <c r="L37" s="14">
        <v>0.05</v>
      </c>
      <c r="M37" s="14">
        <v>0.01</v>
      </c>
      <c r="N37" s="14">
        <v>0.06</v>
      </c>
      <c r="O37" s="14">
        <v>0.06</v>
      </c>
      <c r="P37" s="14">
        <v>0.03</v>
      </c>
      <c r="Q37" s="14">
        <v>0.03</v>
      </c>
      <c r="R37" s="14">
        <v>0.06</v>
      </c>
      <c r="S37" s="14">
        <v>0.14000000000000001</v>
      </c>
      <c r="T37" s="14">
        <v>0.11</v>
      </c>
      <c r="U37" s="14">
        <v>0.03</v>
      </c>
      <c r="V37" s="14">
        <v>0.05</v>
      </c>
      <c r="W37" s="14">
        <v>7.0000000000000007E-2</v>
      </c>
      <c r="X37" s="14">
        <v>0.02</v>
      </c>
      <c r="Y37" s="14">
        <v>0.03</v>
      </c>
      <c r="Z37" s="14">
        <v>0.03</v>
      </c>
      <c r="AA37" s="14">
        <v>0.13</v>
      </c>
      <c r="AB37" s="14">
        <v>0.05</v>
      </c>
      <c r="AC37" s="14">
        <v>0.03</v>
      </c>
      <c r="AD37" s="14">
        <v>0.04</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159</v>
      </c>
      <c r="C3" s="18"/>
      <c r="D3" s="18"/>
      <c r="E3" s="18"/>
      <c r="F3" s="18"/>
      <c r="H3" s="18" t="s">
        <v>160</v>
      </c>
      <c r="I3" s="18"/>
      <c r="J3" s="18"/>
      <c r="K3" s="18"/>
      <c r="L3" s="18"/>
    </row>
    <row r="4" spans="1:32" ht="27" customHeight="1">
      <c r="B4" s="18"/>
      <c r="C4" s="18"/>
      <c r="D4" s="18"/>
      <c r="E4" s="18"/>
      <c r="F4" s="18"/>
      <c r="H4" s="18"/>
      <c r="I4" s="18"/>
      <c r="J4" s="18"/>
      <c r="K4" s="18"/>
      <c r="L4" s="18"/>
    </row>
    <row r="5" spans="1:32" ht="24" customHeight="1">
      <c r="B5" s="18" t="s">
        <v>980</v>
      </c>
      <c r="C5" s="18"/>
      <c r="D5" s="18"/>
      <c r="E5" s="18"/>
      <c r="F5" s="18"/>
      <c r="H5" s="18" t="s">
        <v>981</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24132</v>
      </c>
      <c r="D10" s="10">
        <v>967</v>
      </c>
      <c r="E10" s="10">
        <v>950</v>
      </c>
      <c r="F10" s="10">
        <v>880</v>
      </c>
      <c r="G10" s="10">
        <v>935</v>
      </c>
      <c r="H10" s="10">
        <v>1096</v>
      </c>
      <c r="I10" s="10">
        <v>1377</v>
      </c>
      <c r="J10" s="10">
        <v>280</v>
      </c>
      <c r="K10" s="10">
        <v>884</v>
      </c>
      <c r="L10" s="10">
        <v>931</v>
      </c>
      <c r="M10" s="10">
        <v>981</v>
      </c>
      <c r="N10" s="10">
        <v>908</v>
      </c>
      <c r="O10" s="10">
        <v>873</v>
      </c>
      <c r="P10" s="10">
        <v>984</v>
      </c>
      <c r="Q10" s="10">
        <v>962</v>
      </c>
      <c r="R10" s="10">
        <v>457</v>
      </c>
      <c r="S10" s="10">
        <v>830</v>
      </c>
      <c r="T10" s="10">
        <v>859</v>
      </c>
      <c r="U10" s="10">
        <v>463</v>
      </c>
      <c r="V10" s="10">
        <v>955</v>
      </c>
      <c r="W10" s="10">
        <v>465</v>
      </c>
      <c r="X10" s="10">
        <v>971</v>
      </c>
      <c r="Y10" s="10">
        <v>853</v>
      </c>
      <c r="Z10" s="10">
        <v>956</v>
      </c>
      <c r="AA10" s="10">
        <v>892</v>
      </c>
      <c r="AB10" s="10">
        <v>961</v>
      </c>
      <c r="AC10" s="10">
        <v>916</v>
      </c>
      <c r="AD10" s="10">
        <v>960</v>
      </c>
      <c r="AE10" s="10">
        <v>953</v>
      </c>
      <c r="AF10" s="10">
        <v>1005</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960</v>
      </c>
      <c r="C12" s="12">
        <v>4312</v>
      </c>
      <c r="D12" s="12">
        <v>169</v>
      </c>
      <c r="E12" s="12">
        <v>173</v>
      </c>
      <c r="F12" s="12">
        <v>166</v>
      </c>
      <c r="G12" s="12">
        <v>155</v>
      </c>
      <c r="H12" s="12">
        <v>220</v>
      </c>
      <c r="I12" s="12">
        <v>272</v>
      </c>
      <c r="J12" s="12">
        <v>52</v>
      </c>
      <c r="K12" s="12">
        <v>122</v>
      </c>
      <c r="L12" s="12">
        <v>178</v>
      </c>
      <c r="M12" s="12">
        <v>219</v>
      </c>
      <c r="N12" s="12">
        <v>181</v>
      </c>
      <c r="O12" s="12">
        <v>112</v>
      </c>
      <c r="P12" s="12">
        <v>210</v>
      </c>
      <c r="Q12" s="12">
        <v>186</v>
      </c>
      <c r="R12" s="12">
        <v>76</v>
      </c>
      <c r="S12" s="12">
        <v>82</v>
      </c>
      <c r="T12" s="12">
        <v>164</v>
      </c>
      <c r="U12" s="12">
        <v>47</v>
      </c>
      <c r="V12" s="12">
        <v>215</v>
      </c>
      <c r="W12" s="12">
        <v>84</v>
      </c>
      <c r="X12" s="12">
        <v>164</v>
      </c>
      <c r="Y12" s="12">
        <v>167</v>
      </c>
      <c r="Z12" s="12">
        <v>144</v>
      </c>
      <c r="AA12" s="12">
        <v>209</v>
      </c>
      <c r="AB12" s="12">
        <v>145</v>
      </c>
      <c r="AC12" s="12">
        <v>142</v>
      </c>
      <c r="AD12" s="12">
        <v>147</v>
      </c>
      <c r="AE12" s="12">
        <v>178</v>
      </c>
      <c r="AF12" s="12">
        <v>173</v>
      </c>
    </row>
    <row r="13" spans="1:32" ht="36.950000000000003">
      <c r="A13" s="20"/>
      <c r="B13" s="13" t="s">
        <v>961</v>
      </c>
      <c r="C13" s="14">
        <v>0.19</v>
      </c>
      <c r="D13" s="14">
        <v>0.19</v>
      </c>
      <c r="E13" s="14">
        <v>0.2</v>
      </c>
      <c r="F13" s="14">
        <v>0.2</v>
      </c>
      <c r="G13" s="14">
        <v>0.17</v>
      </c>
      <c r="H13" s="14">
        <v>0.22</v>
      </c>
      <c r="I13" s="14">
        <v>0.22</v>
      </c>
      <c r="J13" s="14">
        <v>0.2</v>
      </c>
      <c r="K13" s="14">
        <v>0.15</v>
      </c>
      <c r="L13" s="14">
        <v>0.21</v>
      </c>
      <c r="M13" s="14">
        <v>0.24</v>
      </c>
      <c r="N13" s="14">
        <v>0.22</v>
      </c>
      <c r="O13" s="14">
        <v>0.14000000000000001</v>
      </c>
      <c r="P13" s="14">
        <v>0.23</v>
      </c>
      <c r="Q13" s="14">
        <v>0.22</v>
      </c>
      <c r="R13" s="14">
        <v>0.18</v>
      </c>
      <c r="S13" s="14">
        <v>0.11</v>
      </c>
      <c r="T13" s="14">
        <v>0.2</v>
      </c>
      <c r="U13" s="14">
        <v>0.11</v>
      </c>
      <c r="V13" s="14">
        <v>0.24</v>
      </c>
      <c r="W13" s="14">
        <v>0.2</v>
      </c>
      <c r="X13" s="14">
        <v>0.18</v>
      </c>
      <c r="Y13" s="14">
        <v>0.21</v>
      </c>
      <c r="Z13" s="14">
        <v>0.17</v>
      </c>
      <c r="AA13" s="14">
        <v>0.26</v>
      </c>
      <c r="AB13" s="14">
        <v>0.16</v>
      </c>
      <c r="AC13" s="14">
        <v>0.17</v>
      </c>
      <c r="AD13" s="14">
        <v>0.16</v>
      </c>
      <c r="AE13" s="14">
        <v>0.2</v>
      </c>
      <c r="AF13" s="14">
        <v>0.18</v>
      </c>
    </row>
    <row r="14" spans="1:32" ht="48.95">
      <c r="A14" s="20"/>
      <c r="B14" s="11" t="s">
        <v>962</v>
      </c>
      <c r="C14" s="12">
        <v>6716</v>
      </c>
      <c r="D14" s="12">
        <v>233</v>
      </c>
      <c r="E14" s="12">
        <v>233</v>
      </c>
      <c r="F14" s="12">
        <v>240</v>
      </c>
      <c r="G14" s="12">
        <v>293</v>
      </c>
      <c r="H14" s="12">
        <v>352</v>
      </c>
      <c r="I14" s="12">
        <v>432</v>
      </c>
      <c r="J14" s="12">
        <v>79</v>
      </c>
      <c r="K14" s="12">
        <v>237</v>
      </c>
      <c r="L14" s="12">
        <v>247</v>
      </c>
      <c r="M14" s="12">
        <v>322</v>
      </c>
      <c r="N14" s="12">
        <v>246</v>
      </c>
      <c r="O14" s="12">
        <v>253</v>
      </c>
      <c r="P14" s="12">
        <v>203</v>
      </c>
      <c r="Q14" s="12">
        <v>263</v>
      </c>
      <c r="R14" s="12">
        <v>147</v>
      </c>
      <c r="S14" s="12">
        <v>108</v>
      </c>
      <c r="T14" s="12">
        <v>186</v>
      </c>
      <c r="U14" s="12">
        <v>106</v>
      </c>
      <c r="V14" s="12">
        <v>249</v>
      </c>
      <c r="W14" s="12">
        <v>101</v>
      </c>
      <c r="X14" s="12">
        <v>323</v>
      </c>
      <c r="Y14" s="12">
        <v>249</v>
      </c>
      <c r="Z14" s="12">
        <v>179</v>
      </c>
      <c r="AA14" s="12">
        <v>304</v>
      </c>
      <c r="AB14" s="12">
        <v>186</v>
      </c>
      <c r="AC14" s="12">
        <v>218</v>
      </c>
      <c r="AD14" s="12">
        <v>283</v>
      </c>
      <c r="AE14" s="12">
        <v>350</v>
      </c>
      <c r="AF14" s="12">
        <v>342</v>
      </c>
    </row>
    <row r="15" spans="1:32" ht="48.95">
      <c r="A15" s="20"/>
      <c r="B15" s="13" t="s">
        <v>963</v>
      </c>
      <c r="C15" s="14">
        <v>0.32</v>
      </c>
      <c r="D15" s="14">
        <v>0.28000000000000003</v>
      </c>
      <c r="E15" s="14">
        <v>0.27</v>
      </c>
      <c r="F15" s="14">
        <v>0.32</v>
      </c>
      <c r="G15" s="14">
        <v>0.36</v>
      </c>
      <c r="H15" s="14">
        <v>0.38</v>
      </c>
      <c r="I15" s="14">
        <v>0.38</v>
      </c>
      <c r="J15" s="14">
        <v>0.34</v>
      </c>
      <c r="K15" s="14">
        <v>0.3</v>
      </c>
      <c r="L15" s="14">
        <v>0.3</v>
      </c>
      <c r="M15" s="14">
        <v>0.38</v>
      </c>
      <c r="N15" s="14">
        <v>0.32</v>
      </c>
      <c r="O15" s="14">
        <v>0.33</v>
      </c>
      <c r="P15" s="14">
        <v>0.22</v>
      </c>
      <c r="Q15" s="14">
        <v>0.31</v>
      </c>
      <c r="R15" s="14">
        <v>0.38</v>
      </c>
      <c r="S15" s="14">
        <v>0.15</v>
      </c>
      <c r="T15" s="14">
        <v>0.25</v>
      </c>
      <c r="U15" s="14">
        <v>0.27</v>
      </c>
      <c r="V15" s="14">
        <v>0.28999999999999998</v>
      </c>
      <c r="W15" s="14">
        <v>0.27</v>
      </c>
      <c r="X15" s="14">
        <v>0.37</v>
      </c>
      <c r="Y15" s="14">
        <v>0.34</v>
      </c>
      <c r="Z15" s="14">
        <v>0.21</v>
      </c>
      <c r="AA15" s="14">
        <v>0.41</v>
      </c>
      <c r="AB15" s="14">
        <v>0.22</v>
      </c>
      <c r="AC15" s="14">
        <v>0.27</v>
      </c>
      <c r="AD15" s="14">
        <v>0.34</v>
      </c>
      <c r="AE15" s="14">
        <v>0.46</v>
      </c>
      <c r="AF15" s="14">
        <v>0.4</v>
      </c>
    </row>
    <row r="16" spans="1:32" ht="36.950000000000003">
      <c r="A16" s="20"/>
      <c r="B16" s="11" t="s">
        <v>964</v>
      </c>
      <c r="C16" s="12">
        <v>4145</v>
      </c>
      <c r="D16" s="12">
        <v>150</v>
      </c>
      <c r="E16" s="12">
        <v>212</v>
      </c>
      <c r="F16" s="12">
        <v>150</v>
      </c>
      <c r="G16" s="12">
        <v>175</v>
      </c>
      <c r="H16" s="12">
        <v>191</v>
      </c>
      <c r="I16" s="12">
        <v>253</v>
      </c>
      <c r="J16" s="12">
        <v>62</v>
      </c>
      <c r="K16" s="12">
        <v>181</v>
      </c>
      <c r="L16" s="12">
        <v>153</v>
      </c>
      <c r="M16" s="12">
        <v>234</v>
      </c>
      <c r="N16" s="12">
        <v>134</v>
      </c>
      <c r="O16" s="12">
        <v>125</v>
      </c>
      <c r="P16" s="12">
        <v>222</v>
      </c>
      <c r="Q16" s="12">
        <v>182</v>
      </c>
      <c r="R16" s="12">
        <v>70</v>
      </c>
      <c r="S16" s="12">
        <v>148</v>
      </c>
      <c r="T16" s="12">
        <v>163</v>
      </c>
      <c r="U16" s="12">
        <v>59</v>
      </c>
      <c r="V16" s="12">
        <v>168</v>
      </c>
      <c r="W16" s="12">
        <v>64</v>
      </c>
      <c r="X16" s="12">
        <v>195</v>
      </c>
      <c r="Y16" s="12">
        <v>179</v>
      </c>
      <c r="Z16" s="12">
        <v>151</v>
      </c>
      <c r="AA16" s="12">
        <v>96</v>
      </c>
      <c r="AB16" s="12">
        <v>170</v>
      </c>
      <c r="AC16" s="12">
        <v>139</v>
      </c>
      <c r="AD16" s="12">
        <v>147</v>
      </c>
      <c r="AE16" s="12">
        <v>149</v>
      </c>
      <c r="AF16" s="12">
        <v>182</v>
      </c>
    </row>
    <row r="17" spans="1:32" ht="24.95">
      <c r="A17" s="20"/>
      <c r="B17" s="13" t="s">
        <v>965</v>
      </c>
      <c r="C17" s="14">
        <v>0.19</v>
      </c>
      <c r="D17" s="14">
        <v>0.17</v>
      </c>
      <c r="E17" s="14">
        <v>0.25</v>
      </c>
      <c r="F17" s="14">
        <v>0.19</v>
      </c>
      <c r="G17" s="14">
        <v>0.21</v>
      </c>
      <c r="H17" s="14">
        <v>0.19</v>
      </c>
      <c r="I17" s="14">
        <v>0.2</v>
      </c>
      <c r="J17" s="14">
        <v>0.24</v>
      </c>
      <c r="K17" s="14">
        <v>0.23</v>
      </c>
      <c r="L17" s="14">
        <v>0.18</v>
      </c>
      <c r="M17" s="14">
        <v>0.26</v>
      </c>
      <c r="N17" s="14">
        <v>0.16</v>
      </c>
      <c r="O17" s="14">
        <v>0.15</v>
      </c>
      <c r="P17" s="14">
        <v>0.25</v>
      </c>
      <c r="Q17" s="14">
        <v>0.2</v>
      </c>
      <c r="R17" s="14">
        <v>0.16</v>
      </c>
      <c r="S17" s="14">
        <v>0.22</v>
      </c>
      <c r="T17" s="14">
        <v>0.21</v>
      </c>
      <c r="U17" s="14">
        <v>0.14000000000000001</v>
      </c>
      <c r="V17" s="14">
        <v>0.19</v>
      </c>
      <c r="W17" s="14">
        <v>0.15</v>
      </c>
      <c r="X17" s="14">
        <v>0.21</v>
      </c>
      <c r="Y17" s="14">
        <v>0.23</v>
      </c>
      <c r="Z17" s="14">
        <v>0.18</v>
      </c>
      <c r="AA17" s="14">
        <v>0.11</v>
      </c>
      <c r="AB17" s="14">
        <v>0.2</v>
      </c>
      <c r="AC17" s="14">
        <v>0.17</v>
      </c>
      <c r="AD17" s="14">
        <v>0.16</v>
      </c>
      <c r="AE17" s="14">
        <v>0.16</v>
      </c>
      <c r="AF17" s="14">
        <v>0.19</v>
      </c>
    </row>
    <row r="18" spans="1:32" ht="60.95">
      <c r="A18" s="20"/>
      <c r="B18" s="11" t="s">
        <v>966</v>
      </c>
      <c r="C18" s="12">
        <v>4123</v>
      </c>
      <c r="D18" s="12">
        <v>148</v>
      </c>
      <c r="E18" s="12">
        <v>176</v>
      </c>
      <c r="F18" s="12">
        <v>110</v>
      </c>
      <c r="G18" s="12">
        <v>208</v>
      </c>
      <c r="H18" s="12">
        <v>147</v>
      </c>
      <c r="I18" s="12">
        <v>193</v>
      </c>
      <c r="J18" s="12">
        <v>46</v>
      </c>
      <c r="K18" s="12">
        <v>137</v>
      </c>
      <c r="L18" s="12">
        <v>205</v>
      </c>
      <c r="M18" s="12">
        <v>188</v>
      </c>
      <c r="N18" s="12">
        <v>136</v>
      </c>
      <c r="O18" s="12">
        <v>164</v>
      </c>
      <c r="P18" s="12">
        <v>213</v>
      </c>
      <c r="Q18" s="12">
        <v>175</v>
      </c>
      <c r="R18" s="12">
        <v>85</v>
      </c>
      <c r="S18" s="12">
        <v>116</v>
      </c>
      <c r="T18" s="12">
        <v>147</v>
      </c>
      <c r="U18" s="12">
        <v>59</v>
      </c>
      <c r="V18" s="12">
        <v>245</v>
      </c>
      <c r="W18" s="12">
        <v>87</v>
      </c>
      <c r="X18" s="12">
        <v>168</v>
      </c>
      <c r="Y18" s="12">
        <v>170</v>
      </c>
      <c r="Z18" s="12">
        <v>170</v>
      </c>
      <c r="AA18" s="12">
        <v>193</v>
      </c>
      <c r="AB18" s="12">
        <v>213</v>
      </c>
      <c r="AC18" s="12">
        <v>149</v>
      </c>
      <c r="AD18" s="12">
        <v>136</v>
      </c>
      <c r="AE18" s="12">
        <v>79</v>
      </c>
      <c r="AF18" s="12">
        <v>111</v>
      </c>
    </row>
    <row r="19" spans="1:32" ht="48.95">
      <c r="A19" s="20"/>
      <c r="B19" s="13" t="s">
        <v>967</v>
      </c>
      <c r="C19" s="14">
        <v>0.18</v>
      </c>
      <c r="D19" s="14">
        <v>0.17</v>
      </c>
      <c r="E19" s="14">
        <v>0.2</v>
      </c>
      <c r="F19" s="14">
        <v>0.13</v>
      </c>
      <c r="G19" s="14">
        <v>0.24</v>
      </c>
      <c r="H19" s="14">
        <v>0.14000000000000001</v>
      </c>
      <c r="I19" s="14">
        <v>0.15</v>
      </c>
      <c r="J19" s="14">
        <v>0.17</v>
      </c>
      <c r="K19" s="14">
        <v>0.17</v>
      </c>
      <c r="L19" s="14">
        <v>0.24</v>
      </c>
      <c r="M19" s="14">
        <v>0.21</v>
      </c>
      <c r="N19" s="14">
        <v>0.16</v>
      </c>
      <c r="O19" s="14">
        <v>0.2</v>
      </c>
      <c r="P19" s="14">
        <v>0.24</v>
      </c>
      <c r="Q19" s="14">
        <v>0.2</v>
      </c>
      <c r="R19" s="14">
        <v>0.2</v>
      </c>
      <c r="S19" s="14">
        <v>0.15</v>
      </c>
      <c r="T19" s="14">
        <v>0.18</v>
      </c>
      <c r="U19" s="14">
        <v>0.13</v>
      </c>
      <c r="V19" s="14">
        <v>0.28000000000000003</v>
      </c>
      <c r="W19" s="14">
        <v>0.21</v>
      </c>
      <c r="X19" s="14">
        <v>0.18</v>
      </c>
      <c r="Y19" s="14">
        <v>0.21</v>
      </c>
      <c r="Z19" s="14">
        <v>0.2</v>
      </c>
      <c r="AA19" s="14">
        <v>0.24</v>
      </c>
      <c r="AB19" s="14">
        <v>0.25</v>
      </c>
      <c r="AC19" s="14">
        <v>0.18</v>
      </c>
      <c r="AD19" s="14">
        <v>0.15</v>
      </c>
      <c r="AE19" s="14">
        <v>0.09</v>
      </c>
      <c r="AF19" s="14">
        <v>0.11</v>
      </c>
    </row>
    <row r="20" spans="1:32" ht="60.95">
      <c r="A20" s="20"/>
      <c r="B20" s="11" t="s">
        <v>968</v>
      </c>
      <c r="C20" s="12">
        <v>2967</v>
      </c>
      <c r="D20" s="12">
        <v>100</v>
      </c>
      <c r="E20" s="12">
        <v>203</v>
      </c>
      <c r="F20" s="12">
        <v>120</v>
      </c>
      <c r="G20" s="12">
        <v>79</v>
      </c>
      <c r="H20" s="12">
        <v>106</v>
      </c>
      <c r="I20" s="12">
        <v>141</v>
      </c>
      <c r="J20" s="12">
        <v>35</v>
      </c>
      <c r="K20" s="12">
        <v>111</v>
      </c>
      <c r="L20" s="12">
        <v>111</v>
      </c>
      <c r="M20" s="12">
        <v>182</v>
      </c>
      <c r="N20" s="12">
        <v>86</v>
      </c>
      <c r="O20" s="12">
        <v>72</v>
      </c>
      <c r="P20" s="12">
        <v>177</v>
      </c>
      <c r="Q20" s="12">
        <v>153</v>
      </c>
      <c r="R20" s="12">
        <v>72</v>
      </c>
      <c r="S20" s="12">
        <v>75</v>
      </c>
      <c r="T20" s="12">
        <v>115</v>
      </c>
      <c r="U20" s="12">
        <v>52</v>
      </c>
      <c r="V20" s="12">
        <v>198</v>
      </c>
      <c r="W20" s="12">
        <v>50</v>
      </c>
      <c r="X20" s="12">
        <v>90</v>
      </c>
      <c r="Y20" s="12">
        <v>130</v>
      </c>
      <c r="Z20" s="12">
        <v>149</v>
      </c>
      <c r="AA20" s="12">
        <v>130</v>
      </c>
      <c r="AB20" s="12">
        <v>144</v>
      </c>
      <c r="AC20" s="12">
        <v>94</v>
      </c>
      <c r="AD20" s="12">
        <v>176</v>
      </c>
      <c r="AE20" s="12">
        <v>77</v>
      </c>
      <c r="AF20" s="12">
        <v>91</v>
      </c>
    </row>
    <row r="21" spans="1:32" ht="48.95">
      <c r="A21" s="20"/>
      <c r="B21" s="13" t="s">
        <v>969</v>
      </c>
      <c r="C21" s="14">
        <v>0.13</v>
      </c>
      <c r="D21" s="14">
        <v>0.11</v>
      </c>
      <c r="E21" s="14">
        <v>0.24</v>
      </c>
      <c r="F21" s="14">
        <v>0.14000000000000001</v>
      </c>
      <c r="G21" s="14">
        <v>0.09</v>
      </c>
      <c r="H21" s="14">
        <v>0.1</v>
      </c>
      <c r="I21" s="14">
        <v>0.11</v>
      </c>
      <c r="J21" s="14">
        <v>0.13</v>
      </c>
      <c r="K21" s="14">
        <v>0.13</v>
      </c>
      <c r="L21" s="14">
        <v>0.12</v>
      </c>
      <c r="M21" s="14">
        <v>0.2</v>
      </c>
      <c r="N21" s="14">
        <v>0.1</v>
      </c>
      <c r="O21" s="14">
        <v>0.09</v>
      </c>
      <c r="P21" s="14">
        <v>0.2</v>
      </c>
      <c r="Q21" s="14">
        <v>0.17</v>
      </c>
      <c r="R21" s="14">
        <v>0.16</v>
      </c>
      <c r="S21" s="14">
        <v>0.1</v>
      </c>
      <c r="T21" s="14">
        <v>0.14000000000000001</v>
      </c>
      <c r="U21" s="14">
        <v>0.12</v>
      </c>
      <c r="V21" s="14">
        <v>0.23</v>
      </c>
      <c r="W21" s="14">
        <v>0.12</v>
      </c>
      <c r="X21" s="14">
        <v>0.1</v>
      </c>
      <c r="Y21" s="14">
        <v>0.17</v>
      </c>
      <c r="Z21" s="14">
        <v>0.17</v>
      </c>
      <c r="AA21" s="14">
        <v>0.16</v>
      </c>
      <c r="AB21" s="14">
        <v>0.16</v>
      </c>
      <c r="AC21" s="14">
        <v>0.11</v>
      </c>
      <c r="AD21" s="14">
        <v>0.2</v>
      </c>
      <c r="AE21" s="14">
        <v>0.08</v>
      </c>
      <c r="AF21" s="14">
        <v>0.09</v>
      </c>
    </row>
    <row r="22" spans="1:32" ht="48.95">
      <c r="A22" s="20"/>
      <c r="B22" s="11" t="s">
        <v>970</v>
      </c>
      <c r="C22" s="12">
        <v>4001</v>
      </c>
      <c r="D22" s="12">
        <v>157</v>
      </c>
      <c r="E22" s="12">
        <v>159</v>
      </c>
      <c r="F22" s="12">
        <v>135</v>
      </c>
      <c r="G22" s="12">
        <v>124</v>
      </c>
      <c r="H22" s="12">
        <v>182</v>
      </c>
      <c r="I22" s="12">
        <v>227</v>
      </c>
      <c r="J22" s="12">
        <v>46</v>
      </c>
      <c r="K22" s="12">
        <v>117</v>
      </c>
      <c r="L22" s="12">
        <v>160</v>
      </c>
      <c r="M22" s="12">
        <v>199</v>
      </c>
      <c r="N22" s="12">
        <v>117</v>
      </c>
      <c r="O22" s="12">
        <v>139</v>
      </c>
      <c r="P22" s="12">
        <v>196</v>
      </c>
      <c r="Q22" s="12">
        <v>210</v>
      </c>
      <c r="R22" s="12">
        <v>109</v>
      </c>
      <c r="S22" s="12">
        <v>68</v>
      </c>
      <c r="T22" s="12">
        <v>114</v>
      </c>
      <c r="U22" s="12">
        <v>64</v>
      </c>
      <c r="V22" s="12">
        <v>180</v>
      </c>
      <c r="W22" s="12">
        <v>83</v>
      </c>
      <c r="X22" s="12">
        <v>119</v>
      </c>
      <c r="Y22" s="12">
        <v>161</v>
      </c>
      <c r="Z22" s="12">
        <v>156</v>
      </c>
      <c r="AA22" s="12">
        <v>140</v>
      </c>
      <c r="AB22" s="12">
        <v>174</v>
      </c>
      <c r="AC22" s="12">
        <v>120</v>
      </c>
      <c r="AD22" s="12">
        <v>174</v>
      </c>
      <c r="AE22" s="12">
        <v>121</v>
      </c>
      <c r="AF22" s="12">
        <v>122</v>
      </c>
    </row>
    <row r="23" spans="1:32" ht="48.95">
      <c r="A23" s="20"/>
      <c r="B23" s="13" t="s">
        <v>971</v>
      </c>
      <c r="C23" s="14">
        <v>0.18</v>
      </c>
      <c r="D23" s="14">
        <v>0.17</v>
      </c>
      <c r="E23" s="14">
        <v>0.18</v>
      </c>
      <c r="F23" s="14">
        <v>0.16</v>
      </c>
      <c r="G23" s="14">
        <v>0.14000000000000001</v>
      </c>
      <c r="H23" s="14">
        <v>0.18</v>
      </c>
      <c r="I23" s="14">
        <v>0.18</v>
      </c>
      <c r="J23" s="14">
        <v>0.18</v>
      </c>
      <c r="K23" s="14">
        <v>0.14000000000000001</v>
      </c>
      <c r="L23" s="14">
        <v>0.18</v>
      </c>
      <c r="M23" s="14">
        <v>0.21</v>
      </c>
      <c r="N23" s="14">
        <v>0.14000000000000001</v>
      </c>
      <c r="O23" s="14">
        <v>0.17</v>
      </c>
      <c r="P23" s="14">
        <v>0.22</v>
      </c>
      <c r="Q23" s="14">
        <v>0.24</v>
      </c>
      <c r="R23" s="14">
        <v>0.25</v>
      </c>
      <c r="S23" s="14">
        <v>0.08</v>
      </c>
      <c r="T23" s="14">
        <v>0.14000000000000001</v>
      </c>
      <c r="U23" s="14">
        <v>0.16</v>
      </c>
      <c r="V23" s="14">
        <v>0.2</v>
      </c>
      <c r="W23" s="14">
        <v>0.19</v>
      </c>
      <c r="X23" s="14">
        <v>0.13</v>
      </c>
      <c r="Y23" s="14">
        <v>0.2</v>
      </c>
      <c r="Z23" s="14">
        <v>0.18</v>
      </c>
      <c r="AA23" s="14">
        <v>0.17</v>
      </c>
      <c r="AB23" s="14">
        <v>0.2</v>
      </c>
      <c r="AC23" s="14">
        <v>0.14000000000000001</v>
      </c>
      <c r="AD23" s="14">
        <v>0.2</v>
      </c>
      <c r="AE23" s="14">
        <v>0.13</v>
      </c>
      <c r="AF23" s="14">
        <v>0.13</v>
      </c>
    </row>
    <row r="24" spans="1:32" ht="60.95">
      <c r="A24" s="20"/>
      <c r="B24" s="11" t="s">
        <v>972</v>
      </c>
      <c r="C24" s="12">
        <v>4561</v>
      </c>
      <c r="D24" s="12">
        <v>137</v>
      </c>
      <c r="E24" s="12">
        <v>226</v>
      </c>
      <c r="F24" s="12">
        <v>184</v>
      </c>
      <c r="G24" s="12">
        <v>172</v>
      </c>
      <c r="H24" s="12">
        <v>187</v>
      </c>
      <c r="I24" s="12">
        <v>253</v>
      </c>
      <c r="J24" s="12">
        <v>66</v>
      </c>
      <c r="K24" s="12">
        <v>106</v>
      </c>
      <c r="L24" s="12">
        <v>171</v>
      </c>
      <c r="M24" s="12">
        <v>211</v>
      </c>
      <c r="N24" s="12">
        <v>145</v>
      </c>
      <c r="O24" s="12">
        <v>158</v>
      </c>
      <c r="P24" s="12">
        <v>255</v>
      </c>
      <c r="Q24" s="12">
        <v>236</v>
      </c>
      <c r="R24" s="12">
        <v>89</v>
      </c>
      <c r="S24" s="12">
        <v>80</v>
      </c>
      <c r="T24" s="12">
        <v>91</v>
      </c>
      <c r="U24" s="12">
        <v>81</v>
      </c>
      <c r="V24" s="12">
        <v>216</v>
      </c>
      <c r="W24" s="12">
        <v>71</v>
      </c>
      <c r="X24" s="12">
        <v>141</v>
      </c>
      <c r="Y24" s="12">
        <v>188</v>
      </c>
      <c r="Z24" s="12">
        <v>161</v>
      </c>
      <c r="AA24" s="12">
        <v>175</v>
      </c>
      <c r="AB24" s="12">
        <v>192</v>
      </c>
      <c r="AC24" s="12">
        <v>146</v>
      </c>
      <c r="AD24" s="12">
        <v>218</v>
      </c>
      <c r="AE24" s="12">
        <v>114</v>
      </c>
      <c r="AF24" s="12">
        <v>163</v>
      </c>
    </row>
    <row r="25" spans="1:32" ht="60.95">
      <c r="A25" s="20"/>
      <c r="B25" s="13" t="s">
        <v>973</v>
      </c>
      <c r="C25" s="14">
        <v>0.21</v>
      </c>
      <c r="D25" s="14">
        <v>0.15</v>
      </c>
      <c r="E25" s="14">
        <v>0.26</v>
      </c>
      <c r="F25" s="14">
        <v>0.23</v>
      </c>
      <c r="G25" s="14">
        <v>0.19</v>
      </c>
      <c r="H25" s="14">
        <v>0.18</v>
      </c>
      <c r="I25" s="14">
        <v>0.19</v>
      </c>
      <c r="J25" s="14">
        <v>0.25</v>
      </c>
      <c r="K25" s="14">
        <v>0.13</v>
      </c>
      <c r="L25" s="14">
        <v>0.19</v>
      </c>
      <c r="M25" s="14">
        <v>0.23</v>
      </c>
      <c r="N25" s="14">
        <v>0.18</v>
      </c>
      <c r="O25" s="14">
        <v>0.2</v>
      </c>
      <c r="P25" s="14">
        <v>0.28000000000000003</v>
      </c>
      <c r="Q25" s="14">
        <v>0.27</v>
      </c>
      <c r="R25" s="14">
        <v>0.21</v>
      </c>
      <c r="S25" s="14">
        <v>0.1</v>
      </c>
      <c r="T25" s="14">
        <v>0.11</v>
      </c>
      <c r="U25" s="14">
        <v>0.19</v>
      </c>
      <c r="V25" s="14">
        <v>0.25</v>
      </c>
      <c r="W25" s="14">
        <v>0.17</v>
      </c>
      <c r="X25" s="14">
        <v>0.15</v>
      </c>
      <c r="Y25" s="14">
        <v>0.24</v>
      </c>
      <c r="Z25" s="14">
        <v>0.18</v>
      </c>
      <c r="AA25" s="14">
        <v>0.21</v>
      </c>
      <c r="AB25" s="14">
        <v>0.23</v>
      </c>
      <c r="AC25" s="14">
        <v>0.18</v>
      </c>
      <c r="AD25" s="14">
        <v>0.25</v>
      </c>
      <c r="AE25" s="14">
        <v>0.12</v>
      </c>
      <c r="AF25" s="14">
        <v>0.17</v>
      </c>
    </row>
    <row r="26" spans="1:32" ht="72.95">
      <c r="A26" s="20"/>
      <c r="B26" s="11" t="s">
        <v>974</v>
      </c>
      <c r="C26" s="12">
        <v>6029</v>
      </c>
      <c r="D26" s="12">
        <v>214</v>
      </c>
      <c r="E26" s="12">
        <v>246</v>
      </c>
      <c r="F26" s="12">
        <v>216</v>
      </c>
      <c r="G26" s="12">
        <v>258</v>
      </c>
      <c r="H26" s="12">
        <v>306</v>
      </c>
      <c r="I26" s="12">
        <v>377</v>
      </c>
      <c r="J26" s="12">
        <v>71</v>
      </c>
      <c r="K26" s="12">
        <v>193</v>
      </c>
      <c r="L26" s="12">
        <v>236</v>
      </c>
      <c r="M26" s="12">
        <v>302</v>
      </c>
      <c r="N26" s="12">
        <v>200</v>
      </c>
      <c r="O26" s="12">
        <v>204</v>
      </c>
      <c r="P26" s="12">
        <v>265</v>
      </c>
      <c r="Q26" s="12">
        <v>273</v>
      </c>
      <c r="R26" s="12">
        <v>127</v>
      </c>
      <c r="S26" s="12">
        <v>115</v>
      </c>
      <c r="T26" s="12">
        <v>204</v>
      </c>
      <c r="U26" s="12">
        <v>119</v>
      </c>
      <c r="V26" s="12">
        <v>297</v>
      </c>
      <c r="W26" s="12">
        <v>120</v>
      </c>
      <c r="X26" s="12">
        <v>243</v>
      </c>
      <c r="Y26" s="12">
        <v>251</v>
      </c>
      <c r="Z26" s="12">
        <v>167</v>
      </c>
      <c r="AA26" s="12">
        <v>242</v>
      </c>
      <c r="AB26" s="12">
        <v>194</v>
      </c>
      <c r="AC26" s="12">
        <v>190</v>
      </c>
      <c r="AD26" s="12">
        <v>251</v>
      </c>
      <c r="AE26" s="12">
        <v>267</v>
      </c>
      <c r="AF26" s="12">
        <v>287</v>
      </c>
    </row>
    <row r="27" spans="1:32" ht="60.95">
      <c r="A27" s="20"/>
      <c r="B27" s="13" t="s">
        <v>975</v>
      </c>
      <c r="C27" s="14">
        <v>0.28999999999999998</v>
      </c>
      <c r="D27" s="14">
        <v>0.27</v>
      </c>
      <c r="E27" s="14">
        <v>0.3</v>
      </c>
      <c r="F27" s="14">
        <v>0.28999999999999998</v>
      </c>
      <c r="G27" s="14">
        <v>0.33</v>
      </c>
      <c r="H27" s="14">
        <v>0.34</v>
      </c>
      <c r="I27" s="14">
        <v>0.33</v>
      </c>
      <c r="J27" s="14">
        <v>0.3</v>
      </c>
      <c r="K27" s="14">
        <v>0.26</v>
      </c>
      <c r="L27" s="14">
        <v>0.31</v>
      </c>
      <c r="M27" s="14">
        <v>0.36</v>
      </c>
      <c r="N27" s="14">
        <v>0.25</v>
      </c>
      <c r="O27" s="14">
        <v>0.28000000000000003</v>
      </c>
      <c r="P27" s="14">
        <v>0.32</v>
      </c>
      <c r="Q27" s="14">
        <v>0.33</v>
      </c>
      <c r="R27" s="14">
        <v>0.33</v>
      </c>
      <c r="S27" s="14">
        <v>0.15</v>
      </c>
      <c r="T27" s="14">
        <v>0.27</v>
      </c>
      <c r="U27" s="14">
        <v>0.28999999999999998</v>
      </c>
      <c r="V27" s="14">
        <v>0.37</v>
      </c>
      <c r="W27" s="14">
        <v>0.3</v>
      </c>
      <c r="X27" s="14">
        <v>0.32</v>
      </c>
      <c r="Y27" s="14">
        <v>0.33</v>
      </c>
      <c r="Z27" s="14">
        <v>0.2</v>
      </c>
      <c r="AA27" s="14">
        <v>0.32</v>
      </c>
      <c r="AB27" s="14">
        <v>0.23</v>
      </c>
      <c r="AC27" s="14">
        <v>0.23</v>
      </c>
      <c r="AD27" s="14">
        <v>0.32</v>
      </c>
      <c r="AE27" s="14">
        <v>0.34</v>
      </c>
      <c r="AF27" s="14">
        <v>0.35</v>
      </c>
    </row>
    <row r="28" spans="1:32" ht="60.95">
      <c r="A28" s="20"/>
      <c r="B28" s="11" t="s">
        <v>976</v>
      </c>
      <c r="C28" s="12">
        <v>6683</v>
      </c>
      <c r="D28" s="12">
        <v>253</v>
      </c>
      <c r="E28" s="12">
        <v>273</v>
      </c>
      <c r="F28" s="12">
        <v>202</v>
      </c>
      <c r="G28" s="12">
        <v>296</v>
      </c>
      <c r="H28" s="12">
        <v>349</v>
      </c>
      <c r="I28" s="12">
        <v>439</v>
      </c>
      <c r="J28" s="12">
        <v>91</v>
      </c>
      <c r="K28" s="12">
        <v>223</v>
      </c>
      <c r="L28" s="12">
        <v>230</v>
      </c>
      <c r="M28" s="12">
        <v>329</v>
      </c>
      <c r="N28" s="12">
        <v>242</v>
      </c>
      <c r="O28" s="12">
        <v>255</v>
      </c>
      <c r="P28" s="12">
        <v>296</v>
      </c>
      <c r="Q28" s="12">
        <v>231</v>
      </c>
      <c r="R28" s="12">
        <v>147</v>
      </c>
      <c r="S28" s="12">
        <v>139</v>
      </c>
      <c r="T28" s="12">
        <v>191</v>
      </c>
      <c r="U28" s="12">
        <v>137</v>
      </c>
      <c r="V28" s="12">
        <v>244</v>
      </c>
      <c r="W28" s="12">
        <v>130</v>
      </c>
      <c r="X28" s="12">
        <v>339</v>
      </c>
      <c r="Y28" s="12">
        <v>284</v>
      </c>
      <c r="Z28" s="12">
        <v>192</v>
      </c>
      <c r="AA28" s="12">
        <v>256</v>
      </c>
      <c r="AB28" s="12">
        <v>217</v>
      </c>
      <c r="AC28" s="12">
        <v>191</v>
      </c>
      <c r="AD28" s="12">
        <v>270</v>
      </c>
      <c r="AE28" s="12">
        <v>291</v>
      </c>
      <c r="AF28" s="12">
        <v>323</v>
      </c>
    </row>
    <row r="29" spans="1:32" ht="48.95">
      <c r="A29" s="20"/>
      <c r="B29" s="13" t="s">
        <v>977</v>
      </c>
      <c r="C29" s="14">
        <v>0.35</v>
      </c>
      <c r="D29" s="14">
        <v>0.33</v>
      </c>
      <c r="E29" s="14">
        <v>0.35</v>
      </c>
      <c r="F29" s="14">
        <v>0.27</v>
      </c>
      <c r="G29" s="14">
        <v>0.45</v>
      </c>
      <c r="H29" s="14">
        <v>0.42</v>
      </c>
      <c r="I29" s="14">
        <v>0.42</v>
      </c>
      <c r="J29" s="14">
        <v>0.41</v>
      </c>
      <c r="K29" s="14">
        <v>0.32</v>
      </c>
      <c r="L29" s="14">
        <v>0.3</v>
      </c>
      <c r="M29" s="14">
        <v>0.4</v>
      </c>
      <c r="N29" s="14">
        <v>0.33</v>
      </c>
      <c r="O29" s="14">
        <v>0.37</v>
      </c>
      <c r="P29" s="14">
        <v>0.37</v>
      </c>
      <c r="Q29" s="14">
        <v>0.28000000000000003</v>
      </c>
      <c r="R29" s="14">
        <v>0.42</v>
      </c>
      <c r="S29" s="14">
        <v>0.2</v>
      </c>
      <c r="T29" s="14">
        <v>0.27</v>
      </c>
      <c r="U29" s="14">
        <v>0.39</v>
      </c>
      <c r="V29" s="14">
        <v>0.3</v>
      </c>
      <c r="W29" s="14">
        <v>0.32</v>
      </c>
      <c r="X29" s="14">
        <v>0.51</v>
      </c>
      <c r="Y29" s="14">
        <v>0.41</v>
      </c>
      <c r="Z29" s="14">
        <v>0.23</v>
      </c>
      <c r="AA29" s="14">
        <v>0.35</v>
      </c>
      <c r="AB29" s="14">
        <v>0.26</v>
      </c>
      <c r="AC29" s="14">
        <v>0.25</v>
      </c>
      <c r="AD29" s="14">
        <v>0.34</v>
      </c>
      <c r="AE29" s="14">
        <v>0.46</v>
      </c>
      <c r="AF29" s="14">
        <v>0.54</v>
      </c>
    </row>
    <row r="30" spans="1:32" ht="60.95">
      <c r="A30" s="20"/>
      <c r="B30" s="11" t="s">
        <v>978</v>
      </c>
      <c r="C30" s="12">
        <v>4221</v>
      </c>
      <c r="D30" s="12">
        <v>163</v>
      </c>
      <c r="E30" s="12">
        <v>216</v>
      </c>
      <c r="F30" s="12">
        <v>190</v>
      </c>
      <c r="G30" s="12">
        <v>188</v>
      </c>
      <c r="H30" s="12">
        <v>167</v>
      </c>
      <c r="I30" s="12">
        <v>221</v>
      </c>
      <c r="J30" s="12">
        <v>54</v>
      </c>
      <c r="K30" s="12">
        <v>188</v>
      </c>
      <c r="L30" s="12">
        <v>191</v>
      </c>
      <c r="M30" s="12">
        <v>297</v>
      </c>
      <c r="N30" s="12">
        <v>164</v>
      </c>
      <c r="O30" s="12">
        <v>115</v>
      </c>
      <c r="P30" s="12">
        <v>189</v>
      </c>
      <c r="Q30" s="12">
        <v>204</v>
      </c>
      <c r="R30" s="12">
        <v>134</v>
      </c>
      <c r="S30" s="12">
        <v>133</v>
      </c>
      <c r="T30" s="12">
        <v>183</v>
      </c>
      <c r="U30" s="12">
        <v>57</v>
      </c>
      <c r="V30" s="12">
        <v>178</v>
      </c>
      <c r="W30" s="12">
        <v>73</v>
      </c>
      <c r="X30" s="12">
        <v>170</v>
      </c>
      <c r="Y30" s="12">
        <v>156</v>
      </c>
      <c r="Z30" s="12">
        <v>138</v>
      </c>
      <c r="AA30" s="12">
        <v>140</v>
      </c>
      <c r="AB30" s="12">
        <v>150</v>
      </c>
      <c r="AC30" s="12">
        <v>157</v>
      </c>
      <c r="AD30" s="12">
        <v>195</v>
      </c>
      <c r="AE30" s="12">
        <v>120</v>
      </c>
      <c r="AF30" s="12">
        <v>200</v>
      </c>
    </row>
    <row r="31" spans="1:32" ht="48.95">
      <c r="A31" s="20"/>
      <c r="B31" s="13" t="s">
        <v>979</v>
      </c>
      <c r="C31" s="14">
        <v>0.19</v>
      </c>
      <c r="D31" s="14">
        <v>0.18</v>
      </c>
      <c r="E31" s="14">
        <v>0.24</v>
      </c>
      <c r="F31" s="14">
        <v>0.24</v>
      </c>
      <c r="G31" s="14">
        <v>0.22</v>
      </c>
      <c r="H31" s="14">
        <v>0.16</v>
      </c>
      <c r="I31" s="14">
        <v>0.17</v>
      </c>
      <c r="J31" s="14">
        <v>0.21</v>
      </c>
      <c r="K31" s="14">
        <v>0.24</v>
      </c>
      <c r="L31" s="14">
        <v>0.22</v>
      </c>
      <c r="M31" s="14">
        <v>0.36</v>
      </c>
      <c r="N31" s="14">
        <v>0.2</v>
      </c>
      <c r="O31" s="14">
        <v>0.14000000000000001</v>
      </c>
      <c r="P31" s="14">
        <v>0.21</v>
      </c>
      <c r="Q31" s="14">
        <v>0.23</v>
      </c>
      <c r="R31" s="14">
        <v>0.33</v>
      </c>
      <c r="S31" s="14">
        <v>0.17</v>
      </c>
      <c r="T31" s="14">
        <v>0.25</v>
      </c>
      <c r="U31" s="14">
        <v>0.13</v>
      </c>
      <c r="V31" s="14">
        <v>0.2</v>
      </c>
      <c r="W31" s="14">
        <v>0.17</v>
      </c>
      <c r="X31" s="14">
        <v>0.18</v>
      </c>
      <c r="Y31" s="14">
        <v>0.2</v>
      </c>
      <c r="Z31" s="14">
        <v>0.16</v>
      </c>
      <c r="AA31" s="14">
        <v>0.16</v>
      </c>
      <c r="AB31" s="14">
        <v>0.17</v>
      </c>
      <c r="AC31" s="14">
        <v>0.19</v>
      </c>
      <c r="AD31" s="14">
        <v>0.23</v>
      </c>
      <c r="AE31" s="14">
        <v>0.13</v>
      </c>
      <c r="AF31" s="14">
        <v>0.21</v>
      </c>
    </row>
    <row r="32" spans="1:32">
      <c r="A32" s="20"/>
      <c r="B32" s="11" t="s">
        <v>519</v>
      </c>
      <c r="C32" s="12">
        <v>94</v>
      </c>
      <c r="D32" s="12">
        <v>3</v>
      </c>
      <c r="E32" s="12">
        <v>3</v>
      </c>
      <c r="F32" s="12">
        <v>0</v>
      </c>
      <c r="G32" s="12">
        <v>3</v>
      </c>
      <c r="H32" s="12">
        <v>14</v>
      </c>
      <c r="I32" s="12">
        <v>14</v>
      </c>
      <c r="J32" s="12">
        <v>0</v>
      </c>
      <c r="K32" s="12">
        <v>11</v>
      </c>
      <c r="L32" s="12">
        <v>2</v>
      </c>
      <c r="M32" s="12">
        <v>8</v>
      </c>
      <c r="N32" s="12">
        <v>1</v>
      </c>
      <c r="O32" s="12">
        <v>3</v>
      </c>
      <c r="P32" s="12">
        <v>1</v>
      </c>
      <c r="Q32" s="12">
        <v>0</v>
      </c>
      <c r="R32" s="12">
        <v>0</v>
      </c>
      <c r="S32" s="12">
        <v>20</v>
      </c>
      <c r="T32" s="12">
        <v>8</v>
      </c>
      <c r="U32" s="12">
        <v>5</v>
      </c>
      <c r="V32" s="12">
        <v>0</v>
      </c>
      <c r="W32" s="12">
        <v>0</v>
      </c>
      <c r="X32" s="12">
        <v>1</v>
      </c>
      <c r="Y32" s="12">
        <v>12</v>
      </c>
      <c r="Z32" s="12">
        <v>0</v>
      </c>
      <c r="AA32" s="12">
        <v>9</v>
      </c>
      <c r="AB32" s="12">
        <v>4</v>
      </c>
      <c r="AC32" s="12">
        <v>6</v>
      </c>
      <c r="AD32" s="12">
        <v>1</v>
      </c>
      <c r="AE32" s="12">
        <v>1</v>
      </c>
      <c r="AF32" s="12">
        <v>2</v>
      </c>
    </row>
    <row r="33" spans="1:32">
      <c r="A33" s="20"/>
      <c r="B33" s="13" t="s">
        <v>520</v>
      </c>
      <c r="C33" s="15" t="s">
        <v>459</v>
      </c>
      <c r="D33" s="15" t="s">
        <v>459</v>
      </c>
      <c r="E33" s="15" t="s">
        <v>459</v>
      </c>
      <c r="F33" s="15" t="s">
        <v>459</v>
      </c>
      <c r="G33" s="15" t="s">
        <v>459</v>
      </c>
      <c r="H33" s="14">
        <v>0.01</v>
      </c>
      <c r="I33" s="14">
        <v>0.01</v>
      </c>
      <c r="J33" s="15" t="s">
        <v>459</v>
      </c>
      <c r="K33" s="14">
        <v>0.01</v>
      </c>
      <c r="L33" s="15" t="s">
        <v>459</v>
      </c>
      <c r="M33" s="14">
        <v>0.01</v>
      </c>
      <c r="N33" s="15" t="s">
        <v>459</v>
      </c>
      <c r="O33" s="15" t="s">
        <v>459</v>
      </c>
      <c r="P33" s="15" t="s">
        <v>459</v>
      </c>
      <c r="Q33" s="15" t="s">
        <v>459</v>
      </c>
      <c r="R33" s="15" t="s">
        <v>459</v>
      </c>
      <c r="S33" s="14">
        <v>0.02</v>
      </c>
      <c r="T33" s="14">
        <v>0.01</v>
      </c>
      <c r="U33" s="14">
        <v>0.01</v>
      </c>
      <c r="V33" s="15" t="s">
        <v>459</v>
      </c>
      <c r="W33" s="15" t="s">
        <v>459</v>
      </c>
      <c r="X33" s="15" t="s">
        <v>459</v>
      </c>
      <c r="Y33" s="14">
        <v>0.01</v>
      </c>
      <c r="Z33" s="15" t="s">
        <v>459</v>
      </c>
      <c r="AA33" s="14">
        <v>0.01</v>
      </c>
      <c r="AB33" s="15" t="s">
        <v>459</v>
      </c>
      <c r="AC33" s="14">
        <v>0.01</v>
      </c>
      <c r="AD33" s="15" t="s">
        <v>459</v>
      </c>
      <c r="AE33" s="15" t="s">
        <v>459</v>
      </c>
      <c r="AF33" s="15" t="s">
        <v>459</v>
      </c>
    </row>
    <row r="34" spans="1:32" ht="24.95">
      <c r="A34" s="20"/>
      <c r="B34" s="11" t="s">
        <v>551</v>
      </c>
      <c r="C34" s="12">
        <v>454</v>
      </c>
      <c r="D34" s="12">
        <v>16</v>
      </c>
      <c r="E34" s="12">
        <v>2</v>
      </c>
      <c r="F34" s="12">
        <v>7</v>
      </c>
      <c r="G34" s="12">
        <v>34</v>
      </c>
      <c r="H34" s="12">
        <v>17</v>
      </c>
      <c r="I34" s="12">
        <v>22</v>
      </c>
      <c r="J34" s="12">
        <v>6</v>
      </c>
      <c r="K34" s="12">
        <v>17</v>
      </c>
      <c r="L34" s="12">
        <v>12</v>
      </c>
      <c r="M34" s="12">
        <v>3</v>
      </c>
      <c r="N34" s="12">
        <v>23</v>
      </c>
      <c r="O34" s="12">
        <v>36</v>
      </c>
      <c r="P34" s="12">
        <v>2</v>
      </c>
      <c r="Q34" s="12">
        <v>7</v>
      </c>
      <c r="R34" s="12">
        <v>8</v>
      </c>
      <c r="S34" s="12">
        <v>44</v>
      </c>
      <c r="T34" s="12">
        <v>14</v>
      </c>
      <c r="U34" s="12">
        <v>17</v>
      </c>
      <c r="V34" s="12">
        <v>5</v>
      </c>
      <c r="W34" s="12">
        <v>3</v>
      </c>
      <c r="X34" s="12">
        <v>17</v>
      </c>
      <c r="Y34" s="12">
        <v>22</v>
      </c>
      <c r="Z34" s="12">
        <v>6</v>
      </c>
      <c r="AA34" s="12">
        <v>1</v>
      </c>
      <c r="AB34" s="12">
        <v>6</v>
      </c>
      <c r="AC34" s="12">
        <v>19</v>
      </c>
      <c r="AD34" s="12">
        <v>9</v>
      </c>
      <c r="AE34" s="12">
        <v>31</v>
      </c>
      <c r="AF34" s="12">
        <v>64</v>
      </c>
    </row>
    <row r="35" spans="1:32">
      <c r="A35" s="20"/>
      <c r="B35" s="13" t="s">
        <v>522</v>
      </c>
      <c r="C35" s="14">
        <v>0.02</v>
      </c>
      <c r="D35" s="14">
        <v>0.02</v>
      </c>
      <c r="E35" s="15" t="s">
        <v>459</v>
      </c>
      <c r="F35" s="14">
        <v>0.01</v>
      </c>
      <c r="G35" s="14">
        <v>0.04</v>
      </c>
      <c r="H35" s="14">
        <v>0.02</v>
      </c>
      <c r="I35" s="14">
        <v>0.02</v>
      </c>
      <c r="J35" s="14">
        <v>0.02</v>
      </c>
      <c r="K35" s="14">
        <v>0.02</v>
      </c>
      <c r="L35" s="14">
        <v>0.01</v>
      </c>
      <c r="M35" s="15" t="s">
        <v>459</v>
      </c>
      <c r="N35" s="14">
        <v>0.03</v>
      </c>
      <c r="O35" s="14">
        <v>0.04</v>
      </c>
      <c r="P35" s="15" t="s">
        <v>459</v>
      </c>
      <c r="Q35" s="14">
        <v>0.01</v>
      </c>
      <c r="R35" s="14">
        <v>0.02</v>
      </c>
      <c r="S35" s="14">
        <v>0.05</v>
      </c>
      <c r="T35" s="14">
        <v>0.02</v>
      </c>
      <c r="U35" s="14">
        <v>0.04</v>
      </c>
      <c r="V35" s="15" t="s">
        <v>459</v>
      </c>
      <c r="W35" s="14">
        <v>0.01</v>
      </c>
      <c r="X35" s="14">
        <v>0.02</v>
      </c>
      <c r="Y35" s="14">
        <v>0.03</v>
      </c>
      <c r="Z35" s="14">
        <v>0.01</v>
      </c>
      <c r="AA35" s="15" t="s">
        <v>459</v>
      </c>
      <c r="AB35" s="14">
        <v>0.01</v>
      </c>
      <c r="AC35" s="14">
        <v>0.02</v>
      </c>
      <c r="AD35" s="14">
        <v>0.01</v>
      </c>
      <c r="AE35" s="14">
        <v>0.03</v>
      </c>
      <c r="AF35" s="14">
        <v>0.06</v>
      </c>
    </row>
    <row r="36" spans="1:32">
      <c r="A36" s="20"/>
      <c r="B36" s="11" t="s">
        <v>468</v>
      </c>
      <c r="C36" s="12">
        <v>418</v>
      </c>
      <c r="D36" s="12">
        <v>4</v>
      </c>
      <c r="E36" s="12">
        <v>11</v>
      </c>
      <c r="F36" s="12">
        <v>20</v>
      </c>
      <c r="G36" s="12">
        <v>17</v>
      </c>
      <c r="H36" s="12">
        <v>9</v>
      </c>
      <c r="I36" s="12">
        <v>11</v>
      </c>
      <c r="J36" s="12">
        <v>2</v>
      </c>
      <c r="K36" s="12">
        <v>46</v>
      </c>
      <c r="L36" s="12">
        <v>19</v>
      </c>
      <c r="M36" s="12">
        <v>7</v>
      </c>
      <c r="N36" s="12">
        <v>33</v>
      </c>
      <c r="O36" s="12">
        <v>33</v>
      </c>
      <c r="P36" s="12">
        <v>6</v>
      </c>
      <c r="Q36" s="12">
        <v>4</v>
      </c>
      <c r="R36" s="12">
        <v>2</v>
      </c>
      <c r="S36" s="12">
        <v>77</v>
      </c>
      <c r="T36" s="12">
        <v>27</v>
      </c>
      <c r="U36" s="12">
        <v>2</v>
      </c>
      <c r="V36" s="12">
        <v>10</v>
      </c>
      <c r="W36" s="12">
        <v>4</v>
      </c>
      <c r="X36" s="12">
        <v>7</v>
      </c>
      <c r="Y36" s="12">
        <v>15</v>
      </c>
      <c r="Z36" s="12">
        <v>14</v>
      </c>
      <c r="AA36" s="12">
        <v>19</v>
      </c>
      <c r="AB36" s="12">
        <v>4</v>
      </c>
      <c r="AC36" s="12">
        <v>6</v>
      </c>
      <c r="AD36" s="12">
        <v>20</v>
      </c>
      <c r="AE36" s="12">
        <v>24</v>
      </c>
      <c r="AF36" s="12">
        <v>14</v>
      </c>
    </row>
    <row r="37" spans="1:32">
      <c r="A37" s="20"/>
      <c r="B37" s="13" t="s">
        <v>469</v>
      </c>
      <c r="C37" s="14">
        <v>0.02</v>
      </c>
      <c r="D37" s="15" t="s">
        <v>459</v>
      </c>
      <c r="E37" s="14">
        <v>0.01</v>
      </c>
      <c r="F37" s="14">
        <v>0.02</v>
      </c>
      <c r="G37" s="14">
        <v>0.02</v>
      </c>
      <c r="H37" s="14">
        <v>0.01</v>
      </c>
      <c r="I37" s="14">
        <v>0.01</v>
      </c>
      <c r="J37" s="14">
        <v>0.01</v>
      </c>
      <c r="K37" s="14">
        <v>0.05</v>
      </c>
      <c r="L37" s="14">
        <v>0.02</v>
      </c>
      <c r="M37" s="14">
        <v>0.01</v>
      </c>
      <c r="N37" s="14">
        <v>0.04</v>
      </c>
      <c r="O37" s="14">
        <v>0.04</v>
      </c>
      <c r="P37" s="14">
        <v>0.01</v>
      </c>
      <c r="Q37" s="15" t="s">
        <v>459</v>
      </c>
      <c r="R37" s="15" t="s">
        <v>459</v>
      </c>
      <c r="S37" s="14">
        <v>0.09</v>
      </c>
      <c r="T37" s="14">
        <v>0.03</v>
      </c>
      <c r="U37" s="15" t="s">
        <v>459</v>
      </c>
      <c r="V37" s="14">
        <v>0.01</v>
      </c>
      <c r="W37" s="14">
        <v>0.01</v>
      </c>
      <c r="X37" s="14">
        <v>0.01</v>
      </c>
      <c r="Y37" s="14">
        <v>0.02</v>
      </c>
      <c r="Z37" s="14">
        <v>0.01</v>
      </c>
      <c r="AA37" s="14">
        <v>0.02</v>
      </c>
      <c r="AB37" s="15" t="s">
        <v>459</v>
      </c>
      <c r="AC37" s="14">
        <v>0.01</v>
      </c>
      <c r="AD37" s="14">
        <v>0.02</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161</v>
      </c>
      <c r="C3" s="18"/>
      <c r="D3" s="18"/>
      <c r="E3" s="18"/>
      <c r="F3" s="18"/>
      <c r="H3" s="18" t="s">
        <v>162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960</v>
      </c>
      <c r="C12" s="12">
        <v>6294</v>
      </c>
      <c r="D12" s="12">
        <v>234</v>
      </c>
      <c r="E12" s="12">
        <v>251</v>
      </c>
      <c r="F12" s="12">
        <v>226</v>
      </c>
      <c r="G12" s="12">
        <v>201</v>
      </c>
      <c r="H12" s="12">
        <v>316</v>
      </c>
      <c r="I12" s="12">
        <v>385</v>
      </c>
      <c r="J12" s="12">
        <v>69</v>
      </c>
      <c r="K12" s="12">
        <v>175</v>
      </c>
      <c r="L12" s="12">
        <v>278</v>
      </c>
      <c r="M12" s="12">
        <v>281</v>
      </c>
      <c r="N12" s="12">
        <v>271</v>
      </c>
      <c r="O12" s="12">
        <v>157</v>
      </c>
      <c r="P12" s="12">
        <v>280</v>
      </c>
      <c r="Q12" s="12">
        <v>300</v>
      </c>
      <c r="R12" s="12">
        <v>107</v>
      </c>
      <c r="S12" s="12">
        <v>151</v>
      </c>
      <c r="T12" s="12">
        <v>218</v>
      </c>
      <c r="U12" s="12">
        <v>73</v>
      </c>
      <c r="V12" s="12">
        <v>286</v>
      </c>
      <c r="W12" s="12">
        <v>138</v>
      </c>
      <c r="X12" s="12">
        <v>219</v>
      </c>
      <c r="Y12" s="12">
        <v>237</v>
      </c>
      <c r="Z12" s="12">
        <v>243</v>
      </c>
      <c r="AA12" s="12">
        <v>288</v>
      </c>
      <c r="AB12" s="12">
        <v>217</v>
      </c>
      <c r="AC12" s="12">
        <v>218</v>
      </c>
      <c r="AD12" s="12">
        <v>206</v>
      </c>
      <c r="AE12" s="12">
        <v>251</v>
      </c>
      <c r="AF12" s="12">
        <v>216</v>
      </c>
    </row>
    <row r="13" spans="1:32" ht="36.950000000000003">
      <c r="A13" s="20"/>
      <c r="B13" s="13" t="s">
        <v>961</v>
      </c>
      <c r="C13" s="14">
        <v>0.24</v>
      </c>
      <c r="D13" s="14">
        <v>0.23</v>
      </c>
      <c r="E13" s="14">
        <v>0.25</v>
      </c>
      <c r="F13" s="14">
        <v>0.22</v>
      </c>
      <c r="G13" s="14">
        <v>0.2</v>
      </c>
      <c r="H13" s="14">
        <v>0.26</v>
      </c>
      <c r="I13" s="14">
        <v>0.25</v>
      </c>
      <c r="J13" s="14">
        <v>0.24</v>
      </c>
      <c r="K13" s="14">
        <v>0.17</v>
      </c>
      <c r="L13" s="14">
        <v>0.28000000000000003</v>
      </c>
      <c r="M13" s="14">
        <v>0.28000000000000003</v>
      </c>
      <c r="N13" s="14">
        <v>0.27</v>
      </c>
      <c r="O13" s="14">
        <v>0.16</v>
      </c>
      <c r="P13" s="14">
        <v>0.27</v>
      </c>
      <c r="Q13" s="14">
        <v>0.28999999999999998</v>
      </c>
      <c r="R13" s="14">
        <v>0.21</v>
      </c>
      <c r="S13" s="14">
        <v>0.15</v>
      </c>
      <c r="T13" s="14">
        <v>0.21</v>
      </c>
      <c r="U13" s="14">
        <v>0.14000000000000001</v>
      </c>
      <c r="V13" s="14">
        <v>0.28000000000000003</v>
      </c>
      <c r="W13" s="14">
        <v>0.28000000000000003</v>
      </c>
      <c r="X13" s="14">
        <v>0.21</v>
      </c>
      <c r="Y13" s="14">
        <v>0.24</v>
      </c>
      <c r="Z13" s="14">
        <v>0.24</v>
      </c>
      <c r="AA13" s="14">
        <v>0.27</v>
      </c>
      <c r="AB13" s="14">
        <v>0.21</v>
      </c>
      <c r="AC13" s="14">
        <v>0.22</v>
      </c>
      <c r="AD13" s="14">
        <v>0.2</v>
      </c>
      <c r="AE13" s="14">
        <v>0.25</v>
      </c>
      <c r="AF13" s="14">
        <v>0.21</v>
      </c>
    </row>
    <row r="14" spans="1:32" ht="48.95">
      <c r="A14" s="20"/>
      <c r="B14" s="11" t="s">
        <v>962</v>
      </c>
      <c r="C14" s="12">
        <v>10047</v>
      </c>
      <c r="D14" s="12">
        <v>358</v>
      </c>
      <c r="E14" s="12">
        <v>319</v>
      </c>
      <c r="F14" s="12">
        <v>372</v>
      </c>
      <c r="G14" s="12">
        <v>411</v>
      </c>
      <c r="H14" s="12">
        <v>531</v>
      </c>
      <c r="I14" s="12">
        <v>660</v>
      </c>
      <c r="J14" s="12">
        <v>129</v>
      </c>
      <c r="K14" s="12">
        <v>330</v>
      </c>
      <c r="L14" s="12">
        <v>362</v>
      </c>
      <c r="M14" s="12">
        <v>449</v>
      </c>
      <c r="N14" s="12">
        <v>387</v>
      </c>
      <c r="O14" s="12">
        <v>370</v>
      </c>
      <c r="P14" s="12">
        <v>281</v>
      </c>
      <c r="Q14" s="12">
        <v>383</v>
      </c>
      <c r="R14" s="12">
        <v>214</v>
      </c>
      <c r="S14" s="12">
        <v>213</v>
      </c>
      <c r="T14" s="12">
        <v>300</v>
      </c>
      <c r="U14" s="12">
        <v>175</v>
      </c>
      <c r="V14" s="12">
        <v>357</v>
      </c>
      <c r="W14" s="12">
        <v>185</v>
      </c>
      <c r="X14" s="12">
        <v>427</v>
      </c>
      <c r="Y14" s="12">
        <v>368</v>
      </c>
      <c r="Z14" s="12">
        <v>294</v>
      </c>
      <c r="AA14" s="12">
        <v>457</v>
      </c>
      <c r="AB14" s="12">
        <v>287</v>
      </c>
      <c r="AC14" s="12">
        <v>324</v>
      </c>
      <c r="AD14" s="12">
        <v>407</v>
      </c>
      <c r="AE14" s="12">
        <v>540</v>
      </c>
      <c r="AF14" s="12">
        <v>501</v>
      </c>
    </row>
    <row r="15" spans="1:32" ht="48.95">
      <c r="A15" s="20"/>
      <c r="B15" s="13" t="s">
        <v>963</v>
      </c>
      <c r="C15" s="14">
        <v>0.38</v>
      </c>
      <c r="D15" s="14">
        <v>0.36</v>
      </c>
      <c r="E15" s="14">
        <v>0.31</v>
      </c>
      <c r="F15" s="14">
        <v>0.37</v>
      </c>
      <c r="G15" s="14">
        <v>0.41</v>
      </c>
      <c r="H15" s="14">
        <v>0.44</v>
      </c>
      <c r="I15" s="14">
        <v>0.44</v>
      </c>
      <c r="J15" s="14">
        <v>0.44</v>
      </c>
      <c r="K15" s="14">
        <v>0.33</v>
      </c>
      <c r="L15" s="14">
        <v>0.36</v>
      </c>
      <c r="M15" s="14">
        <v>0.45</v>
      </c>
      <c r="N15" s="14">
        <v>0.39</v>
      </c>
      <c r="O15" s="14">
        <v>0.37</v>
      </c>
      <c r="P15" s="14">
        <v>0.28000000000000003</v>
      </c>
      <c r="Q15" s="14">
        <v>0.38</v>
      </c>
      <c r="R15" s="14">
        <v>0.43</v>
      </c>
      <c r="S15" s="14">
        <v>0.21</v>
      </c>
      <c r="T15" s="14">
        <v>0.3</v>
      </c>
      <c r="U15" s="14">
        <v>0.35</v>
      </c>
      <c r="V15" s="14">
        <v>0.35</v>
      </c>
      <c r="W15" s="14">
        <v>0.37</v>
      </c>
      <c r="X15" s="14">
        <v>0.42</v>
      </c>
      <c r="Y15" s="14">
        <v>0.36</v>
      </c>
      <c r="Z15" s="14">
        <v>0.28999999999999998</v>
      </c>
      <c r="AA15" s="14">
        <v>0.43</v>
      </c>
      <c r="AB15" s="14">
        <v>0.28000000000000003</v>
      </c>
      <c r="AC15" s="14">
        <v>0.32</v>
      </c>
      <c r="AD15" s="14">
        <v>0.4</v>
      </c>
      <c r="AE15" s="14">
        <v>0.54</v>
      </c>
      <c r="AF15" s="14">
        <v>0.49</v>
      </c>
    </row>
    <row r="16" spans="1:32" ht="36.950000000000003">
      <c r="A16" s="20"/>
      <c r="B16" s="11" t="s">
        <v>964</v>
      </c>
      <c r="C16" s="12">
        <v>5924</v>
      </c>
      <c r="D16" s="12">
        <v>221</v>
      </c>
      <c r="E16" s="12">
        <v>301</v>
      </c>
      <c r="F16" s="12">
        <v>246</v>
      </c>
      <c r="G16" s="12">
        <v>258</v>
      </c>
      <c r="H16" s="12">
        <v>267</v>
      </c>
      <c r="I16" s="12">
        <v>354</v>
      </c>
      <c r="J16" s="12">
        <v>87</v>
      </c>
      <c r="K16" s="12">
        <v>280</v>
      </c>
      <c r="L16" s="12">
        <v>218</v>
      </c>
      <c r="M16" s="12">
        <v>303</v>
      </c>
      <c r="N16" s="12">
        <v>192</v>
      </c>
      <c r="O16" s="12">
        <v>176</v>
      </c>
      <c r="P16" s="12">
        <v>327</v>
      </c>
      <c r="Q16" s="12">
        <v>249</v>
      </c>
      <c r="R16" s="12">
        <v>102</v>
      </c>
      <c r="S16" s="12">
        <v>305</v>
      </c>
      <c r="T16" s="12">
        <v>265</v>
      </c>
      <c r="U16" s="12">
        <v>91</v>
      </c>
      <c r="V16" s="12">
        <v>259</v>
      </c>
      <c r="W16" s="12">
        <v>92</v>
      </c>
      <c r="X16" s="12">
        <v>243</v>
      </c>
      <c r="Y16" s="12">
        <v>243</v>
      </c>
      <c r="Z16" s="12">
        <v>249</v>
      </c>
      <c r="AA16" s="12">
        <v>131</v>
      </c>
      <c r="AB16" s="12">
        <v>292</v>
      </c>
      <c r="AC16" s="12">
        <v>234</v>
      </c>
      <c r="AD16" s="12">
        <v>204</v>
      </c>
      <c r="AE16" s="12">
        <v>178</v>
      </c>
      <c r="AF16" s="12">
        <v>215</v>
      </c>
    </row>
    <row r="17" spans="1:32" ht="24.95">
      <c r="A17" s="20"/>
      <c r="B17" s="13" t="s">
        <v>965</v>
      </c>
      <c r="C17" s="14">
        <v>0.23</v>
      </c>
      <c r="D17" s="14">
        <v>0.22</v>
      </c>
      <c r="E17" s="14">
        <v>0.3</v>
      </c>
      <c r="F17" s="14">
        <v>0.24</v>
      </c>
      <c r="G17" s="14">
        <v>0.26</v>
      </c>
      <c r="H17" s="14">
        <v>0.22</v>
      </c>
      <c r="I17" s="14">
        <v>0.23</v>
      </c>
      <c r="J17" s="14">
        <v>0.3</v>
      </c>
      <c r="K17" s="14">
        <v>0.28000000000000003</v>
      </c>
      <c r="L17" s="14">
        <v>0.22</v>
      </c>
      <c r="M17" s="14">
        <v>0.3</v>
      </c>
      <c r="N17" s="14">
        <v>0.19</v>
      </c>
      <c r="O17" s="14">
        <v>0.18</v>
      </c>
      <c r="P17" s="14">
        <v>0.32</v>
      </c>
      <c r="Q17" s="14">
        <v>0.24</v>
      </c>
      <c r="R17" s="14">
        <v>0.2</v>
      </c>
      <c r="S17" s="14">
        <v>0.3</v>
      </c>
      <c r="T17" s="14">
        <v>0.26</v>
      </c>
      <c r="U17" s="14">
        <v>0.18</v>
      </c>
      <c r="V17" s="14">
        <v>0.25</v>
      </c>
      <c r="W17" s="14">
        <v>0.18</v>
      </c>
      <c r="X17" s="14">
        <v>0.24</v>
      </c>
      <c r="Y17" s="14">
        <v>0.24</v>
      </c>
      <c r="Z17" s="14">
        <v>0.25</v>
      </c>
      <c r="AA17" s="14">
        <v>0.12</v>
      </c>
      <c r="AB17" s="14">
        <v>0.28000000000000003</v>
      </c>
      <c r="AC17" s="14">
        <v>0.23</v>
      </c>
      <c r="AD17" s="14">
        <v>0.2</v>
      </c>
      <c r="AE17" s="14">
        <v>0.18</v>
      </c>
      <c r="AF17" s="14">
        <v>0.21</v>
      </c>
    </row>
    <row r="18" spans="1:32" ht="60.95">
      <c r="A18" s="20"/>
      <c r="B18" s="11" t="s">
        <v>966</v>
      </c>
      <c r="C18" s="12">
        <v>5881</v>
      </c>
      <c r="D18" s="12">
        <v>221</v>
      </c>
      <c r="E18" s="12">
        <v>252</v>
      </c>
      <c r="F18" s="12">
        <v>166</v>
      </c>
      <c r="G18" s="12">
        <v>263</v>
      </c>
      <c r="H18" s="12">
        <v>209</v>
      </c>
      <c r="I18" s="12">
        <v>267</v>
      </c>
      <c r="J18" s="12">
        <v>57</v>
      </c>
      <c r="K18" s="12">
        <v>197</v>
      </c>
      <c r="L18" s="12">
        <v>298</v>
      </c>
      <c r="M18" s="12">
        <v>282</v>
      </c>
      <c r="N18" s="12">
        <v>208</v>
      </c>
      <c r="O18" s="12">
        <v>225</v>
      </c>
      <c r="P18" s="12">
        <v>295</v>
      </c>
      <c r="Q18" s="12">
        <v>246</v>
      </c>
      <c r="R18" s="12">
        <v>112</v>
      </c>
      <c r="S18" s="12">
        <v>193</v>
      </c>
      <c r="T18" s="12">
        <v>208</v>
      </c>
      <c r="U18" s="12">
        <v>80</v>
      </c>
      <c r="V18" s="12">
        <v>335</v>
      </c>
      <c r="W18" s="12">
        <v>137</v>
      </c>
      <c r="X18" s="12">
        <v>221</v>
      </c>
      <c r="Y18" s="12">
        <v>229</v>
      </c>
      <c r="Z18" s="12">
        <v>273</v>
      </c>
      <c r="AA18" s="12">
        <v>280</v>
      </c>
      <c r="AB18" s="12">
        <v>311</v>
      </c>
      <c r="AC18" s="12">
        <v>233</v>
      </c>
      <c r="AD18" s="12">
        <v>198</v>
      </c>
      <c r="AE18" s="12">
        <v>106</v>
      </c>
      <c r="AF18" s="12">
        <v>130</v>
      </c>
    </row>
    <row r="19" spans="1:32" ht="48.95">
      <c r="A19" s="20"/>
      <c r="B19" s="13" t="s">
        <v>967</v>
      </c>
      <c r="C19" s="14">
        <v>0.22</v>
      </c>
      <c r="D19" s="14">
        <v>0.22</v>
      </c>
      <c r="E19" s="14">
        <v>0.25</v>
      </c>
      <c r="F19" s="14">
        <v>0.17</v>
      </c>
      <c r="G19" s="14">
        <v>0.26</v>
      </c>
      <c r="H19" s="14">
        <v>0.17</v>
      </c>
      <c r="I19" s="14">
        <v>0.18</v>
      </c>
      <c r="J19" s="14">
        <v>0.2</v>
      </c>
      <c r="K19" s="14">
        <v>0.2</v>
      </c>
      <c r="L19" s="14">
        <v>0.3</v>
      </c>
      <c r="M19" s="14">
        <v>0.28000000000000003</v>
      </c>
      <c r="N19" s="14">
        <v>0.21</v>
      </c>
      <c r="O19" s="14">
        <v>0.22</v>
      </c>
      <c r="P19" s="14">
        <v>0.28999999999999998</v>
      </c>
      <c r="Q19" s="14">
        <v>0.24</v>
      </c>
      <c r="R19" s="14">
        <v>0.22</v>
      </c>
      <c r="S19" s="14">
        <v>0.19</v>
      </c>
      <c r="T19" s="14">
        <v>0.21</v>
      </c>
      <c r="U19" s="14">
        <v>0.16</v>
      </c>
      <c r="V19" s="14">
        <v>0.33</v>
      </c>
      <c r="W19" s="14">
        <v>0.27</v>
      </c>
      <c r="X19" s="14">
        <v>0.22</v>
      </c>
      <c r="Y19" s="14">
        <v>0.23</v>
      </c>
      <c r="Z19" s="14">
        <v>0.27</v>
      </c>
      <c r="AA19" s="14">
        <v>0.27</v>
      </c>
      <c r="AB19" s="14">
        <v>0.3</v>
      </c>
      <c r="AC19" s="14">
        <v>0.23</v>
      </c>
      <c r="AD19" s="14">
        <v>0.2</v>
      </c>
      <c r="AE19" s="14">
        <v>0.11</v>
      </c>
      <c r="AF19" s="14">
        <v>0.13</v>
      </c>
    </row>
    <row r="20" spans="1:32" ht="60.95">
      <c r="A20" s="20"/>
      <c r="B20" s="11" t="s">
        <v>968</v>
      </c>
      <c r="C20" s="12">
        <v>4221</v>
      </c>
      <c r="D20" s="12">
        <v>152</v>
      </c>
      <c r="E20" s="12">
        <v>289</v>
      </c>
      <c r="F20" s="12">
        <v>161</v>
      </c>
      <c r="G20" s="12">
        <v>121</v>
      </c>
      <c r="H20" s="12">
        <v>138</v>
      </c>
      <c r="I20" s="12">
        <v>186</v>
      </c>
      <c r="J20" s="12">
        <v>47</v>
      </c>
      <c r="K20" s="12">
        <v>163</v>
      </c>
      <c r="L20" s="12">
        <v>153</v>
      </c>
      <c r="M20" s="12">
        <v>240</v>
      </c>
      <c r="N20" s="12">
        <v>134</v>
      </c>
      <c r="O20" s="12">
        <v>107</v>
      </c>
      <c r="P20" s="12">
        <v>257</v>
      </c>
      <c r="Q20" s="12">
        <v>222</v>
      </c>
      <c r="R20" s="12">
        <v>89</v>
      </c>
      <c r="S20" s="12">
        <v>132</v>
      </c>
      <c r="T20" s="12">
        <v>167</v>
      </c>
      <c r="U20" s="12">
        <v>73</v>
      </c>
      <c r="V20" s="12">
        <v>285</v>
      </c>
      <c r="W20" s="12">
        <v>79</v>
      </c>
      <c r="X20" s="12">
        <v>114</v>
      </c>
      <c r="Y20" s="12">
        <v>194</v>
      </c>
      <c r="Z20" s="12">
        <v>207</v>
      </c>
      <c r="AA20" s="12">
        <v>202</v>
      </c>
      <c r="AB20" s="12">
        <v>208</v>
      </c>
      <c r="AC20" s="12">
        <v>150</v>
      </c>
      <c r="AD20" s="12">
        <v>237</v>
      </c>
      <c r="AE20" s="12">
        <v>122</v>
      </c>
      <c r="AF20" s="12">
        <v>113</v>
      </c>
    </row>
    <row r="21" spans="1:32" ht="48.95">
      <c r="A21" s="20"/>
      <c r="B21" s="13" t="s">
        <v>969</v>
      </c>
      <c r="C21" s="14">
        <v>0.16</v>
      </c>
      <c r="D21" s="14">
        <v>0.15</v>
      </c>
      <c r="E21" s="14">
        <v>0.28000000000000003</v>
      </c>
      <c r="F21" s="14">
        <v>0.16</v>
      </c>
      <c r="G21" s="14">
        <v>0.12</v>
      </c>
      <c r="H21" s="14">
        <v>0.11</v>
      </c>
      <c r="I21" s="14">
        <v>0.12</v>
      </c>
      <c r="J21" s="14">
        <v>0.16</v>
      </c>
      <c r="K21" s="14">
        <v>0.16</v>
      </c>
      <c r="L21" s="14">
        <v>0.15</v>
      </c>
      <c r="M21" s="14">
        <v>0.24</v>
      </c>
      <c r="N21" s="14">
        <v>0.13</v>
      </c>
      <c r="O21" s="14">
        <v>0.11</v>
      </c>
      <c r="P21" s="14">
        <v>0.25</v>
      </c>
      <c r="Q21" s="14">
        <v>0.22</v>
      </c>
      <c r="R21" s="14">
        <v>0.18</v>
      </c>
      <c r="S21" s="14">
        <v>0.13</v>
      </c>
      <c r="T21" s="14">
        <v>0.16</v>
      </c>
      <c r="U21" s="14">
        <v>0.14000000000000001</v>
      </c>
      <c r="V21" s="14">
        <v>0.28000000000000003</v>
      </c>
      <c r="W21" s="14">
        <v>0.16</v>
      </c>
      <c r="X21" s="14">
        <v>0.11</v>
      </c>
      <c r="Y21" s="14">
        <v>0.19</v>
      </c>
      <c r="Z21" s="14">
        <v>0.21</v>
      </c>
      <c r="AA21" s="14">
        <v>0.19</v>
      </c>
      <c r="AB21" s="14">
        <v>0.2</v>
      </c>
      <c r="AC21" s="14">
        <v>0.15</v>
      </c>
      <c r="AD21" s="14">
        <v>0.24</v>
      </c>
      <c r="AE21" s="14">
        <v>0.12</v>
      </c>
      <c r="AF21" s="14">
        <v>0.11</v>
      </c>
    </row>
    <row r="22" spans="1:32" ht="48.95">
      <c r="A22" s="20"/>
      <c r="B22" s="11" t="s">
        <v>970</v>
      </c>
      <c r="C22" s="12">
        <v>5761</v>
      </c>
      <c r="D22" s="12">
        <v>229</v>
      </c>
      <c r="E22" s="12">
        <v>225</v>
      </c>
      <c r="F22" s="12">
        <v>198</v>
      </c>
      <c r="G22" s="12">
        <v>172</v>
      </c>
      <c r="H22" s="12">
        <v>247</v>
      </c>
      <c r="I22" s="12">
        <v>315</v>
      </c>
      <c r="J22" s="12">
        <v>68</v>
      </c>
      <c r="K22" s="12">
        <v>173</v>
      </c>
      <c r="L22" s="12">
        <v>218</v>
      </c>
      <c r="M22" s="12">
        <v>250</v>
      </c>
      <c r="N22" s="12">
        <v>175</v>
      </c>
      <c r="O22" s="12">
        <v>201</v>
      </c>
      <c r="P22" s="12">
        <v>271</v>
      </c>
      <c r="Q22" s="12">
        <v>307</v>
      </c>
      <c r="R22" s="12">
        <v>134</v>
      </c>
      <c r="S22" s="12">
        <v>97</v>
      </c>
      <c r="T22" s="12">
        <v>157</v>
      </c>
      <c r="U22" s="12">
        <v>119</v>
      </c>
      <c r="V22" s="12">
        <v>246</v>
      </c>
      <c r="W22" s="12">
        <v>114</v>
      </c>
      <c r="X22" s="12">
        <v>193</v>
      </c>
      <c r="Y22" s="12">
        <v>223</v>
      </c>
      <c r="Z22" s="12">
        <v>239</v>
      </c>
      <c r="AA22" s="12">
        <v>187</v>
      </c>
      <c r="AB22" s="12">
        <v>256</v>
      </c>
      <c r="AC22" s="12">
        <v>199</v>
      </c>
      <c r="AD22" s="12">
        <v>247</v>
      </c>
      <c r="AE22" s="12">
        <v>167</v>
      </c>
      <c r="AF22" s="12">
        <v>160</v>
      </c>
    </row>
    <row r="23" spans="1:32" ht="48.95">
      <c r="A23" s="20"/>
      <c r="B23" s="13" t="s">
        <v>971</v>
      </c>
      <c r="C23" s="14">
        <v>0.22</v>
      </c>
      <c r="D23" s="14">
        <v>0.23</v>
      </c>
      <c r="E23" s="14">
        <v>0.22</v>
      </c>
      <c r="F23" s="14">
        <v>0.2</v>
      </c>
      <c r="G23" s="14">
        <v>0.17</v>
      </c>
      <c r="H23" s="14">
        <v>0.2</v>
      </c>
      <c r="I23" s="14">
        <v>0.21</v>
      </c>
      <c r="J23" s="14">
        <v>0.23</v>
      </c>
      <c r="K23" s="14">
        <v>0.17</v>
      </c>
      <c r="L23" s="14">
        <v>0.22</v>
      </c>
      <c r="M23" s="14">
        <v>0.25</v>
      </c>
      <c r="N23" s="14">
        <v>0.17</v>
      </c>
      <c r="O23" s="14">
        <v>0.2</v>
      </c>
      <c r="P23" s="14">
        <v>0.27</v>
      </c>
      <c r="Q23" s="14">
        <v>0.3</v>
      </c>
      <c r="R23" s="14">
        <v>0.27</v>
      </c>
      <c r="S23" s="14">
        <v>0.1</v>
      </c>
      <c r="T23" s="14">
        <v>0.15</v>
      </c>
      <c r="U23" s="14">
        <v>0.23</v>
      </c>
      <c r="V23" s="14">
        <v>0.24</v>
      </c>
      <c r="W23" s="14">
        <v>0.23</v>
      </c>
      <c r="X23" s="14">
        <v>0.19</v>
      </c>
      <c r="Y23" s="14">
        <v>0.22</v>
      </c>
      <c r="Z23" s="14">
        <v>0.24</v>
      </c>
      <c r="AA23" s="14">
        <v>0.18</v>
      </c>
      <c r="AB23" s="14">
        <v>0.25</v>
      </c>
      <c r="AC23" s="14">
        <v>0.2</v>
      </c>
      <c r="AD23" s="14">
        <v>0.25</v>
      </c>
      <c r="AE23" s="14">
        <v>0.17</v>
      </c>
      <c r="AF23" s="14">
        <v>0.16</v>
      </c>
    </row>
    <row r="24" spans="1:32" ht="60.95">
      <c r="A24" s="20"/>
      <c r="B24" s="11" t="s">
        <v>972</v>
      </c>
      <c r="C24" s="12">
        <v>6518</v>
      </c>
      <c r="D24" s="12">
        <v>203</v>
      </c>
      <c r="E24" s="12">
        <v>306</v>
      </c>
      <c r="F24" s="12">
        <v>251</v>
      </c>
      <c r="G24" s="12">
        <v>221</v>
      </c>
      <c r="H24" s="12">
        <v>245</v>
      </c>
      <c r="I24" s="12">
        <v>328</v>
      </c>
      <c r="J24" s="12">
        <v>83</v>
      </c>
      <c r="K24" s="12">
        <v>153</v>
      </c>
      <c r="L24" s="12">
        <v>216</v>
      </c>
      <c r="M24" s="12">
        <v>282</v>
      </c>
      <c r="N24" s="12">
        <v>235</v>
      </c>
      <c r="O24" s="12">
        <v>259</v>
      </c>
      <c r="P24" s="12">
        <v>341</v>
      </c>
      <c r="Q24" s="12">
        <v>319</v>
      </c>
      <c r="R24" s="12">
        <v>115</v>
      </c>
      <c r="S24" s="12">
        <v>132</v>
      </c>
      <c r="T24" s="12">
        <v>139</v>
      </c>
      <c r="U24" s="12">
        <v>125</v>
      </c>
      <c r="V24" s="12">
        <v>303</v>
      </c>
      <c r="W24" s="12">
        <v>114</v>
      </c>
      <c r="X24" s="12">
        <v>189</v>
      </c>
      <c r="Y24" s="12">
        <v>261</v>
      </c>
      <c r="Z24" s="12">
        <v>240</v>
      </c>
      <c r="AA24" s="12">
        <v>234</v>
      </c>
      <c r="AB24" s="12">
        <v>308</v>
      </c>
      <c r="AC24" s="12">
        <v>234</v>
      </c>
      <c r="AD24" s="12">
        <v>304</v>
      </c>
      <c r="AE24" s="12">
        <v>137</v>
      </c>
      <c r="AF24" s="12">
        <v>215</v>
      </c>
    </row>
    <row r="25" spans="1:32" ht="60.95">
      <c r="A25" s="20"/>
      <c r="B25" s="13" t="s">
        <v>973</v>
      </c>
      <c r="C25" s="14">
        <v>0.25</v>
      </c>
      <c r="D25" s="14">
        <v>0.2</v>
      </c>
      <c r="E25" s="14">
        <v>0.3</v>
      </c>
      <c r="F25" s="14">
        <v>0.25</v>
      </c>
      <c r="G25" s="14">
        <v>0.22</v>
      </c>
      <c r="H25" s="14">
        <v>0.2</v>
      </c>
      <c r="I25" s="14">
        <v>0.22</v>
      </c>
      <c r="J25" s="14">
        <v>0.28000000000000003</v>
      </c>
      <c r="K25" s="14">
        <v>0.15</v>
      </c>
      <c r="L25" s="14">
        <v>0.21</v>
      </c>
      <c r="M25" s="14">
        <v>0.28000000000000003</v>
      </c>
      <c r="N25" s="14">
        <v>0.23</v>
      </c>
      <c r="O25" s="14">
        <v>0.26</v>
      </c>
      <c r="P25" s="14">
        <v>0.33</v>
      </c>
      <c r="Q25" s="14">
        <v>0.31</v>
      </c>
      <c r="R25" s="14">
        <v>0.23</v>
      </c>
      <c r="S25" s="14">
        <v>0.13</v>
      </c>
      <c r="T25" s="14">
        <v>0.14000000000000001</v>
      </c>
      <c r="U25" s="14">
        <v>0.25</v>
      </c>
      <c r="V25" s="14">
        <v>0.3</v>
      </c>
      <c r="W25" s="14">
        <v>0.23</v>
      </c>
      <c r="X25" s="14">
        <v>0.19</v>
      </c>
      <c r="Y25" s="14">
        <v>0.26</v>
      </c>
      <c r="Z25" s="14">
        <v>0.24</v>
      </c>
      <c r="AA25" s="14">
        <v>0.22</v>
      </c>
      <c r="AB25" s="14">
        <v>0.3</v>
      </c>
      <c r="AC25" s="14">
        <v>0.23</v>
      </c>
      <c r="AD25" s="14">
        <v>0.3</v>
      </c>
      <c r="AE25" s="14">
        <v>0.14000000000000001</v>
      </c>
      <c r="AF25" s="14">
        <v>0.21</v>
      </c>
    </row>
    <row r="26" spans="1:32" ht="72.95">
      <c r="A26" s="20"/>
      <c r="B26" s="11" t="s">
        <v>974</v>
      </c>
      <c r="C26" s="12">
        <v>9669</v>
      </c>
      <c r="D26" s="12">
        <v>397</v>
      </c>
      <c r="E26" s="12">
        <v>384</v>
      </c>
      <c r="F26" s="12">
        <v>354</v>
      </c>
      <c r="G26" s="12">
        <v>414</v>
      </c>
      <c r="H26" s="12">
        <v>496</v>
      </c>
      <c r="I26" s="12">
        <v>613</v>
      </c>
      <c r="J26" s="12">
        <v>116</v>
      </c>
      <c r="K26" s="12">
        <v>324</v>
      </c>
      <c r="L26" s="12">
        <v>406</v>
      </c>
      <c r="M26" s="12">
        <v>438</v>
      </c>
      <c r="N26" s="12">
        <v>300</v>
      </c>
      <c r="O26" s="12">
        <v>358</v>
      </c>
      <c r="P26" s="12">
        <v>410</v>
      </c>
      <c r="Q26" s="12">
        <v>404</v>
      </c>
      <c r="R26" s="12">
        <v>200</v>
      </c>
      <c r="S26" s="12">
        <v>194</v>
      </c>
      <c r="T26" s="12">
        <v>301</v>
      </c>
      <c r="U26" s="12">
        <v>171</v>
      </c>
      <c r="V26" s="12">
        <v>442</v>
      </c>
      <c r="W26" s="12">
        <v>180</v>
      </c>
      <c r="X26" s="12">
        <v>449</v>
      </c>
      <c r="Y26" s="12">
        <v>347</v>
      </c>
      <c r="Z26" s="12">
        <v>275</v>
      </c>
      <c r="AA26" s="12">
        <v>383</v>
      </c>
      <c r="AB26" s="12">
        <v>299</v>
      </c>
      <c r="AC26" s="12">
        <v>287</v>
      </c>
      <c r="AD26" s="12">
        <v>428</v>
      </c>
      <c r="AE26" s="12">
        <v>443</v>
      </c>
      <c r="AF26" s="12">
        <v>462</v>
      </c>
    </row>
    <row r="27" spans="1:32" ht="60.95">
      <c r="A27" s="20"/>
      <c r="B27" s="13" t="s">
        <v>975</v>
      </c>
      <c r="C27" s="14">
        <v>0.37</v>
      </c>
      <c r="D27" s="14">
        <v>0.4</v>
      </c>
      <c r="E27" s="14">
        <v>0.38</v>
      </c>
      <c r="F27" s="14">
        <v>0.35</v>
      </c>
      <c r="G27" s="14">
        <v>0.41</v>
      </c>
      <c r="H27" s="14">
        <v>0.41</v>
      </c>
      <c r="I27" s="14">
        <v>0.41</v>
      </c>
      <c r="J27" s="14">
        <v>0.4</v>
      </c>
      <c r="K27" s="14">
        <v>0.32</v>
      </c>
      <c r="L27" s="14">
        <v>0.4</v>
      </c>
      <c r="M27" s="14">
        <v>0.44</v>
      </c>
      <c r="N27" s="14">
        <v>0.3</v>
      </c>
      <c r="O27" s="14">
        <v>0.36</v>
      </c>
      <c r="P27" s="14">
        <v>0.4</v>
      </c>
      <c r="Q27" s="14">
        <v>0.4</v>
      </c>
      <c r="R27" s="14">
        <v>0.4</v>
      </c>
      <c r="S27" s="14">
        <v>0.19</v>
      </c>
      <c r="T27" s="14">
        <v>0.3</v>
      </c>
      <c r="U27" s="14">
        <v>0.34</v>
      </c>
      <c r="V27" s="14">
        <v>0.43</v>
      </c>
      <c r="W27" s="14">
        <v>0.36</v>
      </c>
      <c r="X27" s="14">
        <v>0.44</v>
      </c>
      <c r="Y27" s="14">
        <v>0.34</v>
      </c>
      <c r="Z27" s="14">
        <v>0.27</v>
      </c>
      <c r="AA27" s="14">
        <v>0.36</v>
      </c>
      <c r="AB27" s="14">
        <v>0.28999999999999998</v>
      </c>
      <c r="AC27" s="14">
        <v>0.28000000000000003</v>
      </c>
      <c r="AD27" s="14">
        <v>0.42</v>
      </c>
      <c r="AE27" s="14">
        <v>0.44</v>
      </c>
      <c r="AF27" s="14">
        <v>0.45</v>
      </c>
    </row>
    <row r="28" spans="1:32" ht="60.95">
      <c r="A28" s="20"/>
      <c r="B28" s="11" t="s">
        <v>976</v>
      </c>
      <c r="C28" s="12">
        <v>11480</v>
      </c>
      <c r="D28" s="12">
        <v>448</v>
      </c>
      <c r="E28" s="12">
        <v>452</v>
      </c>
      <c r="F28" s="12">
        <v>339</v>
      </c>
      <c r="G28" s="12">
        <v>567</v>
      </c>
      <c r="H28" s="12">
        <v>616</v>
      </c>
      <c r="I28" s="12">
        <v>766</v>
      </c>
      <c r="J28" s="12">
        <v>150</v>
      </c>
      <c r="K28" s="12">
        <v>407</v>
      </c>
      <c r="L28" s="12">
        <v>397</v>
      </c>
      <c r="M28" s="12">
        <v>493</v>
      </c>
      <c r="N28" s="12">
        <v>420</v>
      </c>
      <c r="O28" s="12">
        <v>440</v>
      </c>
      <c r="P28" s="12">
        <v>491</v>
      </c>
      <c r="Q28" s="12">
        <v>360</v>
      </c>
      <c r="R28" s="12">
        <v>250</v>
      </c>
      <c r="S28" s="12">
        <v>261</v>
      </c>
      <c r="T28" s="12">
        <v>342</v>
      </c>
      <c r="U28" s="12">
        <v>248</v>
      </c>
      <c r="V28" s="12">
        <v>391</v>
      </c>
      <c r="W28" s="12">
        <v>189</v>
      </c>
      <c r="X28" s="12">
        <v>641</v>
      </c>
      <c r="Y28" s="12">
        <v>437</v>
      </c>
      <c r="Z28" s="12">
        <v>325</v>
      </c>
      <c r="AA28" s="12">
        <v>423</v>
      </c>
      <c r="AB28" s="12">
        <v>338</v>
      </c>
      <c r="AC28" s="12">
        <v>352</v>
      </c>
      <c r="AD28" s="12">
        <v>435</v>
      </c>
      <c r="AE28" s="12">
        <v>610</v>
      </c>
      <c r="AF28" s="12">
        <v>733</v>
      </c>
    </row>
    <row r="29" spans="1:32" ht="48.95">
      <c r="A29" s="20"/>
      <c r="B29" s="13" t="s">
        <v>977</v>
      </c>
      <c r="C29" s="14">
        <v>0.44</v>
      </c>
      <c r="D29" s="14">
        <v>0.45</v>
      </c>
      <c r="E29" s="14">
        <v>0.44</v>
      </c>
      <c r="F29" s="14">
        <v>0.34</v>
      </c>
      <c r="G29" s="14">
        <v>0.56000000000000005</v>
      </c>
      <c r="H29" s="14">
        <v>0.51</v>
      </c>
      <c r="I29" s="14">
        <v>0.51</v>
      </c>
      <c r="J29" s="14">
        <v>0.51</v>
      </c>
      <c r="K29" s="14">
        <v>0.4</v>
      </c>
      <c r="L29" s="14">
        <v>0.39</v>
      </c>
      <c r="M29" s="14">
        <v>0.49</v>
      </c>
      <c r="N29" s="14">
        <v>0.42</v>
      </c>
      <c r="O29" s="14">
        <v>0.44</v>
      </c>
      <c r="P29" s="14">
        <v>0.48</v>
      </c>
      <c r="Q29" s="14">
        <v>0.35</v>
      </c>
      <c r="R29" s="14">
        <v>0.5</v>
      </c>
      <c r="S29" s="14">
        <v>0.26</v>
      </c>
      <c r="T29" s="14">
        <v>0.34</v>
      </c>
      <c r="U29" s="14">
        <v>0.49</v>
      </c>
      <c r="V29" s="14">
        <v>0.38</v>
      </c>
      <c r="W29" s="14">
        <v>0.38</v>
      </c>
      <c r="X29" s="14">
        <v>0.63</v>
      </c>
      <c r="Y29" s="14">
        <v>0.43</v>
      </c>
      <c r="Z29" s="14">
        <v>0.32</v>
      </c>
      <c r="AA29" s="14">
        <v>0.4</v>
      </c>
      <c r="AB29" s="14">
        <v>0.33</v>
      </c>
      <c r="AC29" s="14">
        <v>0.35</v>
      </c>
      <c r="AD29" s="14">
        <v>0.43</v>
      </c>
      <c r="AE29" s="14">
        <v>0.61</v>
      </c>
      <c r="AF29" s="14">
        <v>0.72</v>
      </c>
    </row>
    <row r="30" spans="1:32" ht="60.95">
      <c r="A30" s="20"/>
      <c r="B30" s="11" t="s">
        <v>978</v>
      </c>
      <c r="C30" s="12">
        <v>5965</v>
      </c>
      <c r="D30" s="12">
        <v>227</v>
      </c>
      <c r="E30" s="12">
        <v>283</v>
      </c>
      <c r="F30" s="12">
        <v>274</v>
      </c>
      <c r="G30" s="12">
        <v>254</v>
      </c>
      <c r="H30" s="12">
        <v>225</v>
      </c>
      <c r="I30" s="12">
        <v>299</v>
      </c>
      <c r="J30" s="12">
        <v>74</v>
      </c>
      <c r="K30" s="12">
        <v>277</v>
      </c>
      <c r="L30" s="12">
        <v>265</v>
      </c>
      <c r="M30" s="12">
        <v>443</v>
      </c>
      <c r="N30" s="12">
        <v>232</v>
      </c>
      <c r="O30" s="12">
        <v>175</v>
      </c>
      <c r="P30" s="12">
        <v>256</v>
      </c>
      <c r="Q30" s="12">
        <v>282</v>
      </c>
      <c r="R30" s="12">
        <v>190</v>
      </c>
      <c r="S30" s="12">
        <v>196</v>
      </c>
      <c r="T30" s="12">
        <v>314</v>
      </c>
      <c r="U30" s="12">
        <v>88</v>
      </c>
      <c r="V30" s="12">
        <v>241</v>
      </c>
      <c r="W30" s="12">
        <v>99</v>
      </c>
      <c r="X30" s="12">
        <v>223</v>
      </c>
      <c r="Y30" s="12">
        <v>224</v>
      </c>
      <c r="Z30" s="12">
        <v>218</v>
      </c>
      <c r="AA30" s="12">
        <v>182</v>
      </c>
      <c r="AB30" s="12">
        <v>221</v>
      </c>
      <c r="AC30" s="12">
        <v>227</v>
      </c>
      <c r="AD30" s="12">
        <v>290</v>
      </c>
      <c r="AE30" s="12">
        <v>143</v>
      </c>
      <c r="AF30" s="12">
        <v>252</v>
      </c>
    </row>
    <row r="31" spans="1:32" ht="48.95">
      <c r="A31" s="20"/>
      <c r="B31" s="13" t="s">
        <v>979</v>
      </c>
      <c r="C31" s="14">
        <v>0.23</v>
      </c>
      <c r="D31" s="14">
        <v>0.23</v>
      </c>
      <c r="E31" s="14">
        <v>0.28000000000000003</v>
      </c>
      <c r="F31" s="14">
        <v>0.27</v>
      </c>
      <c r="G31" s="14">
        <v>0.25</v>
      </c>
      <c r="H31" s="14">
        <v>0.18</v>
      </c>
      <c r="I31" s="14">
        <v>0.2</v>
      </c>
      <c r="J31" s="14">
        <v>0.25</v>
      </c>
      <c r="K31" s="14">
        <v>0.28000000000000003</v>
      </c>
      <c r="L31" s="14">
        <v>0.26</v>
      </c>
      <c r="M31" s="14">
        <v>0.44</v>
      </c>
      <c r="N31" s="14">
        <v>0.23</v>
      </c>
      <c r="O31" s="14">
        <v>0.17</v>
      </c>
      <c r="P31" s="14">
        <v>0.25</v>
      </c>
      <c r="Q31" s="14">
        <v>0.28000000000000003</v>
      </c>
      <c r="R31" s="14">
        <v>0.38</v>
      </c>
      <c r="S31" s="14">
        <v>0.19</v>
      </c>
      <c r="T31" s="14">
        <v>0.31</v>
      </c>
      <c r="U31" s="14">
        <v>0.17</v>
      </c>
      <c r="V31" s="14">
        <v>0.24</v>
      </c>
      <c r="W31" s="14">
        <v>0.2</v>
      </c>
      <c r="X31" s="14">
        <v>0.22</v>
      </c>
      <c r="Y31" s="14">
        <v>0.22</v>
      </c>
      <c r="Z31" s="14">
        <v>0.22</v>
      </c>
      <c r="AA31" s="14">
        <v>0.17</v>
      </c>
      <c r="AB31" s="14">
        <v>0.21</v>
      </c>
      <c r="AC31" s="14">
        <v>0.22</v>
      </c>
      <c r="AD31" s="14">
        <v>0.28999999999999998</v>
      </c>
      <c r="AE31" s="14">
        <v>0.14000000000000001</v>
      </c>
      <c r="AF31" s="14">
        <v>0.25</v>
      </c>
    </row>
    <row r="32" spans="1:32">
      <c r="A32" s="20"/>
      <c r="B32" s="11" t="s">
        <v>519</v>
      </c>
      <c r="C32" s="12">
        <v>159</v>
      </c>
      <c r="D32" s="12">
        <v>3</v>
      </c>
      <c r="E32" s="12">
        <v>6</v>
      </c>
      <c r="F32" s="12">
        <v>4</v>
      </c>
      <c r="G32" s="12">
        <v>3</v>
      </c>
      <c r="H32" s="12">
        <v>15</v>
      </c>
      <c r="I32" s="12">
        <v>17</v>
      </c>
      <c r="J32" s="12">
        <v>2</v>
      </c>
      <c r="K32" s="12">
        <v>24</v>
      </c>
      <c r="L32" s="12">
        <v>3</v>
      </c>
      <c r="M32" s="12">
        <v>9</v>
      </c>
      <c r="N32" s="12">
        <v>6</v>
      </c>
      <c r="O32" s="12">
        <v>3</v>
      </c>
      <c r="P32" s="12">
        <v>3</v>
      </c>
      <c r="Q32" s="12">
        <v>2</v>
      </c>
      <c r="R32" s="12">
        <v>0</v>
      </c>
      <c r="S32" s="12">
        <v>27</v>
      </c>
      <c r="T32" s="12">
        <v>9</v>
      </c>
      <c r="U32" s="12">
        <v>5</v>
      </c>
      <c r="V32" s="12">
        <v>0</v>
      </c>
      <c r="W32" s="12">
        <v>0</v>
      </c>
      <c r="X32" s="12">
        <v>4</v>
      </c>
      <c r="Y32" s="12">
        <v>28</v>
      </c>
      <c r="Z32" s="12">
        <v>1</v>
      </c>
      <c r="AA32" s="12">
        <v>11</v>
      </c>
      <c r="AB32" s="12">
        <v>9</v>
      </c>
      <c r="AC32" s="12">
        <v>6</v>
      </c>
      <c r="AD32" s="12">
        <v>1</v>
      </c>
      <c r="AE32" s="12">
        <v>2</v>
      </c>
      <c r="AF32" s="12">
        <v>3</v>
      </c>
    </row>
    <row r="33" spans="1:32">
      <c r="A33" s="20"/>
      <c r="B33" s="13" t="s">
        <v>520</v>
      </c>
      <c r="C33" s="14">
        <v>0.01</v>
      </c>
      <c r="D33" s="15" t="s">
        <v>459</v>
      </c>
      <c r="E33" s="14">
        <v>0.01</v>
      </c>
      <c r="F33" s="15" t="s">
        <v>459</v>
      </c>
      <c r="G33" s="15" t="s">
        <v>459</v>
      </c>
      <c r="H33" s="14">
        <v>0.01</v>
      </c>
      <c r="I33" s="14">
        <v>0.01</v>
      </c>
      <c r="J33" s="14">
        <v>0.01</v>
      </c>
      <c r="K33" s="14">
        <v>0.02</v>
      </c>
      <c r="L33" s="15" t="s">
        <v>459</v>
      </c>
      <c r="M33" s="14">
        <v>0.01</v>
      </c>
      <c r="N33" s="14">
        <v>0.01</v>
      </c>
      <c r="O33" s="15" t="s">
        <v>459</v>
      </c>
      <c r="P33" s="15" t="s">
        <v>459</v>
      </c>
      <c r="Q33" s="15" t="s">
        <v>459</v>
      </c>
      <c r="R33" s="15" t="s">
        <v>459</v>
      </c>
      <c r="S33" s="14">
        <v>0.03</v>
      </c>
      <c r="T33" s="14">
        <v>0.01</v>
      </c>
      <c r="U33" s="14">
        <v>0.01</v>
      </c>
      <c r="V33" s="15" t="s">
        <v>459</v>
      </c>
      <c r="W33" s="15" t="s">
        <v>459</v>
      </c>
      <c r="X33" s="15" t="s">
        <v>459</v>
      </c>
      <c r="Y33" s="14">
        <v>0.03</v>
      </c>
      <c r="Z33" s="15" t="s">
        <v>459</v>
      </c>
      <c r="AA33" s="14">
        <v>0.01</v>
      </c>
      <c r="AB33" s="14">
        <v>0.01</v>
      </c>
      <c r="AC33" s="14">
        <v>0.01</v>
      </c>
      <c r="AD33" s="15" t="s">
        <v>459</v>
      </c>
      <c r="AE33" s="15" t="s">
        <v>459</v>
      </c>
      <c r="AF33" s="15" t="s">
        <v>459</v>
      </c>
    </row>
    <row r="34" spans="1:32" ht="24.95">
      <c r="A34" s="20"/>
      <c r="B34" s="11" t="s">
        <v>551</v>
      </c>
      <c r="C34" s="12">
        <v>944</v>
      </c>
      <c r="D34" s="12">
        <v>15</v>
      </c>
      <c r="E34" s="12">
        <v>25</v>
      </c>
      <c r="F34" s="12">
        <v>43</v>
      </c>
      <c r="G34" s="12">
        <v>19</v>
      </c>
      <c r="H34" s="12">
        <v>59</v>
      </c>
      <c r="I34" s="12">
        <v>66</v>
      </c>
      <c r="J34" s="12">
        <v>7</v>
      </c>
      <c r="K34" s="12">
        <v>43</v>
      </c>
      <c r="L34" s="12">
        <v>21</v>
      </c>
      <c r="M34" s="12">
        <v>8</v>
      </c>
      <c r="N34" s="12">
        <v>32</v>
      </c>
      <c r="O34" s="12">
        <v>69</v>
      </c>
      <c r="P34" s="12">
        <v>7</v>
      </c>
      <c r="Q34" s="12">
        <v>25</v>
      </c>
      <c r="R34" s="12">
        <v>12</v>
      </c>
      <c r="S34" s="12">
        <v>32</v>
      </c>
      <c r="T34" s="12">
        <v>42</v>
      </c>
      <c r="U34" s="12">
        <v>28</v>
      </c>
      <c r="V34" s="12">
        <v>11</v>
      </c>
      <c r="W34" s="12">
        <v>4</v>
      </c>
      <c r="X34" s="12">
        <v>28</v>
      </c>
      <c r="Y34" s="12">
        <v>124</v>
      </c>
      <c r="Z34" s="12">
        <v>17</v>
      </c>
      <c r="AA34" s="12">
        <v>25</v>
      </c>
      <c r="AB34" s="12">
        <v>23</v>
      </c>
      <c r="AC34" s="12">
        <v>59</v>
      </c>
      <c r="AD34" s="12">
        <v>10</v>
      </c>
      <c r="AE34" s="12">
        <v>17</v>
      </c>
      <c r="AF34" s="12">
        <v>4</v>
      </c>
    </row>
    <row r="35" spans="1:32">
      <c r="A35" s="20"/>
      <c r="B35" s="13" t="s">
        <v>522</v>
      </c>
      <c r="C35" s="14">
        <v>0.04</v>
      </c>
      <c r="D35" s="14">
        <v>0.01</v>
      </c>
      <c r="E35" s="14">
        <v>0.02</v>
      </c>
      <c r="F35" s="14">
        <v>0.04</v>
      </c>
      <c r="G35" s="14">
        <v>0.02</v>
      </c>
      <c r="H35" s="14">
        <v>0.05</v>
      </c>
      <c r="I35" s="14">
        <v>0.04</v>
      </c>
      <c r="J35" s="14">
        <v>0.02</v>
      </c>
      <c r="K35" s="14">
        <v>0.04</v>
      </c>
      <c r="L35" s="14">
        <v>0.02</v>
      </c>
      <c r="M35" s="14">
        <v>0.01</v>
      </c>
      <c r="N35" s="14">
        <v>0.03</v>
      </c>
      <c r="O35" s="14">
        <v>7.0000000000000007E-2</v>
      </c>
      <c r="P35" s="14">
        <v>0.01</v>
      </c>
      <c r="Q35" s="14">
        <v>0.02</v>
      </c>
      <c r="R35" s="14">
        <v>0.02</v>
      </c>
      <c r="S35" s="14">
        <v>0.03</v>
      </c>
      <c r="T35" s="14">
        <v>0.04</v>
      </c>
      <c r="U35" s="14">
        <v>0.06</v>
      </c>
      <c r="V35" s="14">
        <v>0.01</v>
      </c>
      <c r="W35" s="14">
        <v>0.01</v>
      </c>
      <c r="X35" s="14">
        <v>0.03</v>
      </c>
      <c r="Y35" s="14">
        <v>0.12</v>
      </c>
      <c r="Z35" s="14">
        <v>0.02</v>
      </c>
      <c r="AA35" s="14">
        <v>0.02</v>
      </c>
      <c r="AB35" s="14">
        <v>0.02</v>
      </c>
      <c r="AC35" s="14">
        <v>0.06</v>
      </c>
      <c r="AD35" s="14">
        <v>0.01</v>
      </c>
      <c r="AE35" s="14">
        <v>0.02</v>
      </c>
      <c r="AF35" s="15" t="s">
        <v>459</v>
      </c>
    </row>
    <row r="36" spans="1:32">
      <c r="A36" s="20"/>
      <c r="B36" s="11" t="s">
        <v>468</v>
      </c>
      <c r="C36" s="12">
        <v>1243</v>
      </c>
      <c r="D36" s="12">
        <v>21</v>
      </c>
      <c r="E36" s="12">
        <v>43</v>
      </c>
      <c r="F36" s="12">
        <v>82</v>
      </c>
      <c r="G36" s="12">
        <v>50</v>
      </c>
      <c r="H36" s="12">
        <v>61</v>
      </c>
      <c r="I36" s="12">
        <v>68</v>
      </c>
      <c r="J36" s="12">
        <v>7</v>
      </c>
      <c r="K36" s="12">
        <v>80</v>
      </c>
      <c r="L36" s="12">
        <v>54</v>
      </c>
      <c r="M36" s="12">
        <v>14</v>
      </c>
      <c r="N36" s="12">
        <v>64</v>
      </c>
      <c r="O36" s="12">
        <v>60</v>
      </c>
      <c r="P36" s="12">
        <v>31</v>
      </c>
      <c r="Q36" s="12">
        <v>32</v>
      </c>
      <c r="R36" s="12">
        <v>31</v>
      </c>
      <c r="S36" s="12">
        <v>146</v>
      </c>
      <c r="T36" s="12">
        <v>113</v>
      </c>
      <c r="U36" s="12">
        <v>17</v>
      </c>
      <c r="V36" s="12">
        <v>52</v>
      </c>
      <c r="W36" s="12">
        <v>34</v>
      </c>
      <c r="X36" s="12">
        <v>22</v>
      </c>
      <c r="Y36" s="12">
        <v>32</v>
      </c>
      <c r="Z36" s="12">
        <v>35</v>
      </c>
      <c r="AA36" s="12">
        <v>136</v>
      </c>
      <c r="AB36" s="12">
        <v>55</v>
      </c>
      <c r="AC36" s="12">
        <v>35</v>
      </c>
      <c r="AD36" s="12">
        <v>36</v>
      </c>
      <c r="AE36" s="12">
        <v>31</v>
      </c>
      <c r="AF36" s="12">
        <v>11</v>
      </c>
    </row>
    <row r="37" spans="1:32">
      <c r="A37" s="20"/>
      <c r="B37" s="13" t="s">
        <v>469</v>
      </c>
      <c r="C37" s="14">
        <v>0.05</v>
      </c>
      <c r="D37" s="14">
        <v>0.02</v>
      </c>
      <c r="E37" s="14">
        <v>0.04</v>
      </c>
      <c r="F37" s="14">
        <v>0.08</v>
      </c>
      <c r="G37" s="14">
        <v>0.05</v>
      </c>
      <c r="H37" s="14">
        <v>0.05</v>
      </c>
      <c r="I37" s="14">
        <v>0.04</v>
      </c>
      <c r="J37" s="14">
        <v>0.02</v>
      </c>
      <c r="K37" s="14">
        <v>0.08</v>
      </c>
      <c r="L37" s="14">
        <v>0.05</v>
      </c>
      <c r="M37" s="14">
        <v>0.01</v>
      </c>
      <c r="N37" s="14">
        <v>0.06</v>
      </c>
      <c r="O37" s="14">
        <v>0.06</v>
      </c>
      <c r="P37" s="14">
        <v>0.03</v>
      </c>
      <c r="Q37" s="14">
        <v>0.03</v>
      </c>
      <c r="R37" s="14">
        <v>0.06</v>
      </c>
      <c r="S37" s="14">
        <v>0.14000000000000001</v>
      </c>
      <c r="T37" s="14">
        <v>0.11</v>
      </c>
      <c r="U37" s="14">
        <v>0.03</v>
      </c>
      <c r="V37" s="14">
        <v>0.05</v>
      </c>
      <c r="W37" s="14">
        <v>7.0000000000000007E-2</v>
      </c>
      <c r="X37" s="14">
        <v>0.02</v>
      </c>
      <c r="Y37" s="14">
        <v>0.03</v>
      </c>
      <c r="Z37" s="14">
        <v>0.03</v>
      </c>
      <c r="AA37" s="14">
        <v>0.13</v>
      </c>
      <c r="AB37" s="14">
        <v>0.05</v>
      </c>
      <c r="AC37" s="14">
        <v>0.03</v>
      </c>
      <c r="AD37" s="14">
        <v>0.04</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163</v>
      </c>
      <c r="C3" s="18"/>
      <c r="D3" s="18"/>
      <c r="E3" s="18"/>
      <c r="F3" s="18"/>
      <c r="H3" s="18" t="s">
        <v>164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982</v>
      </c>
      <c r="C12" s="12">
        <v>10165</v>
      </c>
      <c r="D12" s="12">
        <v>361</v>
      </c>
      <c r="E12" s="12">
        <v>540</v>
      </c>
      <c r="F12" s="12">
        <v>378</v>
      </c>
      <c r="G12" s="12">
        <v>314</v>
      </c>
      <c r="H12" s="12">
        <v>420</v>
      </c>
      <c r="I12" s="12">
        <v>534</v>
      </c>
      <c r="J12" s="12">
        <v>114</v>
      </c>
      <c r="K12" s="12">
        <v>301</v>
      </c>
      <c r="L12" s="12">
        <v>333</v>
      </c>
      <c r="M12" s="12">
        <v>347</v>
      </c>
      <c r="N12" s="12">
        <v>361</v>
      </c>
      <c r="O12" s="12">
        <v>343</v>
      </c>
      <c r="P12" s="12">
        <v>441</v>
      </c>
      <c r="Q12" s="12">
        <v>530</v>
      </c>
      <c r="R12" s="12">
        <v>163</v>
      </c>
      <c r="S12" s="12">
        <v>257</v>
      </c>
      <c r="T12" s="12">
        <v>367</v>
      </c>
      <c r="U12" s="12">
        <v>92</v>
      </c>
      <c r="V12" s="12">
        <v>354</v>
      </c>
      <c r="W12" s="12">
        <v>128</v>
      </c>
      <c r="X12" s="12">
        <v>168</v>
      </c>
      <c r="Y12" s="12">
        <v>290</v>
      </c>
      <c r="Z12" s="12">
        <v>438</v>
      </c>
      <c r="AA12" s="12">
        <v>697</v>
      </c>
      <c r="AB12" s="12">
        <v>607</v>
      </c>
      <c r="AC12" s="12">
        <v>360</v>
      </c>
      <c r="AD12" s="12">
        <v>336</v>
      </c>
      <c r="AE12" s="12">
        <v>229</v>
      </c>
      <c r="AF12" s="12">
        <v>198</v>
      </c>
    </row>
    <row r="13" spans="1:32">
      <c r="A13" s="20"/>
      <c r="B13" s="13" t="s">
        <v>983</v>
      </c>
      <c r="C13" s="14">
        <v>0.39</v>
      </c>
      <c r="D13" s="14">
        <v>0.36</v>
      </c>
      <c r="E13" s="14">
        <v>0.53</v>
      </c>
      <c r="F13" s="14">
        <v>0.38</v>
      </c>
      <c r="G13" s="14">
        <v>0.31</v>
      </c>
      <c r="H13" s="14">
        <v>0.35</v>
      </c>
      <c r="I13" s="14">
        <v>0.35</v>
      </c>
      <c r="J13" s="14">
        <v>0.39</v>
      </c>
      <c r="K13" s="14">
        <v>0.3</v>
      </c>
      <c r="L13" s="14">
        <v>0.33</v>
      </c>
      <c r="M13" s="14">
        <v>0.35</v>
      </c>
      <c r="N13" s="14">
        <v>0.36</v>
      </c>
      <c r="O13" s="14">
        <v>0.34</v>
      </c>
      <c r="P13" s="14">
        <v>0.43</v>
      </c>
      <c r="Q13" s="14">
        <v>0.52</v>
      </c>
      <c r="R13" s="14">
        <v>0.33</v>
      </c>
      <c r="S13" s="14">
        <v>0.25</v>
      </c>
      <c r="T13" s="14">
        <v>0.36</v>
      </c>
      <c r="U13" s="14">
        <v>0.18</v>
      </c>
      <c r="V13" s="14">
        <v>0.35</v>
      </c>
      <c r="W13" s="14">
        <v>0.26</v>
      </c>
      <c r="X13" s="14">
        <v>0.17</v>
      </c>
      <c r="Y13" s="14">
        <v>0.28999999999999998</v>
      </c>
      <c r="Z13" s="14">
        <v>0.43</v>
      </c>
      <c r="AA13" s="14">
        <v>0.66</v>
      </c>
      <c r="AB13" s="14">
        <v>0.57999999999999996</v>
      </c>
      <c r="AC13" s="14">
        <v>0.36</v>
      </c>
      <c r="AD13" s="14">
        <v>0.34</v>
      </c>
      <c r="AE13" s="14">
        <v>0.23</v>
      </c>
      <c r="AF13" s="14">
        <v>0.19</v>
      </c>
    </row>
    <row r="14" spans="1:32">
      <c r="A14" s="20"/>
      <c r="B14" s="11" t="s">
        <v>984</v>
      </c>
      <c r="C14" s="12">
        <v>2095</v>
      </c>
      <c r="D14" s="12">
        <v>114</v>
      </c>
      <c r="E14" s="12">
        <v>13</v>
      </c>
      <c r="F14" s="12">
        <v>43</v>
      </c>
      <c r="G14" s="12">
        <v>96</v>
      </c>
      <c r="H14" s="12">
        <v>148</v>
      </c>
      <c r="I14" s="12">
        <v>167</v>
      </c>
      <c r="J14" s="12">
        <v>19</v>
      </c>
      <c r="K14" s="12">
        <v>63</v>
      </c>
      <c r="L14" s="12">
        <v>66</v>
      </c>
      <c r="M14" s="12">
        <v>16</v>
      </c>
      <c r="N14" s="12">
        <v>58</v>
      </c>
      <c r="O14" s="12">
        <v>107</v>
      </c>
      <c r="P14" s="12">
        <v>30</v>
      </c>
      <c r="Q14" s="12">
        <v>52</v>
      </c>
      <c r="R14" s="12">
        <v>7</v>
      </c>
      <c r="S14" s="12">
        <v>22</v>
      </c>
      <c r="T14" s="12">
        <v>11</v>
      </c>
      <c r="U14" s="12">
        <v>80</v>
      </c>
      <c r="V14" s="12">
        <v>24</v>
      </c>
      <c r="W14" s="12">
        <v>25</v>
      </c>
      <c r="X14" s="12">
        <v>267</v>
      </c>
      <c r="Y14" s="12">
        <v>141</v>
      </c>
      <c r="Z14" s="12">
        <v>25</v>
      </c>
      <c r="AA14" s="12">
        <v>32</v>
      </c>
      <c r="AB14" s="12">
        <v>15</v>
      </c>
      <c r="AC14" s="12">
        <v>43</v>
      </c>
      <c r="AD14" s="12">
        <v>43</v>
      </c>
      <c r="AE14" s="12">
        <v>133</v>
      </c>
      <c r="AF14" s="12">
        <v>132</v>
      </c>
    </row>
    <row r="15" spans="1:32">
      <c r="A15" s="20"/>
      <c r="B15" s="13" t="s">
        <v>985</v>
      </c>
      <c r="C15" s="14">
        <v>0.08</v>
      </c>
      <c r="D15" s="14">
        <v>0.11</v>
      </c>
      <c r="E15" s="14">
        <v>0.01</v>
      </c>
      <c r="F15" s="14">
        <v>0.04</v>
      </c>
      <c r="G15" s="14">
        <v>0.1</v>
      </c>
      <c r="H15" s="14">
        <v>0.12</v>
      </c>
      <c r="I15" s="14">
        <v>0.11</v>
      </c>
      <c r="J15" s="14">
        <v>7.0000000000000007E-2</v>
      </c>
      <c r="K15" s="14">
        <v>0.06</v>
      </c>
      <c r="L15" s="14">
        <v>7.0000000000000007E-2</v>
      </c>
      <c r="M15" s="14">
        <v>0.02</v>
      </c>
      <c r="N15" s="14">
        <v>0.06</v>
      </c>
      <c r="O15" s="14">
        <v>0.11</v>
      </c>
      <c r="P15" s="14">
        <v>0.03</v>
      </c>
      <c r="Q15" s="14">
        <v>0.05</v>
      </c>
      <c r="R15" s="14">
        <v>0.01</v>
      </c>
      <c r="S15" s="14">
        <v>0.02</v>
      </c>
      <c r="T15" s="14">
        <v>0.01</v>
      </c>
      <c r="U15" s="14">
        <v>0.16</v>
      </c>
      <c r="V15" s="14">
        <v>0.02</v>
      </c>
      <c r="W15" s="14">
        <v>0.05</v>
      </c>
      <c r="X15" s="14">
        <v>0.26</v>
      </c>
      <c r="Y15" s="14">
        <v>0.14000000000000001</v>
      </c>
      <c r="Z15" s="14">
        <v>0.02</v>
      </c>
      <c r="AA15" s="14">
        <v>0.03</v>
      </c>
      <c r="AB15" s="14">
        <v>0.01</v>
      </c>
      <c r="AC15" s="14">
        <v>0.04</v>
      </c>
      <c r="AD15" s="14">
        <v>0.04</v>
      </c>
      <c r="AE15" s="14">
        <v>0.13</v>
      </c>
      <c r="AF15" s="14">
        <v>0.13</v>
      </c>
    </row>
    <row r="16" spans="1:32">
      <c r="A16" s="20"/>
      <c r="B16" s="11" t="s">
        <v>986</v>
      </c>
      <c r="C16" s="12">
        <v>1098</v>
      </c>
      <c r="D16" s="12">
        <v>68</v>
      </c>
      <c r="E16" s="12">
        <v>14</v>
      </c>
      <c r="F16" s="12">
        <v>28</v>
      </c>
      <c r="G16" s="12">
        <v>56</v>
      </c>
      <c r="H16" s="12">
        <v>59</v>
      </c>
      <c r="I16" s="12">
        <v>69</v>
      </c>
      <c r="J16" s="12">
        <v>10</v>
      </c>
      <c r="K16" s="12">
        <v>77</v>
      </c>
      <c r="L16" s="12">
        <v>80</v>
      </c>
      <c r="M16" s="12">
        <v>13</v>
      </c>
      <c r="N16" s="12">
        <v>53</v>
      </c>
      <c r="O16" s="12">
        <v>70</v>
      </c>
      <c r="P16" s="12">
        <v>35</v>
      </c>
      <c r="Q16" s="12">
        <v>27</v>
      </c>
      <c r="R16" s="12">
        <v>11</v>
      </c>
      <c r="S16" s="12">
        <v>88</v>
      </c>
      <c r="T16" s="12">
        <v>45</v>
      </c>
      <c r="U16" s="12">
        <v>33</v>
      </c>
      <c r="V16" s="12">
        <v>13</v>
      </c>
      <c r="W16" s="12">
        <v>8</v>
      </c>
      <c r="X16" s="12">
        <v>35</v>
      </c>
      <c r="Y16" s="12">
        <v>54</v>
      </c>
      <c r="Z16" s="12">
        <v>16</v>
      </c>
      <c r="AA16" s="12">
        <v>2</v>
      </c>
      <c r="AB16" s="12">
        <v>12</v>
      </c>
      <c r="AC16" s="12">
        <v>32</v>
      </c>
      <c r="AD16" s="12">
        <v>39</v>
      </c>
      <c r="AE16" s="12">
        <v>31</v>
      </c>
      <c r="AF16" s="12">
        <v>91</v>
      </c>
    </row>
    <row r="17" spans="1:32">
      <c r="A17" s="20"/>
      <c r="B17" s="13" t="s">
        <v>987</v>
      </c>
      <c r="C17" s="14">
        <v>0.04</v>
      </c>
      <c r="D17" s="14">
        <v>7.0000000000000007E-2</v>
      </c>
      <c r="E17" s="14">
        <v>0.01</v>
      </c>
      <c r="F17" s="14">
        <v>0.03</v>
      </c>
      <c r="G17" s="14">
        <v>0.05</v>
      </c>
      <c r="H17" s="14">
        <v>0.05</v>
      </c>
      <c r="I17" s="14">
        <v>0.05</v>
      </c>
      <c r="J17" s="14">
        <v>0.03</v>
      </c>
      <c r="K17" s="14">
        <v>0.08</v>
      </c>
      <c r="L17" s="14">
        <v>0.08</v>
      </c>
      <c r="M17" s="14">
        <v>0.01</v>
      </c>
      <c r="N17" s="14">
        <v>0.05</v>
      </c>
      <c r="O17" s="14">
        <v>7.0000000000000007E-2</v>
      </c>
      <c r="P17" s="14">
        <v>0.04</v>
      </c>
      <c r="Q17" s="14">
        <v>0.03</v>
      </c>
      <c r="R17" s="14">
        <v>0.02</v>
      </c>
      <c r="S17" s="14">
        <v>0.09</v>
      </c>
      <c r="T17" s="14">
        <v>0.04</v>
      </c>
      <c r="U17" s="14">
        <v>0.06</v>
      </c>
      <c r="V17" s="14">
        <v>0.01</v>
      </c>
      <c r="W17" s="14">
        <v>0.02</v>
      </c>
      <c r="X17" s="14">
        <v>0.03</v>
      </c>
      <c r="Y17" s="14">
        <v>0.05</v>
      </c>
      <c r="Z17" s="14">
        <v>0.02</v>
      </c>
      <c r="AA17" s="15" t="s">
        <v>459</v>
      </c>
      <c r="AB17" s="14">
        <v>0.01</v>
      </c>
      <c r="AC17" s="14">
        <v>0.03</v>
      </c>
      <c r="AD17" s="14">
        <v>0.04</v>
      </c>
      <c r="AE17" s="14">
        <v>0.03</v>
      </c>
      <c r="AF17" s="14">
        <v>0.09</v>
      </c>
    </row>
    <row r="18" spans="1:32" ht="36.950000000000003">
      <c r="A18" s="20"/>
      <c r="B18" s="11" t="s">
        <v>988</v>
      </c>
      <c r="C18" s="12">
        <v>3963</v>
      </c>
      <c r="D18" s="12">
        <v>135</v>
      </c>
      <c r="E18" s="12">
        <v>100</v>
      </c>
      <c r="F18" s="12">
        <v>101</v>
      </c>
      <c r="G18" s="12">
        <v>209</v>
      </c>
      <c r="H18" s="12">
        <v>167</v>
      </c>
      <c r="I18" s="12">
        <v>207</v>
      </c>
      <c r="J18" s="12">
        <v>40</v>
      </c>
      <c r="K18" s="12">
        <v>173</v>
      </c>
      <c r="L18" s="12">
        <v>116</v>
      </c>
      <c r="M18" s="12">
        <v>246</v>
      </c>
      <c r="N18" s="12">
        <v>135</v>
      </c>
      <c r="O18" s="12">
        <v>137</v>
      </c>
      <c r="P18" s="12">
        <v>156</v>
      </c>
      <c r="Q18" s="12">
        <v>129</v>
      </c>
      <c r="R18" s="12">
        <v>78</v>
      </c>
      <c r="S18" s="12">
        <v>227</v>
      </c>
      <c r="T18" s="12">
        <v>144</v>
      </c>
      <c r="U18" s="12">
        <v>119</v>
      </c>
      <c r="V18" s="12">
        <v>257</v>
      </c>
      <c r="W18" s="12">
        <v>116</v>
      </c>
      <c r="X18" s="12">
        <v>232</v>
      </c>
      <c r="Y18" s="12">
        <v>114</v>
      </c>
      <c r="Z18" s="12">
        <v>206</v>
      </c>
      <c r="AA18" s="12">
        <v>69</v>
      </c>
      <c r="AB18" s="12">
        <v>83</v>
      </c>
      <c r="AC18" s="12">
        <v>163</v>
      </c>
      <c r="AD18" s="12">
        <v>164</v>
      </c>
      <c r="AE18" s="12">
        <v>304</v>
      </c>
      <c r="AF18" s="12">
        <v>278</v>
      </c>
    </row>
    <row r="19" spans="1:32" ht="36.950000000000003">
      <c r="A19" s="20"/>
      <c r="B19" s="13" t="s">
        <v>989</v>
      </c>
      <c r="C19" s="14">
        <v>0.15</v>
      </c>
      <c r="D19" s="14">
        <v>0.14000000000000001</v>
      </c>
      <c r="E19" s="14">
        <v>0.1</v>
      </c>
      <c r="F19" s="14">
        <v>0.1</v>
      </c>
      <c r="G19" s="14">
        <v>0.21</v>
      </c>
      <c r="H19" s="14">
        <v>0.14000000000000001</v>
      </c>
      <c r="I19" s="14">
        <v>0.14000000000000001</v>
      </c>
      <c r="J19" s="14">
        <v>0.14000000000000001</v>
      </c>
      <c r="K19" s="14">
        <v>0.17</v>
      </c>
      <c r="L19" s="14">
        <v>0.12</v>
      </c>
      <c r="M19" s="14">
        <v>0.25</v>
      </c>
      <c r="N19" s="14">
        <v>0.14000000000000001</v>
      </c>
      <c r="O19" s="14">
        <v>0.14000000000000001</v>
      </c>
      <c r="P19" s="14">
        <v>0.15</v>
      </c>
      <c r="Q19" s="14">
        <v>0.13</v>
      </c>
      <c r="R19" s="14">
        <v>0.16</v>
      </c>
      <c r="S19" s="14">
        <v>0.23</v>
      </c>
      <c r="T19" s="14">
        <v>0.14000000000000001</v>
      </c>
      <c r="U19" s="14">
        <v>0.24</v>
      </c>
      <c r="V19" s="14">
        <v>0.25</v>
      </c>
      <c r="W19" s="14">
        <v>0.23</v>
      </c>
      <c r="X19" s="14">
        <v>0.23</v>
      </c>
      <c r="Y19" s="14">
        <v>0.11</v>
      </c>
      <c r="Z19" s="14">
        <v>0.2</v>
      </c>
      <c r="AA19" s="14">
        <v>7.0000000000000007E-2</v>
      </c>
      <c r="AB19" s="14">
        <v>0.08</v>
      </c>
      <c r="AC19" s="14">
        <v>0.16</v>
      </c>
      <c r="AD19" s="14">
        <v>0.16</v>
      </c>
      <c r="AE19" s="14">
        <v>0.31</v>
      </c>
      <c r="AF19" s="14">
        <v>0.27</v>
      </c>
    </row>
    <row r="20" spans="1:32" ht="36.950000000000003">
      <c r="A20" s="20"/>
      <c r="B20" s="11" t="s">
        <v>990</v>
      </c>
      <c r="C20" s="12">
        <v>2252</v>
      </c>
      <c r="D20" s="12">
        <v>76</v>
      </c>
      <c r="E20" s="12">
        <v>43</v>
      </c>
      <c r="F20" s="12">
        <v>140</v>
      </c>
      <c r="G20" s="12">
        <v>115</v>
      </c>
      <c r="H20" s="12">
        <v>85</v>
      </c>
      <c r="I20" s="12">
        <v>125</v>
      </c>
      <c r="J20" s="12">
        <v>40</v>
      </c>
      <c r="K20" s="12">
        <v>84</v>
      </c>
      <c r="L20" s="12">
        <v>44</v>
      </c>
      <c r="M20" s="12">
        <v>50</v>
      </c>
      <c r="N20" s="12">
        <v>88</v>
      </c>
      <c r="O20" s="12">
        <v>80</v>
      </c>
      <c r="P20" s="12">
        <v>62</v>
      </c>
      <c r="Q20" s="12">
        <v>93</v>
      </c>
      <c r="R20" s="12">
        <v>31</v>
      </c>
      <c r="S20" s="12">
        <v>71</v>
      </c>
      <c r="T20" s="12">
        <v>92</v>
      </c>
      <c r="U20" s="12">
        <v>69</v>
      </c>
      <c r="V20" s="12">
        <v>83</v>
      </c>
      <c r="W20" s="12">
        <v>51</v>
      </c>
      <c r="X20" s="12">
        <v>105</v>
      </c>
      <c r="Y20" s="12">
        <v>106</v>
      </c>
      <c r="Z20" s="12">
        <v>68</v>
      </c>
      <c r="AA20" s="12">
        <v>39</v>
      </c>
      <c r="AB20" s="12">
        <v>40</v>
      </c>
      <c r="AC20" s="12">
        <v>151</v>
      </c>
      <c r="AD20" s="12">
        <v>122</v>
      </c>
      <c r="AE20" s="12">
        <v>173</v>
      </c>
      <c r="AF20" s="12">
        <v>220</v>
      </c>
    </row>
    <row r="21" spans="1:32" ht="24.95">
      <c r="A21" s="20"/>
      <c r="B21" s="13" t="s">
        <v>991</v>
      </c>
      <c r="C21" s="14">
        <v>0.09</v>
      </c>
      <c r="D21" s="14">
        <v>0.08</v>
      </c>
      <c r="E21" s="14">
        <v>0.04</v>
      </c>
      <c r="F21" s="14">
        <v>0.14000000000000001</v>
      </c>
      <c r="G21" s="14">
        <v>0.11</v>
      </c>
      <c r="H21" s="14">
        <v>7.0000000000000007E-2</v>
      </c>
      <c r="I21" s="14">
        <v>0.08</v>
      </c>
      <c r="J21" s="14">
        <v>0.14000000000000001</v>
      </c>
      <c r="K21" s="14">
        <v>0.08</v>
      </c>
      <c r="L21" s="14">
        <v>0.04</v>
      </c>
      <c r="M21" s="14">
        <v>0.05</v>
      </c>
      <c r="N21" s="14">
        <v>0.09</v>
      </c>
      <c r="O21" s="14">
        <v>0.08</v>
      </c>
      <c r="P21" s="14">
        <v>0.06</v>
      </c>
      <c r="Q21" s="14">
        <v>0.09</v>
      </c>
      <c r="R21" s="14">
        <v>0.06</v>
      </c>
      <c r="S21" s="14">
        <v>7.0000000000000007E-2</v>
      </c>
      <c r="T21" s="14">
        <v>0.09</v>
      </c>
      <c r="U21" s="14">
        <v>0.14000000000000001</v>
      </c>
      <c r="V21" s="14">
        <v>0.08</v>
      </c>
      <c r="W21" s="14">
        <v>0.1</v>
      </c>
      <c r="X21" s="14">
        <v>0.1</v>
      </c>
      <c r="Y21" s="14">
        <v>0.11</v>
      </c>
      <c r="Z21" s="14">
        <v>7.0000000000000007E-2</v>
      </c>
      <c r="AA21" s="14">
        <v>0.04</v>
      </c>
      <c r="AB21" s="14">
        <v>0.04</v>
      </c>
      <c r="AC21" s="14">
        <v>0.15</v>
      </c>
      <c r="AD21" s="14">
        <v>0.12</v>
      </c>
      <c r="AE21" s="14">
        <v>0.17</v>
      </c>
      <c r="AF21" s="14">
        <v>0.22</v>
      </c>
    </row>
    <row r="22" spans="1:32">
      <c r="A22" s="20"/>
      <c r="B22" s="11" t="s">
        <v>992</v>
      </c>
      <c r="C22" s="12">
        <v>2985</v>
      </c>
      <c r="D22" s="12">
        <v>168</v>
      </c>
      <c r="E22" s="12">
        <v>133</v>
      </c>
      <c r="F22" s="12">
        <v>144</v>
      </c>
      <c r="G22" s="12">
        <v>99</v>
      </c>
      <c r="H22" s="12">
        <v>115</v>
      </c>
      <c r="I22" s="12">
        <v>148</v>
      </c>
      <c r="J22" s="12">
        <v>33</v>
      </c>
      <c r="K22" s="12">
        <v>171</v>
      </c>
      <c r="L22" s="12">
        <v>254</v>
      </c>
      <c r="M22" s="12">
        <v>193</v>
      </c>
      <c r="N22" s="12">
        <v>159</v>
      </c>
      <c r="O22" s="12">
        <v>135</v>
      </c>
      <c r="P22" s="12">
        <v>173</v>
      </c>
      <c r="Q22" s="12">
        <v>45</v>
      </c>
      <c r="R22" s="12">
        <v>159</v>
      </c>
      <c r="S22" s="12">
        <v>276</v>
      </c>
      <c r="T22" s="12">
        <v>189</v>
      </c>
      <c r="U22" s="12">
        <v>65</v>
      </c>
      <c r="V22" s="12">
        <v>118</v>
      </c>
      <c r="W22" s="12">
        <v>125</v>
      </c>
      <c r="X22" s="12">
        <v>106</v>
      </c>
      <c r="Y22" s="12">
        <v>105</v>
      </c>
      <c r="Z22" s="12">
        <v>99</v>
      </c>
      <c r="AA22" s="12">
        <v>95</v>
      </c>
      <c r="AB22" s="12">
        <v>115</v>
      </c>
      <c r="AC22" s="12">
        <v>168</v>
      </c>
      <c r="AD22" s="12">
        <v>143</v>
      </c>
      <c r="AE22" s="12">
        <v>86</v>
      </c>
      <c r="AF22" s="12">
        <v>38</v>
      </c>
    </row>
    <row r="23" spans="1:32">
      <c r="A23" s="20"/>
      <c r="B23" s="13" t="s">
        <v>993</v>
      </c>
      <c r="C23" s="14">
        <v>0.11</v>
      </c>
      <c r="D23" s="14">
        <v>0.17</v>
      </c>
      <c r="E23" s="14">
        <v>0.13</v>
      </c>
      <c r="F23" s="14">
        <v>0.14000000000000001</v>
      </c>
      <c r="G23" s="14">
        <v>0.1</v>
      </c>
      <c r="H23" s="14">
        <v>0.09</v>
      </c>
      <c r="I23" s="14">
        <v>0.1</v>
      </c>
      <c r="J23" s="14">
        <v>0.11</v>
      </c>
      <c r="K23" s="14">
        <v>0.17</v>
      </c>
      <c r="L23" s="14">
        <v>0.25</v>
      </c>
      <c r="M23" s="14">
        <v>0.19</v>
      </c>
      <c r="N23" s="14">
        <v>0.16</v>
      </c>
      <c r="O23" s="14">
        <v>0.13</v>
      </c>
      <c r="P23" s="14">
        <v>0.17</v>
      </c>
      <c r="Q23" s="14">
        <v>0.04</v>
      </c>
      <c r="R23" s="14">
        <v>0.32</v>
      </c>
      <c r="S23" s="14">
        <v>0.27</v>
      </c>
      <c r="T23" s="14">
        <v>0.19</v>
      </c>
      <c r="U23" s="14">
        <v>0.13</v>
      </c>
      <c r="V23" s="14">
        <v>0.12</v>
      </c>
      <c r="W23" s="14">
        <v>0.25</v>
      </c>
      <c r="X23" s="14">
        <v>0.1</v>
      </c>
      <c r="Y23" s="14">
        <v>0.11</v>
      </c>
      <c r="Z23" s="14">
        <v>0.1</v>
      </c>
      <c r="AA23" s="14">
        <v>0.09</v>
      </c>
      <c r="AB23" s="14">
        <v>0.11</v>
      </c>
      <c r="AC23" s="14">
        <v>0.17</v>
      </c>
      <c r="AD23" s="14">
        <v>0.14000000000000001</v>
      </c>
      <c r="AE23" s="14">
        <v>0.09</v>
      </c>
      <c r="AF23" s="14">
        <v>0.04</v>
      </c>
    </row>
    <row r="24" spans="1:32">
      <c r="A24" s="20"/>
      <c r="B24" s="11" t="s">
        <v>994</v>
      </c>
      <c r="C24" s="12">
        <v>702</v>
      </c>
      <c r="D24" s="12">
        <v>13</v>
      </c>
      <c r="E24" s="12">
        <v>25</v>
      </c>
      <c r="F24" s="12">
        <v>42</v>
      </c>
      <c r="G24" s="12">
        <v>29</v>
      </c>
      <c r="H24" s="12">
        <v>49</v>
      </c>
      <c r="I24" s="12">
        <v>55</v>
      </c>
      <c r="J24" s="12">
        <v>6</v>
      </c>
      <c r="K24" s="12">
        <v>26</v>
      </c>
      <c r="L24" s="12">
        <v>39</v>
      </c>
      <c r="M24" s="12">
        <v>32</v>
      </c>
      <c r="N24" s="12">
        <v>41</v>
      </c>
      <c r="O24" s="12">
        <v>10</v>
      </c>
      <c r="P24" s="12">
        <v>32</v>
      </c>
      <c r="Q24" s="12">
        <v>11</v>
      </c>
      <c r="R24" s="12">
        <v>13</v>
      </c>
      <c r="S24" s="12">
        <v>15</v>
      </c>
      <c r="T24" s="12">
        <v>36</v>
      </c>
      <c r="U24" s="12">
        <v>17</v>
      </c>
      <c r="V24" s="12">
        <v>37</v>
      </c>
      <c r="W24" s="12">
        <v>22</v>
      </c>
      <c r="X24" s="12">
        <v>42</v>
      </c>
      <c r="Y24" s="12">
        <v>19</v>
      </c>
      <c r="Z24" s="12">
        <v>30</v>
      </c>
      <c r="AA24" s="12">
        <v>5</v>
      </c>
      <c r="AB24" s="12">
        <v>48</v>
      </c>
      <c r="AC24" s="12">
        <v>29</v>
      </c>
      <c r="AD24" s="12">
        <v>23</v>
      </c>
      <c r="AE24" s="12">
        <v>13</v>
      </c>
      <c r="AF24" s="12">
        <v>27</v>
      </c>
    </row>
    <row r="25" spans="1:32">
      <c r="A25" s="20"/>
      <c r="B25" s="13" t="s">
        <v>995</v>
      </c>
      <c r="C25" s="14">
        <v>0.03</v>
      </c>
      <c r="D25" s="14">
        <v>0.01</v>
      </c>
      <c r="E25" s="14">
        <v>0.03</v>
      </c>
      <c r="F25" s="14">
        <v>0.04</v>
      </c>
      <c r="G25" s="14">
        <v>0.03</v>
      </c>
      <c r="H25" s="14">
        <v>0.04</v>
      </c>
      <c r="I25" s="14">
        <v>0.04</v>
      </c>
      <c r="J25" s="14">
        <v>0.02</v>
      </c>
      <c r="K25" s="14">
        <v>0.03</v>
      </c>
      <c r="L25" s="14">
        <v>0.04</v>
      </c>
      <c r="M25" s="14">
        <v>0.03</v>
      </c>
      <c r="N25" s="14">
        <v>0.04</v>
      </c>
      <c r="O25" s="14">
        <v>0.01</v>
      </c>
      <c r="P25" s="14">
        <v>0.03</v>
      </c>
      <c r="Q25" s="14">
        <v>0.01</v>
      </c>
      <c r="R25" s="14">
        <v>0.03</v>
      </c>
      <c r="S25" s="14">
        <v>0.02</v>
      </c>
      <c r="T25" s="14">
        <v>0.04</v>
      </c>
      <c r="U25" s="14">
        <v>0.03</v>
      </c>
      <c r="V25" s="14">
        <v>0.04</v>
      </c>
      <c r="W25" s="14">
        <v>0.04</v>
      </c>
      <c r="X25" s="14">
        <v>0.04</v>
      </c>
      <c r="Y25" s="14">
        <v>0.02</v>
      </c>
      <c r="Z25" s="14">
        <v>0.03</v>
      </c>
      <c r="AA25" s="15" t="s">
        <v>459</v>
      </c>
      <c r="AB25" s="14">
        <v>0.05</v>
      </c>
      <c r="AC25" s="14">
        <v>0.03</v>
      </c>
      <c r="AD25" s="14">
        <v>0.02</v>
      </c>
      <c r="AE25" s="14">
        <v>0.01</v>
      </c>
      <c r="AF25" s="14">
        <v>0.03</v>
      </c>
    </row>
    <row r="26" spans="1:32" ht="24.95">
      <c r="A26" s="20"/>
      <c r="B26" s="11" t="s">
        <v>996</v>
      </c>
      <c r="C26" s="12">
        <v>1370</v>
      </c>
      <c r="D26" s="12">
        <v>51</v>
      </c>
      <c r="E26" s="12">
        <v>81</v>
      </c>
      <c r="F26" s="12">
        <v>53</v>
      </c>
      <c r="G26" s="12">
        <v>67</v>
      </c>
      <c r="H26" s="12">
        <v>69</v>
      </c>
      <c r="I26" s="12">
        <v>91</v>
      </c>
      <c r="J26" s="12">
        <v>21</v>
      </c>
      <c r="K26" s="12">
        <v>63</v>
      </c>
      <c r="L26" s="12">
        <v>37</v>
      </c>
      <c r="M26" s="12">
        <v>51</v>
      </c>
      <c r="N26" s="12">
        <v>43</v>
      </c>
      <c r="O26" s="12">
        <v>37</v>
      </c>
      <c r="P26" s="12">
        <v>58</v>
      </c>
      <c r="Q26" s="12">
        <v>58</v>
      </c>
      <c r="R26" s="12">
        <v>6</v>
      </c>
      <c r="S26" s="12">
        <v>31</v>
      </c>
      <c r="T26" s="12">
        <v>45</v>
      </c>
      <c r="U26" s="12">
        <v>24</v>
      </c>
      <c r="V26" s="12">
        <v>60</v>
      </c>
      <c r="W26" s="12">
        <v>25</v>
      </c>
      <c r="X26" s="12">
        <v>42</v>
      </c>
      <c r="Y26" s="12">
        <v>53</v>
      </c>
      <c r="Z26" s="12">
        <v>67</v>
      </c>
      <c r="AA26" s="12">
        <v>35</v>
      </c>
      <c r="AB26" s="12">
        <v>73</v>
      </c>
      <c r="AC26" s="12">
        <v>51</v>
      </c>
      <c r="AD26" s="12">
        <v>96</v>
      </c>
      <c r="AE26" s="12">
        <v>21</v>
      </c>
      <c r="AF26" s="12">
        <v>29</v>
      </c>
    </row>
    <row r="27" spans="1:32" ht="24.95">
      <c r="A27" s="20"/>
      <c r="B27" s="13" t="s">
        <v>997</v>
      </c>
      <c r="C27" s="14">
        <v>0.05</v>
      </c>
      <c r="D27" s="14">
        <v>0.05</v>
      </c>
      <c r="E27" s="14">
        <v>0.08</v>
      </c>
      <c r="F27" s="14">
        <v>0.05</v>
      </c>
      <c r="G27" s="14">
        <v>7.0000000000000007E-2</v>
      </c>
      <c r="H27" s="14">
        <v>0.06</v>
      </c>
      <c r="I27" s="14">
        <v>0.06</v>
      </c>
      <c r="J27" s="14">
        <v>7.0000000000000007E-2</v>
      </c>
      <c r="K27" s="14">
        <v>0.06</v>
      </c>
      <c r="L27" s="14">
        <v>0.04</v>
      </c>
      <c r="M27" s="14">
        <v>0.05</v>
      </c>
      <c r="N27" s="14">
        <v>0.04</v>
      </c>
      <c r="O27" s="14">
        <v>0.04</v>
      </c>
      <c r="P27" s="14">
        <v>0.06</v>
      </c>
      <c r="Q27" s="14">
        <v>0.06</v>
      </c>
      <c r="R27" s="14">
        <v>0.01</v>
      </c>
      <c r="S27" s="14">
        <v>0.03</v>
      </c>
      <c r="T27" s="14">
        <v>0.05</v>
      </c>
      <c r="U27" s="14">
        <v>0.05</v>
      </c>
      <c r="V27" s="14">
        <v>0.06</v>
      </c>
      <c r="W27" s="14">
        <v>0.05</v>
      </c>
      <c r="X27" s="14">
        <v>0.04</v>
      </c>
      <c r="Y27" s="14">
        <v>0.05</v>
      </c>
      <c r="Z27" s="14">
        <v>7.0000000000000007E-2</v>
      </c>
      <c r="AA27" s="14">
        <v>0.03</v>
      </c>
      <c r="AB27" s="14">
        <v>7.0000000000000007E-2</v>
      </c>
      <c r="AC27" s="14">
        <v>0.05</v>
      </c>
      <c r="AD27" s="14">
        <v>0.1</v>
      </c>
      <c r="AE27" s="14">
        <v>0.02</v>
      </c>
      <c r="AF27" s="14">
        <v>0.03</v>
      </c>
    </row>
    <row r="28" spans="1:32">
      <c r="A28" s="20"/>
      <c r="B28" s="11" t="s">
        <v>519</v>
      </c>
      <c r="C28" s="12">
        <v>36</v>
      </c>
      <c r="D28" s="12">
        <v>1</v>
      </c>
      <c r="E28" s="12">
        <v>1</v>
      </c>
      <c r="F28" s="12">
        <v>1</v>
      </c>
      <c r="G28" s="12">
        <v>10</v>
      </c>
      <c r="H28" s="12">
        <v>4</v>
      </c>
      <c r="I28" s="12">
        <v>4</v>
      </c>
      <c r="J28" s="12">
        <v>0</v>
      </c>
      <c r="K28" s="12">
        <v>7</v>
      </c>
      <c r="L28" s="12">
        <v>2</v>
      </c>
      <c r="M28" s="12">
        <v>0</v>
      </c>
      <c r="N28" s="12">
        <v>0</v>
      </c>
      <c r="O28" s="12">
        <v>2</v>
      </c>
      <c r="P28" s="12">
        <v>0</v>
      </c>
      <c r="Q28" s="12">
        <v>0</v>
      </c>
      <c r="R28" s="12">
        <v>1</v>
      </c>
      <c r="S28" s="12">
        <v>0</v>
      </c>
      <c r="T28" s="12">
        <v>5</v>
      </c>
      <c r="U28" s="12">
        <v>0</v>
      </c>
      <c r="V28" s="12">
        <v>0</v>
      </c>
      <c r="W28" s="12">
        <v>0</v>
      </c>
      <c r="X28" s="12">
        <v>2</v>
      </c>
      <c r="Y28" s="12">
        <v>3</v>
      </c>
      <c r="Z28" s="12">
        <v>0</v>
      </c>
      <c r="AA28" s="12">
        <v>0</v>
      </c>
      <c r="AB28" s="12">
        <v>0</v>
      </c>
      <c r="AC28" s="12">
        <v>2</v>
      </c>
      <c r="AD28" s="12">
        <v>2</v>
      </c>
      <c r="AE28" s="12">
        <v>2</v>
      </c>
      <c r="AF28" s="12">
        <v>1</v>
      </c>
    </row>
    <row r="29" spans="1:32">
      <c r="A29" s="20"/>
      <c r="B29" s="13" t="s">
        <v>520</v>
      </c>
      <c r="C29" s="15" t="s">
        <v>459</v>
      </c>
      <c r="D29" s="15" t="s">
        <v>459</v>
      </c>
      <c r="E29" s="15" t="s">
        <v>459</v>
      </c>
      <c r="F29" s="15" t="s">
        <v>459</v>
      </c>
      <c r="G29" s="14">
        <v>0.01</v>
      </c>
      <c r="H29" s="15" t="s">
        <v>459</v>
      </c>
      <c r="I29" s="15" t="s">
        <v>459</v>
      </c>
      <c r="J29" s="15" t="s">
        <v>459</v>
      </c>
      <c r="K29" s="14">
        <v>0.01</v>
      </c>
      <c r="L29" s="15" t="s">
        <v>459</v>
      </c>
      <c r="M29" s="15" t="s">
        <v>459</v>
      </c>
      <c r="N29" s="15" t="s">
        <v>459</v>
      </c>
      <c r="O29" s="15" t="s">
        <v>459</v>
      </c>
      <c r="P29" s="15" t="s">
        <v>459</v>
      </c>
      <c r="Q29" s="15" t="s">
        <v>459</v>
      </c>
      <c r="R29" s="15" t="s">
        <v>459</v>
      </c>
      <c r="S29" s="15" t="s">
        <v>459</v>
      </c>
      <c r="T29" s="15" t="s">
        <v>459</v>
      </c>
      <c r="U29" s="15" t="s">
        <v>459</v>
      </c>
      <c r="V29" s="15" t="s">
        <v>459</v>
      </c>
      <c r="W29" s="15" t="s">
        <v>459</v>
      </c>
      <c r="X29" s="15" t="s">
        <v>459</v>
      </c>
      <c r="Y29" s="15" t="s">
        <v>459</v>
      </c>
      <c r="Z29" s="15" t="s">
        <v>459</v>
      </c>
      <c r="AA29" s="15" t="s">
        <v>459</v>
      </c>
      <c r="AB29" s="15" t="s">
        <v>459</v>
      </c>
      <c r="AC29" s="15" t="s">
        <v>459</v>
      </c>
      <c r="AD29" s="15" t="s">
        <v>459</v>
      </c>
      <c r="AE29" s="15" t="s">
        <v>459</v>
      </c>
      <c r="AF29" s="15" t="s">
        <v>459</v>
      </c>
    </row>
    <row r="30" spans="1:32" ht="36.950000000000003">
      <c r="A30" s="20"/>
      <c r="B30" s="11" t="s">
        <v>998</v>
      </c>
      <c r="C30" s="12">
        <v>1543</v>
      </c>
      <c r="D30" s="12">
        <v>13</v>
      </c>
      <c r="E30" s="12">
        <v>62</v>
      </c>
      <c r="F30" s="12">
        <v>44</v>
      </c>
      <c r="G30" s="12">
        <v>7</v>
      </c>
      <c r="H30" s="12">
        <v>96</v>
      </c>
      <c r="I30" s="12">
        <v>105</v>
      </c>
      <c r="J30" s="12">
        <v>9</v>
      </c>
      <c r="K30" s="12">
        <v>40</v>
      </c>
      <c r="L30" s="12">
        <v>33</v>
      </c>
      <c r="M30" s="12">
        <v>51</v>
      </c>
      <c r="N30" s="12">
        <v>64</v>
      </c>
      <c r="O30" s="12">
        <v>80</v>
      </c>
      <c r="P30" s="12">
        <v>29</v>
      </c>
      <c r="Q30" s="12">
        <v>71</v>
      </c>
      <c r="R30" s="12">
        <v>27</v>
      </c>
      <c r="S30" s="12">
        <v>16</v>
      </c>
      <c r="T30" s="12">
        <v>78</v>
      </c>
      <c r="U30" s="12">
        <v>7</v>
      </c>
      <c r="V30" s="12">
        <v>67</v>
      </c>
      <c r="W30" s="12">
        <v>2</v>
      </c>
      <c r="X30" s="12">
        <v>15</v>
      </c>
      <c r="Y30" s="12">
        <v>123</v>
      </c>
      <c r="Z30" s="12">
        <v>52</v>
      </c>
      <c r="AA30" s="12">
        <v>70</v>
      </c>
      <c r="AB30" s="12">
        <v>39</v>
      </c>
      <c r="AC30" s="12">
        <v>10</v>
      </c>
      <c r="AD30" s="12">
        <v>32</v>
      </c>
      <c r="AE30" s="12">
        <v>5</v>
      </c>
      <c r="AF30" s="12">
        <v>4</v>
      </c>
    </row>
    <row r="31" spans="1:32" ht="24.95">
      <c r="A31" s="20"/>
      <c r="B31" s="13" t="s">
        <v>999</v>
      </c>
      <c r="C31" s="14">
        <v>0.06</v>
      </c>
      <c r="D31" s="14">
        <v>0.01</v>
      </c>
      <c r="E31" s="14">
        <v>0.06</v>
      </c>
      <c r="F31" s="14">
        <v>0.05</v>
      </c>
      <c r="G31" s="14">
        <v>0.01</v>
      </c>
      <c r="H31" s="14">
        <v>0.08</v>
      </c>
      <c r="I31" s="14">
        <v>7.0000000000000007E-2</v>
      </c>
      <c r="J31" s="14">
        <v>0.03</v>
      </c>
      <c r="K31" s="14">
        <v>0.04</v>
      </c>
      <c r="L31" s="14">
        <v>0.03</v>
      </c>
      <c r="M31" s="14">
        <v>0.05</v>
      </c>
      <c r="N31" s="14">
        <v>0.06</v>
      </c>
      <c r="O31" s="14">
        <v>0.08</v>
      </c>
      <c r="P31" s="14">
        <v>0.03</v>
      </c>
      <c r="Q31" s="14">
        <v>7.0000000000000007E-2</v>
      </c>
      <c r="R31" s="14">
        <v>0.05</v>
      </c>
      <c r="S31" s="14">
        <v>0.02</v>
      </c>
      <c r="T31" s="14">
        <v>0.08</v>
      </c>
      <c r="U31" s="14">
        <v>0.01</v>
      </c>
      <c r="V31" s="14">
        <v>7.0000000000000007E-2</v>
      </c>
      <c r="W31" s="15" t="s">
        <v>459</v>
      </c>
      <c r="X31" s="14">
        <v>0.02</v>
      </c>
      <c r="Y31" s="14">
        <v>0.12</v>
      </c>
      <c r="Z31" s="14">
        <v>0.05</v>
      </c>
      <c r="AA31" s="14">
        <v>7.0000000000000007E-2</v>
      </c>
      <c r="AB31" s="14">
        <v>0.04</v>
      </c>
      <c r="AC31" s="14">
        <v>0.01</v>
      </c>
      <c r="AD31" s="14">
        <v>0.03</v>
      </c>
      <c r="AE31" s="14">
        <v>0.01</v>
      </c>
      <c r="AF31" s="15" t="s">
        <v>459</v>
      </c>
    </row>
    <row r="32" spans="1:32">
      <c r="A32" s="20"/>
      <c r="B32" s="11" t="s">
        <v>468</v>
      </c>
      <c r="C32" s="12">
        <v>111</v>
      </c>
      <c r="D32" s="12">
        <v>3</v>
      </c>
      <c r="E32" s="12">
        <v>6</v>
      </c>
      <c r="F32" s="12">
        <v>32</v>
      </c>
      <c r="G32" s="12">
        <v>3</v>
      </c>
      <c r="H32" s="12">
        <v>3</v>
      </c>
      <c r="I32" s="12">
        <v>4</v>
      </c>
      <c r="J32" s="12">
        <v>0</v>
      </c>
      <c r="K32" s="12">
        <v>0</v>
      </c>
      <c r="L32" s="12">
        <v>3</v>
      </c>
      <c r="M32" s="12">
        <v>1</v>
      </c>
      <c r="N32" s="12">
        <v>1</v>
      </c>
      <c r="O32" s="12">
        <v>3</v>
      </c>
      <c r="P32" s="12">
        <v>4</v>
      </c>
      <c r="Q32" s="12">
        <v>3</v>
      </c>
      <c r="R32" s="12">
        <v>4</v>
      </c>
      <c r="S32" s="12">
        <v>3</v>
      </c>
      <c r="T32" s="12">
        <v>2</v>
      </c>
      <c r="U32" s="12">
        <v>1</v>
      </c>
      <c r="V32" s="12">
        <v>5</v>
      </c>
      <c r="W32" s="12">
        <v>1</v>
      </c>
      <c r="X32" s="12">
        <v>6</v>
      </c>
      <c r="Y32" s="12">
        <v>2</v>
      </c>
      <c r="Z32" s="12">
        <v>8</v>
      </c>
      <c r="AA32" s="12">
        <v>10</v>
      </c>
      <c r="AB32" s="12">
        <v>7</v>
      </c>
      <c r="AC32" s="12">
        <v>2</v>
      </c>
      <c r="AD32" s="12">
        <v>5</v>
      </c>
      <c r="AE32" s="12">
        <v>3</v>
      </c>
      <c r="AF32" s="12">
        <v>2</v>
      </c>
    </row>
    <row r="33" spans="1:32">
      <c r="A33" s="20"/>
      <c r="B33" s="13" t="s">
        <v>469</v>
      </c>
      <c r="C33" s="15" t="s">
        <v>459</v>
      </c>
      <c r="D33" s="15" t="s">
        <v>459</v>
      </c>
      <c r="E33" s="14">
        <v>0.01</v>
      </c>
      <c r="F33" s="14">
        <v>0.03</v>
      </c>
      <c r="G33" s="15" t="s">
        <v>459</v>
      </c>
      <c r="H33" s="15" t="s">
        <v>459</v>
      </c>
      <c r="I33" s="15" t="s">
        <v>459</v>
      </c>
      <c r="J33" s="15" t="s">
        <v>459</v>
      </c>
      <c r="K33" s="15" t="s">
        <v>459</v>
      </c>
      <c r="L33" s="15" t="s">
        <v>459</v>
      </c>
      <c r="M33" s="15" t="s">
        <v>459</v>
      </c>
      <c r="N33" s="15" t="s">
        <v>459</v>
      </c>
      <c r="O33" s="15" t="s">
        <v>459</v>
      </c>
      <c r="P33" s="15" t="s">
        <v>459</v>
      </c>
      <c r="Q33" s="15" t="s">
        <v>459</v>
      </c>
      <c r="R33" s="14">
        <v>0.01</v>
      </c>
      <c r="S33" s="15" t="s">
        <v>459</v>
      </c>
      <c r="T33" s="15" t="s">
        <v>459</v>
      </c>
      <c r="U33" s="15" t="s">
        <v>459</v>
      </c>
      <c r="V33" s="15" t="s">
        <v>459</v>
      </c>
      <c r="W33" s="15" t="s">
        <v>459</v>
      </c>
      <c r="X33" s="14">
        <v>0.01</v>
      </c>
      <c r="Y33" s="15" t="s">
        <v>459</v>
      </c>
      <c r="Z33" s="14">
        <v>0.01</v>
      </c>
      <c r="AA33" s="14">
        <v>0.01</v>
      </c>
      <c r="AB33" s="14">
        <v>0.01</v>
      </c>
      <c r="AC33" s="15" t="s">
        <v>459</v>
      </c>
      <c r="AD33" s="14">
        <v>0.01</v>
      </c>
      <c r="AE33" s="15" t="s">
        <v>459</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165</v>
      </c>
      <c r="C3" s="18"/>
      <c r="D3" s="18"/>
      <c r="E3" s="18"/>
      <c r="F3" s="18"/>
      <c r="H3" s="18" t="s">
        <v>166</v>
      </c>
      <c r="I3" s="18"/>
      <c r="J3" s="18"/>
      <c r="K3" s="18"/>
      <c r="L3" s="18"/>
    </row>
    <row r="4" spans="1:32" ht="27" customHeight="1">
      <c r="B4" s="18"/>
      <c r="C4" s="18"/>
      <c r="D4" s="18"/>
      <c r="E4" s="18"/>
      <c r="F4" s="18"/>
      <c r="H4" s="18"/>
      <c r="I4" s="18"/>
      <c r="J4" s="18"/>
      <c r="K4" s="18"/>
      <c r="L4" s="18"/>
    </row>
    <row r="5" spans="1:32" ht="12" customHeight="1">
      <c r="B5" s="18" t="s">
        <v>1000</v>
      </c>
      <c r="C5" s="18"/>
      <c r="D5" s="18"/>
      <c r="E5" s="18"/>
      <c r="F5" s="18"/>
      <c r="H5" s="18" t="s">
        <v>1001</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24665</v>
      </c>
      <c r="D10" s="10">
        <v>987</v>
      </c>
      <c r="E10" s="10">
        <v>950</v>
      </c>
      <c r="F10" s="10">
        <v>929</v>
      </c>
      <c r="G10" s="10">
        <v>994</v>
      </c>
      <c r="H10" s="10">
        <v>1116</v>
      </c>
      <c r="I10" s="10">
        <v>1401</v>
      </c>
      <c r="J10" s="10">
        <v>284</v>
      </c>
      <c r="K10" s="10">
        <v>966</v>
      </c>
      <c r="L10" s="10">
        <v>971</v>
      </c>
      <c r="M10" s="10">
        <v>950</v>
      </c>
      <c r="N10" s="10">
        <v>938</v>
      </c>
      <c r="O10" s="10">
        <v>921</v>
      </c>
      <c r="P10" s="10">
        <v>989</v>
      </c>
      <c r="Q10" s="10">
        <v>945</v>
      </c>
      <c r="R10" s="10">
        <v>469</v>
      </c>
      <c r="S10" s="10">
        <v>988</v>
      </c>
      <c r="T10" s="10">
        <v>934</v>
      </c>
      <c r="U10" s="10">
        <v>499</v>
      </c>
      <c r="V10" s="10">
        <v>946</v>
      </c>
      <c r="W10" s="10">
        <v>500</v>
      </c>
      <c r="X10" s="10">
        <v>999</v>
      </c>
      <c r="Y10" s="10">
        <v>883</v>
      </c>
      <c r="Z10" s="10">
        <v>948</v>
      </c>
      <c r="AA10" s="10">
        <v>974</v>
      </c>
      <c r="AB10" s="10">
        <v>993</v>
      </c>
      <c r="AC10" s="10">
        <v>999</v>
      </c>
      <c r="AD10" s="10">
        <v>968</v>
      </c>
      <c r="AE10" s="10">
        <v>993</v>
      </c>
      <c r="AF10" s="10">
        <v>1013</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982</v>
      </c>
      <c r="C12" s="12">
        <v>6592</v>
      </c>
      <c r="D12" s="12">
        <v>297</v>
      </c>
      <c r="E12" s="12">
        <v>234</v>
      </c>
      <c r="F12" s="12">
        <v>250</v>
      </c>
      <c r="G12" s="12">
        <v>372</v>
      </c>
      <c r="H12" s="12">
        <v>342</v>
      </c>
      <c r="I12" s="12">
        <v>431</v>
      </c>
      <c r="J12" s="12">
        <v>89</v>
      </c>
      <c r="K12" s="12">
        <v>316</v>
      </c>
      <c r="L12" s="12">
        <v>286</v>
      </c>
      <c r="M12" s="12">
        <v>276</v>
      </c>
      <c r="N12" s="12">
        <v>219</v>
      </c>
      <c r="O12" s="12">
        <v>231</v>
      </c>
      <c r="P12" s="12">
        <v>322</v>
      </c>
      <c r="Q12" s="12">
        <v>205</v>
      </c>
      <c r="R12" s="12">
        <v>166</v>
      </c>
      <c r="S12" s="12">
        <v>267</v>
      </c>
      <c r="T12" s="12">
        <v>291</v>
      </c>
      <c r="U12" s="12">
        <v>157</v>
      </c>
      <c r="V12" s="12">
        <v>270</v>
      </c>
      <c r="W12" s="12">
        <v>114</v>
      </c>
      <c r="X12" s="12">
        <v>370</v>
      </c>
      <c r="Y12" s="12">
        <v>315</v>
      </c>
      <c r="Z12" s="12">
        <v>221</v>
      </c>
      <c r="AA12" s="12">
        <v>150</v>
      </c>
      <c r="AB12" s="12">
        <v>172</v>
      </c>
      <c r="AC12" s="12">
        <v>312</v>
      </c>
      <c r="AD12" s="12">
        <v>304</v>
      </c>
      <c r="AE12" s="12">
        <v>353</v>
      </c>
      <c r="AF12" s="12">
        <v>363</v>
      </c>
    </row>
    <row r="13" spans="1:32">
      <c r="A13" s="20"/>
      <c r="B13" s="13" t="s">
        <v>983</v>
      </c>
      <c r="C13" s="14">
        <v>0.45</v>
      </c>
      <c r="D13" s="14">
        <v>0.47</v>
      </c>
      <c r="E13" s="14">
        <v>0.57000000000000006</v>
      </c>
      <c r="F13" s="14">
        <v>0.45</v>
      </c>
      <c r="G13" s="14">
        <v>0.55000000000000004</v>
      </c>
      <c r="H13" s="14">
        <v>0.49</v>
      </c>
      <c r="I13" s="14">
        <v>0.5</v>
      </c>
      <c r="J13" s="14">
        <v>0.53</v>
      </c>
      <c r="K13" s="14">
        <v>0.47</v>
      </c>
      <c r="L13" s="14">
        <v>0.45</v>
      </c>
      <c r="M13" s="14">
        <v>0.46</v>
      </c>
      <c r="N13" s="14">
        <v>0.38</v>
      </c>
      <c r="O13" s="14">
        <v>0.4</v>
      </c>
      <c r="P13" s="14">
        <v>0.59</v>
      </c>
      <c r="Q13" s="14">
        <v>0.49</v>
      </c>
      <c r="R13" s="14">
        <v>0.54</v>
      </c>
      <c r="S13" s="14">
        <v>0.36</v>
      </c>
      <c r="T13" s="14">
        <v>0.51</v>
      </c>
      <c r="U13" s="14">
        <v>0.39</v>
      </c>
      <c r="V13" s="14">
        <v>0.46</v>
      </c>
      <c r="W13" s="14">
        <v>0.31</v>
      </c>
      <c r="X13" s="14">
        <v>0.45</v>
      </c>
      <c r="Y13" s="14">
        <v>0.53</v>
      </c>
      <c r="Z13" s="14">
        <v>0.43</v>
      </c>
      <c r="AA13" s="14">
        <v>0.54</v>
      </c>
      <c r="AB13" s="14">
        <v>0.44</v>
      </c>
      <c r="AC13" s="14">
        <v>0.49</v>
      </c>
      <c r="AD13" s="14">
        <v>0.48</v>
      </c>
      <c r="AE13" s="14">
        <v>0.46</v>
      </c>
      <c r="AF13" s="14">
        <v>0.45</v>
      </c>
    </row>
    <row r="14" spans="1:32">
      <c r="A14" s="20"/>
      <c r="B14" s="11" t="s">
        <v>984</v>
      </c>
      <c r="C14" s="12">
        <v>5709</v>
      </c>
      <c r="D14" s="12">
        <v>247</v>
      </c>
      <c r="E14" s="12">
        <v>156</v>
      </c>
      <c r="F14" s="12">
        <v>244</v>
      </c>
      <c r="G14" s="12">
        <v>243</v>
      </c>
      <c r="H14" s="12">
        <v>400</v>
      </c>
      <c r="I14" s="12">
        <v>488</v>
      </c>
      <c r="J14" s="12">
        <v>88</v>
      </c>
      <c r="K14" s="12">
        <v>233</v>
      </c>
      <c r="L14" s="12">
        <v>202</v>
      </c>
      <c r="M14" s="12">
        <v>150</v>
      </c>
      <c r="N14" s="12">
        <v>128</v>
      </c>
      <c r="O14" s="12">
        <v>187</v>
      </c>
      <c r="P14" s="12">
        <v>226</v>
      </c>
      <c r="Q14" s="12">
        <v>281</v>
      </c>
      <c r="R14" s="12">
        <v>39</v>
      </c>
      <c r="S14" s="12">
        <v>89</v>
      </c>
      <c r="T14" s="12">
        <v>109</v>
      </c>
      <c r="U14" s="12">
        <v>165</v>
      </c>
      <c r="V14" s="12">
        <v>124</v>
      </c>
      <c r="W14" s="12">
        <v>44</v>
      </c>
      <c r="X14" s="12">
        <v>312</v>
      </c>
      <c r="Y14" s="12">
        <v>366</v>
      </c>
      <c r="Z14" s="12">
        <v>64</v>
      </c>
      <c r="AA14" s="12">
        <v>193</v>
      </c>
      <c r="AB14" s="12">
        <v>111</v>
      </c>
      <c r="AC14" s="12">
        <v>206</v>
      </c>
      <c r="AD14" s="12">
        <v>193</v>
      </c>
      <c r="AE14" s="12">
        <v>272</v>
      </c>
      <c r="AF14" s="12">
        <v>308</v>
      </c>
    </row>
    <row r="15" spans="1:32">
      <c r="A15" s="20"/>
      <c r="B15" s="13" t="s">
        <v>985</v>
      </c>
      <c r="C15" s="14">
        <v>0.25</v>
      </c>
      <c r="D15" s="14">
        <v>0.28000000000000003</v>
      </c>
      <c r="E15" s="14">
        <v>0.17</v>
      </c>
      <c r="F15" s="14">
        <v>0.27</v>
      </c>
      <c r="G15" s="14">
        <v>0.27</v>
      </c>
      <c r="H15" s="14">
        <v>0.41</v>
      </c>
      <c r="I15" s="14">
        <v>0.4</v>
      </c>
      <c r="J15" s="14">
        <v>0.33</v>
      </c>
      <c r="K15" s="14">
        <v>0.26</v>
      </c>
      <c r="L15" s="14">
        <v>0.22</v>
      </c>
      <c r="M15" s="14">
        <v>0.16</v>
      </c>
      <c r="N15" s="14">
        <v>0.15</v>
      </c>
      <c r="O15" s="14">
        <v>0.23</v>
      </c>
      <c r="P15" s="14">
        <v>0.24</v>
      </c>
      <c r="Q15" s="14">
        <v>0.32</v>
      </c>
      <c r="R15" s="14">
        <v>0.09</v>
      </c>
      <c r="S15" s="14">
        <v>0.09</v>
      </c>
      <c r="T15" s="14">
        <v>0.12</v>
      </c>
      <c r="U15" s="14">
        <v>0.39</v>
      </c>
      <c r="V15" s="14">
        <v>0.13</v>
      </c>
      <c r="W15" s="14">
        <v>0.09</v>
      </c>
      <c r="X15" s="14">
        <v>0.43</v>
      </c>
      <c r="Y15" s="14">
        <v>0.49</v>
      </c>
      <c r="Z15" s="14">
        <v>7.0000000000000007E-2</v>
      </c>
      <c r="AA15" s="14">
        <v>0.2</v>
      </c>
      <c r="AB15" s="14">
        <v>0.11</v>
      </c>
      <c r="AC15" s="14">
        <v>0.21</v>
      </c>
      <c r="AD15" s="14">
        <v>0.21</v>
      </c>
      <c r="AE15" s="14">
        <v>0.32</v>
      </c>
      <c r="AF15" s="14">
        <v>0.35</v>
      </c>
    </row>
    <row r="16" spans="1:32">
      <c r="A16" s="20"/>
      <c r="B16" s="11" t="s">
        <v>986</v>
      </c>
      <c r="C16" s="12">
        <v>6273</v>
      </c>
      <c r="D16" s="12">
        <v>275</v>
      </c>
      <c r="E16" s="12">
        <v>213</v>
      </c>
      <c r="F16" s="12">
        <v>238</v>
      </c>
      <c r="G16" s="12">
        <v>310</v>
      </c>
      <c r="H16" s="12">
        <v>385</v>
      </c>
      <c r="I16" s="12">
        <v>485</v>
      </c>
      <c r="J16" s="12">
        <v>100</v>
      </c>
      <c r="K16" s="12">
        <v>346</v>
      </c>
      <c r="L16" s="12">
        <v>301</v>
      </c>
      <c r="M16" s="12">
        <v>218</v>
      </c>
      <c r="N16" s="12">
        <v>197</v>
      </c>
      <c r="O16" s="12">
        <v>224</v>
      </c>
      <c r="P16" s="12">
        <v>303</v>
      </c>
      <c r="Q16" s="12">
        <v>221</v>
      </c>
      <c r="R16" s="12">
        <v>108</v>
      </c>
      <c r="S16" s="12">
        <v>221</v>
      </c>
      <c r="T16" s="12">
        <v>226</v>
      </c>
      <c r="U16" s="12">
        <v>114</v>
      </c>
      <c r="V16" s="12">
        <v>188</v>
      </c>
      <c r="W16" s="12">
        <v>109</v>
      </c>
      <c r="X16" s="12">
        <v>210</v>
      </c>
      <c r="Y16" s="12">
        <v>261</v>
      </c>
      <c r="Z16" s="12">
        <v>193</v>
      </c>
      <c r="AA16" s="12">
        <v>184</v>
      </c>
      <c r="AB16" s="12">
        <v>171</v>
      </c>
      <c r="AC16" s="12">
        <v>265</v>
      </c>
      <c r="AD16" s="12">
        <v>352</v>
      </c>
      <c r="AE16" s="12">
        <v>193</v>
      </c>
      <c r="AF16" s="12">
        <v>319</v>
      </c>
    </row>
    <row r="17" spans="1:32">
      <c r="A17" s="20"/>
      <c r="B17" s="13" t="s">
        <v>987</v>
      </c>
      <c r="C17" s="14">
        <v>0.27</v>
      </c>
      <c r="D17" s="14">
        <v>0.3</v>
      </c>
      <c r="E17" s="14">
        <v>0.23</v>
      </c>
      <c r="F17" s="14">
        <v>0.26</v>
      </c>
      <c r="G17" s="14">
        <v>0.33</v>
      </c>
      <c r="H17" s="14">
        <v>0.36</v>
      </c>
      <c r="I17" s="14">
        <v>0.36</v>
      </c>
      <c r="J17" s="14">
        <v>0.36</v>
      </c>
      <c r="K17" s="14">
        <v>0.39</v>
      </c>
      <c r="L17" s="14">
        <v>0.34</v>
      </c>
      <c r="M17" s="14">
        <v>0.23</v>
      </c>
      <c r="N17" s="14">
        <v>0.22</v>
      </c>
      <c r="O17" s="14">
        <v>0.26</v>
      </c>
      <c r="P17" s="14">
        <v>0.32</v>
      </c>
      <c r="Q17" s="14">
        <v>0.24</v>
      </c>
      <c r="R17" s="14">
        <v>0.24</v>
      </c>
      <c r="S17" s="14">
        <v>0.25</v>
      </c>
      <c r="T17" s="14">
        <v>0.25</v>
      </c>
      <c r="U17" s="14">
        <v>0.24</v>
      </c>
      <c r="V17" s="14">
        <v>0.2</v>
      </c>
      <c r="W17" s="14">
        <v>0.22</v>
      </c>
      <c r="X17" s="14">
        <v>0.22</v>
      </c>
      <c r="Y17" s="14">
        <v>0.31</v>
      </c>
      <c r="Z17" s="14">
        <v>0.21</v>
      </c>
      <c r="AA17" s="14">
        <v>0.19</v>
      </c>
      <c r="AB17" s="14">
        <v>0.17</v>
      </c>
      <c r="AC17" s="14">
        <v>0.27</v>
      </c>
      <c r="AD17" s="14">
        <v>0.38</v>
      </c>
      <c r="AE17" s="14">
        <v>0.2</v>
      </c>
      <c r="AF17" s="14">
        <v>0.35</v>
      </c>
    </row>
    <row r="18" spans="1:32" ht="36.950000000000003">
      <c r="A18" s="20"/>
      <c r="B18" s="11" t="s">
        <v>988</v>
      </c>
      <c r="C18" s="12">
        <v>6233</v>
      </c>
      <c r="D18" s="12">
        <v>224</v>
      </c>
      <c r="E18" s="12">
        <v>198</v>
      </c>
      <c r="F18" s="12">
        <v>260</v>
      </c>
      <c r="G18" s="12">
        <v>310</v>
      </c>
      <c r="H18" s="12">
        <v>242</v>
      </c>
      <c r="I18" s="12">
        <v>315</v>
      </c>
      <c r="J18" s="12">
        <v>73</v>
      </c>
      <c r="K18" s="12">
        <v>247</v>
      </c>
      <c r="L18" s="12">
        <v>246</v>
      </c>
      <c r="M18" s="12">
        <v>293</v>
      </c>
      <c r="N18" s="12">
        <v>242</v>
      </c>
      <c r="O18" s="12">
        <v>212</v>
      </c>
      <c r="P18" s="12">
        <v>246</v>
      </c>
      <c r="Q18" s="12">
        <v>302</v>
      </c>
      <c r="R18" s="12">
        <v>139</v>
      </c>
      <c r="S18" s="12">
        <v>242</v>
      </c>
      <c r="T18" s="12">
        <v>301</v>
      </c>
      <c r="U18" s="12">
        <v>123</v>
      </c>
      <c r="V18" s="12">
        <v>264</v>
      </c>
      <c r="W18" s="12">
        <v>118</v>
      </c>
      <c r="X18" s="12">
        <v>282</v>
      </c>
      <c r="Y18" s="12">
        <v>259</v>
      </c>
      <c r="Z18" s="12">
        <v>195</v>
      </c>
      <c r="AA18" s="12">
        <v>203</v>
      </c>
      <c r="AB18" s="12">
        <v>179</v>
      </c>
      <c r="AC18" s="12">
        <v>237</v>
      </c>
      <c r="AD18" s="12">
        <v>238</v>
      </c>
      <c r="AE18" s="12">
        <v>313</v>
      </c>
      <c r="AF18" s="12">
        <v>329</v>
      </c>
    </row>
    <row r="19" spans="1:32" ht="36.950000000000003">
      <c r="A19" s="20"/>
      <c r="B19" s="13" t="s">
        <v>989</v>
      </c>
      <c r="C19" s="14">
        <v>0.3</v>
      </c>
      <c r="D19" s="14">
        <v>0.26</v>
      </c>
      <c r="E19" s="14">
        <v>0.23</v>
      </c>
      <c r="F19" s="14">
        <v>0.31</v>
      </c>
      <c r="G19" s="14">
        <v>0.4</v>
      </c>
      <c r="H19" s="14">
        <v>0.25</v>
      </c>
      <c r="I19" s="14">
        <v>0.26</v>
      </c>
      <c r="J19" s="14">
        <v>0.3</v>
      </c>
      <c r="K19" s="14">
        <v>0.31</v>
      </c>
      <c r="L19" s="14">
        <v>0.28999999999999998</v>
      </c>
      <c r="M19" s="14">
        <v>0.42</v>
      </c>
      <c r="N19" s="14">
        <v>0.3</v>
      </c>
      <c r="O19" s="14">
        <v>0.27</v>
      </c>
      <c r="P19" s="14">
        <v>0.3</v>
      </c>
      <c r="Q19" s="14">
        <v>0.37</v>
      </c>
      <c r="R19" s="14">
        <v>0.35</v>
      </c>
      <c r="S19" s="14">
        <v>0.32</v>
      </c>
      <c r="T19" s="14">
        <v>0.38</v>
      </c>
      <c r="U19" s="14">
        <v>0.32</v>
      </c>
      <c r="V19" s="14">
        <v>0.38</v>
      </c>
      <c r="W19" s="14">
        <v>0.31</v>
      </c>
      <c r="X19" s="14">
        <v>0.37</v>
      </c>
      <c r="Y19" s="14">
        <v>0.34</v>
      </c>
      <c r="Z19" s="14">
        <v>0.26</v>
      </c>
      <c r="AA19" s="14">
        <v>0.22</v>
      </c>
      <c r="AB19" s="14">
        <v>0.2</v>
      </c>
      <c r="AC19" s="14">
        <v>0.28000000000000003</v>
      </c>
      <c r="AD19" s="14">
        <v>0.3</v>
      </c>
      <c r="AE19" s="14">
        <v>0.45</v>
      </c>
      <c r="AF19" s="14">
        <v>0.45</v>
      </c>
    </row>
    <row r="20" spans="1:32" ht="36.950000000000003">
      <c r="A20" s="20"/>
      <c r="B20" s="11" t="s">
        <v>990</v>
      </c>
      <c r="C20" s="12">
        <v>4280</v>
      </c>
      <c r="D20" s="12">
        <v>146</v>
      </c>
      <c r="E20" s="12">
        <v>98</v>
      </c>
      <c r="F20" s="12">
        <v>205</v>
      </c>
      <c r="G20" s="12">
        <v>225</v>
      </c>
      <c r="H20" s="12">
        <v>211</v>
      </c>
      <c r="I20" s="12">
        <v>264</v>
      </c>
      <c r="J20" s="12">
        <v>53</v>
      </c>
      <c r="K20" s="12">
        <v>144</v>
      </c>
      <c r="L20" s="12">
        <v>138</v>
      </c>
      <c r="M20" s="12">
        <v>226</v>
      </c>
      <c r="N20" s="12">
        <v>113</v>
      </c>
      <c r="O20" s="12">
        <v>132</v>
      </c>
      <c r="P20" s="12">
        <v>165</v>
      </c>
      <c r="Q20" s="12">
        <v>215</v>
      </c>
      <c r="R20" s="12">
        <v>100</v>
      </c>
      <c r="S20" s="12">
        <v>164</v>
      </c>
      <c r="T20" s="12">
        <v>146</v>
      </c>
      <c r="U20" s="12">
        <v>83</v>
      </c>
      <c r="V20" s="12">
        <v>179</v>
      </c>
      <c r="W20" s="12">
        <v>54</v>
      </c>
      <c r="X20" s="12">
        <v>191</v>
      </c>
      <c r="Y20" s="12">
        <v>196</v>
      </c>
      <c r="Z20" s="12">
        <v>150</v>
      </c>
      <c r="AA20" s="12">
        <v>91</v>
      </c>
      <c r="AB20" s="12">
        <v>98</v>
      </c>
      <c r="AC20" s="12">
        <v>160</v>
      </c>
      <c r="AD20" s="12">
        <v>253</v>
      </c>
      <c r="AE20" s="12">
        <v>208</v>
      </c>
      <c r="AF20" s="12">
        <v>269</v>
      </c>
    </row>
    <row r="21" spans="1:32" ht="24.95">
      <c r="A21" s="20"/>
      <c r="B21" s="13" t="s">
        <v>991</v>
      </c>
      <c r="C21" s="14">
        <v>0.19</v>
      </c>
      <c r="D21" s="14">
        <v>0.16</v>
      </c>
      <c r="E21" s="14">
        <v>0.11</v>
      </c>
      <c r="F21" s="14">
        <v>0.26</v>
      </c>
      <c r="G21" s="14">
        <v>0.26</v>
      </c>
      <c r="H21" s="14">
        <v>0.2</v>
      </c>
      <c r="I21" s="14">
        <v>0.21</v>
      </c>
      <c r="J21" s="14">
        <v>0.22</v>
      </c>
      <c r="K21" s="14">
        <v>0.16</v>
      </c>
      <c r="L21" s="14">
        <v>0.15</v>
      </c>
      <c r="M21" s="14">
        <v>0.25</v>
      </c>
      <c r="N21" s="14">
        <v>0.13</v>
      </c>
      <c r="O21" s="14">
        <v>0.16</v>
      </c>
      <c r="P21" s="14">
        <v>0.18</v>
      </c>
      <c r="Q21" s="14">
        <v>0.25</v>
      </c>
      <c r="R21" s="14">
        <v>0.23</v>
      </c>
      <c r="S21" s="14">
        <v>0.18</v>
      </c>
      <c r="T21" s="14">
        <v>0.17</v>
      </c>
      <c r="U21" s="14">
        <v>0.19</v>
      </c>
      <c r="V21" s="14">
        <v>0.21</v>
      </c>
      <c r="W21" s="14">
        <v>0.12</v>
      </c>
      <c r="X21" s="14">
        <v>0.21</v>
      </c>
      <c r="Y21" s="14">
        <v>0.25</v>
      </c>
      <c r="Z21" s="14">
        <v>0.17</v>
      </c>
      <c r="AA21" s="14">
        <v>0.1</v>
      </c>
      <c r="AB21" s="14">
        <v>0.1</v>
      </c>
      <c r="AC21" s="14">
        <v>0.19</v>
      </c>
      <c r="AD21" s="14">
        <v>0.3</v>
      </c>
      <c r="AE21" s="14">
        <v>0.25</v>
      </c>
      <c r="AF21" s="14">
        <v>0.34</v>
      </c>
    </row>
    <row r="22" spans="1:32">
      <c r="A22" s="20"/>
      <c r="B22" s="11" t="s">
        <v>992</v>
      </c>
      <c r="C22" s="12">
        <v>5467</v>
      </c>
      <c r="D22" s="12">
        <v>223</v>
      </c>
      <c r="E22" s="12">
        <v>306</v>
      </c>
      <c r="F22" s="12">
        <v>253</v>
      </c>
      <c r="G22" s="12">
        <v>232</v>
      </c>
      <c r="H22" s="12">
        <v>252</v>
      </c>
      <c r="I22" s="12">
        <v>319</v>
      </c>
      <c r="J22" s="12">
        <v>67</v>
      </c>
      <c r="K22" s="12">
        <v>264</v>
      </c>
      <c r="L22" s="12">
        <v>177</v>
      </c>
      <c r="M22" s="12">
        <v>282</v>
      </c>
      <c r="N22" s="12">
        <v>241</v>
      </c>
      <c r="O22" s="12">
        <v>140</v>
      </c>
      <c r="P22" s="12">
        <v>311</v>
      </c>
      <c r="Q22" s="12">
        <v>208</v>
      </c>
      <c r="R22" s="12">
        <v>139</v>
      </c>
      <c r="S22" s="12">
        <v>245</v>
      </c>
      <c r="T22" s="12">
        <v>243</v>
      </c>
      <c r="U22" s="12">
        <v>107</v>
      </c>
      <c r="V22" s="12">
        <v>238</v>
      </c>
      <c r="W22" s="12">
        <v>145</v>
      </c>
      <c r="X22" s="12">
        <v>177</v>
      </c>
      <c r="Y22" s="12">
        <v>250</v>
      </c>
      <c r="Z22" s="12">
        <v>177</v>
      </c>
      <c r="AA22" s="12">
        <v>207</v>
      </c>
      <c r="AB22" s="12">
        <v>317</v>
      </c>
      <c r="AC22" s="12">
        <v>229</v>
      </c>
      <c r="AD22" s="12">
        <v>235</v>
      </c>
      <c r="AE22" s="12">
        <v>178</v>
      </c>
      <c r="AF22" s="12">
        <v>165</v>
      </c>
    </row>
    <row r="23" spans="1:32">
      <c r="A23" s="20"/>
      <c r="B23" s="13" t="s">
        <v>993</v>
      </c>
      <c r="C23" s="14">
        <v>0.25</v>
      </c>
      <c r="D23" s="14">
        <v>0.27</v>
      </c>
      <c r="E23" s="14">
        <v>0.38</v>
      </c>
      <c r="F23" s="14">
        <v>0.32</v>
      </c>
      <c r="G23" s="14">
        <v>0.26</v>
      </c>
      <c r="H23" s="14">
        <v>0.25</v>
      </c>
      <c r="I23" s="14">
        <v>0.25</v>
      </c>
      <c r="J23" s="14">
        <v>0.27</v>
      </c>
      <c r="K23" s="14">
        <v>0.33</v>
      </c>
      <c r="L23" s="14">
        <v>0.25</v>
      </c>
      <c r="M23" s="14">
        <v>0.37</v>
      </c>
      <c r="N23" s="14">
        <v>0.31</v>
      </c>
      <c r="O23" s="14">
        <v>0.18</v>
      </c>
      <c r="P23" s="14">
        <v>0.38</v>
      </c>
      <c r="Q23" s="14">
        <v>0.23</v>
      </c>
      <c r="R23" s="14">
        <v>0.45</v>
      </c>
      <c r="S23" s="14">
        <v>0.34</v>
      </c>
      <c r="T23" s="14">
        <v>0.33</v>
      </c>
      <c r="U23" s="14">
        <v>0.25</v>
      </c>
      <c r="V23" s="14">
        <v>0.28999999999999998</v>
      </c>
      <c r="W23" s="14">
        <v>0.39</v>
      </c>
      <c r="X23" s="14">
        <v>0.2</v>
      </c>
      <c r="Y23" s="14">
        <v>0.32</v>
      </c>
      <c r="Z23" s="14">
        <v>0.21</v>
      </c>
      <c r="AA23" s="14">
        <v>0.24</v>
      </c>
      <c r="AB23" s="14">
        <v>0.36</v>
      </c>
      <c r="AC23" s="14">
        <v>0.28000000000000003</v>
      </c>
      <c r="AD23" s="14">
        <v>0.28000000000000003</v>
      </c>
      <c r="AE23" s="14">
        <v>0.2</v>
      </c>
      <c r="AF23" s="14">
        <v>0.17</v>
      </c>
    </row>
    <row r="24" spans="1:32">
      <c r="A24" s="20"/>
      <c r="B24" s="11" t="s">
        <v>994</v>
      </c>
      <c r="C24" s="12">
        <v>2087</v>
      </c>
      <c r="D24" s="12">
        <v>74</v>
      </c>
      <c r="E24" s="12">
        <v>85</v>
      </c>
      <c r="F24" s="12">
        <v>121</v>
      </c>
      <c r="G24" s="12">
        <v>160</v>
      </c>
      <c r="H24" s="12">
        <v>119</v>
      </c>
      <c r="I24" s="12">
        <v>145</v>
      </c>
      <c r="J24" s="12">
        <v>26</v>
      </c>
      <c r="K24" s="12">
        <v>97</v>
      </c>
      <c r="L24" s="12">
        <v>135</v>
      </c>
      <c r="M24" s="12">
        <v>90</v>
      </c>
      <c r="N24" s="12">
        <v>54</v>
      </c>
      <c r="O24" s="12">
        <v>51</v>
      </c>
      <c r="P24" s="12">
        <v>136</v>
      </c>
      <c r="Q24" s="12">
        <v>60</v>
      </c>
      <c r="R24" s="12">
        <v>44</v>
      </c>
      <c r="S24" s="12">
        <v>42</v>
      </c>
      <c r="T24" s="12">
        <v>117</v>
      </c>
      <c r="U24" s="12">
        <v>42</v>
      </c>
      <c r="V24" s="12">
        <v>126</v>
      </c>
      <c r="W24" s="12">
        <v>99</v>
      </c>
      <c r="X24" s="12">
        <v>143</v>
      </c>
      <c r="Y24" s="12">
        <v>118</v>
      </c>
      <c r="Z24" s="12">
        <v>35</v>
      </c>
      <c r="AA24" s="12">
        <v>15</v>
      </c>
      <c r="AB24" s="12">
        <v>121</v>
      </c>
      <c r="AC24" s="12">
        <v>68</v>
      </c>
      <c r="AD24" s="12">
        <v>196</v>
      </c>
      <c r="AE24" s="12">
        <v>67</v>
      </c>
      <c r="AF24" s="12">
        <v>142</v>
      </c>
    </row>
    <row r="25" spans="1:32">
      <c r="A25" s="20"/>
      <c r="B25" s="13" t="s">
        <v>995</v>
      </c>
      <c r="C25" s="14">
        <v>0.09</v>
      </c>
      <c r="D25" s="14">
        <v>0.08</v>
      </c>
      <c r="E25" s="14">
        <v>0.09</v>
      </c>
      <c r="F25" s="14">
        <v>0.14000000000000001</v>
      </c>
      <c r="G25" s="14">
        <v>0.17</v>
      </c>
      <c r="H25" s="14">
        <v>0.11</v>
      </c>
      <c r="I25" s="14">
        <v>0.11</v>
      </c>
      <c r="J25" s="14">
        <v>0.09</v>
      </c>
      <c r="K25" s="14">
        <v>0.1</v>
      </c>
      <c r="L25" s="14">
        <v>0.14000000000000001</v>
      </c>
      <c r="M25" s="14">
        <v>0.1</v>
      </c>
      <c r="N25" s="14">
        <v>0.06</v>
      </c>
      <c r="O25" s="14">
        <v>0.06</v>
      </c>
      <c r="P25" s="14">
        <v>0.14000000000000001</v>
      </c>
      <c r="Q25" s="14">
        <v>0.06</v>
      </c>
      <c r="R25" s="14">
        <v>0.1</v>
      </c>
      <c r="S25" s="14">
        <v>0.04</v>
      </c>
      <c r="T25" s="14">
        <v>0.13</v>
      </c>
      <c r="U25" s="14">
        <v>0.09</v>
      </c>
      <c r="V25" s="14">
        <v>0.14000000000000001</v>
      </c>
      <c r="W25" s="14">
        <v>0.21</v>
      </c>
      <c r="X25" s="14">
        <v>0.15</v>
      </c>
      <c r="Y25" s="14">
        <v>0.14000000000000001</v>
      </c>
      <c r="Z25" s="14">
        <v>0.04</v>
      </c>
      <c r="AA25" s="14">
        <v>0.02</v>
      </c>
      <c r="AB25" s="14">
        <v>0.13</v>
      </c>
      <c r="AC25" s="14">
        <v>7.0000000000000007E-2</v>
      </c>
      <c r="AD25" s="14">
        <v>0.21</v>
      </c>
      <c r="AE25" s="14">
        <v>7.0000000000000007E-2</v>
      </c>
      <c r="AF25" s="14">
        <v>0.14000000000000001</v>
      </c>
    </row>
    <row r="26" spans="1:32" ht="24.95">
      <c r="A26" s="20"/>
      <c r="B26" s="11" t="s">
        <v>996</v>
      </c>
      <c r="C26" s="12">
        <v>6353</v>
      </c>
      <c r="D26" s="12">
        <v>185</v>
      </c>
      <c r="E26" s="12">
        <v>402</v>
      </c>
      <c r="F26" s="12">
        <v>249</v>
      </c>
      <c r="G26" s="12">
        <v>331</v>
      </c>
      <c r="H26" s="12">
        <v>341</v>
      </c>
      <c r="I26" s="12">
        <v>442</v>
      </c>
      <c r="J26" s="12">
        <v>101</v>
      </c>
      <c r="K26" s="12">
        <v>233</v>
      </c>
      <c r="L26" s="12">
        <v>192</v>
      </c>
      <c r="M26" s="12">
        <v>481</v>
      </c>
      <c r="N26" s="12">
        <v>165</v>
      </c>
      <c r="O26" s="12">
        <v>200</v>
      </c>
      <c r="P26" s="12">
        <v>365</v>
      </c>
      <c r="Q26" s="12">
        <v>220</v>
      </c>
      <c r="R26" s="12">
        <v>142</v>
      </c>
      <c r="S26" s="12">
        <v>181</v>
      </c>
      <c r="T26" s="12">
        <v>218</v>
      </c>
      <c r="U26" s="12">
        <v>98</v>
      </c>
      <c r="V26" s="12">
        <v>328</v>
      </c>
      <c r="W26" s="12">
        <v>80</v>
      </c>
      <c r="X26" s="12">
        <v>246</v>
      </c>
      <c r="Y26" s="12">
        <v>286</v>
      </c>
      <c r="Z26" s="12">
        <v>139</v>
      </c>
      <c r="AA26" s="12">
        <v>280</v>
      </c>
      <c r="AB26" s="12">
        <v>386</v>
      </c>
      <c r="AC26" s="12">
        <v>251</v>
      </c>
      <c r="AD26" s="12">
        <v>391</v>
      </c>
      <c r="AE26" s="12">
        <v>180</v>
      </c>
      <c r="AF26" s="12">
        <v>244</v>
      </c>
    </row>
    <row r="27" spans="1:32" ht="24.95">
      <c r="A27" s="20"/>
      <c r="B27" s="13" t="s">
        <v>997</v>
      </c>
      <c r="C27" s="14">
        <v>0.27</v>
      </c>
      <c r="D27" s="14">
        <v>0.2</v>
      </c>
      <c r="E27" s="14">
        <v>0.46</v>
      </c>
      <c r="F27" s="14">
        <v>0.28000000000000003</v>
      </c>
      <c r="G27" s="14">
        <v>0.36</v>
      </c>
      <c r="H27" s="14">
        <v>0.33</v>
      </c>
      <c r="I27" s="14">
        <v>0.34</v>
      </c>
      <c r="J27" s="14">
        <v>0.38</v>
      </c>
      <c r="K27" s="14">
        <v>0.26</v>
      </c>
      <c r="L27" s="14">
        <v>0.21</v>
      </c>
      <c r="M27" s="14">
        <v>0.53</v>
      </c>
      <c r="N27" s="14">
        <v>0.18</v>
      </c>
      <c r="O27" s="14">
        <v>0.23</v>
      </c>
      <c r="P27" s="14">
        <v>0.39</v>
      </c>
      <c r="Q27" s="14">
        <v>0.25</v>
      </c>
      <c r="R27" s="14">
        <v>0.31</v>
      </c>
      <c r="S27" s="14">
        <v>0.19</v>
      </c>
      <c r="T27" s="14">
        <v>0.25</v>
      </c>
      <c r="U27" s="14">
        <v>0.21</v>
      </c>
      <c r="V27" s="14">
        <v>0.37</v>
      </c>
      <c r="W27" s="14">
        <v>0.17</v>
      </c>
      <c r="X27" s="14">
        <v>0.26</v>
      </c>
      <c r="Y27" s="14">
        <v>0.34</v>
      </c>
      <c r="Z27" s="14">
        <v>0.16</v>
      </c>
      <c r="AA27" s="14">
        <v>0.3</v>
      </c>
      <c r="AB27" s="14">
        <v>0.42</v>
      </c>
      <c r="AC27" s="14">
        <v>0.26</v>
      </c>
      <c r="AD27" s="14">
        <v>0.45</v>
      </c>
      <c r="AE27" s="14">
        <v>0.18</v>
      </c>
      <c r="AF27" s="14">
        <v>0.25</v>
      </c>
    </row>
    <row r="28" spans="1:32">
      <c r="A28" s="20"/>
      <c r="B28" s="11" t="s">
        <v>519</v>
      </c>
      <c r="C28" s="12">
        <v>113</v>
      </c>
      <c r="D28" s="12">
        <v>3</v>
      </c>
      <c r="E28" s="12">
        <v>1</v>
      </c>
      <c r="F28" s="12">
        <v>3</v>
      </c>
      <c r="G28" s="12">
        <v>12</v>
      </c>
      <c r="H28" s="12">
        <v>7</v>
      </c>
      <c r="I28" s="12">
        <v>7</v>
      </c>
      <c r="J28" s="12">
        <v>0</v>
      </c>
      <c r="K28" s="12">
        <v>6</v>
      </c>
      <c r="L28" s="12">
        <v>3</v>
      </c>
      <c r="M28" s="12">
        <v>10</v>
      </c>
      <c r="N28" s="12">
        <v>6</v>
      </c>
      <c r="O28" s="12">
        <v>8</v>
      </c>
      <c r="P28" s="12">
        <v>2</v>
      </c>
      <c r="Q28" s="12">
        <v>0</v>
      </c>
      <c r="R28" s="12">
        <v>0</v>
      </c>
      <c r="S28" s="12">
        <v>4</v>
      </c>
      <c r="T28" s="12">
        <v>0</v>
      </c>
      <c r="U28" s="12">
        <v>8</v>
      </c>
      <c r="V28" s="12">
        <v>0</v>
      </c>
      <c r="W28" s="12">
        <v>1</v>
      </c>
      <c r="X28" s="12">
        <v>5</v>
      </c>
      <c r="Y28" s="12">
        <v>2</v>
      </c>
      <c r="Z28" s="12">
        <v>1</v>
      </c>
      <c r="AA28" s="12">
        <v>8</v>
      </c>
      <c r="AB28" s="12">
        <v>0</v>
      </c>
      <c r="AC28" s="12">
        <v>23</v>
      </c>
      <c r="AD28" s="12">
        <v>2</v>
      </c>
      <c r="AE28" s="12">
        <v>7</v>
      </c>
      <c r="AF28" s="12">
        <v>13</v>
      </c>
    </row>
    <row r="29" spans="1:32">
      <c r="A29" s="20"/>
      <c r="B29" s="13" t="s">
        <v>520</v>
      </c>
      <c r="C29" s="15" t="s">
        <v>459</v>
      </c>
      <c r="D29" s="15" t="s">
        <v>459</v>
      </c>
      <c r="E29" s="15" t="s">
        <v>459</v>
      </c>
      <c r="F29" s="15" t="s">
        <v>459</v>
      </c>
      <c r="G29" s="14">
        <v>0.01</v>
      </c>
      <c r="H29" s="14">
        <v>0.01</v>
      </c>
      <c r="I29" s="14">
        <v>0.01</v>
      </c>
      <c r="J29" s="15" t="s">
        <v>459</v>
      </c>
      <c r="K29" s="14">
        <v>0.01</v>
      </c>
      <c r="L29" s="15" t="s">
        <v>459</v>
      </c>
      <c r="M29" s="14">
        <v>0.01</v>
      </c>
      <c r="N29" s="14">
        <v>0.01</v>
      </c>
      <c r="O29" s="14">
        <v>0.01</v>
      </c>
      <c r="P29" s="15" t="s">
        <v>459</v>
      </c>
      <c r="Q29" s="15" t="s">
        <v>459</v>
      </c>
      <c r="R29" s="15" t="s">
        <v>459</v>
      </c>
      <c r="S29" s="15" t="s">
        <v>459</v>
      </c>
      <c r="T29" s="15" t="s">
        <v>459</v>
      </c>
      <c r="U29" s="14">
        <v>0.02</v>
      </c>
      <c r="V29" s="15" t="s">
        <v>459</v>
      </c>
      <c r="W29" s="15" t="s">
        <v>459</v>
      </c>
      <c r="X29" s="14">
        <v>0.01</v>
      </c>
      <c r="Y29" s="15" t="s">
        <v>459</v>
      </c>
      <c r="Z29" s="15" t="s">
        <v>459</v>
      </c>
      <c r="AA29" s="14">
        <v>0.01</v>
      </c>
      <c r="AB29" s="15" t="s">
        <v>459</v>
      </c>
      <c r="AC29" s="14">
        <v>0.02</v>
      </c>
      <c r="AD29" s="15" t="s">
        <v>459</v>
      </c>
      <c r="AE29" s="14">
        <v>0.01</v>
      </c>
      <c r="AF29" s="14">
        <v>0.01</v>
      </c>
    </row>
    <row r="30" spans="1:32" ht="36.950000000000003">
      <c r="A30" s="20"/>
      <c r="B30" s="11" t="s">
        <v>998</v>
      </c>
      <c r="C30" s="12">
        <v>674</v>
      </c>
      <c r="D30" s="12">
        <v>31</v>
      </c>
      <c r="E30" s="12">
        <v>22</v>
      </c>
      <c r="F30" s="12">
        <v>6</v>
      </c>
      <c r="G30" s="12">
        <v>15</v>
      </c>
      <c r="H30" s="12">
        <v>17</v>
      </c>
      <c r="I30" s="12">
        <v>20</v>
      </c>
      <c r="J30" s="12">
        <v>3</v>
      </c>
      <c r="K30" s="12">
        <v>18</v>
      </c>
      <c r="L30" s="12">
        <v>14</v>
      </c>
      <c r="M30" s="12">
        <v>4</v>
      </c>
      <c r="N30" s="12">
        <v>50</v>
      </c>
      <c r="O30" s="12">
        <v>33</v>
      </c>
      <c r="P30" s="12">
        <v>3</v>
      </c>
      <c r="Q30" s="12">
        <v>30</v>
      </c>
      <c r="R30" s="12">
        <v>18</v>
      </c>
      <c r="S30" s="12">
        <v>28</v>
      </c>
      <c r="T30" s="12">
        <v>29</v>
      </c>
      <c r="U30" s="12">
        <v>13</v>
      </c>
      <c r="V30" s="12">
        <v>19</v>
      </c>
      <c r="W30" s="12">
        <v>13</v>
      </c>
      <c r="X30" s="12">
        <v>4</v>
      </c>
      <c r="Y30" s="12">
        <v>17</v>
      </c>
      <c r="Z30" s="12">
        <v>27</v>
      </c>
      <c r="AA30" s="12">
        <v>70</v>
      </c>
      <c r="AB30" s="12">
        <v>31</v>
      </c>
      <c r="AC30" s="12">
        <v>16</v>
      </c>
      <c r="AD30" s="12">
        <v>20</v>
      </c>
      <c r="AE30" s="12">
        <v>8</v>
      </c>
      <c r="AF30" s="12">
        <v>5</v>
      </c>
    </row>
    <row r="31" spans="1:32" ht="24.95">
      <c r="A31" s="20"/>
      <c r="B31" s="13" t="s">
        <v>999</v>
      </c>
      <c r="C31" s="14">
        <v>0.03</v>
      </c>
      <c r="D31" s="14">
        <v>0.03</v>
      </c>
      <c r="E31" s="14">
        <v>0.02</v>
      </c>
      <c r="F31" s="14">
        <v>0.01</v>
      </c>
      <c r="G31" s="14">
        <v>0.02</v>
      </c>
      <c r="H31" s="14">
        <v>0.02</v>
      </c>
      <c r="I31" s="14">
        <v>0.01</v>
      </c>
      <c r="J31" s="14">
        <v>0.01</v>
      </c>
      <c r="K31" s="14">
        <v>0.02</v>
      </c>
      <c r="L31" s="14">
        <v>0.01</v>
      </c>
      <c r="M31" s="15" t="s">
        <v>459</v>
      </c>
      <c r="N31" s="14">
        <v>0.05</v>
      </c>
      <c r="O31" s="14">
        <v>0.04</v>
      </c>
      <c r="P31" s="15" t="s">
        <v>459</v>
      </c>
      <c r="Q31" s="14">
        <v>0.03</v>
      </c>
      <c r="R31" s="14">
        <v>0.04</v>
      </c>
      <c r="S31" s="14">
        <v>0.03</v>
      </c>
      <c r="T31" s="14">
        <v>0.03</v>
      </c>
      <c r="U31" s="14">
        <v>0.03</v>
      </c>
      <c r="V31" s="14">
        <v>0.02</v>
      </c>
      <c r="W31" s="14">
        <v>0.03</v>
      </c>
      <c r="X31" s="15" t="s">
        <v>459</v>
      </c>
      <c r="Y31" s="14">
        <v>0.02</v>
      </c>
      <c r="Z31" s="14">
        <v>0.03</v>
      </c>
      <c r="AA31" s="14">
        <v>7.0000000000000007E-2</v>
      </c>
      <c r="AB31" s="14">
        <v>0.03</v>
      </c>
      <c r="AC31" s="14">
        <v>0.02</v>
      </c>
      <c r="AD31" s="14">
        <v>0.02</v>
      </c>
      <c r="AE31" s="14">
        <v>0.01</v>
      </c>
      <c r="AF31" s="15" t="s">
        <v>459</v>
      </c>
    </row>
    <row r="32" spans="1:32">
      <c r="A32" s="20"/>
      <c r="B32" s="11" t="s">
        <v>468</v>
      </c>
      <c r="C32" s="12">
        <v>454</v>
      </c>
      <c r="D32" s="12">
        <v>6</v>
      </c>
      <c r="E32" s="12">
        <v>33</v>
      </c>
      <c r="F32" s="12">
        <v>17</v>
      </c>
      <c r="G32" s="12">
        <v>20</v>
      </c>
      <c r="H32" s="12">
        <v>6</v>
      </c>
      <c r="I32" s="12">
        <v>8</v>
      </c>
      <c r="J32" s="12">
        <v>2</v>
      </c>
      <c r="K32" s="12">
        <v>15</v>
      </c>
      <c r="L32" s="12">
        <v>8</v>
      </c>
      <c r="M32" s="12">
        <v>8</v>
      </c>
      <c r="N32" s="12">
        <v>36</v>
      </c>
      <c r="O32" s="12">
        <v>28</v>
      </c>
      <c r="P32" s="12">
        <v>2</v>
      </c>
      <c r="Q32" s="12">
        <v>11</v>
      </c>
      <c r="R32" s="12">
        <v>21</v>
      </c>
      <c r="S32" s="12">
        <v>78</v>
      </c>
      <c r="T32" s="12">
        <v>16</v>
      </c>
      <c r="U32" s="12">
        <v>1</v>
      </c>
      <c r="V32" s="12">
        <v>7</v>
      </c>
      <c r="W32" s="12">
        <v>12</v>
      </c>
      <c r="X32" s="12">
        <v>13</v>
      </c>
      <c r="Y32" s="12">
        <v>9</v>
      </c>
      <c r="Z32" s="12">
        <v>14</v>
      </c>
      <c r="AA32" s="12">
        <v>45</v>
      </c>
      <c r="AB32" s="12">
        <v>6</v>
      </c>
      <c r="AC32" s="12">
        <v>8</v>
      </c>
      <c r="AD32" s="12">
        <v>12</v>
      </c>
      <c r="AE32" s="12">
        <v>44</v>
      </c>
      <c r="AF32" s="12">
        <v>18</v>
      </c>
    </row>
    <row r="33" spans="1:32">
      <c r="A33" s="20"/>
      <c r="B33" s="13" t="s">
        <v>469</v>
      </c>
      <c r="C33" s="14">
        <v>0.02</v>
      </c>
      <c r="D33" s="14">
        <v>0.01</v>
      </c>
      <c r="E33" s="14">
        <v>0.04</v>
      </c>
      <c r="F33" s="14">
        <v>0.02</v>
      </c>
      <c r="G33" s="14">
        <v>0.02</v>
      </c>
      <c r="H33" s="14">
        <v>0.01</v>
      </c>
      <c r="I33" s="14">
        <v>0.01</v>
      </c>
      <c r="J33" s="14">
        <v>0.01</v>
      </c>
      <c r="K33" s="14">
        <v>0.02</v>
      </c>
      <c r="L33" s="14">
        <v>0.01</v>
      </c>
      <c r="M33" s="14">
        <v>0.01</v>
      </c>
      <c r="N33" s="14">
        <v>0.04</v>
      </c>
      <c r="O33" s="14">
        <v>0.03</v>
      </c>
      <c r="P33" s="15" t="s">
        <v>459</v>
      </c>
      <c r="Q33" s="14">
        <v>0.01</v>
      </c>
      <c r="R33" s="14">
        <v>0.04</v>
      </c>
      <c r="S33" s="14">
        <v>0.08</v>
      </c>
      <c r="T33" s="14">
        <v>0.02</v>
      </c>
      <c r="U33" s="15" t="s">
        <v>459</v>
      </c>
      <c r="V33" s="14">
        <v>0.01</v>
      </c>
      <c r="W33" s="14">
        <v>0.02</v>
      </c>
      <c r="X33" s="14">
        <v>0.01</v>
      </c>
      <c r="Y33" s="14">
        <v>0.01</v>
      </c>
      <c r="Z33" s="14">
        <v>0.02</v>
      </c>
      <c r="AA33" s="14">
        <v>0.05</v>
      </c>
      <c r="AB33" s="14">
        <v>0.01</v>
      </c>
      <c r="AC33" s="14">
        <v>0.01</v>
      </c>
      <c r="AD33" s="14">
        <v>0.01</v>
      </c>
      <c r="AE33" s="14">
        <v>0.04</v>
      </c>
      <c r="AF33" s="14">
        <v>0.02</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167</v>
      </c>
      <c r="C3" s="18"/>
      <c r="D3" s="18"/>
      <c r="E3" s="18"/>
      <c r="F3" s="18"/>
      <c r="H3" s="18" t="s">
        <v>168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982</v>
      </c>
      <c r="C12" s="12">
        <v>16757</v>
      </c>
      <c r="D12" s="12">
        <v>658</v>
      </c>
      <c r="E12" s="12">
        <v>773</v>
      </c>
      <c r="F12" s="12">
        <v>628</v>
      </c>
      <c r="G12" s="12">
        <v>686</v>
      </c>
      <c r="H12" s="12">
        <v>762</v>
      </c>
      <c r="I12" s="12">
        <v>965</v>
      </c>
      <c r="J12" s="12">
        <v>204</v>
      </c>
      <c r="K12" s="12">
        <v>617</v>
      </c>
      <c r="L12" s="12">
        <v>620</v>
      </c>
      <c r="M12" s="12">
        <v>623</v>
      </c>
      <c r="N12" s="12">
        <v>580</v>
      </c>
      <c r="O12" s="12">
        <v>574</v>
      </c>
      <c r="P12" s="12">
        <v>763</v>
      </c>
      <c r="Q12" s="12">
        <v>735</v>
      </c>
      <c r="R12" s="12">
        <v>329</v>
      </c>
      <c r="S12" s="12">
        <v>524</v>
      </c>
      <c r="T12" s="12">
        <v>658</v>
      </c>
      <c r="U12" s="12">
        <v>249</v>
      </c>
      <c r="V12" s="12">
        <v>624</v>
      </c>
      <c r="W12" s="12">
        <v>242</v>
      </c>
      <c r="X12" s="12">
        <v>538</v>
      </c>
      <c r="Y12" s="12">
        <v>605</v>
      </c>
      <c r="Z12" s="12">
        <v>658</v>
      </c>
      <c r="AA12" s="12">
        <v>847</v>
      </c>
      <c r="AB12" s="12">
        <v>779</v>
      </c>
      <c r="AC12" s="12">
        <v>672</v>
      </c>
      <c r="AD12" s="12">
        <v>640</v>
      </c>
      <c r="AE12" s="12">
        <v>582</v>
      </c>
      <c r="AF12" s="12">
        <v>561</v>
      </c>
    </row>
    <row r="13" spans="1:32">
      <c r="A13" s="20"/>
      <c r="B13" s="13" t="s">
        <v>983</v>
      </c>
      <c r="C13" s="14">
        <v>0.64</v>
      </c>
      <c r="D13" s="14">
        <v>0.66</v>
      </c>
      <c r="E13" s="14">
        <v>0.76</v>
      </c>
      <c r="F13" s="14">
        <v>0.62</v>
      </c>
      <c r="G13" s="14">
        <v>0.68</v>
      </c>
      <c r="H13" s="14">
        <v>0.63</v>
      </c>
      <c r="I13" s="14">
        <v>0.64</v>
      </c>
      <c r="J13" s="14">
        <v>0.69000000000000006</v>
      </c>
      <c r="K13" s="14">
        <v>0.61</v>
      </c>
      <c r="L13" s="14">
        <v>0.62</v>
      </c>
      <c r="M13" s="14">
        <v>0.62</v>
      </c>
      <c r="N13" s="14">
        <v>0.57999999999999996</v>
      </c>
      <c r="O13" s="14">
        <v>0.57000000000000006</v>
      </c>
      <c r="P13" s="14">
        <v>0.75</v>
      </c>
      <c r="Q13" s="14">
        <v>0.72</v>
      </c>
      <c r="R13" s="14">
        <v>0.66</v>
      </c>
      <c r="S13" s="14">
        <v>0.52</v>
      </c>
      <c r="T13" s="14">
        <v>0.65</v>
      </c>
      <c r="U13" s="14">
        <v>0.49</v>
      </c>
      <c r="V13" s="14">
        <v>0.61</v>
      </c>
      <c r="W13" s="14">
        <v>0.48</v>
      </c>
      <c r="X13" s="14">
        <v>0.53</v>
      </c>
      <c r="Y13" s="14">
        <v>0.6</v>
      </c>
      <c r="Z13" s="14">
        <v>0.65</v>
      </c>
      <c r="AA13" s="14">
        <v>0.8</v>
      </c>
      <c r="AB13" s="14">
        <v>0.75</v>
      </c>
      <c r="AC13" s="14">
        <v>0.67</v>
      </c>
      <c r="AD13" s="14">
        <v>0.64</v>
      </c>
      <c r="AE13" s="14">
        <v>0.57999999999999996</v>
      </c>
      <c r="AF13" s="14">
        <v>0.55000000000000004</v>
      </c>
    </row>
    <row r="14" spans="1:32">
      <c r="A14" s="20"/>
      <c r="B14" s="11" t="s">
        <v>984</v>
      </c>
      <c r="C14" s="12">
        <v>7804</v>
      </c>
      <c r="D14" s="12">
        <v>361</v>
      </c>
      <c r="E14" s="12">
        <v>169</v>
      </c>
      <c r="F14" s="12">
        <v>287</v>
      </c>
      <c r="G14" s="12">
        <v>339</v>
      </c>
      <c r="H14" s="12">
        <v>547</v>
      </c>
      <c r="I14" s="12">
        <v>655</v>
      </c>
      <c r="J14" s="12">
        <v>107</v>
      </c>
      <c r="K14" s="12">
        <v>296</v>
      </c>
      <c r="L14" s="12">
        <v>268</v>
      </c>
      <c r="M14" s="12">
        <v>166</v>
      </c>
      <c r="N14" s="12">
        <v>186</v>
      </c>
      <c r="O14" s="12">
        <v>294</v>
      </c>
      <c r="P14" s="12">
        <v>256</v>
      </c>
      <c r="Q14" s="12">
        <v>334</v>
      </c>
      <c r="R14" s="12">
        <v>47</v>
      </c>
      <c r="S14" s="12">
        <v>111</v>
      </c>
      <c r="T14" s="12">
        <v>119</v>
      </c>
      <c r="U14" s="12">
        <v>245</v>
      </c>
      <c r="V14" s="12">
        <v>148</v>
      </c>
      <c r="W14" s="12">
        <v>69</v>
      </c>
      <c r="X14" s="12">
        <v>579</v>
      </c>
      <c r="Y14" s="12">
        <v>507</v>
      </c>
      <c r="Z14" s="12">
        <v>89</v>
      </c>
      <c r="AA14" s="12">
        <v>225</v>
      </c>
      <c r="AB14" s="12">
        <v>126</v>
      </c>
      <c r="AC14" s="12">
        <v>248</v>
      </c>
      <c r="AD14" s="12">
        <v>235</v>
      </c>
      <c r="AE14" s="12">
        <v>405</v>
      </c>
      <c r="AF14" s="12">
        <v>440</v>
      </c>
    </row>
    <row r="15" spans="1:32">
      <c r="A15" s="20"/>
      <c r="B15" s="13" t="s">
        <v>985</v>
      </c>
      <c r="C15" s="14">
        <v>0.3</v>
      </c>
      <c r="D15" s="14">
        <v>0.36</v>
      </c>
      <c r="E15" s="14">
        <v>0.17</v>
      </c>
      <c r="F15" s="14">
        <v>0.28999999999999998</v>
      </c>
      <c r="G15" s="14">
        <v>0.34</v>
      </c>
      <c r="H15" s="14">
        <v>0.45</v>
      </c>
      <c r="I15" s="14">
        <v>0.43</v>
      </c>
      <c r="J15" s="14">
        <v>0.36</v>
      </c>
      <c r="K15" s="14">
        <v>0.28999999999999998</v>
      </c>
      <c r="L15" s="14">
        <v>0.27</v>
      </c>
      <c r="M15" s="14">
        <v>0.17</v>
      </c>
      <c r="N15" s="14">
        <v>0.18</v>
      </c>
      <c r="O15" s="14">
        <v>0.28999999999999998</v>
      </c>
      <c r="P15" s="14">
        <v>0.25</v>
      </c>
      <c r="Q15" s="14">
        <v>0.33</v>
      </c>
      <c r="R15" s="14">
        <v>0.09</v>
      </c>
      <c r="S15" s="14">
        <v>0.11</v>
      </c>
      <c r="T15" s="14">
        <v>0.12</v>
      </c>
      <c r="U15" s="14">
        <v>0.48</v>
      </c>
      <c r="V15" s="14">
        <v>0.15</v>
      </c>
      <c r="W15" s="14">
        <v>0.14000000000000001</v>
      </c>
      <c r="X15" s="14">
        <v>0.57000000000000006</v>
      </c>
      <c r="Y15" s="14">
        <v>0.5</v>
      </c>
      <c r="Z15" s="14">
        <v>0.09</v>
      </c>
      <c r="AA15" s="14">
        <v>0.21</v>
      </c>
      <c r="AB15" s="14">
        <v>0.12</v>
      </c>
      <c r="AC15" s="14">
        <v>0.25</v>
      </c>
      <c r="AD15" s="14">
        <v>0.23</v>
      </c>
      <c r="AE15" s="14">
        <v>0.4</v>
      </c>
      <c r="AF15" s="14">
        <v>0.43</v>
      </c>
    </row>
    <row r="16" spans="1:32">
      <c r="A16" s="20"/>
      <c r="B16" s="11" t="s">
        <v>986</v>
      </c>
      <c r="C16" s="12">
        <v>7371</v>
      </c>
      <c r="D16" s="12">
        <v>343</v>
      </c>
      <c r="E16" s="12">
        <v>227</v>
      </c>
      <c r="F16" s="12">
        <v>266</v>
      </c>
      <c r="G16" s="12">
        <v>366</v>
      </c>
      <c r="H16" s="12">
        <v>444</v>
      </c>
      <c r="I16" s="12">
        <v>554</v>
      </c>
      <c r="J16" s="12">
        <v>109</v>
      </c>
      <c r="K16" s="12">
        <v>423</v>
      </c>
      <c r="L16" s="12">
        <v>381</v>
      </c>
      <c r="M16" s="12">
        <v>232</v>
      </c>
      <c r="N16" s="12">
        <v>250</v>
      </c>
      <c r="O16" s="12">
        <v>294</v>
      </c>
      <c r="P16" s="12">
        <v>339</v>
      </c>
      <c r="Q16" s="12">
        <v>248</v>
      </c>
      <c r="R16" s="12">
        <v>120</v>
      </c>
      <c r="S16" s="12">
        <v>310</v>
      </c>
      <c r="T16" s="12">
        <v>271</v>
      </c>
      <c r="U16" s="12">
        <v>147</v>
      </c>
      <c r="V16" s="12">
        <v>201</v>
      </c>
      <c r="W16" s="12">
        <v>117</v>
      </c>
      <c r="X16" s="12">
        <v>245</v>
      </c>
      <c r="Y16" s="12">
        <v>315</v>
      </c>
      <c r="Z16" s="12">
        <v>208</v>
      </c>
      <c r="AA16" s="12">
        <v>186</v>
      </c>
      <c r="AB16" s="12">
        <v>182</v>
      </c>
      <c r="AC16" s="12">
        <v>297</v>
      </c>
      <c r="AD16" s="12">
        <v>392</v>
      </c>
      <c r="AE16" s="12">
        <v>224</v>
      </c>
      <c r="AF16" s="12">
        <v>411</v>
      </c>
    </row>
    <row r="17" spans="1:32">
      <c r="A17" s="20"/>
      <c r="B17" s="13" t="s">
        <v>987</v>
      </c>
      <c r="C17" s="14">
        <v>0.28000000000000003</v>
      </c>
      <c r="D17" s="14">
        <v>0.34</v>
      </c>
      <c r="E17" s="14">
        <v>0.22</v>
      </c>
      <c r="F17" s="14">
        <v>0.26</v>
      </c>
      <c r="G17" s="14">
        <v>0.36</v>
      </c>
      <c r="H17" s="14">
        <v>0.37</v>
      </c>
      <c r="I17" s="14">
        <v>0.37</v>
      </c>
      <c r="J17" s="14">
        <v>0.37</v>
      </c>
      <c r="K17" s="14">
        <v>0.42</v>
      </c>
      <c r="L17" s="14">
        <v>0.38</v>
      </c>
      <c r="M17" s="14">
        <v>0.23</v>
      </c>
      <c r="N17" s="14">
        <v>0.25</v>
      </c>
      <c r="O17" s="14">
        <v>0.28999999999999998</v>
      </c>
      <c r="P17" s="14">
        <v>0.33</v>
      </c>
      <c r="Q17" s="14">
        <v>0.24</v>
      </c>
      <c r="R17" s="14">
        <v>0.24</v>
      </c>
      <c r="S17" s="14">
        <v>0.31</v>
      </c>
      <c r="T17" s="14">
        <v>0.27</v>
      </c>
      <c r="U17" s="14">
        <v>0.28999999999999998</v>
      </c>
      <c r="V17" s="14">
        <v>0.2</v>
      </c>
      <c r="W17" s="14">
        <v>0.23</v>
      </c>
      <c r="X17" s="14">
        <v>0.24</v>
      </c>
      <c r="Y17" s="14">
        <v>0.31</v>
      </c>
      <c r="Z17" s="14">
        <v>0.21</v>
      </c>
      <c r="AA17" s="14">
        <v>0.18</v>
      </c>
      <c r="AB17" s="14">
        <v>0.18</v>
      </c>
      <c r="AC17" s="14">
        <v>0.28999999999999998</v>
      </c>
      <c r="AD17" s="14">
        <v>0.39</v>
      </c>
      <c r="AE17" s="14">
        <v>0.22</v>
      </c>
      <c r="AF17" s="14">
        <v>0.4</v>
      </c>
    </row>
    <row r="18" spans="1:32" ht="36.950000000000003">
      <c r="A18" s="20"/>
      <c r="B18" s="11" t="s">
        <v>988</v>
      </c>
      <c r="C18" s="12">
        <v>10196</v>
      </c>
      <c r="D18" s="12">
        <v>359</v>
      </c>
      <c r="E18" s="12">
        <v>298</v>
      </c>
      <c r="F18" s="12">
        <v>361</v>
      </c>
      <c r="G18" s="12">
        <v>520</v>
      </c>
      <c r="H18" s="12">
        <v>409</v>
      </c>
      <c r="I18" s="12">
        <v>522</v>
      </c>
      <c r="J18" s="12">
        <v>113</v>
      </c>
      <c r="K18" s="12">
        <v>421</v>
      </c>
      <c r="L18" s="12">
        <v>362</v>
      </c>
      <c r="M18" s="12">
        <v>540</v>
      </c>
      <c r="N18" s="12">
        <v>377</v>
      </c>
      <c r="O18" s="12">
        <v>350</v>
      </c>
      <c r="P18" s="12">
        <v>402</v>
      </c>
      <c r="Q18" s="12">
        <v>431</v>
      </c>
      <c r="R18" s="12">
        <v>217</v>
      </c>
      <c r="S18" s="12">
        <v>469</v>
      </c>
      <c r="T18" s="12">
        <v>446</v>
      </c>
      <c r="U18" s="12">
        <v>242</v>
      </c>
      <c r="V18" s="12">
        <v>521</v>
      </c>
      <c r="W18" s="12">
        <v>235</v>
      </c>
      <c r="X18" s="12">
        <v>515</v>
      </c>
      <c r="Y18" s="12">
        <v>372</v>
      </c>
      <c r="Z18" s="12">
        <v>401</v>
      </c>
      <c r="AA18" s="12">
        <v>272</v>
      </c>
      <c r="AB18" s="12">
        <v>262</v>
      </c>
      <c r="AC18" s="12">
        <v>401</v>
      </c>
      <c r="AD18" s="12">
        <v>402</v>
      </c>
      <c r="AE18" s="12">
        <v>617</v>
      </c>
      <c r="AF18" s="12">
        <v>606</v>
      </c>
    </row>
    <row r="19" spans="1:32" ht="36.950000000000003">
      <c r="A19" s="20"/>
      <c r="B19" s="13" t="s">
        <v>989</v>
      </c>
      <c r="C19" s="14">
        <v>0.39</v>
      </c>
      <c r="D19" s="14">
        <v>0.36</v>
      </c>
      <c r="E19" s="14">
        <v>0.28999999999999998</v>
      </c>
      <c r="F19" s="14">
        <v>0.36</v>
      </c>
      <c r="G19" s="14">
        <v>0.52</v>
      </c>
      <c r="H19" s="14">
        <v>0.34</v>
      </c>
      <c r="I19" s="14">
        <v>0.35</v>
      </c>
      <c r="J19" s="14">
        <v>0.39</v>
      </c>
      <c r="K19" s="14">
        <v>0.42</v>
      </c>
      <c r="L19" s="14">
        <v>0.36</v>
      </c>
      <c r="M19" s="14">
        <v>0.54</v>
      </c>
      <c r="N19" s="14">
        <v>0.38</v>
      </c>
      <c r="O19" s="14">
        <v>0.35</v>
      </c>
      <c r="P19" s="14">
        <v>0.39</v>
      </c>
      <c r="Q19" s="14">
        <v>0.42</v>
      </c>
      <c r="R19" s="14">
        <v>0.43</v>
      </c>
      <c r="S19" s="14">
        <v>0.47</v>
      </c>
      <c r="T19" s="14">
        <v>0.44</v>
      </c>
      <c r="U19" s="14">
        <v>0.48</v>
      </c>
      <c r="V19" s="14">
        <v>0.51</v>
      </c>
      <c r="W19" s="14">
        <v>0.47</v>
      </c>
      <c r="X19" s="14">
        <v>0.5</v>
      </c>
      <c r="Y19" s="14">
        <v>0.37</v>
      </c>
      <c r="Z19" s="14">
        <v>0.4</v>
      </c>
      <c r="AA19" s="14">
        <v>0.26</v>
      </c>
      <c r="AB19" s="14">
        <v>0.25</v>
      </c>
      <c r="AC19" s="14">
        <v>0.4</v>
      </c>
      <c r="AD19" s="14">
        <v>0.4</v>
      </c>
      <c r="AE19" s="14">
        <v>0.62</v>
      </c>
      <c r="AF19" s="14">
        <v>0.59</v>
      </c>
    </row>
    <row r="20" spans="1:32" ht="36.950000000000003">
      <c r="A20" s="20"/>
      <c r="B20" s="11" t="s">
        <v>990</v>
      </c>
      <c r="C20" s="12">
        <v>6532</v>
      </c>
      <c r="D20" s="12">
        <v>222</v>
      </c>
      <c r="E20" s="12">
        <v>140</v>
      </c>
      <c r="F20" s="12">
        <v>346</v>
      </c>
      <c r="G20" s="12">
        <v>339</v>
      </c>
      <c r="H20" s="12">
        <v>296</v>
      </c>
      <c r="I20" s="12">
        <v>389</v>
      </c>
      <c r="J20" s="12">
        <v>93</v>
      </c>
      <c r="K20" s="12">
        <v>228</v>
      </c>
      <c r="L20" s="12">
        <v>182</v>
      </c>
      <c r="M20" s="12">
        <v>276</v>
      </c>
      <c r="N20" s="12">
        <v>201</v>
      </c>
      <c r="O20" s="12">
        <v>212</v>
      </c>
      <c r="P20" s="12">
        <v>227</v>
      </c>
      <c r="Q20" s="12">
        <v>307</v>
      </c>
      <c r="R20" s="12">
        <v>131</v>
      </c>
      <c r="S20" s="12">
        <v>235</v>
      </c>
      <c r="T20" s="12">
        <v>238</v>
      </c>
      <c r="U20" s="12">
        <v>153</v>
      </c>
      <c r="V20" s="12">
        <v>262</v>
      </c>
      <c r="W20" s="12">
        <v>105</v>
      </c>
      <c r="X20" s="12">
        <v>296</v>
      </c>
      <c r="Y20" s="12">
        <v>302</v>
      </c>
      <c r="Z20" s="12">
        <v>217</v>
      </c>
      <c r="AA20" s="12">
        <v>130</v>
      </c>
      <c r="AB20" s="12">
        <v>139</v>
      </c>
      <c r="AC20" s="12">
        <v>311</v>
      </c>
      <c r="AD20" s="12">
        <v>375</v>
      </c>
      <c r="AE20" s="12">
        <v>381</v>
      </c>
      <c r="AF20" s="12">
        <v>489</v>
      </c>
    </row>
    <row r="21" spans="1:32" ht="24.95">
      <c r="A21" s="20"/>
      <c r="B21" s="13" t="s">
        <v>991</v>
      </c>
      <c r="C21" s="14">
        <v>0.25</v>
      </c>
      <c r="D21" s="14">
        <v>0.22</v>
      </c>
      <c r="E21" s="14">
        <v>0.14000000000000001</v>
      </c>
      <c r="F21" s="14">
        <v>0.34</v>
      </c>
      <c r="G21" s="14">
        <v>0.34</v>
      </c>
      <c r="H21" s="14">
        <v>0.24</v>
      </c>
      <c r="I21" s="14">
        <v>0.26</v>
      </c>
      <c r="J21" s="14">
        <v>0.32</v>
      </c>
      <c r="K21" s="14">
        <v>0.23</v>
      </c>
      <c r="L21" s="14">
        <v>0.18</v>
      </c>
      <c r="M21" s="14">
        <v>0.28000000000000003</v>
      </c>
      <c r="N21" s="14">
        <v>0.2</v>
      </c>
      <c r="O21" s="14">
        <v>0.21</v>
      </c>
      <c r="P21" s="14">
        <v>0.22</v>
      </c>
      <c r="Q21" s="14">
        <v>0.3</v>
      </c>
      <c r="R21" s="14">
        <v>0.26</v>
      </c>
      <c r="S21" s="14">
        <v>0.23</v>
      </c>
      <c r="T21" s="14">
        <v>0.23</v>
      </c>
      <c r="U21" s="14">
        <v>0.3</v>
      </c>
      <c r="V21" s="14">
        <v>0.26</v>
      </c>
      <c r="W21" s="14">
        <v>0.21</v>
      </c>
      <c r="X21" s="14">
        <v>0.28999999999999998</v>
      </c>
      <c r="Y21" s="14">
        <v>0.3</v>
      </c>
      <c r="Z21" s="14">
        <v>0.22</v>
      </c>
      <c r="AA21" s="14">
        <v>0.12</v>
      </c>
      <c r="AB21" s="14">
        <v>0.13</v>
      </c>
      <c r="AC21" s="14">
        <v>0.31</v>
      </c>
      <c r="AD21" s="14">
        <v>0.37</v>
      </c>
      <c r="AE21" s="14">
        <v>0.38</v>
      </c>
      <c r="AF21" s="14">
        <v>0.48</v>
      </c>
    </row>
    <row r="22" spans="1:32">
      <c r="A22" s="20"/>
      <c r="B22" s="11" t="s">
        <v>992</v>
      </c>
      <c r="C22" s="12">
        <v>8453</v>
      </c>
      <c r="D22" s="12">
        <v>391</v>
      </c>
      <c r="E22" s="12">
        <v>440</v>
      </c>
      <c r="F22" s="12">
        <v>397</v>
      </c>
      <c r="G22" s="12">
        <v>331</v>
      </c>
      <c r="H22" s="12">
        <v>368</v>
      </c>
      <c r="I22" s="12">
        <v>467</v>
      </c>
      <c r="J22" s="12">
        <v>100</v>
      </c>
      <c r="K22" s="12">
        <v>436</v>
      </c>
      <c r="L22" s="12">
        <v>430</v>
      </c>
      <c r="M22" s="12">
        <v>475</v>
      </c>
      <c r="N22" s="12">
        <v>400</v>
      </c>
      <c r="O22" s="12">
        <v>275</v>
      </c>
      <c r="P22" s="12">
        <v>485</v>
      </c>
      <c r="Q22" s="12">
        <v>254</v>
      </c>
      <c r="R22" s="12">
        <v>298</v>
      </c>
      <c r="S22" s="12">
        <v>521</v>
      </c>
      <c r="T22" s="12">
        <v>432</v>
      </c>
      <c r="U22" s="12">
        <v>172</v>
      </c>
      <c r="V22" s="12">
        <v>356</v>
      </c>
      <c r="W22" s="12">
        <v>270</v>
      </c>
      <c r="X22" s="12">
        <v>283</v>
      </c>
      <c r="Y22" s="12">
        <v>355</v>
      </c>
      <c r="Z22" s="12">
        <v>276</v>
      </c>
      <c r="AA22" s="12">
        <v>302</v>
      </c>
      <c r="AB22" s="12">
        <v>432</v>
      </c>
      <c r="AC22" s="12">
        <v>397</v>
      </c>
      <c r="AD22" s="12">
        <v>378</v>
      </c>
      <c r="AE22" s="12">
        <v>264</v>
      </c>
      <c r="AF22" s="12">
        <v>203</v>
      </c>
    </row>
    <row r="23" spans="1:32">
      <c r="A23" s="20"/>
      <c r="B23" s="13" t="s">
        <v>993</v>
      </c>
      <c r="C23" s="14">
        <v>0.32</v>
      </c>
      <c r="D23" s="14">
        <v>0.39</v>
      </c>
      <c r="E23" s="14">
        <v>0.43</v>
      </c>
      <c r="F23" s="14">
        <v>0.4</v>
      </c>
      <c r="G23" s="14">
        <v>0.33</v>
      </c>
      <c r="H23" s="14">
        <v>0.3</v>
      </c>
      <c r="I23" s="14">
        <v>0.31</v>
      </c>
      <c r="J23" s="14">
        <v>0.34</v>
      </c>
      <c r="K23" s="14">
        <v>0.43</v>
      </c>
      <c r="L23" s="14">
        <v>0.43</v>
      </c>
      <c r="M23" s="14">
        <v>0.47</v>
      </c>
      <c r="N23" s="14">
        <v>0.4</v>
      </c>
      <c r="O23" s="14">
        <v>0.27</v>
      </c>
      <c r="P23" s="14">
        <v>0.47</v>
      </c>
      <c r="Q23" s="14">
        <v>0.25</v>
      </c>
      <c r="R23" s="14">
        <v>0.6</v>
      </c>
      <c r="S23" s="14">
        <v>0.52</v>
      </c>
      <c r="T23" s="14">
        <v>0.43</v>
      </c>
      <c r="U23" s="14">
        <v>0.34</v>
      </c>
      <c r="V23" s="14">
        <v>0.35</v>
      </c>
      <c r="W23" s="14">
        <v>0.54</v>
      </c>
      <c r="X23" s="14">
        <v>0.28000000000000003</v>
      </c>
      <c r="Y23" s="14">
        <v>0.35</v>
      </c>
      <c r="Z23" s="14">
        <v>0.27</v>
      </c>
      <c r="AA23" s="14">
        <v>0.28999999999999998</v>
      </c>
      <c r="AB23" s="14">
        <v>0.42</v>
      </c>
      <c r="AC23" s="14">
        <v>0.39</v>
      </c>
      <c r="AD23" s="14">
        <v>0.38</v>
      </c>
      <c r="AE23" s="14">
        <v>0.26</v>
      </c>
      <c r="AF23" s="14">
        <v>0.2</v>
      </c>
    </row>
    <row r="24" spans="1:32">
      <c r="A24" s="20"/>
      <c r="B24" s="11" t="s">
        <v>994</v>
      </c>
      <c r="C24" s="12">
        <v>2789</v>
      </c>
      <c r="D24" s="12">
        <v>86</v>
      </c>
      <c r="E24" s="12">
        <v>110</v>
      </c>
      <c r="F24" s="12">
        <v>163</v>
      </c>
      <c r="G24" s="12">
        <v>188</v>
      </c>
      <c r="H24" s="12">
        <v>168</v>
      </c>
      <c r="I24" s="12">
        <v>200</v>
      </c>
      <c r="J24" s="12">
        <v>32</v>
      </c>
      <c r="K24" s="12">
        <v>124</v>
      </c>
      <c r="L24" s="12">
        <v>173</v>
      </c>
      <c r="M24" s="12">
        <v>123</v>
      </c>
      <c r="N24" s="12">
        <v>96</v>
      </c>
      <c r="O24" s="12">
        <v>61</v>
      </c>
      <c r="P24" s="12">
        <v>168</v>
      </c>
      <c r="Q24" s="12">
        <v>71</v>
      </c>
      <c r="R24" s="12">
        <v>57</v>
      </c>
      <c r="S24" s="12">
        <v>57</v>
      </c>
      <c r="T24" s="12">
        <v>153</v>
      </c>
      <c r="U24" s="12">
        <v>59</v>
      </c>
      <c r="V24" s="12">
        <v>163</v>
      </c>
      <c r="W24" s="12">
        <v>120</v>
      </c>
      <c r="X24" s="12">
        <v>185</v>
      </c>
      <c r="Y24" s="12">
        <v>137</v>
      </c>
      <c r="Z24" s="12">
        <v>65</v>
      </c>
      <c r="AA24" s="12">
        <v>19</v>
      </c>
      <c r="AB24" s="12">
        <v>169</v>
      </c>
      <c r="AC24" s="12">
        <v>97</v>
      </c>
      <c r="AD24" s="12">
        <v>219</v>
      </c>
      <c r="AE24" s="12">
        <v>79</v>
      </c>
      <c r="AF24" s="12">
        <v>169</v>
      </c>
    </row>
    <row r="25" spans="1:32">
      <c r="A25" s="20"/>
      <c r="B25" s="13" t="s">
        <v>995</v>
      </c>
      <c r="C25" s="14">
        <v>0.11</v>
      </c>
      <c r="D25" s="14">
        <v>0.09</v>
      </c>
      <c r="E25" s="14">
        <v>0.11</v>
      </c>
      <c r="F25" s="14">
        <v>0.16</v>
      </c>
      <c r="G25" s="14">
        <v>0.19</v>
      </c>
      <c r="H25" s="14">
        <v>0.14000000000000001</v>
      </c>
      <c r="I25" s="14">
        <v>0.13</v>
      </c>
      <c r="J25" s="14">
        <v>0.11</v>
      </c>
      <c r="K25" s="14">
        <v>0.12</v>
      </c>
      <c r="L25" s="14">
        <v>0.17</v>
      </c>
      <c r="M25" s="14">
        <v>0.12</v>
      </c>
      <c r="N25" s="14">
        <v>0.1</v>
      </c>
      <c r="O25" s="14">
        <v>0.06</v>
      </c>
      <c r="P25" s="14">
        <v>0.16</v>
      </c>
      <c r="Q25" s="14">
        <v>7.0000000000000007E-2</v>
      </c>
      <c r="R25" s="14">
        <v>0.11</v>
      </c>
      <c r="S25" s="14">
        <v>0.06</v>
      </c>
      <c r="T25" s="14">
        <v>0.15</v>
      </c>
      <c r="U25" s="14">
        <v>0.12</v>
      </c>
      <c r="V25" s="14">
        <v>0.16</v>
      </c>
      <c r="W25" s="14">
        <v>0.24</v>
      </c>
      <c r="X25" s="14">
        <v>0.18</v>
      </c>
      <c r="Y25" s="14">
        <v>0.14000000000000001</v>
      </c>
      <c r="Z25" s="14">
        <v>0.06</v>
      </c>
      <c r="AA25" s="14">
        <v>0.02</v>
      </c>
      <c r="AB25" s="14">
        <v>0.16</v>
      </c>
      <c r="AC25" s="14">
        <v>0.1</v>
      </c>
      <c r="AD25" s="14">
        <v>0.22</v>
      </c>
      <c r="AE25" s="14">
        <v>0.08</v>
      </c>
      <c r="AF25" s="14">
        <v>0.17</v>
      </c>
    </row>
    <row r="26" spans="1:32" ht="24.95">
      <c r="A26" s="20"/>
      <c r="B26" s="11" t="s">
        <v>996</v>
      </c>
      <c r="C26" s="12">
        <v>7723</v>
      </c>
      <c r="D26" s="12">
        <v>236</v>
      </c>
      <c r="E26" s="12">
        <v>483</v>
      </c>
      <c r="F26" s="12">
        <v>302</v>
      </c>
      <c r="G26" s="12">
        <v>397</v>
      </c>
      <c r="H26" s="12">
        <v>410</v>
      </c>
      <c r="I26" s="12">
        <v>532</v>
      </c>
      <c r="J26" s="12">
        <v>122</v>
      </c>
      <c r="K26" s="12">
        <v>297</v>
      </c>
      <c r="L26" s="12">
        <v>229</v>
      </c>
      <c r="M26" s="12">
        <v>532</v>
      </c>
      <c r="N26" s="12">
        <v>209</v>
      </c>
      <c r="O26" s="12">
        <v>237</v>
      </c>
      <c r="P26" s="12">
        <v>423</v>
      </c>
      <c r="Q26" s="12">
        <v>278</v>
      </c>
      <c r="R26" s="12">
        <v>148</v>
      </c>
      <c r="S26" s="12">
        <v>213</v>
      </c>
      <c r="T26" s="12">
        <v>264</v>
      </c>
      <c r="U26" s="12">
        <v>122</v>
      </c>
      <c r="V26" s="12">
        <v>388</v>
      </c>
      <c r="W26" s="12">
        <v>105</v>
      </c>
      <c r="X26" s="12">
        <v>288</v>
      </c>
      <c r="Y26" s="12">
        <v>339</v>
      </c>
      <c r="Z26" s="12">
        <v>206</v>
      </c>
      <c r="AA26" s="12">
        <v>315</v>
      </c>
      <c r="AB26" s="12">
        <v>458</v>
      </c>
      <c r="AC26" s="12">
        <v>302</v>
      </c>
      <c r="AD26" s="12">
        <v>488</v>
      </c>
      <c r="AE26" s="12">
        <v>201</v>
      </c>
      <c r="AF26" s="12">
        <v>272</v>
      </c>
    </row>
    <row r="27" spans="1:32" ht="24.95">
      <c r="A27" s="20"/>
      <c r="B27" s="13" t="s">
        <v>997</v>
      </c>
      <c r="C27" s="14">
        <v>0.28999999999999998</v>
      </c>
      <c r="D27" s="14">
        <v>0.24</v>
      </c>
      <c r="E27" s="14">
        <v>0.47</v>
      </c>
      <c r="F27" s="14">
        <v>0.3</v>
      </c>
      <c r="G27" s="14">
        <v>0.4</v>
      </c>
      <c r="H27" s="14">
        <v>0.34</v>
      </c>
      <c r="I27" s="14">
        <v>0.35</v>
      </c>
      <c r="J27" s="14">
        <v>0.42</v>
      </c>
      <c r="K27" s="14">
        <v>0.28999999999999998</v>
      </c>
      <c r="L27" s="14">
        <v>0.23</v>
      </c>
      <c r="M27" s="14">
        <v>0.53</v>
      </c>
      <c r="N27" s="14">
        <v>0.21</v>
      </c>
      <c r="O27" s="14">
        <v>0.24</v>
      </c>
      <c r="P27" s="14">
        <v>0.41</v>
      </c>
      <c r="Q27" s="14">
        <v>0.27</v>
      </c>
      <c r="R27" s="14">
        <v>0.3</v>
      </c>
      <c r="S27" s="14">
        <v>0.21</v>
      </c>
      <c r="T27" s="14">
        <v>0.26</v>
      </c>
      <c r="U27" s="14">
        <v>0.24</v>
      </c>
      <c r="V27" s="14">
        <v>0.38</v>
      </c>
      <c r="W27" s="14">
        <v>0.21</v>
      </c>
      <c r="X27" s="14">
        <v>0.28000000000000003</v>
      </c>
      <c r="Y27" s="14">
        <v>0.34</v>
      </c>
      <c r="Z27" s="14">
        <v>0.2</v>
      </c>
      <c r="AA27" s="14">
        <v>0.3</v>
      </c>
      <c r="AB27" s="14">
        <v>0.44</v>
      </c>
      <c r="AC27" s="14">
        <v>0.3</v>
      </c>
      <c r="AD27" s="14">
        <v>0.49</v>
      </c>
      <c r="AE27" s="14">
        <v>0.2</v>
      </c>
      <c r="AF27" s="14">
        <v>0.27</v>
      </c>
    </row>
    <row r="28" spans="1:32">
      <c r="A28" s="20"/>
      <c r="B28" s="11" t="s">
        <v>519</v>
      </c>
      <c r="C28" s="12">
        <v>138</v>
      </c>
      <c r="D28" s="12">
        <v>4</v>
      </c>
      <c r="E28" s="12">
        <v>2</v>
      </c>
      <c r="F28" s="12">
        <v>4</v>
      </c>
      <c r="G28" s="12">
        <v>16</v>
      </c>
      <c r="H28" s="12">
        <v>8</v>
      </c>
      <c r="I28" s="12">
        <v>9</v>
      </c>
      <c r="J28" s="12">
        <v>1</v>
      </c>
      <c r="K28" s="12">
        <v>13</v>
      </c>
      <c r="L28" s="12">
        <v>4</v>
      </c>
      <c r="M28" s="12">
        <v>10</v>
      </c>
      <c r="N28" s="12">
        <v>6</v>
      </c>
      <c r="O28" s="12">
        <v>10</v>
      </c>
      <c r="P28" s="12">
        <v>2</v>
      </c>
      <c r="Q28" s="12">
        <v>0</v>
      </c>
      <c r="R28" s="12">
        <v>1</v>
      </c>
      <c r="S28" s="12">
        <v>4</v>
      </c>
      <c r="T28" s="12">
        <v>5</v>
      </c>
      <c r="U28" s="12">
        <v>8</v>
      </c>
      <c r="V28" s="12">
        <v>0</v>
      </c>
      <c r="W28" s="12">
        <v>1</v>
      </c>
      <c r="X28" s="12">
        <v>7</v>
      </c>
      <c r="Y28" s="12">
        <v>5</v>
      </c>
      <c r="Z28" s="12">
        <v>1</v>
      </c>
      <c r="AA28" s="12">
        <v>8</v>
      </c>
      <c r="AB28" s="12">
        <v>0</v>
      </c>
      <c r="AC28" s="12">
        <v>25</v>
      </c>
      <c r="AD28" s="12">
        <v>2</v>
      </c>
      <c r="AE28" s="12">
        <v>8</v>
      </c>
      <c r="AF28" s="12">
        <v>14</v>
      </c>
    </row>
    <row r="29" spans="1:32">
      <c r="A29" s="20"/>
      <c r="B29" s="13" t="s">
        <v>520</v>
      </c>
      <c r="C29" s="14">
        <v>0.01</v>
      </c>
      <c r="D29" s="15" t="s">
        <v>459</v>
      </c>
      <c r="E29" s="15" t="s">
        <v>459</v>
      </c>
      <c r="F29" s="15" t="s">
        <v>459</v>
      </c>
      <c r="G29" s="14">
        <v>0.02</v>
      </c>
      <c r="H29" s="14">
        <v>0.01</v>
      </c>
      <c r="I29" s="14">
        <v>0.01</v>
      </c>
      <c r="J29" s="15" t="s">
        <v>459</v>
      </c>
      <c r="K29" s="14">
        <v>0.01</v>
      </c>
      <c r="L29" s="15" t="s">
        <v>459</v>
      </c>
      <c r="M29" s="14">
        <v>0.01</v>
      </c>
      <c r="N29" s="14">
        <v>0.01</v>
      </c>
      <c r="O29" s="14">
        <v>0.01</v>
      </c>
      <c r="P29" s="15" t="s">
        <v>459</v>
      </c>
      <c r="Q29" s="15" t="s">
        <v>459</v>
      </c>
      <c r="R29" s="15" t="s">
        <v>459</v>
      </c>
      <c r="S29" s="15" t="s">
        <v>459</v>
      </c>
      <c r="T29" s="15" t="s">
        <v>459</v>
      </c>
      <c r="U29" s="14">
        <v>0.02</v>
      </c>
      <c r="V29" s="15" t="s">
        <v>459</v>
      </c>
      <c r="W29" s="15" t="s">
        <v>459</v>
      </c>
      <c r="X29" s="14">
        <v>0.01</v>
      </c>
      <c r="Y29" s="14">
        <v>0.01</v>
      </c>
      <c r="Z29" s="15" t="s">
        <v>459</v>
      </c>
      <c r="AA29" s="14">
        <v>0.01</v>
      </c>
      <c r="AB29" s="15" t="s">
        <v>459</v>
      </c>
      <c r="AC29" s="14">
        <v>0.02</v>
      </c>
      <c r="AD29" s="15" t="s">
        <v>459</v>
      </c>
      <c r="AE29" s="14">
        <v>0.01</v>
      </c>
      <c r="AF29" s="14">
        <v>0.01</v>
      </c>
    </row>
    <row r="30" spans="1:32" ht="36.950000000000003">
      <c r="A30" s="20"/>
      <c r="B30" s="11" t="s">
        <v>998</v>
      </c>
      <c r="C30" s="12">
        <v>1543</v>
      </c>
      <c r="D30" s="12">
        <v>13</v>
      </c>
      <c r="E30" s="12">
        <v>62</v>
      </c>
      <c r="F30" s="12">
        <v>44</v>
      </c>
      <c r="G30" s="12">
        <v>7</v>
      </c>
      <c r="H30" s="12">
        <v>96</v>
      </c>
      <c r="I30" s="12">
        <v>105</v>
      </c>
      <c r="J30" s="12">
        <v>9</v>
      </c>
      <c r="K30" s="12">
        <v>40</v>
      </c>
      <c r="L30" s="12">
        <v>33</v>
      </c>
      <c r="M30" s="12">
        <v>51</v>
      </c>
      <c r="N30" s="12">
        <v>64</v>
      </c>
      <c r="O30" s="12">
        <v>80</v>
      </c>
      <c r="P30" s="12">
        <v>29</v>
      </c>
      <c r="Q30" s="12">
        <v>71</v>
      </c>
      <c r="R30" s="12">
        <v>27</v>
      </c>
      <c r="S30" s="12">
        <v>16</v>
      </c>
      <c r="T30" s="12">
        <v>78</v>
      </c>
      <c r="U30" s="12">
        <v>7</v>
      </c>
      <c r="V30" s="12">
        <v>67</v>
      </c>
      <c r="W30" s="12">
        <v>2</v>
      </c>
      <c r="X30" s="12">
        <v>15</v>
      </c>
      <c r="Y30" s="12">
        <v>123</v>
      </c>
      <c r="Z30" s="12">
        <v>52</v>
      </c>
      <c r="AA30" s="12">
        <v>70</v>
      </c>
      <c r="AB30" s="12">
        <v>39</v>
      </c>
      <c r="AC30" s="12">
        <v>10</v>
      </c>
      <c r="AD30" s="12">
        <v>32</v>
      </c>
      <c r="AE30" s="12">
        <v>5</v>
      </c>
      <c r="AF30" s="12">
        <v>4</v>
      </c>
    </row>
    <row r="31" spans="1:32" ht="24.95">
      <c r="A31" s="20"/>
      <c r="B31" s="13" t="s">
        <v>999</v>
      </c>
      <c r="C31" s="14">
        <v>0.06</v>
      </c>
      <c r="D31" s="14">
        <v>0.01</v>
      </c>
      <c r="E31" s="14">
        <v>0.06</v>
      </c>
      <c r="F31" s="14">
        <v>0.04</v>
      </c>
      <c r="G31" s="14">
        <v>0.01</v>
      </c>
      <c r="H31" s="14">
        <v>0.08</v>
      </c>
      <c r="I31" s="14">
        <v>7.0000000000000007E-2</v>
      </c>
      <c r="J31" s="14">
        <v>0.03</v>
      </c>
      <c r="K31" s="14">
        <v>0.04</v>
      </c>
      <c r="L31" s="14">
        <v>0.03</v>
      </c>
      <c r="M31" s="14">
        <v>0.05</v>
      </c>
      <c r="N31" s="14">
        <v>0.06</v>
      </c>
      <c r="O31" s="14">
        <v>0.08</v>
      </c>
      <c r="P31" s="14">
        <v>0.03</v>
      </c>
      <c r="Q31" s="14">
        <v>7.0000000000000007E-2</v>
      </c>
      <c r="R31" s="14">
        <v>0.05</v>
      </c>
      <c r="S31" s="14">
        <v>0.02</v>
      </c>
      <c r="T31" s="14">
        <v>0.08</v>
      </c>
      <c r="U31" s="14">
        <v>0.01</v>
      </c>
      <c r="V31" s="14">
        <v>7.0000000000000007E-2</v>
      </c>
      <c r="W31" s="15" t="s">
        <v>459</v>
      </c>
      <c r="X31" s="14">
        <v>0.02</v>
      </c>
      <c r="Y31" s="14">
        <v>0.12</v>
      </c>
      <c r="Z31" s="14">
        <v>0.05</v>
      </c>
      <c r="AA31" s="14">
        <v>7.0000000000000007E-2</v>
      </c>
      <c r="AB31" s="14">
        <v>0.04</v>
      </c>
      <c r="AC31" s="14">
        <v>0.01</v>
      </c>
      <c r="AD31" s="14">
        <v>0.03</v>
      </c>
      <c r="AE31" s="14">
        <v>0.01</v>
      </c>
      <c r="AF31" s="15" t="s">
        <v>459</v>
      </c>
    </row>
    <row r="32" spans="1:32">
      <c r="A32" s="20"/>
      <c r="B32" s="11" t="s">
        <v>468</v>
      </c>
      <c r="C32" s="12">
        <v>111</v>
      </c>
      <c r="D32" s="12">
        <v>3</v>
      </c>
      <c r="E32" s="12">
        <v>6</v>
      </c>
      <c r="F32" s="12">
        <v>32</v>
      </c>
      <c r="G32" s="12">
        <v>3</v>
      </c>
      <c r="H32" s="12">
        <v>3</v>
      </c>
      <c r="I32" s="12">
        <v>4</v>
      </c>
      <c r="J32" s="12">
        <v>0</v>
      </c>
      <c r="K32" s="12">
        <v>0</v>
      </c>
      <c r="L32" s="12">
        <v>3</v>
      </c>
      <c r="M32" s="12">
        <v>1</v>
      </c>
      <c r="N32" s="12">
        <v>1</v>
      </c>
      <c r="O32" s="12">
        <v>3</v>
      </c>
      <c r="P32" s="12">
        <v>4</v>
      </c>
      <c r="Q32" s="12">
        <v>3</v>
      </c>
      <c r="R32" s="12">
        <v>4</v>
      </c>
      <c r="S32" s="12">
        <v>3</v>
      </c>
      <c r="T32" s="12">
        <v>2</v>
      </c>
      <c r="U32" s="12">
        <v>1</v>
      </c>
      <c r="V32" s="12">
        <v>5</v>
      </c>
      <c r="W32" s="12">
        <v>1</v>
      </c>
      <c r="X32" s="12">
        <v>6</v>
      </c>
      <c r="Y32" s="12">
        <v>2</v>
      </c>
      <c r="Z32" s="12">
        <v>8</v>
      </c>
      <c r="AA32" s="12">
        <v>10</v>
      </c>
      <c r="AB32" s="12">
        <v>7</v>
      </c>
      <c r="AC32" s="12">
        <v>2</v>
      </c>
      <c r="AD32" s="12">
        <v>5</v>
      </c>
      <c r="AE32" s="12">
        <v>3</v>
      </c>
      <c r="AF32" s="12">
        <v>2</v>
      </c>
    </row>
    <row r="33" spans="1:32">
      <c r="A33" s="20"/>
      <c r="B33" s="13" t="s">
        <v>469</v>
      </c>
      <c r="C33" s="15" t="s">
        <v>459</v>
      </c>
      <c r="D33" s="15" t="s">
        <v>459</v>
      </c>
      <c r="E33" s="14">
        <v>0.01</v>
      </c>
      <c r="F33" s="14">
        <v>0.03</v>
      </c>
      <c r="G33" s="15" t="s">
        <v>459</v>
      </c>
      <c r="H33" s="15" t="s">
        <v>459</v>
      </c>
      <c r="I33" s="15" t="s">
        <v>459</v>
      </c>
      <c r="J33" s="15" t="s">
        <v>459</v>
      </c>
      <c r="K33" s="15" t="s">
        <v>459</v>
      </c>
      <c r="L33" s="15" t="s">
        <v>459</v>
      </c>
      <c r="M33" s="15" t="s">
        <v>459</v>
      </c>
      <c r="N33" s="15" t="s">
        <v>459</v>
      </c>
      <c r="O33" s="15" t="s">
        <v>459</v>
      </c>
      <c r="P33" s="15" t="s">
        <v>459</v>
      </c>
      <c r="Q33" s="15" t="s">
        <v>459</v>
      </c>
      <c r="R33" s="14">
        <v>0.01</v>
      </c>
      <c r="S33" s="15" t="s">
        <v>459</v>
      </c>
      <c r="T33" s="15" t="s">
        <v>459</v>
      </c>
      <c r="U33" s="15" t="s">
        <v>459</v>
      </c>
      <c r="V33" s="15" t="s">
        <v>459</v>
      </c>
      <c r="W33" s="15" t="s">
        <v>459</v>
      </c>
      <c r="X33" s="14">
        <v>0.01</v>
      </c>
      <c r="Y33" s="15" t="s">
        <v>459</v>
      </c>
      <c r="Z33" s="14">
        <v>0.01</v>
      </c>
      <c r="AA33" s="14">
        <v>0.01</v>
      </c>
      <c r="AB33" s="14">
        <v>0.01</v>
      </c>
      <c r="AC33" s="15" t="s">
        <v>459</v>
      </c>
      <c r="AD33" s="14">
        <v>0.01</v>
      </c>
      <c r="AE33" s="15" t="s">
        <v>459</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169</v>
      </c>
      <c r="C3" s="18"/>
      <c r="D3" s="18"/>
      <c r="E3" s="18"/>
      <c r="F3" s="18"/>
      <c r="H3" s="18" t="s">
        <v>170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1002</v>
      </c>
      <c r="C12" s="12">
        <v>2539</v>
      </c>
      <c r="D12" s="12">
        <v>135</v>
      </c>
      <c r="E12" s="12">
        <v>71</v>
      </c>
      <c r="F12" s="12">
        <v>104</v>
      </c>
      <c r="G12" s="12">
        <v>110</v>
      </c>
      <c r="H12" s="12">
        <v>159</v>
      </c>
      <c r="I12" s="12">
        <v>194</v>
      </c>
      <c r="J12" s="12">
        <v>35</v>
      </c>
      <c r="K12" s="12">
        <v>62</v>
      </c>
      <c r="L12" s="12">
        <v>117</v>
      </c>
      <c r="M12" s="12">
        <v>73</v>
      </c>
      <c r="N12" s="12">
        <v>80</v>
      </c>
      <c r="O12" s="12">
        <v>57</v>
      </c>
      <c r="P12" s="12">
        <v>104</v>
      </c>
      <c r="Q12" s="12">
        <v>100</v>
      </c>
      <c r="R12" s="12">
        <v>45</v>
      </c>
      <c r="S12" s="12">
        <v>51</v>
      </c>
      <c r="T12" s="12">
        <v>57</v>
      </c>
      <c r="U12" s="12">
        <v>66</v>
      </c>
      <c r="V12" s="12">
        <v>114</v>
      </c>
      <c r="W12" s="12">
        <v>42</v>
      </c>
      <c r="X12" s="12">
        <v>134</v>
      </c>
      <c r="Y12" s="12">
        <v>109</v>
      </c>
      <c r="Z12" s="12">
        <v>94</v>
      </c>
      <c r="AA12" s="12">
        <v>88</v>
      </c>
      <c r="AB12" s="12">
        <v>79</v>
      </c>
      <c r="AC12" s="12">
        <v>60</v>
      </c>
      <c r="AD12" s="12">
        <v>62</v>
      </c>
      <c r="AE12" s="12">
        <v>108</v>
      </c>
      <c r="AF12" s="12">
        <v>157</v>
      </c>
    </row>
    <row r="13" spans="1:32" ht="24.95">
      <c r="A13" s="20"/>
      <c r="B13" s="13" t="s">
        <v>1003</v>
      </c>
      <c r="C13" s="14">
        <v>0.1</v>
      </c>
      <c r="D13" s="14">
        <v>0.13</v>
      </c>
      <c r="E13" s="14">
        <v>7.0000000000000007E-2</v>
      </c>
      <c r="F13" s="14">
        <v>0.11</v>
      </c>
      <c r="G13" s="14">
        <v>0.11</v>
      </c>
      <c r="H13" s="14">
        <v>0.13</v>
      </c>
      <c r="I13" s="14">
        <v>0.13</v>
      </c>
      <c r="J13" s="14">
        <v>0.12</v>
      </c>
      <c r="K13" s="14">
        <v>0.06</v>
      </c>
      <c r="L13" s="14">
        <v>0.12</v>
      </c>
      <c r="M13" s="14">
        <v>7.0000000000000007E-2</v>
      </c>
      <c r="N13" s="14">
        <v>0.08</v>
      </c>
      <c r="O13" s="14">
        <v>0.06</v>
      </c>
      <c r="P13" s="14">
        <v>0.1</v>
      </c>
      <c r="Q13" s="14">
        <v>0.1</v>
      </c>
      <c r="R13" s="14">
        <v>0.09</v>
      </c>
      <c r="S13" s="14">
        <v>0.05</v>
      </c>
      <c r="T13" s="14">
        <v>0.05</v>
      </c>
      <c r="U13" s="14">
        <v>0.13</v>
      </c>
      <c r="V13" s="14">
        <v>0.11</v>
      </c>
      <c r="W13" s="14">
        <v>0.08</v>
      </c>
      <c r="X13" s="14">
        <v>0.13</v>
      </c>
      <c r="Y13" s="14">
        <v>0.11</v>
      </c>
      <c r="Z13" s="14">
        <v>0.09</v>
      </c>
      <c r="AA13" s="14">
        <v>0.08</v>
      </c>
      <c r="AB13" s="14">
        <v>0.08</v>
      </c>
      <c r="AC13" s="14">
        <v>0.06</v>
      </c>
      <c r="AD13" s="14">
        <v>0.06</v>
      </c>
      <c r="AE13" s="14">
        <v>0.11</v>
      </c>
      <c r="AF13" s="14">
        <v>0.16</v>
      </c>
    </row>
    <row r="14" spans="1:32" ht="24.95">
      <c r="A14" s="20"/>
      <c r="B14" s="11" t="s">
        <v>1004</v>
      </c>
      <c r="C14" s="12">
        <v>5070</v>
      </c>
      <c r="D14" s="12">
        <v>176</v>
      </c>
      <c r="E14" s="12">
        <v>205</v>
      </c>
      <c r="F14" s="12">
        <v>197</v>
      </c>
      <c r="G14" s="12">
        <v>181</v>
      </c>
      <c r="H14" s="12">
        <v>214</v>
      </c>
      <c r="I14" s="12">
        <v>283</v>
      </c>
      <c r="J14" s="12">
        <v>69</v>
      </c>
      <c r="K14" s="12">
        <v>157</v>
      </c>
      <c r="L14" s="12">
        <v>205</v>
      </c>
      <c r="M14" s="12">
        <v>289</v>
      </c>
      <c r="N14" s="12">
        <v>183</v>
      </c>
      <c r="O14" s="12">
        <v>231</v>
      </c>
      <c r="P14" s="12">
        <v>158</v>
      </c>
      <c r="Q14" s="12">
        <v>220</v>
      </c>
      <c r="R14" s="12">
        <v>122</v>
      </c>
      <c r="S14" s="12">
        <v>126</v>
      </c>
      <c r="T14" s="12">
        <v>171</v>
      </c>
      <c r="U14" s="12">
        <v>63</v>
      </c>
      <c r="V14" s="12">
        <v>133</v>
      </c>
      <c r="W14" s="12">
        <v>44</v>
      </c>
      <c r="X14" s="12">
        <v>154</v>
      </c>
      <c r="Y14" s="12">
        <v>210</v>
      </c>
      <c r="Z14" s="12">
        <v>178</v>
      </c>
      <c r="AA14" s="12">
        <v>171</v>
      </c>
      <c r="AB14" s="12">
        <v>134</v>
      </c>
      <c r="AC14" s="12">
        <v>166</v>
      </c>
      <c r="AD14" s="12">
        <v>157</v>
      </c>
      <c r="AE14" s="12">
        <v>275</v>
      </c>
      <c r="AF14" s="12">
        <v>166</v>
      </c>
    </row>
    <row r="15" spans="1:32" ht="24.95">
      <c r="A15" s="20"/>
      <c r="B15" s="13" t="s">
        <v>1005</v>
      </c>
      <c r="C15" s="14">
        <v>0.19</v>
      </c>
      <c r="D15" s="14">
        <v>0.17</v>
      </c>
      <c r="E15" s="14">
        <v>0.2</v>
      </c>
      <c r="F15" s="14">
        <v>0.2</v>
      </c>
      <c r="G15" s="14">
        <v>0.18</v>
      </c>
      <c r="H15" s="14">
        <v>0.18</v>
      </c>
      <c r="I15" s="14">
        <v>0.19</v>
      </c>
      <c r="J15" s="14">
        <v>0.23</v>
      </c>
      <c r="K15" s="14">
        <v>0.16</v>
      </c>
      <c r="L15" s="14">
        <v>0.2</v>
      </c>
      <c r="M15" s="14">
        <v>0.28999999999999998</v>
      </c>
      <c r="N15" s="14">
        <v>0.18</v>
      </c>
      <c r="O15" s="14">
        <v>0.23</v>
      </c>
      <c r="P15" s="14">
        <v>0.16</v>
      </c>
      <c r="Q15" s="14">
        <v>0.22</v>
      </c>
      <c r="R15" s="14">
        <v>0.24</v>
      </c>
      <c r="S15" s="14">
        <v>0.13</v>
      </c>
      <c r="T15" s="14">
        <v>0.17</v>
      </c>
      <c r="U15" s="14">
        <v>0.13</v>
      </c>
      <c r="V15" s="14">
        <v>0.13</v>
      </c>
      <c r="W15" s="14">
        <v>0.09</v>
      </c>
      <c r="X15" s="14">
        <v>0.15</v>
      </c>
      <c r="Y15" s="14">
        <v>0.21</v>
      </c>
      <c r="Z15" s="14">
        <v>0.18</v>
      </c>
      <c r="AA15" s="14">
        <v>0.16</v>
      </c>
      <c r="AB15" s="14">
        <v>0.13</v>
      </c>
      <c r="AC15" s="14">
        <v>0.16</v>
      </c>
      <c r="AD15" s="14">
        <v>0.16</v>
      </c>
      <c r="AE15" s="14">
        <v>0.27</v>
      </c>
      <c r="AF15" s="14">
        <v>0.16</v>
      </c>
    </row>
    <row r="16" spans="1:32" ht="24.95">
      <c r="A16" s="20"/>
      <c r="B16" s="11" t="s">
        <v>1006</v>
      </c>
      <c r="C16" s="12">
        <v>2868</v>
      </c>
      <c r="D16" s="12">
        <v>128</v>
      </c>
      <c r="E16" s="12">
        <v>79</v>
      </c>
      <c r="F16" s="12">
        <v>104</v>
      </c>
      <c r="G16" s="12">
        <v>91</v>
      </c>
      <c r="H16" s="12">
        <v>155</v>
      </c>
      <c r="I16" s="12">
        <v>182</v>
      </c>
      <c r="J16" s="12">
        <v>27</v>
      </c>
      <c r="K16" s="12">
        <v>96</v>
      </c>
      <c r="L16" s="12">
        <v>113</v>
      </c>
      <c r="M16" s="12">
        <v>87</v>
      </c>
      <c r="N16" s="12">
        <v>107</v>
      </c>
      <c r="O16" s="12">
        <v>120</v>
      </c>
      <c r="P16" s="12">
        <v>71</v>
      </c>
      <c r="Q16" s="12">
        <v>112</v>
      </c>
      <c r="R16" s="12">
        <v>63</v>
      </c>
      <c r="S16" s="12">
        <v>122</v>
      </c>
      <c r="T16" s="12">
        <v>88</v>
      </c>
      <c r="U16" s="12">
        <v>88</v>
      </c>
      <c r="V16" s="12">
        <v>97</v>
      </c>
      <c r="W16" s="12">
        <v>57</v>
      </c>
      <c r="X16" s="12">
        <v>119</v>
      </c>
      <c r="Y16" s="12">
        <v>101</v>
      </c>
      <c r="Z16" s="12">
        <v>99</v>
      </c>
      <c r="AA16" s="12">
        <v>139</v>
      </c>
      <c r="AB16" s="12">
        <v>95</v>
      </c>
      <c r="AC16" s="12">
        <v>70</v>
      </c>
      <c r="AD16" s="12">
        <v>85</v>
      </c>
      <c r="AE16" s="12">
        <v>88</v>
      </c>
      <c r="AF16" s="12">
        <v>91</v>
      </c>
    </row>
    <row r="17" spans="1:32" ht="24.95">
      <c r="A17" s="20"/>
      <c r="B17" s="13" t="s">
        <v>1007</v>
      </c>
      <c r="C17" s="14">
        <v>0.11</v>
      </c>
      <c r="D17" s="14">
        <v>0.13</v>
      </c>
      <c r="E17" s="14">
        <v>0.08</v>
      </c>
      <c r="F17" s="14">
        <v>0.1</v>
      </c>
      <c r="G17" s="14">
        <v>0.09</v>
      </c>
      <c r="H17" s="14">
        <v>0.13</v>
      </c>
      <c r="I17" s="14">
        <v>0.12</v>
      </c>
      <c r="J17" s="14">
        <v>0.09</v>
      </c>
      <c r="K17" s="14">
        <v>0.1</v>
      </c>
      <c r="L17" s="14">
        <v>0.11</v>
      </c>
      <c r="M17" s="14">
        <v>0.09</v>
      </c>
      <c r="N17" s="14">
        <v>0.11</v>
      </c>
      <c r="O17" s="14">
        <v>0.12</v>
      </c>
      <c r="P17" s="14">
        <v>7.0000000000000007E-2</v>
      </c>
      <c r="Q17" s="14">
        <v>0.11</v>
      </c>
      <c r="R17" s="14">
        <v>0.13</v>
      </c>
      <c r="S17" s="14">
        <v>0.12</v>
      </c>
      <c r="T17" s="14">
        <v>0.09</v>
      </c>
      <c r="U17" s="14">
        <v>0.17</v>
      </c>
      <c r="V17" s="14">
        <v>0.09</v>
      </c>
      <c r="W17" s="14">
        <v>0.11</v>
      </c>
      <c r="X17" s="14">
        <v>0.12</v>
      </c>
      <c r="Y17" s="14">
        <v>0.1</v>
      </c>
      <c r="Z17" s="14">
        <v>0.1</v>
      </c>
      <c r="AA17" s="14">
        <v>0.13</v>
      </c>
      <c r="AB17" s="14">
        <v>0.09</v>
      </c>
      <c r="AC17" s="14">
        <v>7.0000000000000007E-2</v>
      </c>
      <c r="AD17" s="14">
        <v>0.08</v>
      </c>
      <c r="AE17" s="14">
        <v>0.09</v>
      </c>
      <c r="AF17" s="14">
        <v>0.09</v>
      </c>
    </row>
    <row r="18" spans="1:32" ht="24.95">
      <c r="A18" s="20"/>
      <c r="B18" s="11" t="s">
        <v>1008</v>
      </c>
      <c r="C18" s="12">
        <v>1738</v>
      </c>
      <c r="D18" s="12">
        <v>76</v>
      </c>
      <c r="E18" s="12">
        <v>65</v>
      </c>
      <c r="F18" s="12">
        <v>58</v>
      </c>
      <c r="G18" s="12">
        <v>54</v>
      </c>
      <c r="H18" s="12">
        <v>60</v>
      </c>
      <c r="I18" s="12">
        <v>73</v>
      </c>
      <c r="J18" s="12">
        <v>13</v>
      </c>
      <c r="K18" s="12">
        <v>56</v>
      </c>
      <c r="L18" s="12">
        <v>69</v>
      </c>
      <c r="M18" s="12">
        <v>37</v>
      </c>
      <c r="N18" s="12">
        <v>70</v>
      </c>
      <c r="O18" s="12">
        <v>59</v>
      </c>
      <c r="P18" s="12">
        <v>84</v>
      </c>
      <c r="Q18" s="12">
        <v>95</v>
      </c>
      <c r="R18" s="12">
        <v>19</v>
      </c>
      <c r="S18" s="12">
        <v>54</v>
      </c>
      <c r="T18" s="12">
        <v>51</v>
      </c>
      <c r="U18" s="12">
        <v>33</v>
      </c>
      <c r="V18" s="12">
        <v>85</v>
      </c>
      <c r="W18" s="12">
        <v>43</v>
      </c>
      <c r="X18" s="12">
        <v>48</v>
      </c>
      <c r="Y18" s="12">
        <v>62</v>
      </c>
      <c r="Z18" s="12">
        <v>80</v>
      </c>
      <c r="AA18" s="12">
        <v>110</v>
      </c>
      <c r="AB18" s="12">
        <v>87</v>
      </c>
      <c r="AC18" s="12">
        <v>58</v>
      </c>
      <c r="AD18" s="12">
        <v>66</v>
      </c>
      <c r="AE18" s="12">
        <v>27</v>
      </c>
      <c r="AF18" s="12">
        <v>42</v>
      </c>
    </row>
    <row r="19" spans="1:32" ht="24.95">
      <c r="A19" s="20"/>
      <c r="B19" s="13" t="s">
        <v>1009</v>
      </c>
      <c r="C19" s="14">
        <v>7.0000000000000007E-2</v>
      </c>
      <c r="D19" s="14">
        <v>0.08</v>
      </c>
      <c r="E19" s="14">
        <v>0.06</v>
      </c>
      <c r="F19" s="14">
        <v>0.06</v>
      </c>
      <c r="G19" s="14">
        <v>0.05</v>
      </c>
      <c r="H19" s="14">
        <v>0.05</v>
      </c>
      <c r="I19" s="14">
        <v>0.05</v>
      </c>
      <c r="J19" s="14">
        <v>0.05</v>
      </c>
      <c r="K19" s="14">
        <v>0.05</v>
      </c>
      <c r="L19" s="14">
        <v>7.0000000000000007E-2</v>
      </c>
      <c r="M19" s="14">
        <v>0.04</v>
      </c>
      <c r="N19" s="14">
        <v>7.0000000000000007E-2</v>
      </c>
      <c r="O19" s="14">
        <v>0.06</v>
      </c>
      <c r="P19" s="14">
        <v>0.08</v>
      </c>
      <c r="Q19" s="14">
        <v>0.09</v>
      </c>
      <c r="R19" s="14">
        <v>0.04</v>
      </c>
      <c r="S19" s="14">
        <v>0.05</v>
      </c>
      <c r="T19" s="14">
        <v>0.05</v>
      </c>
      <c r="U19" s="14">
        <v>7.0000000000000007E-2</v>
      </c>
      <c r="V19" s="14">
        <v>0.08</v>
      </c>
      <c r="W19" s="14">
        <v>0.09</v>
      </c>
      <c r="X19" s="14">
        <v>0.05</v>
      </c>
      <c r="Y19" s="14">
        <v>0.06</v>
      </c>
      <c r="Z19" s="14">
        <v>0.08</v>
      </c>
      <c r="AA19" s="14">
        <v>0.11</v>
      </c>
      <c r="AB19" s="14">
        <v>0.08</v>
      </c>
      <c r="AC19" s="14">
        <v>0.06</v>
      </c>
      <c r="AD19" s="14">
        <v>7.0000000000000007E-2</v>
      </c>
      <c r="AE19" s="14">
        <v>0.03</v>
      </c>
      <c r="AF19" s="14">
        <v>0.04</v>
      </c>
    </row>
    <row r="20" spans="1:32" ht="36.950000000000003">
      <c r="A20" s="20"/>
      <c r="B20" s="11" t="s">
        <v>1010</v>
      </c>
      <c r="C20" s="12">
        <v>3237</v>
      </c>
      <c r="D20" s="12">
        <v>110</v>
      </c>
      <c r="E20" s="12">
        <v>131</v>
      </c>
      <c r="F20" s="12">
        <v>143</v>
      </c>
      <c r="G20" s="12">
        <v>196</v>
      </c>
      <c r="H20" s="12">
        <v>149</v>
      </c>
      <c r="I20" s="12">
        <v>188</v>
      </c>
      <c r="J20" s="12">
        <v>39</v>
      </c>
      <c r="K20" s="12">
        <v>143</v>
      </c>
      <c r="L20" s="12">
        <v>97</v>
      </c>
      <c r="M20" s="12">
        <v>139</v>
      </c>
      <c r="N20" s="12">
        <v>107</v>
      </c>
      <c r="O20" s="12">
        <v>115</v>
      </c>
      <c r="P20" s="12">
        <v>165</v>
      </c>
      <c r="Q20" s="12">
        <v>99</v>
      </c>
      <c r="R20" s="12">
        <v>54</v>
      </c>
      <c r="S20" s="12">
        <v>163</v>
      </c>
      <c r="T20" s="12">
        <v>140</v>
      </c>
      <c r="U20" s="12">
        <v>66</v>
      </c>
      <c r="V20" s="12">
        <v>112</v>
      </c>
      <c r="W20" s="12">
        <v>109</v>
      </c>
      <c r="X20" s="12">
        <v>186</v>
      </c>
      <c r="Y20" s="12">
        <v>93</v>
      </c>
      <c r="Z20" s="12">
        <v>118</v>
      </c>
      <c r="AA20" s="12">
        <v>95</v>
      </c>
      <c r="AB20" s="12">
        <v>173</v>
      </c>
      <c r="AC20" s="12">
        <v>152</v>
      </c>
      <c r="AD20" s="12">
        <v>162</v>
      </c>
      <c r="AE20" s="12">
        <v>171</v>
      </c>
      <c r="AF20" s="12">
        <v>171</v>
      </c>
    </row>
    <row r="21" spans="1:32" ht="36.950000000000003">
      <c r="A21" s="20"/>
      <c r="B21" s="13" t="s">
        <v>1011</v>
      </c>
      <c r="C21" s="14">
        <v>0.12</v>
      </c>
      <c r="D21" s="14">
        <v>0.11</v>
      </c>
      <c r="E21" s="14">
        <v>0.13</v>
      </c>
      <c r="F21" s="14">
        <v>0.14000000000000001</v>
      </c>
      <c r="G21" s="14">
        <v>0.2</v>
      </c>
      <c r="H21" s="14">
        <v>0.12</v>
      </c>
      <c r="I21" s="14">
        <v>0.12</v>
      </c>
      <c r="J21" s="14">
        <v>0.13</v>
      </c>
      <c r="K21" s="14">
        <v>0.14000000000000001</v>
      </c>
      <c r="L21" s="14">
        <v>0.1</v>
      </c>
      <c r="M21" s="14">
        <v>0.14000000000000001</v>
      </c>
      <c r="N21" s="14">
        <v>0.11</v>
      </c>
      <c r="O21" s="14">
        <v>0.11</v>
      </c>
      <c r="P21" s="14">
        <v>0.16</v>
      </c>
      <c r="Q21" s="14">
        <v>0.1</v>
      </c>
      <c r="R21" s="14">
        <v>0.11</v>
      </c>
      <c r="S21" s="14">
        <v>0.16</v>
      </c>
      <c r="T21" s="14">
        <v>0.14000000000000001</v>
      </c>
      <c r="U21" s="14">
        <v>0.13</v>
      </c>
      <c r="V21" s="14">
        <v>0.11</v>
      </c>
      <c r="W21" s="14">
        <v>0.22</v>
      </c>
      <c r="X21" s="14">
        <v>0.18</v>
      </c>
      <c r="Y21" s="14">
        <v>0.09</v>
      </c>
      <c r="Z21" s="14">
        <v>0.12</v>
      </c>
      <c r="AA21" s="14">
        <v>0.09</v>
      </c>
      <c r="AB21" s="14">
        <v>0.17</v>
      </c>
      <c r="AC21" s="14">
        <v>0.15</v>
      </c>
      <c r="AD21" s="14">
        <v>0.16</v>
      </c>
      <c r="AE21" s="14">
        <v>0.17</v>
      </c>
      <c r="AF21" s="14">
        <v>0.17</v>
      </c>
    </row>
    <row r="22" spans="1:32" ht="36.950000000000003">
      <c r="A22" s="20"/>
      <c r="B22" s="11" t="s">
        <v>1012</v>
      </c>
      <c r="C22" s="12">
        <v>3004</v>
      </c>
      <c r="D22" s="12">
        <v>106</v>
      </c>
      <c r="E22" s="12">
        <v>173</v>
      </c>
      <c r="F22" s="12">
        <v>154</v>
      </c>
      <c r="G22" s="12">
        <v>44</v>
      </c>
      <c r="H22" s="12">
        <v>116</v>
      </c>
      <c r="I22" s="12">
        <v>152</v>
      </c>
      <c r="J22" s="12">
        <v>36</v>
      </c>
      <c r="K22" s="12">
        <v>126</v>
      </c>
      <c r="L22" s="12">
        <v>120</v>
      </c>
      <c r="M22" s="12">
        <v>181</v>
      </c>
      <c r="N22" s="12">
        <v>118</v>
      </c>
      <c r="O22" s="12">
        <v>96</v>
      </c>
      <c r="P22" s="12">
        <v>173</v>
      </c>
      <c r="Q22" s="12">
        <v>129</v>
      </c>
      <c r="R22" s="12">
        <v>59</v>
      </c>
      <c r="S22" s="12">
        <v>143</v>
      </c>
      <c r="T22" s="12">
        <v>162</v>
      </c>
      <c r="U22" s="12">
        <v>55</v>
      </c>
      <c r="V22" s="12">
        <v>148</v>
      </c>
      <c r="W22" s="12">
        <v>69</v>
      </c>
      <c r="X22" s="12">
        <v>109</v>
      </c>
      <c r="Y22" s="12">
        <v>127</v>
      </c>
      <c r="Z22" s="12">
        <v>114</v>
      </c>
      <c r="AA22" s="12">
        <v>97</v>
      </c>
      <c r="AB22" s="12">
        <v>153</v>
      </c>
      <c r="AC22" s="12">
        <v>136</v>
      </c>
      <c r="AD22" s="12">
        <v>201</v>
      </c>
      <c r="AE22" s="12">
        <v>44</v>
      </c>
      <c r="AF22" s="12">
        <v>42</v>
      </c>
    </row>
    <row r="23" spans="1:32" ht="24.95">
      <c r="A23" s="20"/>
      <c r="B23" s="13" t="s">
        <v>1013</v>
      </c>
      <c r="C23" s="14">
        <v>0.11</v>
      </c>
      <c r="D23" s="14">
        <v>0.11</v>
      </c>
      <c r="E23" s="14">
        <v>0.17</v>
      </c>
      <c r="F23" s="14">
        <v>0.15</v>
      </c>
      <c r="G23" s="14">
        <v>0.04</v>
      </c>
      <c r="H23" s="14">
        <v>0.09</v>
      </c>
      <c r="I23" s="14">
        <v>0.1</v>
      </c>
      <c r="J23" s="14">
        <v>0.12</v>
      </c>
      <c r="K23" s="14">
        <v>0.12</v>
      </c>
      <c r="L23" s="14">
        <v>0.12</v>
      </c>
      <c r="M23" s="14">
        <v>0.18</v>
      </c>
      <c r="N23" s="14">
        <v>0.12</v>
      </c>
      <c r="O23" s="14">
        <v>0.1</v>
      </c>
      <c r="P23" s="14">
        <v>0.17</v>
      </c>
      <c r="Q23" s="14">
        <v>0.13</v>
      </c>
      <c r="R23" s="14">
        <v>0.12</v>
      </c>
      <c r="S23" s="14">
        <v>0.14000000000000001</v>
      </c>
      <c r="T23" s="14">
        <v>0.16</v>
      </c>
      <c r="U23" s="14">
        <v>0.11</v>
      </c>
      <c r="V23" s="14">
        <v>0.15</v>
      </c>
      <c r="W23" s="14">
        <v>0.14000000000000001</v>
      </c>
      <c r="X23" s="14">
        <v>0.11</v>
      </c>
      <c r="Y23" s="14">
        <v>0.13</v>
      </c>
      <c r="Z23" s="14">
        <v>0.11</v>
      </c>
      <c r="AA23" s="14">
        <v>0.09</v>
      </c>
      <c r="AB23" s="14">
        <v>0.15</v>
      </c>
      <c r="AC23" s="14">
        <v>0.14000000000000001</v>
      </c>
      <c r="AD23" s="14">
        <v>0.2</v>
      </c>
      <c r="AE23" s="14">
        <v>0.04</v>
      </c>
      <c r="AF23" s="14">
        <v>0.04</v>
      </c>
    </row>
    <row r="24" spans="1:32" ht="60.95">
      <c r="A24" s="20"/>
      <c r="B24" s="11" t="s">
        <v>1014</v>
      </c>
      <c r="C24" s="12">
        <v>2803</v>
      </c>
      <c r="D24" s="12">
        <v>107</v>
      </c>
      <c r="E24" s="12">
        <v>110</v>
      </c>
      <c r="F24" s="12">
        <v>58</v>
      </c>
      <c r="G24" s="12">
        <v>166</v>
      </c>
      <c r="H24" s="12">
        <v>139</v>
      </c>
      <c r="I24" s="12">
        <v>170</v>
      </c>
      <c r="J24" s="12">
        <v>31</v>
      </c>
      <c r="K24" s="12">
        <v>69</v>
      </c>
      <c r="L24" s="12">
        <v>99</v>
      </c>
      <c r="M24" s="12">
        <v>60</v>
      </c>
      <c r="N24" s="12">
        <v>101</v>
      </c>
      <c r="O24" s="12">
        <v>90</v>
      </c>
      <c r="P24" s="12">
        <v>126</v>
      </c>
      <c r="Q24" s="12">
        <v>101</v>
      </c>
      <c r="R24" s="12">
        <v>55</v>
      </c>
      <c r="S24" s="12">
        <v>66</v>
      </c>
      <c r="T24" s="12">
        <v>63</v>
      </c>
      <c r="U24" s="12">
        <v>53</v>
      </c>
      <c r="V24" s="12">
        <v>100</v>
      </c>
      <c r="W24" s="12">
        <v>64</v>
      </c>
      <c r="X24" s="12">
        <v>183</v>
      </c>
      <c r="Y24" s="12">
        <v>103</v>
      </c>
      <c r="Z24" s="12">
        <v>116</v>
      </c>
      <c r="AA24" s="12">
        <v>68</v>
      </c>
      <c r="AB24" s="12">
        <v>115</v>
      </c>
      <c r="AC24" s="12">
        <v>83</v>
      </c>
      <c r="AD24" s="12">
        <v>86</v>
      </c>
      <c r="AE24" s="12">
        <v>125</v>
      </c>
      <c r="AF24" s="12">
        <v>224</v>
      </c>
    </row>
    <row r="25" spans="1:32" ht="48.95">
      <c r="A25" s="20"/>
      <c r="B25" s="13" t="s">
        <v>1015</v>
      </c>
      <c r="C25" s="14">
        <v>0.11</v>
      </c>
      <c r="D25" s="14">
        <v>0.11</v>
      </c>
      <c r="E25" s="14">
        <v>0.11</v>
      </c>
      <c r="F25" s="14">
        <v>0.06</v>
      </c>
      <c r="G25" s="14">
        <v>0.17</v>
      </c>
      <c r="H25" s="14">
        <v>0.11</v>
      </c>
      <c r="I25" s="14">
        <v>0.11</v>
      </c>
      <c r="J25" s="14">
        <v>0.11</v>
      </c>
      <c r="K25" s="14">
        <v>7.0000000000000007E-2</v>
      </c>
      <c r="L25" s="14">
        <v>0.1</v>
      </c>
      <c r="M25" s="14">
        <v>0.06</v>
      </c>
      <c r="N25" s="14">
        <v>0.1</v>
      </c>
      <c r="O25" s="14">
        <v>0.09</v>
      </c>
      <c r="P25" s="14">
        <v>0.12</v>
      </c>
      <c r="Q25" s="14">
        <v>0.1</v>
      </c>
      <c r="R25" s="14">
        <v>0.11</v>
      </c>
      <c r="S25" s="14">
        <v>7.0000000000000007E-2</v>
      </c>
      <c r="T25" s="14">
        <v>0.06</v>
      </c>
      <c r="U25" s="14">
        <v>0.1</v>
      </c>
      <c r="V25" s="14">
        <v>0.1</v>
      </c>
      <c r="W25" s="14">
        <v>0.13</v>
      </c>
      <c r="X25" s="14">
        <v>0.18</v>
      </c>
      <c r="Y25" s="14">
        <v>0.1</v>
      </c>
      <c r="Z25" s="14">
        <v>0.11</v>
      </c>
      <c r="AA25" s="14">
        <v>0.06</v>
      </c>
      <c r="AB25" s="14">
        <v>0.11</v>
      </c>
      <c r="AC25" s="14">
        <v>0.08</v>
      </c>
      <c r="AD25" s="14">
        <v>0.08</v>
      </c>
      <c r="AE25" s="14">
        <v>0.13</v>
      </c>
      <c r="AF25" s="14">
        <v>0.22</v>
      </c>
    </row>
    <row r="26" spans="1:32" ht="24.95">
      <c r="A26" s="20"/>
      <c r="B26" s="11" t="s">
        <v>1016</v>
      </c>
      <c r="C26" s="12">
        <v>2321</v>
      </c>
      <c r="D26" s="12">
        <v>121</v>
      </c>
      <c r="E26" s="12">
        <v>95</v>
      </c>
      <c r="F26" s="12">
        <v>78</v>
      </c>
      <c r="G26" s="12">
        <v>83</v>
      </c>
      <c r="H26" s="12">
        <v>82</v>
      </c>
      <c r="I26" s="12">
        <v>105</v>
      </c>
      <c r="J26" s="12">
        <v>23</v>
      </c>
      <c r="K26" s="12">
        <v>92</v>
      </c>
      <c r="L26" s="12">
        <v>106</v>
      </c>
      <c r="M26" s="12">
        <v>84</v>
      </c>
      <c r="N26" s="12">
        <v>85</v>
      </c>
      <c r="O26" s="12">
        <v>104</v>
      </c>
      <c r="P26" s="12">
        <v>97</v>
      </c>
      <c r="Q26" s="12">
        <v>86</v>
      </c>
      <c r="R26" s="12">
        <v>28</v>
      </c>
      <c r="S26" s="12">
        <v>78</v>
      </c>
      <c r="T26" s="12">
        <v>79</v>
      </c>
      <c r="U26" s="12">
        <v>61</v>
      </c>
      <c r="V26" s="12">
        <v>107</v>
      </c>
      <c r="W26" s="12">
        <v>42</v>
      </c>
      <c r="X26" s="12">
        <v>62</v>
      </c>
      <c r="Y26" s="12">
        <v>80</v>
      </c>
      <c r="Z26" s="12">
        <v>102</v>
      </c>
      <c r="AA26" s="12">
        <v>90</v>
      </c>
      <c r="AB26" s="12">
        <v>109</v>
      </c>
      <c r="AC26" s="12">
        <v>71</v>
      </c>
      <c r="AD26" s="12">
        <v>129</v>
      </c>
      <c r="AE26" s="12">
        <v>87</v>
      </c>
      <c r="AF26" s="12">
        <v>104</v>
      </c>
    </row>
    <row r="27" spans="1:32" ht="24.95">
      <c r="A27" s="20"/>
      <c r="B27" s="13" t="s">
        <v>1017</v>
      </c>
      <c r="C27" s="14">
        <v>0.09</v>
      </c>
      <c r="D27" s="14">
        <v>0.12</v>
      </c>
      <c r="E27" s="14">
        <v>0.09</v>
      </c>
      <c r="F27" s="14">
        <v>0.08</v>
      </c>
      <c r="G27" s="14">
        <v>0.08</v>
      </c>
      <c r="H27" s="14">
        <v>7.0000000000000007E-2</v>
      </c>
      <c r="I27" s="14">
        <v>7.0000000000000007E-2</v>
      </c>
      <c r="J27" s="14">
        <v>0.08</v>
      </c>
      <c r="K27" s="14">
        <v>0.09</v>
      </c>
      <c r="L27" s="14">
        <v>0.1</v>
      </c>
      <c r="M27" s="14">
        <v>0.08</v>
      </c>
      <c r="N27" s="14">
        <v>0.08</v>
      </c>
      <c r="O27" s="14">
        <v>0.1</v>
      </c>
      <c r="P27" s="14">
        <v>0.1</v>
      </c>
      <c r="Q27" s="14">
        <v>0.08</v>
      </c>
      <c r="R27" s="14">
        <v>0.05</v>
      </c>
      <c r="S27" s="14">
        <v>0.08</v>
      </c>
      <c r="T27" s="14">
        <v>0.08</v>
      </c>
      <c r="U27" s="14">
        <v>0.12</v>
      </c>
      <c r="V27" s="14">
        <v>0.11</v>
      </c>
      <c r="W27" s="14">
        <v>0.08</v>
      </c>
      <c r="X27" s="14">
        <v>0.06</v>
      </c>
      <c r="Y27" s="14">
        <v>0.08</v>
      </c>
      <c r="Z27" s="14">
        <v>0.1</v>
      </c>
      <c r="AA27" s="14">
        <v>0.09</v>
      </c>
      <c r="AB27" s="14">
        <v>0.11</v>
      </c>
      <c r="AC27" s="14">
        <v>7.0000000000000007E-2</v>
      </c>
      <c r="AD27" s="14">
        <v>0.13</v>
      </c>
      <c r="AE27" s="14">
        <v>0.09</v>
      </c>
      <c r="AF27" s="14">
        <v>0.1</v>
      </c>
    </row>
    <row r="28" spans="1:32">
      <c r="A28" s="20"/>
      <c r="B28" s="11" t="s">
        <v>519</v>
      </c>
      <c r="C28" s="12">
        <v>75</v>
      </c>
      <c r="D28" s="12">
        <v>1</v>
      </c>
      <c r="E28" s="12">
        <v>2</v>
      </c>
      <c r="F28" s="12">
        <v>2</v>
      </c>
      <c r="G28" s="12">
        <v>3</v>
      </c>
      <c r="H28" s="12">
        <v>8</v>
      </c>
      <c r="I28" s="12">
        <v>8</v>
      </c>
      <c r="J28" s="12">
        <v>0</v>
      </c>
      <c r="K28" s="12">
        <v>9</v>
      </c>
      <c r="L28" s="12">
        <v>1</v>
      </c>
      <c r="M28" s="12">
        <v>2</v>
      </c>
      <c r="N28" s="12">
        <v>8</v>
      </c>
      <c r="O28" s="12">
        <v>1</v>
      </c>
      <c r="P28" s="12">
        <v>0</v>
      </c>
      <c r="Q28" s="12">
        <v>0</v>
      </c>
      <c r="R28" s="12">
        <v>0</v>
      </c>
      <c r="S28" s="12">
        <v>11</v>
      </c>
      <c r="T28" s="12">
        <v>1</v>
      </c>
      <c r="U28" s="12">
        <v>1</v>
      </c>
      <c r="V28" s="12">
        <v>0</v>
      </c>
      <c r="W28" s="12">
        <v>1</v>
      </c>
      <c r="X28" s="12">
        <v>3</v>
      </c>
      <c r="Y28" s="12">
        <v>4</v>
      </c>
      <c r="Z28" s="12">
        <v>0</v>
      </c>
      <c r="AA28" s="12">
        <v>6</v>
      </c>
      <c r="AB28" s="12">
        <v>3</v>
      </c>
      <c r="AC28" s="12">
        <v>4</v>
      </c>
      <c r="AD28" s="12">
        <v>1</v>
      </c>
      <c r="AE28" s="12">
        <v>2</v>
      </c>
      <c r="AF28" s="12">
        <v>3</v>
      </c>
    </row>
    <row r="29" spans="1:32">
      <c r="A29" s="20"/>
      <c r="B29" s="13" t="s">
        <v>520</v>
      </c>
      <c r="C29" s="15" t="s">
        <v>459</v>
      </c>
      <c r="D29" s="15" t="s">
        <v>459</v>
      </c>
      <c r="E29" s="15" t="s">
        <v>459</v>
      </c>
      <c r="F29" s="15" t="s">
        <v>459</v>
      </c>
      <c r="G29" s="15" t="s">
        <v>459</v>
      </c>
      <c r="H29" s="14">
        <v>0.01</v>
      </c>
      <c r="I29" s="14">
        <v>0.01</v>
      </c>
      <c r="J29" s="15" t="s">
        <v>459</v>
      </c>
      <c r="K29" s="14">
        <v>0.01</v>
      </c>
      <c r="L29" s="15" t="s">
        <v>459</v>
      </c>
      <c r="M29" s="15" t="s">
        <v>459</v>
      </c>
      <c r="N29" s="14">
        <v>0.01</v>
      </c>
      <c r="O29" s="15" t="s">
        <v>459</v>
      </c>
      <c r="P29" s="15" t="s">
        <v>459</v>
      </c>
      <c r="Q29" s="15" t="s">
        <v>459</v>
      </c>
      <c r="R29" s="15" t="s">
        <v>459</v>
      </c>
      <c r="S29" s="14">
        <v>0.01</v>
      </c>
      <c r="T29" s="15" t="s">
        <v>459</v>
      </c>
      <c r="U29" s="15" t="s">
        <v>459</v>
      </c>
      <c r="V29" s="15" t="s">
        <v>459</v>
      </c>
      <c r="W29" s="15" t="s">
        <v>459</v>
      </c>
      <c r="X29" s="15" t="s">
        <v>459</v>
      </c>
      <c r="Y29" s="15" t="s">
        <v>459</v>
      </c>
      <c r="Z29" s="15" t="s">
        <v>459</v>
      </c>
      <c r="AA29" s="14">
        <v>0.01</v>
      </c>
      <c r="AB29" s="15" t="s">
        <v>459</v>
      </c>
      <c r="AC29" s="15" t="s">
        <v>459</v>
      </c>
      <c r="AD29" s="15" t="s">
        <v>459</v>
      </c>
      <c r="AE29" s="15" t="s">
        <v>459</v>
      </c>
      <c r="AF29" s="15" t="s">
        <v>459</v>
      </c>
    </row>
    <row r="30" spans="1:32" ht="24.95">
      <c r="A30" s="20"/>
      <c r="B30" s="11" t="s">
        <v>551</v>
      </c>
      <c r="C30" s="12">
        <v>2100</v>
      </c>
      <c r="D30" s="12">
        <v>36</v>
      </c>
      <c r="E30" s="12">
        <v>70</v>
      </c>
      <c r="F30" s="12">
        <v>63</v>
      </c>
      <c r="G30" s="12">
        <v>58</v>
      </c>
      <c r="H30" s="12">
        <v>117</v>
      </c>
      <c r="I30" s="12">
        <v>136</v>
      </c>
      <c r="J30" s="12">
        <v>19</v>
      </c>
      <c r="K30" s="12">
        <v>160</v>
      </c>
      <c r="L30" s="12">
        <v>62</v>
      </c>
      <c r="M30" s="12">
        <v>50</v>
      </c>
      <c r="N30" s="12">
        <v>101</v>
      </c>
      <c r="O30" s="12">
        <v>102</v>
      </c>
      <c r="P30" s="12">
        <v>41</v>
      </c>
      <c r="Q30" s="12">
        <v>62</v>
      </c>
      <c r="R30" s="12">
        <v>31</v>
      </c>
      <c r="S30" s="12">
        <v>139</v>
      </c>
      <c r="T30" s="12">
        <v>186</v>
      </c>
      <c r="U30" s="12">
        <v>19</v>
      </c>
      <c r="V30" s="12">
        <v>107</v>
      </c>
      <c r="W30" s="12">
        <v>16</v>
      </c>
      <c r="X30" s="12">
        <v>22</v>
      </c>
      <c r="Y30" s="12">
        <v>111</v>
      </c>
      <c r="Z30" s="12">
        <v>76</v>
      </c>
      <c r="AA30" s="12">
        <v>128</v>
      </c>
      <c r="AB30" s="12">
        <v>67</v>
      </c>
      <c r="AC30" s="12">
        <v>200</v>
      </c>
      <c r="AD30" s="12">
        <v>50</v>
      </c>
      <c r="AE30" s="12">
        <v>63</v>
      </c>
      <c r="AF30" s="12">
        <v>16</v>
      </c>
    </row>
    <row r="31" spans="1:32">
      <c r="A31" s="20"/>
      <c r="B31" s="13" t="s">
        <v>522</v>
      </c>
      <c r="C31" s="14">
        <v>0.08</v>
      </c>
      <c r="D31" s="14">
        <v>0.03</v>
      </c>
      <c r="E31" s="14">
        <v>7.0000000000000007E-2</v>
      </c>
      <c r="F31" s="14">
        <v>0.06</v>
      </c>
      <c r="G31" s="14">
        <v>0.06</v>
      </c>
      <c r="H31" s="14">
        <v>0.1</v>
      </c>
      <c r="I31" s="14">
        <v>0.09</v>
      </c>
      <c r="J31" s="14">
        <v>0.06</v>
      </c>
      <c r="K31" s="14">
        <v>0.16</v>
      </c>
      <c r="L31" s="14">
        <v>0.06</v>
      </c>
      <c r="M31" s="14">
        <v>0.05</v>
      </c>
      <c r="N31" s="14">
        <v>0.1</v>
      </c>
      <c r="O31" s="14">
        <v>0.1</v>
      </c>
      <c r="P31" s="14">
        <v>0.04</v>
      </c>
      <c r="Q31" s="14">
        <v>0.06</v>
      </c>
      <c r="R31" s="14">
        <v>0.06</v>
      </c>
      <c r="S31" s="14">
        <v>0.14000000000000001</v>
      </c>
      <c r="T31" s="14">
        <v>0.18</v>
      </c>
      <c r="U31" s="14">
        <v>0.04</v>
      </c>
      <c r="V31" s="14">
        <v>0.11</v>
      </c>
      <c r="W31" s="14">
        <v>0.03</v>
      </c>
      <c r="X31" s="14">
        <v>0.02</v>
      </c>
      <c r="Y31" s="14">
        <v>0.11</v>
      </c>
      <c r="Z31" s="14">
        <v>0.08</v>
      </c>
      <c r="AA31" s="14">
        <v>0.12</v>
      </c>
      <c r="AB31" s="14">
        <v>0.06</v>
      </c>
      <c r="AC31" s="14">
        <v>0.2</v>
      </c>
      <c r="AD31" s="14">
        <v>0.05</v>
      </c>
      <c r="AE31" s="14">
        <v>0.06</v>
      </c>
      <c r="AF31" s="14">
        <v>0.02</v>
      </c>
    </row>
    <row r="32" spans="1:32">
      <c r="A32" s="20"/>
      <c r="B32" s="11" t="s">
        <v>468</v>
      </c>
      <c r="C32" s="12">
        <v>564</v>
      </c>
      <c r="D32" s="12">
        <v>7</v>
      </c>
      <c r="E32" s="12">
        <v>16</v>
      </c>
      <c r="F32" s="12">
        <v>43</v>
      </c>
      <c r="G32" s="12">
        <v>19</v>
      </c>
      <c r="H32" s="12">
        <v>17</v>
      </c>
      <c r="I32" s="12">
        <v>19</v>
      </c>
      <c r="J32" s="12">
        <v>2</v>
      </c>
      <c r="K32" s="12">
        <v>36</v>
      </c>
      <c r="L32" s="12">
        <v>18</v>
      </c>
      <c r="M32" s="12">
        <v>1</v>
      </c>
      <c r="N32" s="12">
        <v>44</v>
      </c>
      <c r="O32" s="12">
        <v>28</v>
      </c>
      <c r="P32" s="12">
        <v>3</v>
      </c>
      <c r="Q32" s="12">
        <v>15</v>
      </c>
      <c r="R32" s="12">
        <v>25</v>
      </c>
      <c r="S32" s="12">
        <v>54</v>
      </c>
      <c r="T32" s="12">
        <v>16</v>
      </c>
      <c r="U32" s="12">
        <v>1</v>
      </c>
      <c r="V32" s="12">
        <v>13</v>
      </c>
      <c r="W32" s="12">
        <v>16</v>
      </c>
      <c r="X32" s="12">
        <v>2</v>
      </c>
      <c r="Y32" s="12">
        <v>9</v>
      </c>
      <c r="Z32" s="12">
        <v>30</v>
      </c>
      <c r="AA32" s="12">
        <v>61</v>
      </c>
      <c r="AB32" s="12">
        <v>24</v>
      </c>
      <c r="AC32" s="12">
        <v>9</v>
      </c>
      <c r="AD32" s="12">
        <v>8</v>
      </c>
      <c r="AE32" s="12">
        <v>12</v>
      </c>
      <c r="AF32" s="12">
        <v>2</v>
      </c>
    </row>
    <row r="33" spans="1:32">
      <c r="A33" s="20"/>
      <c r="B33" s="13" t="s">
        <v>1018</v>
      </c>
      <c r="C33" s="14">
        <v>0.02</v>
      </c>
      <c r="D33" s="14">
        <v>0.01</v>
      </c>
      <c r="E33" s="14">
        <v>0.02</v>
      </c>
      <c r="F33" s="14">
        <v>0.04</v>
      </c>
      <c r="G33" s="14">
        <v>0.02</v>
      </c>
      <c r="H33" s="14">
        <v>0.01</v>
      </c>
      <c r="I33" s="14">
        <v>0.01</v>
      </c>
      <c r="J33" s="14">
        <v>0.01</v>
      </c>
      <c r="K33" s="14">
        <v>0.04</v>
      </c>
      <c r="L33" s="14">
        <v>0.02</v>
      </c>
      <c r="M33" s="15" t="s">
        <v>459</v>
      </c>
      <c r="N33" s="14">
        <v>0.04</v>
      </c>
      <c r="O33" s="14">
        <v>0.03</v>
      </c>
      <c r="P33" s="15" t="s">
        <v>459</v>
      </c>
      <c r="Q33" s="14">
        <v>0.01</v>
      </c>
      <c r="R33" s="14">
        <v>0.05</v>
      </c>
      <c r="S33" s="14">
        <v>0.05</v>
      </c>
      <c r="T33" s="14">
        <v>0.02</v>
      </c>
      <c r="U33" s="15" t="s">
        <v>459</v>
      </c>
      <c r="V33" s="14">
        <v>0.01</v>
      </c>
      <c r="W33" s="14">
        <v>0.03</v>
      </c>
      <c r="X33" s="15" t="s">
        <v>459</v>
      </c>
      <c r="Y33" s="14">
        <v>0.01</v>
      </c>
      <c r="Z33" s="14">
        <v>0.03</v>
      </c>
      <c r="AA33" s="14">
        <v>0.06</v>
      </c>
      <c r="AB33" s="14">
        <v>0.02</v>
      </c>
      <c r="AC33" s="14">
        <v>0.01</v>
      </c>
      <c r="AD33" s="14">
        <v>0.01</v>
      </c>
      <c r="AE33" s="14">
        <v>0.01</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171</v>
      </c>
      <c r="C3" s="18"/>
      <c r="D3" s="18"/>
      <c r="E3" s="18"/>
      <c r="F3" s="18"/>
      <c r="H3" s="18" t="s">
        <v>172</v>
      </c>
      <c r="I3" s="18"/>
      <c r="J3" s="18"/>
      <c r="K3" s="18"/>
      <c r="L3" s="18"/>
    </row>
    <row r="4" spans="1:32" ht="27" customHeight="1">
      <c r="B4" s="18"/>
      <c r="C4" s="18"/>
      <c r="D4" s="18"/>
      <c r="E4" s="18"/>
      <c r="F4" s="18"/>
      <c r="H4" s="18"/>
      <c r="I4" s="18"/>
      <c r="J4" s="18"/>
      <c r="K4" s="18"/>
      <c r="L4" s="18"/>
    </row>
    <row r="5" spans="1:32" ht="12" customHeight="1">
      <c r="B5" s="18" t="s">
        <v>1019</v>
      </c>
      <c r="C5" s="18"/>
      <c r="D5" s="18"/>
      <c r="E5" s="18"/>
      <c r="F5" s="18"/>
      <c r="H5" s="18" t="s">
        <v>1020</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23655</v>
      </c>
      <c r="D10" s="10">
        <v>961</v>
      </c>
      <c r="E10" s="10">
        <v>932</v>
      </c>
      <c r="F10" s="10">
        <v>899</v>
      </c>
      <c r="G10" s="10">
        <v>927</v>
      </c>
      <c r="H10" s="10">
        <v>1082</v>
      </c>
      <c r="I10" s="10">
        <v>1355</v>
      </c>
      <c r="J10" s="10">
        <v>273</v>
      </c>
      <c r="K10" s="10">
        <v>810</v>
      </c>
      <c r="L10" s="10">
        <v>927</v>
      </c>
      <c r="M10" s="10">
        <v>952</v>
      </c>
      <c r="N10" s="10">
        <v>859</v>
      </c>
      <c r="O10" s="10">
        <v>873</v>
      </c>
      <c r="P10" s="10">
        <v>977</v>
      </c>
      <c r="Q10" s="10">
        <v>942</v>
      </c>
      <c r="R10" s="10">
        <v>445</v>
      </c>
      <c r="S10" s="10">
        <v>815</v>
      </c>
      <c r="T10" s="10">
        <v>812</v>
      </c>
      <c r="U10" s="10">
        <v>486</v>
      </c>
      <c r="V10" s="10">
        <v>897</v>
      </c>
      <c r="W10" s="10">
        <v>471</v>
      </c>
      <c r="X10" s="10">
        <v>997</v>
      </c>
      <c r="Y10" s="10">
        <v>888</v>
      </c>
      <c r="Z10" s="10">
        <v>901</v>
      </c>
      <c r="AA10" s="10">
        <v>864</v>
      </c>
      <c r="AB10" s="10">
        <v>948</v>
      </c>
      <c r="AC10" s="10">
        <v>801</v>
      </c>
      <c r="AD10" s="10">
        <v>948</v>
      </c>
      <c r="AE10" s="10">
        <v>927</v>
      </c>
      <c r="AF10" s="10">
        <v>1002</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1002</v>
      </c>
      <c r="C12" s="12">
        <v>6033</v>
      </c>
      <c r="D12" s="12">
        <v>202</v>
      </c>
      <c r="E12" s="12">
        <v>226</v>
      </c>
      <c r="F12" s="12">
        <v>223</v>
      </c>
      <c r="G12" s="12">
        <v>276</v>
      </c>
      <c r="H12" s="12">
        <v>367</v>
      </c>
      <c r="I12" s="12">
        <v>446</v>
      </c>
      <c r="J12" s="12">
        <v>79</v>
      </c>
      <c r="K12" s="12">
        <v>184</v>
      </c>
      <c r="L12" s="12">
        <v>278</v>
      </c>
      <c r="M12" s="12">
        <v>311</v>
      </c>
      <c r="N12" s="12">
        <v>167</v>
      </c>
      <c r="O12" s="12">
        <v>181</v>
      </c>
      <c r="P12" s="12">
        <v>236</v>
      </c>
      <c r="Q12" s="12">
        <v>280</v>
      </c>
      <c r="R12" s="12">
        <v>153</v>
      </c>
      <c r="S12" s="12">
        <v>77</v>
      </c>
      <c r="T12" s="12">
        <v>128</v>
      </c>
      <c r="U12" s="12">
        <v>107</v>
      </c>
      <c r="V12" s="12">
        <v>207</v>
      </c>
      <c r="W12" s="12">
        <v>62</v>
      </c>
      <c r="X12" s="12">
        <v>286</v>
      </c>
      <c r="Y12" s="12">
        <v>298</v>
      </c>
      <c r="Z12" s="12">
        <v>160</v>
      </c>
      <c r="AA12" s="12">
        <v>243</v>
      </c>
      <c r="AB12" s="12">
        <v>191</v>
      </c>
      <c r="AC12" s="12">
        <v>128</v>
      </c>
      <c r="AD12" s="12">
        <v>244</v>
      </c>
      <c r="AE12" s="12">
        <v>204</v>
      </c>
      <c r="AF12" s="12">
        <v>254</v>
      </c>
    </row>
    <row r="13" spans="1:32" ht="24.95">
      <c r="A13" s="20"/>
      <c r="B13" s="13" t="s">
        <v>1003</v>
      </c>
      <c r="C13" s="14">
        <v>0.28999999999999998</v>
      </c>
      <c r="D13" s="14">
        <v>0.24</v>
      </c>
      <c r="E13" s="14">
        <v>0.26</v>
      </c>
      <c r="F13" s="14">
        <v>0.28000000000000003</v>
      </c>
      <c r="G13" s="14">
        <v>0.34</v>
      </c>
      <c r="H13" s="14">
        <v>0.4</v>
      </c>
      <c r="I13" s="14">
        <v>0.38</v>
      </c>
      <c r="J13" s="14">
        <v>0.33</v>
      </c>
      <c r="K13" s="14">
        <v>0.25</v>
      </c>
      <c r="L13" s="14">
        <v>0.34</v>
      </c>
      <c r="M13" s="14">
        <v>0.35</v>
      </c>
      <c r="N13" s="14">
        <v>0.21</v>
      </c>
      <c r="O13" s="14">
        <v>0.22</v>
      </c>
      <c r="P13" s="14">
        <v>0.27</v>
      </c>
      <c r="Q13" s="14">
        <v>0.33</v>
      </c>
      <c r="R13" s="14">
        <v>0.38</v>
      </c>
      <c r="S13" s="14">
        <v>0.1</v>
      </c>
      <c r="T13" s="14">
        <v>0.17</v>
      </c>
      <c r="U13" s="14">
        <v>0.25</v>
      </c>
      <c r="V13" s="14">
        <v>0.27</v>
      </c>
      <c r="W13" s="14">
        <v>0.14000000000000001</v>
      </c>
      <c r="X13" s="14">
        <v>0.33</v>
      </c>
      <c r="Y13" s="14">
        <v>0.38</v>
      </c>
      <c r="Z13" s="14">
        <v>0.2</v>
      </c>
      <c r="AA13" s="14">
        <v>0.31</v>
      </c>
      <c r="AB13" s="14">
        <v>0.22</v>
      </c>
      <c r="AC13" s="14">
        <v>0.17</v>
      </c>
      <c r="AD13" s="14">
        <v>0.27</v>
      </c>
      <c r="AE13" s="14">
        <v>0.25</v>
      </c>
      <c r="AF13" s="14">
        <v>0.3</v>
      </c>
    </row>
    <row r="14" spans="1:32" ht="24.95">
      <c r="A14" s="20"/>
      <c r="B14" s="11" t="s">
        <v>1004</v>
      </c>
      <c r="C14" s="12">
        <v>7351</v>
      </c>
      <c r="D14" s="12">
        <v>306</v>
      </c>
      <c r="E14" s="12">
        <v>319</v>
      </c>
      <c r="F14" s="12">
        <v>300</v>
      </c>
      <c r="G14" s="12">
        <v>336</v>
      </c>
      <c r="H14" s="12">
        <v>383</v>
      </c>
      <c r="I14" s="12">
        <v>473</v>
      </c>
      <c r="J14" s="12">
        <v>89</v>
      </c>
      <c r="K14" s="12">
        <v>268</v>
      </c>
      <c r="L14" s="12">
        <v>323</v>
      </c>
      <c r="M14" s="12">
        <v>399</v>
      </c>
      <c r="N14" s="12">
        <v>245</v>
      </c>
      <c r="O14" s="12">
        <v>274</v>
      </c>
      <c r="P14" s="12">
        <v>313</v>
      </c>
      <c r="Q14" s="12">
        <v>284</v>
      </c>
      <c r="R14" s="12">
        <v>174</v>
      </c>
      <c r="S14" s="12">
        <v>152</v>
      </c>
      <c r="T14" s="12">
        <v>226</v>
      </c>
      <c r="U14" s="12">
        <v>128</v>
      </c>
      <c r="V14" s="12">
        <v>288</v>
      </c>
      <c r="W14" s="12">
        <v>93</v>
      </c>
      <c r="X14" s="12">
        <v>256</v>
      </c>
      <c r="Y14" s="12">
        <v>302</v>
      </c>
      <c r="Z14" s="12">
        <v>205</v>
      </c>
      <c r="AA14" s="12">
        <v>344</v>
      </c>
      <c r="AB14" s="12">
        <v>278</v>
      </c>
      <c r="AC14" s="12">
        <v>202</v>
      </c>
      <c r="AD14" s="12">
        <v>319</v>
      </c>
      <c r="AE14" s="12">
        <v>272</v>
      </c>
      <c r="AF14" s="12">
        <v>279</v>
      </c>
    </row>
    <row r="15" spans="1:32" ht="24.95">
      <c r="A15" s="20"/>
      <c r="B15" s="13" t="s">
        <v>1005</v>
      </c>
      <c r="C15" s="14">
        <v>0.4</v>
      </c>
      <c r="D15" s="14">
        <v>0.39</v>
      </c>
      <c r="E15" s="14">
        <v>0.44</v>
      </c>
      <c r="F15" s="14">
        <v>0.43</v>
      </c>
      <c r="G15" s="14">
        <v>0.45</v>
      </c>
      <c r="H15" s="14">
        <v>0.44</v>
      </c>
      <c r="I15" s="14">
        <v>0.44</v>
      </c>
      <c r="J15" s="14">
        <v>0.44</v>
      </c>
      <c r="K15" s="14">
        <v>0.41</v>
      </c>
      <c r="L15" s="14">
        <v>0.45</v>
      </c>
      <c r="M15" s="14">
        <v>0.6</v>
      </c>
      <c r="N15" s="14">
        <v>0.36</v>
      </c>
      <c r="O15" s="14">
        <v>0.43</v>
      </c>
      <c r="P15" s="14">
        <v>0.38</v>
      </c>
      <c r="Q15" s="14">
        <v>0.39</v>
      </c>
      <c r="R15" s="14">
        <v>0.54</v>
      </c>
      <c r="S15" s="14">
        <v>0.22</v>
      </c>
      <c r="T15" s="14">
        <v>0.35</v>
      </c>
      <c r="U15" s="14">
        <v>0.3</v>
      </c>
      <c r="V15" s="14">
        <v>0.38</v>
      </c>
      <c r="W15" s="14">
        <v>0.22</v>
      </c>
      <c r="X15" s="14">
        <v>0.3</v>
      </c>
      <c r="Y15" s="14">
        <v>0.45</v>
      </c>
      <c r="Z15" s="14">
        <v>0.28000000000000003</v>
      </c>
      <c r="AA15" s="14">
        <v>0.5</v>
      </c>
      <c r="AB15" s="14">
        <v>0.34</v>
      </c>
      <c r="AC15" s="14">
        <v>0.32</v>
      </c>
      <c r="AD15" s="14">
        <v>0.4</v>
      </c>
      <c r="AE15" s="14">
        <v>0.42</v>
      </c>
      <c r="AF15" s="14">
        <v>0.33</v>
      </c>
    </row>
    <row r="16" spans="1:32" ht="24.95">
      <c r="A16" s="20"/>
      <c r="B16" s="11" t="s">
        <v>1006</v>
      </c>
      <c r="C16" s="12">
        <v>6379</v>
      </c>
      <c r="D16" s="12">
        <v>244</v>
      </c>
      <c r="E16" s="12">
        <v>262</v>
      </c>
      <c r="F16" s="12">
        <v>285</v>
      </c>
      <c r="G16" s="12">
        <v>242</v>
      </c>
      <c r="H16" s="12">
        <v>336</v>
      </c>
      <c r="I16" s="12">
        <v>417</v>
      </c>
      <c r="J16" s="12">
        <v>82</v>
      </c>
      <c r="K16" s="12">
        <v>222</v>
      </c>
      <c r="L16" s="12">
        <v>247</v>
      </c>
      <c r="M16" s="12">
        <v>299</v>
      </c>
      <c r="N16" s="12">
        <v>192</v>
      </c>
      <c r="O16" s="12">
        <v>228</v>
      </c>
      <c r="P16" s="12">
        <v>246</v>
      </c>
      <c r="Q16" s="12">
        <v>278</v>
      </c>
      <c r="R16" s="12">
        <v>150</v>
      </c>
      <c r="S16" s="12">
        <v>133</v>
      </c>
      <c r="T16" s="12">
        <v>219</v>
      </c>
      <c r="U16" s="12">
        <v>110</v>
      </c>
      <c r="V16" s="12">
        <v>242</v>
      </c>
      <c r="W16" s="12">
        <v>70</v>
      </c>
      <c r="X16" s="12">
        <v>287</v>
      </c>
      <c r="Y16" s="12">
        <v>274</v>
      </c>
      <c r="Z16" s="12">
        <v>187</v>
      </c>
      <c r="AA16" s="12">
        <v>260</v>
      </c>
      <c r="AB16" s="12">
        <v>189</v>
      </c>
      <c r="AC16" s="12">
        <v>140</v>
      </c>
      <c r="AD16" s="12">
        <v>264</v>
      </c>
      <c r="AE16" s="12">
        <v>220</v>
      </c>
      <c r="AF16" s="12">
        <v>296</v>
      </c>
    </row>
    <row r="17" spans="1:32" ht="24.95">
      <c r="A17" s="20"/>
      <c r="B17" s="13" t="s">
        <v>1007</v>
      </c>
      <c r="C17" s="14">
        <v>0.31</v>
      </c>
      <c r="D17" s="14">
        <v>0.28999999999999998</v>
      </c>
      <c r="E17" s="14">
        <v>0.31</v>
      </c>
      <c r="F17" s="14">
        <v>0.36</v>
      </c>
      <c r="G17" s="14">
        <v>0.28999999999999998</v>
      </c>
      <c r="H17" s="14">
        <v>0.36</v>
      </c>
      <c r="I17" s="14">
        <v>0.36</v>
      </c>
      <c r="J17" s="14">
        <v>0.33</v>
      </c>
      <c r="K17" s="14">
        <v>0.31</v>
      </c>
      <c r="L17" s="14">
        <v>0.3</v>
      </c>
      <c r="M17" s="14">
        <v>0.35</v>
      </c>
      <c r="N17" s="14">
        <v>0.26</v>
      </c>
      <c r="O17" s="14">
        <v>0.3</v>
      </c>
      <c r="P17" s="14">
        <v>0.27</v>
      </c>
      <c r="Q17" s="14">
        <v>0.33</v>
      </c>
      <c r="R17" s="14">
        <v>0.39</v>
      </c>
      <c r="S17" s="14">
        <v>0.19</v>
      </c>
      <c r="T17" s="14">
        <v>0.3</v>
      </c>
      <c r="U17" s="14">
        <v>0.27</v>
      </c>
      <c r="V17" s="14">
        <v>0.3</v>
      </c>
      <c r="W17" s="14">
        <v>0.17</v>
      </c>
      <c r="X17" s="14">
        <v>0.33</v>
      </c>
      <c r="Y17" s="14">
        <v>0.35</v>
      </c>
      <c r="Z17" s="14">
        <v>0.23</v>
      </c>
      <c r="AA17" s="14">
        <v>0.36</v>
      </c>
      <c r="AB17" s="14">
        <v>0.22</v>
      </c>
      <c r="AC17" s="14">
        <v>0.19</v>
      </c>
      <c r="AD17" s="14">
        <v>0.31</v>
      </c>
      <c r="AE17" s="14">
        <v>0.26</v>
      </c>
      <c r="AF17" s="14">
        <v>0.32</v>
      </c>
    </row>
    <row r="18" spans="1:32" ht="24.95">
      <c r="A18" s="20"/>
      <c r="B18" s="11" t="s">
        <v>1008</v>
      </c>
      <c r="C18" s="12">
        <v>4716</v>
      </c>
      <c r="D18" s="12">
        <v>143</v>
      </c>
      <c r="E18" s="12">
        <v>213</v>
      </c>
      <c r="F18" s="12">
        <v>187</v>
      </c>
      <c r="G18" s="12">
        <v>160</v>
      </c>
      <c r="H18" s="12">
        <v>247</v>
      </c>
      <c r="I18" s="12">
        <v>295</v>
      </c>
      <c r="J18" s="12">
        <v>49</v>
      </c>
      <c r="K18" s="12">
        <v>177</v>
      </c>
      <c r="L18" s="12">
        <v>219</v>
      </c>
      <c r="M18" s="12">
        <v>246</v>
      </c>
      <c r="N18" s="12">
        <v>161</v>
      </c>
      <c r="O18" s="12">
        <v>145</v>
      </c>
      <c r="P18" s="12">
        <v>226</v>
      </c>
      <c r="Q18" s="12">
        <v>210</v>
      </c>
      <c r="R18" s="12">
        <v>122</v>
      </c>
      <c r="S18" s="12">
        <v>88</v>
      </c>
      <c r="T18" s="12">
        <v>142</v>
      </c>
      <c r="U18" s="12">
        <v>83</v>
      </c>
      <c r="V18" s="12">
        <v>194</v>
      </c>
      <c r="W18" s="12">
        <v>67</v>
      </c>
      <c r="X18" s="12">
        <v>188</v>
      </c>
      <c r="Y18" s="12">
        <v>264</v>
      </c>
      <c r="Z18" s="12">
        <v>149</v>
      </c>
      <c r="AA18" s="12">
        <v>207</v>
      </c>
      <c r="AB18" s="12">
        <v>219</v>
      </c>
      <c r="AC18" s="12">
        <v>96</v>
      </c>
      <c r="AD18" s="12">
        <v>190</v>
      </c>
      <c r="AE18" s="12">
        <v>97</v>
      </c>
      <c r="AF18" s="12">
        <v>158</v>
      </c>
    </row>
    <row r="19" spans="1:32" ht="24.95">
      <c r="A19" s="20"/>
      <c r="B19" s="13" t="s">
        <v>1009</v>
      </c>
      <c r="C19" s="14">
        <v>0.22</v>
      </c>
      <c r="D19" s="14">
        <v>0.16</v>
      </c>
      <c r="E19" s="14">
        <v>0.25</v>
      </c>
      <c r="F19" s="14">
        <v>0.22</v>
      </c>
      <c r="G19" s="14">
        <v>0.18</v>
      </c>
      <c r="H19" s="14">
        <v>0.24</v>
      </c>
      <c r="I19" s="14">
        <v>0.23</v>
      </c>
      <c r="J19" s="14">
        <v>0.19</v>
      </c>
      <c r="K19" s="14">
        <v>0.24</v>
      </c>
      <c r="L19" s="14">
        <v>0.26</v>
      </c>
      <c r="M19" s="14">
        <v>0.27</v>
      </c>
      <c r="N19" s="14">
        <v>0.2</v>
      </c>
      <c r="O19" s="14">
        <v>0.18</v>
      </c>
      <c r="P19" s="14">
        <v>0.25</v>
      </c>
      <c r="Q19" s="14">
        <v>0.25</v>
      </c>
      <c r="R19" s="14">
        <v>0.28999999999999998</v>
      </c>
      <c r="S19" s="14">
        <v>0.12</v>
      </c>
      <c r="T19" s="14">
        <v>0.19</v>
      </c>
      <c r="U19" s="14">
        <v>0.18</v>
      </c>
      <c r="V19" s="14">
        <v>0.24</v>
      </c>
      <c r="W19" s="14">
        <v>0.16</v>
      </c>
      <c r="X19" s="14">
        <v>0.2</v>
      </c>
      <c r="Y19" s="14">
        <v>0.32</v>
      </c>
      <c r="Z19" s="14">
        <v>0.18</v>
      </c>
      <c r="AA19" s="14">
        <v>0.28000000000000003</v>
      </c>
      <c r="AB19" s="14">
        <v>0.25</v>
      </c>
      <c r="AC19" s="14">
        <v>0.13</v>
      </c>
      <c r="AD19" s="14">
        <v>0.22</v>
      </c>
      <c r="AE19" s="14">
        <v>0.11</v>
      </c>
      <c r="AF19" s="14">
        <v>0.16</v>
      </c>
    </row>
    <row r="20" spans="1:32" ht="36.950000000000003">
      <c r="A20" s="20"/>
      <c r="B20" s="11" t="s">
        <v>1010</v>
      </c>
      <c r="C20" s="12">
        <v>7220</v>
      </c>
      <c r="D20" s="12">
        <v>263</v>
      </c>
      <c r="E20" s="12">
        <v>348</v>
      </c>
      <c r="F20" s="12">
        <v>323</v>
      </c>
      <c r="G20" s="12">
        <v>345</v>
      </c>
      <c r="H20" s="12">
        <v>345</v>
      </c>
      <c r="I20" s="12">
        <v>445</v>
      </c>
      <c r="J20" s="12">
        <v>100</v>
      </c>
      <c r="K20" s="12">
        <v>255</v>
      </c>
      <c r="L20" s="12">
        <v>287</v>
      </c>
      <c r="M20" s="12">
        <v>390</v>
      </c>
      <c r="N20" s="12">
        <v>223</v>
      </c>
      <c r="O20" s="12">
        <v>264</v>
      </c>
      <c r="P20" s="12">
        <v>367</v>
      </c>
      <c r="Q20" s="12">
        <v>280</v>
      </c>
      <c r="R20" s="12">
        <v>171</v>
      </c>
      <c r="S20" s="12">
        <v>165</v>
      </c>
      <c r="T20" s="12">
        <v>251</v>
      </c>
      <c r="U20" s="12">
        <v>141</v>
      </c>
      <c r="V20" s="12">
        <v>313</v>
      </c>
      <c r="W20" s="12">
        <v>135</v>
      </c>
      <c r="X20" s="12">
        <v>318</v>
      </c>
      <c r="Y20" s="12">
        <v>357</v>
      </c>
      <c r="Z20" s="12">
        <v>197</v>
      </c>
      <c r="AA20" s="12">
        <v>252</v>
      </c>
      <c r="AB20" s="12">
        <v>243</v>
      </c>
      <c r="AC20" s="12">
        <v>243</v>
      </c>
      <c r="AD20" s="12">
        <v>383</v>
      </c>
      <c r="AE20" s="12">
        <v>297</v>
      </c>
      <c r="AF20" s="12">
        <v>345</v>
      </c>
    </row>
    <row r="21" spans="1:32" ht="36.950000000000003">
      <c r="A21" s="20"/>
      <c r="B21" s="13" t="s">
        <v>1011</v>
      </c>
      <c r="C21" s="14">
        <v>0.35</v>
      </c>
      <c r="D21" s="14">
        <v>0.31</v>
      </c>
      <c r="E21" s="14">
        <v>0.43</v>
      </c>
      <c r="F21" s="14">
        <v>0.43</v>
      </c>
      <c r="G21" s="14">
        <v>0.47</v>
      </c>
      <c r="H21" s="14">
        <v>0.37</v>
      </c>
      <c r="I21" s="14">
        <v>0.38</v>
      </c>
      <c r="J21" s="14">
        <v>0.43</v>
      </c>
      <c r="K21" s="14">
        <v>0.38</v>
      </c>
      <c r="L21" s="14">
        <v>0.35</v>
      </c>
      <c r="M21" s="14">
        <v>0.48</v>
      </c>
      <c r="N21" s="14">
        <v>0.3</v>
      </c>
      <c r="O21" s="14">
        <v>0.35</v>
      </c>
      <c r="P21" s="14">
        <v>0.45</v>
      </c>
      <c r="Q21" s="14">
        <v>0.33</v>
      </c>
      <c r="R21" s="14">
        <v>0.44</v>
      </c>
      <c r="S21" s="14">
        <v>0.25</v>
      </c>
      <c r="T21" s="14">
        <v>0.37</v>
      </c>
      <c r="U21" s="14">
        <v>0.34</v>
      </c>
      <c r="V21" s="14">
        <v>0.4</v>
      </c>
      <c r="W21" s="14">
        <v>0.37</v>
      </c>
      <c r="X21" s="14">
        <v>0.39</v>
      </c>
      <c r="Y21" s="14">
        <v>0.45</v>
      </c>
      <c r="Z21" s="14">
        <v>0.25</v>
      </c>
      <c r="AA21" s="14">
        <v>0.33</v>
      </c>
      <c r="AB21" s="14">
        <v>0.31</v>
      </c>
      <c r="AC21" s="14">
        <v>0.37</v>
      </c>
      <c r="AD21" s="14">
        <v>0.49</v>
      </c>
      <c r="AE21" s="14">
        <v>0.39</v>
      </c>
      <c r="AF21" s="14">
        <v>0.41</v>
      </c>
    </row>
    <row r="22" spans="1:32" ht="36.950000000000003">
      <c r="A22" s="20"/>
      <c r="B22" s="11" t="s">
        <v>1012</v>
      </c>
      <c r="C22" s="12">
        <v>6909</v>
      </c>
      <c r="D22" s="12">
        <v>248</v>
      </c>
      <c r="E22" s="12">
        <v>335</v>
      </c>
      <c r="F22" s="12">
        <v>315</v>
      </c>
      <c r="G22" s="12">
        <v>192</v>
      </c>
      <c r="H22" s="12">
        <v>325</v>
      </c>
      <c r="I22" s="12">
        <v>427</v>
      </c>
      <c r="J22" s="12">
        <v>102</v>
      </c>
      <c r="K22" s="12">
        <v>268</v>
      </c>
      <c r="L22" s="12">
        <v>279</v>
      </c>
      <c r="M22" s="12">
        <v>407</v>
      </c>
      <c r="N22" s="12">
        <v>231</v>
      </c>
      <c r="O22" s="12">
        <v>233</v>
      </c>
      <c r="P22" s="12">
        <v>374</v>
      </c>
      <c r="Q22" s="12">
        <v>286</v>
      </c>
      <c r="R22" s="12">
        <v>172</v>
      </c>
      <c r="S22" s="12">
        <v>173</v>
      </c>
      <c r="T22" s="12">
        <v>252</v>
      </c>
      <c r="U22" s="12">
        <v>103</v>
      </c>
      <c r="V22" s="12">
        <v>312</v>
      </c>
      <c r="W22" s="12">
        <v>141</v>
      </c>
      <c r="X22" s="12">
        <v>261</v>
      </c>
      <c r="Y22" s="12">
        <v>317</v>
      </c>
      <c r="Z22" s="12">
        <v>227</v>
      </c>
      <c r="AA22" s="12">
        <v>267</v>
      </c>
      <c r="AB22" s="12">
        <v>286</v>
      </c>
      <c r="AC22" s="12">
        <v>251</v>
      </c>
      <c r="AD22" s="12">
        <v>333</v>
      </c>
      <c r="AE22" s="12">
        <v>171</v>
      </c>
      <c r="AF22" s="12">
        <v>195</v>
      </c>
    </row>
    <row r="23" spans="1:32" ht="24.95">
      <c r="A23" s="20"/>
      <c r="B23" s="13" t="s">
        <v>1013</v>
      </c>
      <c r="C23" s="14">
        <v>0.33</v>
      </c>
      <c r="D23" s="14">
        <v>0.28999999999999998</v>
      </c>
      <c r="E23" s="14">
        <v>0.44</v>
      </c>
      <c r="F23" s="14">
        <v>0.42</v>
      </c>
      <c r="G23" s="14">
        <v>0.22</v>
      </c>
      <c r="H23" s="14">
        <v>0.34</v>
      </c>
      <c r="I23" s="14">
        <v>0.35</v>
      </c>
      <c r="J23" s="14">
        <v>0.43</v>
      </c>
      <c r="K23" s="14">
        <v>0.39</v>
      </c>
      <c r="L23" s="14">
        <v>0.35</v>
      </c>
      <c r="M23" s="14">
        <v>0.53</v>
      </c>
      <c r="N23" s="14">
        <v>0.31</v>
      </c>
      <c r="O23" s="14">
        <v>0.3</v>
      </c>
      <c r="P23" s="14">
        <v>0.47</v>
      </c>
      <c r="Q23" s="14">
        <v>0.35</v>
      </c>
      <c r="R23" s="14">
        <v>0.45</v>
      </c>
      <c r="S23" s="14">
        <v>0.26</v>
      </c>
      <c r="T23" s="14">
        <v>0.39</v>
      </c>
      <c r="U23" s="14">
        <v>0.24</v>
      </c>
      <c r="V23" s="14">
        <v>0.42</v>
      </c>
      <c r="W23" s="14">
        <v>0.35</v>
      </c>
      <c r="X23" s="14">
        <v>0.28999999999999998</v>
      </c>
      <c r="Y23" s="14">
        <v>0.42</v>
      </c>
      <c r="Z23" s="14">
        <v>0.28999999999999998</v>
      </c>
      <c r="AA23" s="14">
        <v>0.35</v>
      </c>
      <c r="AB23" s="14">
        <v>0.36</v>
      </c>
      <c r="AC23" s="14">
        <v>0.38</v>
      </c>
      <c r="AD23" s="14">
        <v>0.45</v>
      </c>
      <c r="AE23" s="14">
        <v>0.19</v>
      </c>
      <c r="AF23" s="14">
        <v>0.2</v>
      </c>
    </row>
    <row r="24" spans="1:32" ht="60.95">
      <c r="A24" s="20"/>
      <c r="B24" s="11" t="s">
        <v>1014</v>
      </c>
      <c r="C24" s="12">
        <v>6121</v>
      </c>
      <c r="D24" s="12">
        <v>217</v>
      </c>
      <c r="E24" s="12">
        <v>242</v>
      </c>
      <c r="F24" s="12">
        <v>176</v>
      </c>
      <c r="G24" s="12">
        <v>284</v>
      </c>
      <c r="H24" s="12">
        <v>265</v>
      </c>
      <c r="I24" s="12">
        <v>350</v>
      </c>
      <c r="J24" s="12">
        <v>85</v>
      </c>
      <c r="K24" s="12">
        <v>200</v>
      </c>
      <c r="L24" s="12">
        <v>240</v>
      </c>
      <c r="M24" s="12">
        <v>311</v>
      </c>
      <c r="N24" s="12">
        <v>176</v>
      </c>
      <c r="O24" s="12">
        <v>203</v>
      </c>
      <c r="P24" s="12">
        <v>297</v>
      </c>
      <c r="Q24" s="12">
        <v>277</v>
      </c>
      <c r="R24" s="12">
        <v>174</v>
      </c>
      <c r="S24" s="12">
        <v>115</v>
      </c>
      <c r="T24" s="12">
        <v>197</v>
      </c>
      <c r="U24" s="12">
        <v>110</v>
      </c>
      <c r="V24" s="12">
        <v>259</v>
      </c>
      <c r="W24" s="12">
        <v>179</v>
      </c>
      <c r="X24" s="12">
        <v>285</v>
      </c>
      <c r="Y24" s="12">
        <v>308</v>
      </c>
      <c r="Z24" s="12">
        <v>199</v>
      </c>
      <c r="AA24" s="12">
        <v>227</v>
      </c>
      <c r="AB24" s="12">
        <v>270</v>
      </c>
      <c r="AC24" s="12">
        <v>198</v>
      </c>
      <c r="AD24" s="12">
        <v>312</v>
      </c>
      <c r="AE24" s="12">
        <v>246</v>
      </c>
      <c r="AF24" s="12">
        <v>333</v>
      </c>
    </row>
    <row r="25" spans="1:32" ht="48.95">
      <c r="A25" s="20"/>
      <c r="B25" s="13" t="s">
        <v>1015</v>
      </c>
      <c r="C25" s="14">
        <v>0.28999999999999998</v>
      </c>
      <c r="D25" s="14">
        <v>0.25</v>
      </c>
      <c r="E25" s="14">
        <v>0.28999999999999998</v>
      </c>
      <c r="F25" s="14">
        <v>0.21</v>
      </c>
      <c r="G25" s="14">
        <v>0.37</v>
      </c>
      <c r="H25" s="14">
        <v>0.28000000000000003</v>
      </c>
      <c r="I25" s="14">
        <v>0.28999999999999998</v>
      </c>
      <c r="J25" s="14">
        <v>0.35</v>
      </c>
      <c r="K25" s="14">
        <v>0.27</v>
      </c>
      <c r="L25" s="14">
        <v>0.28999999999999998</v>
      </c>
      <c r="M25" s="14">
        <v>0.35</v>
      </c>
      <c r="N25" s="14">
        <v>0.23</v>
      </c>
      <c r="O25" s="14">
        <v>0.26</v>
      </c>
      <c r="P25" s="14">
        <v>0.35</v>
      </c>
      <c r="Q25" s="14">
        <v>0.33</v>
      </c>
      <c r="R25" s="14">
        <v>0.45</v>
      </c>
      <c r="S25" s="14">
        <v>0.15</v>
      </c>
      <c r="T25" s="14">
        <v>0.26</v>
      </c>
      <c r="U25" s="14">
        <v>0.25</v>
      </c>
      <c r="V25" s="14">
        <v>0.33</v>
      </c>
      <c r="W25" s="14">
        <v>0.44</v>
      </c>
      <c r="X25" s="14">
        <v>0.35</v>
      </c>
      <c r="Y25" s="14">
        <v>0.39</v>
      </c>
      <c r="Z25" s="14">
        <v>0.25</v>
      </c>
      <c r="AA25" s="14">
        <v>0.28999999999999998</v>
      </c>
      <c r="AB25" s="14">
        <v>0.32</v>
      </c>
      <c r="AC25" s="14">
        <v>0.28000000000000003</v>
      </c>
      <c r="AD25" s="14">
        <v>0.36</v>
      </c>
      <c r="AE25" s="14">
        <v>0.31</v>
      </c>
      <c r="AF25" s="14">
        <v>0.43</v>
      </c>
    </row>
    <row r="26" spans="1:32" ht="24.95">
      <c r="A26" s="20"/>
      <c r="B26" s="11" t="s">
        <v>1016</v>
      </c>
      <c r="C26" s="12">
        <v>6358</v>
      </c>
      <c r="D26" s="12">
        <v>202</v>
      </c>
      <c r="E26" s="12">
        <v>305</v>
      </c>
      <c r="F26" s="12">
        <v>226</v>
      </c>
      <c r="G26" s="12">
        <v>248</v>
      </c>
      <c r="H26" s="12">
        <v>369</v>
      </c>
      <c r="I26" s="12">
        <v>453</v>
      </c>
      <c r="J26" s="12">
        <v>85</v>
      </c>
      <c r="K26" s="12">
        <v>236</v>
      </c>
      <c r="L26" s="12">
        <v>283</v>
      </c>
      <c r="M26" s="12">
        <v>354</v>
      </c>
      <c r="N26" s="12">
        <v>214</v>
      </c>
      <c r="O26" s="12">
        <v>210</v>
      </c>
      <c r="P26" s="12">
        <v>320</v>
      </c>
      <c r="Q26" s="12">
        <v>243</v>
      </c>
      <c r="R26" s="12">
        <v>150</v>
      </c>
      <c r="S26" s="12">
        <v>150</v>
      </c>
      <c r="T26" s="12">
        <v>174</v>
      </c>
      <c r="U26" s="12">
        <v>91</v>
      </c>
      <c r="V26" s="12">
        <v>258</v>
      </c>
      <c r="W26" s="12">
        <v>105</v>
      </c>
      <c r="X26" s="12">
        <v>212</v>
      </c>
      <c r="Y26" s="12">
        <v>295</v>
      </c>
      <c r="Z26" s="12">
        <v>166</v>
      </c>
      <c r="AA26" s="12">
        <v>238</v>
      </c>
      <c r="AB26" s="12">
        <v>243</v>
      </c>
      <c r="AC26" s="12">
        <v>162</v>
      </c>
      <c r="AD26" s="12">
        <v>329</v>
      </c>
      <c r="AE26" s="12">
        <v>262</v>
      </c>
      <c r="AF26" s="12">
        <v>300</v>
      </c>
    </row>
    <row r="27" spans="1:32" ht="24.95">
      <c r="A27" s="20"/>
      <c r="B27" s="13" t="s">
        <v>1017</v>
      </c>
      <c r="C27" s="14">
        <v>0.3</v>
      </c>
      <c r="D27" s="14">
        <v>0.24</v>
      </c>
      <c r="E27" s="14">
        <v>0.36</v>
      </c>
      <c r="F27" s="14">
        <v>0.28000000000000003</v>
      </c>
      <c r="G27" s="14">
        <v>0.28999999999999998</v>
      </c>
      <c r="H27" s="14">
        <v>0.37</v>
      </c>
      <c r="I27" s="14">
        <v>0.36</v>
      </c>
      <c r="J27" s="14">
        <v>0.34</v>
      </c>
      <c r="K27" s="14">
        <v>0.33</v>
      </c>
      <c r="L27" s="14">
        <v>0.35</v>
      </c>
      <c r="M27" s="14">
        <v>0.41</v>
      </c>
      <c r="N27" s="14">
        <v>0.28000000000000003</v>
      </c>
      <c r="O27" s="14">
        <v>0.27</v>
      </c>
      <c r="P27" s="14">
        <v>0.36</v>
      </c>
      <c r="Q27" s="14">
        <v>0.28000000000000003</v>
      </c>
      <c r="R27" s="14">
        <v>0.36</v>
      </c>
      <c r="S27" s="14">
        <v>0.2</v>
      </c>
      <c r="T27" s="14">
        <v>0.24</v>
      </c>
      <c r="U27" s="14">
        <v>0.21</v>
      </c>
      <c r="V27" s="14">
        <v>0.33</v>
      </c>
      <c r="W27" s="14">
        <v>0.24</v>
      </c>
      <c r="X27" s="14">
        <v>0.23</v>
      </c>
      <c r="Y27" s="14">
        <v>0.37</v>
      </c>
      <c r="Z27" s="14">
        <v>0.21</v>
      </c>
      <c r="AA27" s="14">
        <v>0.31</v>
      </c>
      <c r="AB27" s="14">
        <v>0.28999999999999998</v>
      </c>
      <c r="AC27" s="14">
        <v>0.22</v>
      </c>
      <c r="AD27" s="14">
        <v>0.4</v>
      </c>
      <c r="AE27" s="14">
        <v>0.31</v>
      </c>
      <c r="AF27" s="14">
        <v>0.33</v>
      </c>
    </row>
    <row r="28" spans="1:32">
      <c r="A28" s="20"/>
      <c r="B28" s="11" t="s">
        <v>519</v>
      </c>
      <c r="C28" s="12">
        <v>57</v>
      </c>
      <c r="D28" s="12">
        <v>1</v>
      </c>
      <c r="E28" s="12">
        <v>3</v>
      </c>
      <c r="F28" s="12">
        <v>0</v>
      </c>
      <c r="G28" s="12">
        <v>5</v>
      </c>
      <c r="H28" s="12">
        <v>5</v>
      </c>
      <c r="I28" s="12">
        <v>5</v>
      </c>
      <c r="J28" s="12">
        <v>0</v>
      </c>
      <c r="K28" s="12">
        <v>3</v>
      </c>
      <c r="L28" s="12">
        <v>0</v>
      </c>
      <c r="M28" s="12">
        <v>1</v>
      </c>
      <c r="N28" s="12">
        <v>0</v>
      </c>
      <c r="O28" s="12">
        <v>2</v>
      </c>
      <c r="P28" s="12">
        <v>0</v>
      </c>
      <c r="Q28" s="12">
        <v>1</v>
      </c>
      <c r="R28" s="12">
        <v>0</v>
      </c>
      <c r="S28" s="12">
        <v>15</v>
      </c>
      <c r="T28" s="12">
        <v>4</v>
      </c>
      <c r="U28" s="12">
        <v>4</v>
      </c>
      <c r="V28" s="12">
        <v>0</v>
      </c>
      <c r="W28" s="12">
        <v>0</v>
      </c>
      <c r="X28" s="12">
        <v>0</v>
      </c>
      <c r="Y28" s="12">
        <v>15</v>
      </c>
      <c r="Z28" s="12">
        <v>1</v>
      </c>
      <c r="AA28" s="12">
        <v>5</v>
      </c>
      <c r="AB28" s="12">
        <v>5</v>
      </c>
      <c r="AC28" s="12">
        <v>6</v>
      </c>
      <c r="AD28" s="12">
        <v>2</v>
      </c>
      <c r="AE28" s="12">
        <v>1</v>
      </c>
      <c r="AF28" s="12">
        <v>3</v>
      </c>
    </row>
    <row r="29" spans="1:32">
      <c r="A29" s="20"/>
      <c r="B29" s="13" t="s">
        <v>520</v>
      </c>
      <c r="C29" s="15" t="s">
        <v>459</v>
      </c>
      <c r="D29" s="15" t="s">
        <v>459</v>
      </c>
      <c r="E29" s="15" t="s">
        <v>459</v>
      </c>
      <c r="F29" s="15" t="s">
        <v>459</v>
      </c>
      <c r="G29" s="14">
        <v>0.01</v>
      </c>
      <c r="H29" s="15" t="s">
        <v>459</v>
      </c>
      <c r="I29" s="15" t="s">
        <v>459</v>
      </c>
      <c r="J29" s="15" t="s">
        <v>459</v>
      </c>
      <c r="K29" s="15" t="s">
        <v>459</v>
      </c>
      <c r="L29" s="15" t="s">
        <v>459</v>
      </c>
      <c r="M29" s="15" t="s">
        <v>459</v>
      </c>
      <c r="N29" s="15" t="s">
        <v>459</v>
      </c>
      <c r="O29" s="15" t="s">
        <v>459</v>
      </c>
      <c r="P29" s="15" t="s">
        <v>459</v>
      </c>
      <c r="Q29" s="15" t="s">
        <v>459</v>
      </c>
      <c r="R29" s="15" t="s">
        <v>459</v>
      </c>
      <c r="S29" s="14">
        <v>0.02</v>
      </c>
      <c r="T29" s="14">
        <v>0.01</v>
      </c>
      <c r="U29" s="14">
        <v>0.01</v>
      </c>
      <c r="V29" s="15" t="s">
        <v>459</v>
      </c>
      <c r="W29" s="15" t="s">
        <v>459</v>
      </c>
      <c r="X29" s="15" t="s">
        <v>459</v>
      </c>
      <c r="Y29" s="14">
        <v>0.02</v>
      </c>
      <c r="Z29" s="15" t="s">
        <v>459</v>
      </c>
      <c r="AA29" s="14">
        <v>0.01</v>
      </c>
      <c r="AB29" s="15" t="s">
        <v>459</v>
      </c>
      <c r="AC29" s="14">
        <v>0.01</v>
      </c>
      <c r="AD29" s="15" t="s">
        <v>459</v>
      </c>
      <c r="AE29" s="15" t="s">
        <v>459</v>
      </c>
      <c r="AF29" s="15" t="s">
        <v>459</v>
      </c>
    </row>
    <row r="30" spans="1:32" ht="24.95">
      <c r="A30" s="20"/>
      <c r="B30" s="11" t="s">
        <v>551</v>
      </c>
      <c r="C30" s="12">
        <v>506</v>
      </c>
      <c r="D30" s="12">
        <v>11</v>
      </c>
      <c r="E30" s="12">
        <v>5</v>
      </c>
      <c r="F30" s="12">
        <v>15</v>
      </c>
      <c r="G30" s="12">
        <v>33</v>
      </c>
      <c r="H30" s="12">
        <v>11</v>
      </c>
      <c r="I30" s="12">
        <v>13</v>
      </c>
      <c r="J30" s="12">
        <v>2</v>
      </c>
      <c r="K30" s="12">
        <v>15</v>
      </c>
      <c r="L30" s="12">
        <v>11</v>
      </c>
      <c r="M30" s="12">
        <v>9</v>
      </c>
      <c r="N30" s="12">
        <v>43</v>
      </c>
      <c r="O30" s="12">
        <v>45</v>
      </c>
      <c r="P30" s="12">
        <v>5</v>
      </c>
      <c r="Q30" s="12">
        <v>6</v>
      </c>
      <c r="R30" s="12">
        <v>4</v>
      </c>
      <c r="S30" s="12">
        <v>33</v>
      </c>
      <c r="T30" s="12">
        <v>17</v>
      </c>
      <c r="U30" s="12">
        <v>20</v>
      </c>
      <c r="V30" s="12">
        <v>9</v>
      </c>
      <c r="W30" s="12">
        <v>10</v>
      </c>
      <c r="X30" s="12">
        <v>19</v>
      </c>
      <c r="Y30" s="12">
        <v>20</v>
      </c>
      <c r="Z30" s="12">
        <v>4</v>
      </c>
      <c r="AA30" s="12">
        <v>4</v>
      </c>
      <c r="AB30" s="12">
        <v>7</v>
      </c>
      <c r="AC30" s="12">
        <v>26</v>
      </c>
      <c r="AD30" s="12">
        <v>14</v>
      </c>
      <c r="AE30" s="12">
        <v>32</v>
      </c>
      <c r="AF30" s="12">
        <v>35</v>
      </c>
    </row>
    <row r="31" spans="1:32">
      <c r="A31" s="20"/>
      <c r="B31" s="13" t="s">
        <v>522</v>
      </c>
      <c r="C31" s="14">
        <v>0.02</v>
      </c>
      <c r="D31" s="14">
        <v>0.01</v>
      </c>
      <c r="E31" s="14">
        <v>0.01</v>
      </c>
      <c r="F31" s="14">
        <v>0.02</v>
      </c>
      <c r="G31" s="14">
        <v>0.04</v>
      </c>
      <c r="H31" s="14">
        <v>0.01</v>
      </c>
      <c r="I31" s="14">
        <v>0.01</v>
      </c>
      <c r="J31" s="14">
        <v>0.01</v>
      </c>
      <c r="K31" s="14">
        <v>0.02</v>
      </c>
      <c r="L31" s="14">
        <v>0.01</v>
      </c>
      <c r="M31" s="14">
        <v>0.01</v>
      </c>
      <c r="N31" s="14">
        <v>0.05</v>
      </c>
      <c r="O31" s="14">
        <v>0.05</v>
      </c>
      <c r="P31" s="15" t="s">
        <v>459</v>
      </c>
      <c r="Q31" s="14">
        <v>0.01</v>
      </c>
      <c r="R31" s="14">
        <v>0.01</v>
      </c>
      <c r="S31" s="14">
        <v>0.04</v>
      </c>
      <c r="T31" s="14">
        <v>0.02</v>
      </c>
      <c r="U31" s="14">
        <v>0.04</v>
      </c>
      <c r="V31" s="14">
        <v>0.01</v>
      </c>
      <c r="W31" s="14">
        <v>0.02</v>
      </c>
      <c r="X31" s="14">
        <v>0.02</v>
      </c>
      <c r="Y31" s="14">
        <v>0.02</v>
      </c>
      <c r="Z31" s="15" t="s">
        <v>459</v>
      </c>
      <c r="AA31" s="15" t="s">
        <v>459</v>
      </c>
      <c r="AB31" s="14">
        <v>0.01</v>
      </c>
      <c r="AC31" s="14">
        <v>0.03</v>
      </c>
      <c r="AD31" s="14">
        <v>0.02</v>
      </c>
      <c r="AE31" s="14">
        <v>0.03</v>
      </c>
      <c r="AF31" s="14">
        <v>0.04</v>
      </c>
    </row>
    <row r="32" spans="1:32">
      <c r="A32" s="20"/>
      <c r="B32" s="11" t="s">
        <v>468</v>
      </c>
      <c r="C32" s="12">
        <v>252</v>
      </c>
      <c r="D32" s="12">
        <v>1</v>
      </c>
      <c r="E32" s="12">
        <v>4</v>
      </c>
      <c r="F32" s="12">
        <v>9</v>
      </c>
      <c r="G32" s="12">
        <v>8</v>
      </c>
      <c r="H32" s="12">
        <v>4</v>
      </c>
      <c r="I32" s="12">
        <v>6</v>
      </c>
      <c r="J32" s="12">
        <v>3</v>
      </c>
      <c r="K32" s="12">
        <v>27</v>
      </c>
      <c r="L32" s="12">
        <v>6</v>
      </c>
      <c r="M32" s="12">
        <v>5</v>
      </c>
      <c r="N32" s="12">
        <v>20</v>
      </c>
      <c r="O32" s="12">
        <v>24</v>
      </c>
      <c r="P32" s="12">
        <v>2</v>
      </c>
      <c r="Q32" s="12">
        <v>2</v>
      </c>
      <c r="R32" s="12">
        <v>2</v>
      </c>
      <c r="S32" s="12">
        <v>64</v>
      </c>
      <c r="T32" s="12">
        <v>7</v>
      </c>
      <c r="U32" s="12">
        <v>0</v>
      </c>
      <c r="V32" s="12">
        <v>0</v>
      </c>
      <c r="W32" s="12">
        <v>9</v>
      </c>
      <c r="X32" s="12">
        <v>5</v>
      </c>
      <c r="Y32" s="12">
        <v>8</v>
      </c>
      <c r="Z32" s="12">
        <v>9</v>
      </c>
      <c r="AA32" s="12">
        <v>12</v>
      </c>
      <c r="AB32" s="12">
        <v>1</v>
      </c>
      <c r="AC32" s="12">
        <v>5</v>
      </c>
      <c r="AD32" s="12">
        <v>7</v>
      </c>
      <c r="AE32" s="12">
        <v>21</v>
      </c>
      <c r="AF32" s="12">
        <v>1</v>
      </c>
    </row>
    <row r="33" spans="1:32">
      <c r="A33" s="20"/>
      <c r="B33" s="13" t="s">
        <v>1018</v>
      </c>
      <c r="C33" s="14">
        <v>0.01</v>
      </c>
      <c r="D33" s="15" t="s">
        <v>459</v>
      </c>
      <c r="E33" s="15" t="s">
        <v>459</v>
      </c>
      <c r="F33" s="14">
        <v>0.01</v>
      </c>
      <c r="G33" s="14">
        <v>0.01</v>
      </c>
      <c r="H33" s="15" t="s">
        <v>459</v>
      </c>
      <c r="I33" s="15" t="s">
        <v>459</v>
      </c>
      <c r="J33" s="14">
        <v>0.01</v>
      </c>
      <c r="K33" s="14">
        <v>0.03</v>
      </c>
      <c r="L33" s="14">
        <v>0.01</v>
      </c>
      <c r="M33" s="15" t="s">
        <v>459</v>
      </c>
      <c r="N33" s="14">
        <v>0.02</v>
      </c>
      <c r="O33" s="14">
        <v>0.03</v>
      </c>
      <c r="P33" s="15" t="s">
        <v>459</v>
      </c>
      <c r="Q33" s="15" t="s">
        <v>459</v>
      </c>
      <c r="R33" s="14">
        <v>0.01</v>
      </c>
      <c r="S33" s="14">
        <v>0.08</v>
      </c>
      <c r="T33" s="14">
        <v>0.01</v>
      </c>
      <c r="U33" s="15" t="s">
        <v>459</v>
      </c>
      <c r="V33" s="15" t="s">
        <v>459</v>
      </c>
      <c r="W33" s="14">
        <v>0.02</v>
      </c>
      <c r="X33" s="14">
        <v>0.01</v>
      </c>
      <c r="Y33" s="14">
        <v>0.01</v>
      </c>
      <c r="Z33" s="14">
        <v>0.01</v>
      </c>
      <c r="AA33" s="14">
        <v>0.01</v>
      </c>
      <c r="AB33" s="15" t="s">
        <v>459</v>
      </c>
      <c r="AC33" s="14">
        <v>0.01</v>
      </c>
      <c r="AD33" s="14">
        <v>0.01</v>
      </c>
      <c r="AE33" s="14">
        <v>0.02</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173</v>
      </c>
      <c r="C3" s="18"/>
      <c r="D3" s="18"/>
      <c r="E3" s="18"/>
      <c r="F3" s="18"/>
      <c r="H3" s="18" t="s">
        <v>174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1002</v>
      </c>
      <c r="C12" s="12">
        <v>8573</v>
      </c>
      <c r="D12" s="12">
        <v>337</v>
      </c>
      <c r="E12" s="12">
        <v>297</v>
      </c>
      <c r="F12" s="12">
        <v>327</v>
      </c>
      <c r="G12" s="12">
        <v>386</v>
      </c>
      <c r="H12" s="12">
        <v>527</v>
      </c>
      <c r="I12" s="12">
        <v>640</v>
      </c>
      <c r="J12" s="12">
        <v>114</v>
      </c>
      <c r="K12" s="12">
        <v>246</v>
      </c>
      <c r="L12" s="12">
        <v>395</v>
      </c>
      <c r="M12" s="12">
        <v>384</v>
      </c>
      <c r="N12" s="12">
        <v>247</v>
      </c>
      <c r="O12" s="12">
        <v>238</v>
      </c>
      <c r="P12" s="12">
        <v>340</v>
      </c>
      <c r="Q12" s="12">
        <v>380</v>
      </c>
      <c r="R12" s="12">
        <v>198</v>
      </c>
      <c r="S12" s="12">
        <v>128</v>
      </c>
      <c r="T12" s="12">
        <v>184</v>
      </c>
      <c r="U12" s="12">
        <v>173</v>
      </c>
      <c r="V12" s="12">
        <v>322</v>
      </c>
      <c r="W12" s="12">
        <v>104</v>
      </c>
      <c r="X12" s="12">
        <v>420</v>
      </c>
      <c r="Y12" s="12">
        <v>407</v>
      </c>
      <c r="Z12" s="12">
        <v>253</v>
      </c>
      <c r="AA12" s="12">
        <v>331</v>
      </c>
      <c r="AB12" s="12">
        <v>271</v>
      </c>
      <c r="AC12" s="12">
        <v>188</v>
      </c>
      <c r="AD12" s="12">
        <v>305</v>
      </c>
      <c r="AE12" s="12">
        <v>312</v>
      </c>
      <c r="AF12" s="12">
        <v>411</v>
      </c>
    </row>
    <row r="13" spans="1:32" ht="24.95">
      <c r="A13" s="20"/>
      <c r="B13" s="13" t="s">
        <v>1003</v>
      </c>
      <c r="C13" s="14">
        <v>0.33</v>
      </c>
      <c r="D13" s="14">
        <v>0.34</v>
      </c>
      <c r="E13" s="14">
        <v>0.28999999999999998</v>
      </c>
      <c r="F13" s="14">
        <v>0.33</v>
      </c>
      <c r="G13" s="14">
        <v>0.38</v>
      </c>
      <c r="H13" s="14">
        <v>0.43</v>
      </c>
      <c r="I13" s="14">
        <v>0.42</v>
      </c>
      <c r="J13" s="14">
        <v>0.39</v>
      </c>
      <c r="K13" s="14">
        <v>0.24</v>
      </c>
      <c r="L13" s="14">
        <v>0.39</v>
      </c>
      <c r="M13" s="14">
        <v>0.38</v>
      </c>
      <c r="N13" s="14">
        <v>0.25</v>
      </c>
      <c r="O13" s="14">
        <v>0.24</v>
      </c>
      <c r="P13" s="14">
        <v>0.33</v>
      </c>
      <c r="Q13" s="14">
        <v>0.37</v>
      </c>
      <c r="R13" s="14">
        <v>0.4</v>
      </c>
      <c r="S13" s="14">
        <v>0.13</v>
      </c>
      <c r="T13" s="14">
        <v>0.18</v>
      </c>
      <c r="U13" s="14">
        <v>0.34</v>
      </c>
      <c r="V13" s="14">
        <v>0.32</v>
      </c>
      <c r="W13" s="14">
        <v>0.21</v>
      </c>
      <c r="X13" s="14">
        <v>0.41</v>
      </c>
      <c r="Y13" s="14">
        <v>0.4</v>
      </c>
      <c r="Z13" s="14">
        <v>0.25</v>
      </c>
      <c r="AA13" s="14">
        <v>0.31</v>
      </c>
      <c r="AB13" s="14">
        <v>0.26</v>
      </c>
      <c r="AC13" s="14">
        <v>0.19</v>
      </c>
      <c r="AD13" s="14">
        <v>0.3</v>
      </c>
      <c r="AE13" s="14">
        <v>0.31</v>
      </c>
      <c r="AF13" s="14">
        <v>0.4</v>
      </c>
    </row>
    <row r="14" spans="1:32" ht="24.95">
      <c r="A14" s="20"/>
      <c r="B14" s="11" t="s">
        <v>1004</v>
      </c>
      <c r="C14" s="12">
        <v>12421</v>
      </c>
      <c r="D14" s="12">
        <v>482</v>
      </c>
      <c r="E14" s="12">
        <v>524</v>
      </c>
      <c r="F14" s="12">
        <v>497</v>
      </c>
      <c r="G14" s="12">
        <v>517</v>
      </c>
      <c r="H14" s="12">
        <v>598</v>
      </c>
      <c r="I14" s="12">
        <v>756</v>
      </c>
      <c r="J14" s="12">
        <v>158</v>
      </c>
      <c r="K14" s="12">
        <v>424</v>
      </c>
      <c r="L14" s="12">
        <v>528</v>
      </c>
      <c r="M14" s="12">
        <v>689</v>
      </c>
      <c r="N14" s="12">
        <v>428</v>
      </c>
      <c r="O14" s="12">
        <v>506</v>
      </c>
      <c r="P14" s="12">
        <v>471</v>
      </c>
      <c r="Q14" s="12">
        <v>503</v>
      </c>
      <c r="R14" s="12">
        <v>297</v>
      </c>
      <c r="S14" s="12">
        <v>279</v>
      </c>
      <c r="T14" s="12">
        <v>397</v>
      </c>
      <c r="U14" s="12">
        <v>192</v>
      </c>
      <c r="V14" s="12">
        <v>421</v>
      </c>
      <c r="W14" s="12">
        <v>137</v>
      </c>
      <c r="X14" s="12">
        <v>409</v>
      </c>
      <c r="Y14" s="12">
        <v>512</v>
      </c>
      <c r="Z14" s="12">
        <v>383</v>
      </c>
      <c r="AA14" s="12">
        <v>514</v>
      </c>
      <c r="AB14" s="12">
        <v>411</v>
      </c>
      <c r="AC14" s="12">
        <v>368</v>
      </c>
      <c r="AD14" s="12">
        <v>476</v>
      </c>
      <c r="AE14" s="12">
        <v>547</v>
      </c>
      <c r="AF14" s="12">
        <v>445</v>
      </c>
    </row>
    <row r="15" spans="1:32" ht="24.95">
      <c r="A15" s="20"/>
      <c r="B15" s="13" t="s">
        <v>1005</v>
      </c>
      <c r="C15" s="14">
        <v>0.47</v>
      </c>
      <c r="D15" s="14">
        <v>0.48</v>
      </c>
      <c r="E15" s="14">
        <v>0.51</v>
      </c>
      <c r="F15" s="14">
        <v>0.49</v>
      </c>
      <c r="G15" s="14">
        <v>0.51</v>
      </c>
      <c r="H15" s="14">
        <v>0.49</v>
      </c>
      <c r="I15" s="14">
        <v>0.5</v>
      </c>
      <c r="J15" s="14">
        <v>0.54</v>
      </c>
      <c r="K15" s="14">
        <v>0.42</v>
      </c>
      <c r="L15" s="14">
        <v>0.52</v>
      </c>
      <c r="M15" s="14">
        <v>0.69000000000000006</v>
      </c>
      <c r="N15" s="14">
        <v>0.43</v>
      </c>
      <c r="O15" s="14">
        <v>0.5</v>
      </c>
      <c r="P15" s="14">
        <v>0.46</v>
      </c>
      <c r="Q15" s="14">
        <v>0.49</v>
      </c>
      <c r="R15" s="14">
        <v>0.59</v>
      </c>
      <c r="S15" s="14">
        <v>0.28000000000000003</v>
      </c>
      <c r="T15" s="14">
        <v>0.39</v>
      </c>
      <c r="U15" s="14">
        <v>0.38</v>
      </c>
      <c r="V15" s="14">
        <v>0.41</v>
      </c>
      <c r="W15" s="14">
        <v>0.27</v>
      </c>
      <c r="X15" s="14">
        <v>0.4</v>
      </c>
      <c r="Y15" s="14">
        <v>0.51</v>
      </c>
      <c r="Z15" s="14">
        <v>0.38</v>
      </c>
      <c r="AA15" s="14">
        <v>0.49</v>
      </c>
      <c r="AB15" s="14">
        <v>0.4</v>
      </c>
      <c r="AC15" s="14">
        <v>0.36</v>
      </c>
      <c r="AD15" s="14">
        <v>0.47</v>
      </c>
      <c r="AE15" s="14">
        <v>0.55000000000000004</v>
      </c>
      <c r="AF15" s="14">
        <v>0.44</v>
      </c>
    </row>
    <row r="16" spans="1:32" ht="24.95">
      <c r="A16" s="20"/>
      <c r="B16" s="11" t="s">
        <v>1006</v>
      </c>
      <c r="C16" s="12">
        <v>9247</v>
      </c>
      <c r="D16" s="12">
        <v>371</v>
      </c>
      <c r="E16" s="12">
        <v>341</v>
      </c>
      <c r="F16" s="12">
        <v>389</v>
      </c>
      <c r="G16" s="12">
        <v>332</v>
      </c>
      <c r="H16" s="12">
        <v>490</v>
      </c>
      <c r="I16" s="12">
        <v>599</v>
      </c>
      <c r="J16" s="12">
        <v>109</v>
      </c>
      <c r="K16" s="12">
        <v>318</v>
      </c>
      <c r="L16" s="12">
        <v>361</v>
      </c>
      <c r="M16" s="12">
        <v>386</v>
      </c>
      <c r="N16" s="12">
        <v>299</v>
      </c>
      <c r="O16" s="12">
        <v>348</v>
      </c>
      <c r="P16" s="12">
        <v>316</v>
      </c>
      <c r="Q16" s="12">
        <v>390</v>
      </c>
      <c r="R16" s="12">
        <v>213</v>
      </c>
      <c r="S16" s="12">
        <v>255</v>
      </c>
      <c r="T16" s="12">
        <v>307</v>
      </c>
      <c r="U16" s="12">
        <v>197</v>
      </c>
      <c r="V16" s="12">
        <v>339</v>
      </c>
      <c r="W16" s="12">
        <v>126</v>
      </c>
      <c r="X16" s="12">
        <v>405</v>
      </c>
      <c r="Y16" s="12">
        <v>375</v>
      </c>
      <c r="Z16" s="12">
        <v>286</v>
      </c>
      <c r="AA16" s="12">
        <v>400</v>
      </c>
      <c r="AB16" s="12">
        <v>284</v>
      </c>
      <c r="AC16" s="12">
        <v>211</v>
      </c>
      <c r="AD16" s="12">
        <v>349</v>
      </c>
      <c r="AE16" s="12">
        <v>307</v>
      </c>
      <c r="AF16" s="12">
        <v>387</v>
      </c>
    </row>
    <row r="17" spans="1:32" ht="24.95">
      <c r="A17" s="20"/>
      <c r="B17" s="13" t="s">
        <v>1007</v>
      </c>
      <c r="C17" s="14">
        <v>0.35</v>
      </c>
      <c r="D17" s="14">
        <v>0.37</v>
      </c>
      <c r="E17" s="14">
        <v>0.34</v>
      </c>
      <c r="F17" s="14">
        <v>0.39</v>
      </c>
      <c r="G17" s="14">
        <v>0.33</v>
      </c>
      <c r="H17" s="14">
        <v>0.4</v>
      </c>
      <c r="I17" s="14">
        <v>0.4</v>
      </c>
      <c r="J17" s="14">
        <v>0.37</v>
      </c>
      <c r="K17" s="14">
        <v>0.32</v>
      </c>
      <c r="L17" s="14">
        <v>0.36</v>
      </c>
      <c r="M17" s="14">
        <v>0.38</v>
      </c>
      <c r="N17" s="14">
        <v>0.3</v>
      </c>
      <c r="O17" s="14">
        <v>0.35</v>
      </c>
      <c r="P17" s="14">
        <v>0.31</v>
      </c>
      <c r="Q17" s="14">
        <v>0.38</v>
      </c>
      <c r="R17" s="14">
        <v>0.43</v>
      </c>
      <c r="S17" s="14">
        <v>0.25</v>
      </c>
      <c r="T17" s="14">
        <v>0.3</v>
      </c>
      <c r="U17" s="14">
        <v>0.39</v>
      </c>
      <c r="V17" s="14">
        <v>0.33</v>
      </c>
      <c r="W17" s="14">
        <v>0.25</v>
      </c>
      <c r="X17" s="14">
        <v>0.4</v>
      </c>
      <c r="Y17" s="14">
        <v>0.37</v>
      </c>
      <c r="Z17" s="14">
        <v>0.28000000000000003</v>
      </c>
      <c r="AA17" s="14">
        <v>0.38</v>
      </c>
      <c r="AB17" s="14">
        <v>0.27</v>
      </c>
      <c r="AC17" s="14">
        <v>0.21</v>
      </c>
      <c r="AD17" s="14">
        <v>0.35</v>
      </c>
      <c r="AE17" s="14">
        <v>0.31</v>
      </c>
      <c r="AF17" s="14">
        <v>0.38</v>
      </c>
    </row>
    <row r="18" spans="1:32" ht="24.95">
      <c r="A18" s="20"/>
      <c r="B18" s="11" t="s">
        <v>1008</v>
      </c>
      <c r="C18" s="12">
        <v>6454</v>
      </c>
      <c r="D18" s="12">
        <v>219</v>
      </c>
      <c r="E18" s="12">
        <v>277</v>
      </c>
      <c r="F18" s="12">
        <v>245</v>
      </c>
      <c r="G18" s="12">
        <v>214</v>
      </c>
      <c r="H18" s="12">
        <v>306</v>
      </c>
      <c r="I18" s="12">
        <v>368</v>
      </c>
      <c r="J18" s="12">
        <v>62</v>
      </c>
      <c r="K18" s="12">
        <v>233</v>
      </c>
      <c r="L18" s="12">
        <v>288</v>
      </c>
      <c r="M18" s="12">
        <v>284</v>
      </c>
      <c r="N18" s="12">
        <v>231</v>
      </c>
      <c r="O18" s="12">
        <v>203</v>
      </c>
      <c r="P18" s="12">
        <v>310</v>
      </c>
      <c r="Q18" s="12">
        <v>305</v>
      </c>
      <c r="R18" s="12">
        <v>140</v>
      </c>
      <c r="S18" s="12">
        <v>142</v>
      </c>
      <c r="T18" s="12">
        <v>193</v>
      </c>
      <c r="U18" s="12">
        <v>116</v>
      </c>
      <c r="V18" s="12">
        <v>279</v>
      </c>
      <c r="W18" s="12">
        <v>110</v>
      </c>
      <c r="X18" s="12">
        <v>236</v>
      </c>
      <c r="Y18" s="12">
        <v>326</v>
      </c>
      <c r="Z18" s="12">
        <v>229</v>
      </c>
      <c r="AA18" s="12">
        <v>318</v>
      </c>
      <c r="AB18" s="12">
        <v>306</v>
      </c>
      <c r="AC18" s="12">
        <v>154</v>
      </c>
      <c r="AD18" s="12">
        <v>256</v>
      </c>
      <c r="AE18" s="12">
        <v>124</v>
      </c>
      <c r="AF18" s="12">
        <v>201</v>
      </c>
    </row>
    <row r="19" spans="1:32" ht="24.95">
      <c r="A19" s="20"/>
      <c r="B19" s="13" t="s">
        <v>1009</v>
      </c>
      <c r="C19" s="14">
        <v>0.25</v>
      </c>
      <c r="D19" s="14">
        <v>0.22</v>
      </c>
      <c r="E19" s="14">
        <v>0.27</v>
      </c>
      <c r="F19" s="14">
        <v>0.24</v>
      </c>
      <c r="G19" s="14">
        <v>0.21</v>
      </c>
      <c r="H19" s="14">
        <v>0.25</v>
      </c>
      <c r="I19" s="14">
        <v>0.24</v>
      </c>
      <c r="J19" s="14">
        <v>0.21</v>
      </c>
      <c r="K19" s="14">
        <v>0.23</v>
      </c>
      <c r="L19" s="14">
        <v>0.28999999999999998</v>
      </c>
      <c r="M19" s="14">
        <v>0.28000000000000003</v>
      </c>
      <c r="N19" s="14">
        <v>0.23</v>
      </c>
      <c r="O19" s="14">
        <v>0.2</v>
      </c>
      <c r="P19" s="14">
        <v>0.3</v>
      </c>
      <c r="Q19" s="14">
        <v>0.3</v>
      </c>
      <c r="R19" s="14">
        <v>0.28000000000000003</v>
      </c>
      <c r="S19" s="14">
        <v>0.14000000000000001</v>
      </c>
      <c r="T19" s="14">
        <v>0.19</v>
      </c>
      <c r="U19" s="14">
        <v>0.23</v>
      </c>
      <c r="V19" s="14">
        <v>0.27</v>
      </c>
      <c r="W19" s="14">
        <v>0.22</v>
      </c>
      <c r="X19" s="14">
        <v>0.23</v>
      </c>
      <c r="Y19" s="14">
        <v>0.32</v>
      </c>
      <c r="Z19" s="14">
        <v>0.23</v>
      </c>
      <c r="AA19" s="14">
        <v>0.3</v>
      </c>
      <c r="AB19" s="14">
        <v>0.28999999999999998</v>
      </c>
      <c r="AC19" s="14">
        <v>0.15</v>
      </c>
      <c r="AD19" s="14">
        <v>0.25</v>
      </c>
      <c r="AE19" s="14">
        <v>0.12</v>
      </c>
      <c r="AF19" s="14">
        <v>0.2</v>
      </c>
    </row>
    <row r="20" spans="1:32" ht="36.950000000000003">
      <c r="A20" s="20"/>
      <c r="B20" s="11" t="s">
        <v>1010</v>
      </c>
      <c r="C20" s="12">
        <v>10457</v>
      </c>
      <c r="D20" s="12">
        <v>373</v>
      </c>
      <c r="E20" s="12">
        <v>479</v>
      </c>
      <c r="F20" s="12">
        <v>466</v>
      </c>
      <c r="G20" s="12">
        <v>541</v>
      </c>
      <c r="H20" s="12">
        <v>494</v>
      </c>
      <c r="I20" s="12">
        <v>633</v>
      </c>
      <c r="J20" s="12">
        <v>139</v>
      </c>
      <c r="K20" s="12">
        <v>398</v>
      </c>
      <c r="L20" s="12">
        <v>384</v>
      </c>
      <c r="M20" s="12">
        <v>529</v>
      </c>
      <c r="N20" s="12">
        <v>331</v>
      </c>
      <c r="O20" s="12">
        <v>379</v>
      </c>
      <c r="P20" s="12">
        <v>532</v>
      </c>
      <c r="Q20" s="12">
        <v>380</v>
      </c>
      <c r="R20" s="12">
        <v>226</v>
      </c>
      <c r="S20" s="12">
        <v>328</v>
      </c>
      <c r="T20" s="12">
        <v>391</v>
      </c>
      <c r="U20" s="12">
        <v>207</v>
      </c>
      <c r="V20" s="12">
        <v>425</v>
      </c>
      <c r="W20" s="12">
        <v>243</v>
      </c>
      <c r="X20" s="12">
        <v>504</v>
      </c>
      <c r="Y20" s="12">
        <v>449</v>
      </c>
      <c r="Z20" s="12">
        <v>315</v>
      </c>
      <c r="AA20" s="12">
        <v>347</v>
      </c>
      <c r="AB20" s="12">
        <v>416</v>
      </c>
      <c r="AC20" s="12">
        <v>395</v>
      </c>
      <c r="AD20" s="12">
        <v>544</v>
      </c>
      <c r="AE20" s="12">
        <v>467</v>
      </c>
      <c r="AF20" s="12">
        <v>516</v>
      </c>
    </row>
    <row r="21" spans="1:32" ht="36.950000000000003">
      <c r="A21" s="20"/>
      <c r="B21" s="13" t="s">
        <v>1011</v>
      </c>
      <c r="C21" s="14">
        <v>0.4</v>
      </c>
      <c r="D21" s="14">
        <v>0.37</v>
      </c>
      <c r="E21" s="14">
        <v>0.47</v>
      </c>
      <c r="F21" s="14">
        <v>0.46</v>
      </c>
      <c r="G21" s="14">
        <v>0.54</v>
      </c>
      <c r="H21" s="14">
        <v>0.41</v>
      </c>
      <c r="I21" s="14">
        <v>0.42</v>
      </c>
      <c r="J21" s="14">
        <v>0.47</v>
      </c>
      <c r="K21" s="14">
        <v>0.4</v>
      </c>
      <c r="L21" s="14">
        <v>0.38</v>
      </c>
      <c r="M21" s="14">
        <v>0.53</v>
      </c>
      <c r="N21" s="14">
        <v>0.33</v>
      </c>
      <c r="O21" s="14">
        <v>0.38</v>
      </c>
      <c r="P21" s="14">
        <v>0.52</v>
      </c>
      <c r="Q21" s="14">
        <v>0.37</v>
      </c>
      <c r="R21" s="14">
        <v>0.45</v>
      </c>
      <c r="S21" s="14">
        <v>0.33</v>
      </c>
      <c r="T21" s="14">
        <v>0.39</v>
      </c>
      <c r="U21" s="14">
        <v>0.41</v>
      </c>
      <c r="V21" s="14">
        <v>0.42</v>
      </c>
      <c r="W21" s="14">
        <v>0.48</v>
      </c>
      <c r="X21" s="14">
        <v>0.49</v>
      </c>
      <c r="Y21" s="14">
        <v>0.45</v>
      </c>
      <c r="Z21" s="14">
        <v>0.31</v>
      </c>
      <c r="AA21" s="14">
        <v>0.33</v>
      </c>
      <c r="AB21" s="14">
        <v>0.4</v>
      </c>
      <c r="AC21" s="14">
        <v>0.39</v>
      </c>
      <c r="AD21" s="14">
        <v>0.54</v>
      </c>
      <c r="AE21" s="14">
        <v>0.47</v>
      </c>
      <c r="AF21" s="14">
        <v>0.51</v>
      </c>
    </row>
    <row r="22" spans="1:32" ht="36.950000000000003">
      <c r="A22" s="20"/>
      <c r="B22" s="11" t="s">
        <v>1012</v>
      </c>
      <c r="C22" s="12">
        <v>9913</v>
      </c>
      <c r="D22" s="12">
        <v>354</v>
      </c>
      <c r="E22" s="12">
        <v>508</v>
      </c>
      <c r="F22" s="12">
        <v>469</v>
      </c>
      <c r="G22" s="12">
        <v>236</v>
      </c>
      <c r="H22" s="12">
        <v>442</v>
      </c>
      <c r="I22" s="12">
        <v>579</v>
      </c>
      <c r="J22" s="12">
        <v>137</v>
      </c>
      <c r="K22" s="12">
        <v>394</v>
      </c>
      <c r="L22" s="12">
        <v>399</v>
      </c>
      <c r="M22" s="12">
        <v>588</v>
      </c>
      <c r="N22" s="12">
        <v>349</v>
      </c>
      <c r="O22" s="12">
        <v>329</v>
      </c>
      <c r="P22" s="12">
        <v>547</v>
      </c>
      <c r="Q22" s="12">
        <v>415</v>
      </c>
      <c r="R22" s="12">
        <v>231</v>
      </c>
      <c r="S22" s="12">
        <v>316</v>
      </c>
      <c r="T22" s="12">
        <v>414</v>
      </c>
      <c r="U22" s="12">
        <v>158</v>
      </c>
      <c r="V22" s="12">
        <v>460</v>
      </c>
      <c r="W22" s="12">
        <v>210</v>
      </c>
      <c r="X22" s="12">
        <v>370</v>
      </c>
      <c r="Y22" s="12">
        <v>444</v>
      </c>
      <c r="Z22" s="12">
        <v>341</v>
      </c>
      <c r="AA22" s="12">
        <v>364</v>
      </c>
      <c r="AB22" s="12">
        <v>439</v>
      </c>
      <c r="AC22" s="12">
        <v>388</v>
      </c>
      <c r="AD22" s="12">
        <v>534</v>
      </c>
      <c r="AE22" s="12">
        <v>215</v>
      </c>
      <c r="AF22" s="12">
        <v>238</v>
      </c>
    </row>
    <row r="23" spans="1:32" ht="24.95">
      <c r="A23" s="20"/>
      <c r="B23" s="13" t="s">
        <v>1013</v>
      </c>
      <c r="C23" s="14">
        <v>0.38</v>
      </c>
      <c r="D23" s="14">
        <v>0.35</v>
      </c>
      <c r="E23" s="14">
        <v>0.5</v>
      </c>
      <c r="F23" s="14">
        <v>0.47</v>
      </c>
      <c r="G23" s="14">
        <v>0.24</v>
      </c>
      <c r="H23" s="14">
        <v>0.36</v>
      </c>
      <c r="I23" s="14">
        <v>0.38</v>
      </c>
      <c r="J23" s="14">
        <v>0.47</v>
      </c>
      <c r="K23" s="14">
        <v>0.39</v>
      </c>
      <c r="L23" s="14">
        <v>0.4</v>
      </c>
      <c r="M23" s="14">
        <v>0.59</v>
      </c>
      <c r="N23" s="14">
        <v>0.35</v>
      </c>
      <c r="O23" s="14">
        <v>0.33</v>
      </c>
      <c r="P23" s="14">
        <v>0.54</v>
      </c>
      <c r="Q23" s="14">
        <v>0.41</v>
      </c>
      <c r="R23" s="14">
        <v>0.46</v>
      </c>
      <c r="S23" s="14">
        <v>0.31</v>
      </c>
      <c r="T23" s="14">
        <v>0.41</v>
      </c>
      <c r="U23" s="14">
        <v>0.31</v>
      </c>
      <c r="V23" s="14">
        <v>0.45</v>
      </c>
      <c r="W23" s="14">
        <v>0.42</v>
      </c>
      <c r="X23" s="14">
        <v>0.36</v>
      </c>
      <c r="Y23" s="14">
        <v>0.44</v>
      </c>
      <c r="Z23" s="14">
        <v>0.34</v>
      </c>
      <c r="AA23" s="14">
        <v>0.35</v>
      </c>
      <c r="AB23" s="14">
        <v>0.42</v>
      </c>
      <c r="AC23" s="14">
        <v>0.38</v>
      </c>
      <c r="AD23" s="14">
        <v>0.53</v>
      </c>
      <c r="AE23" s="14">
        <v>0.21</v>
      </c>
      <c r="AF23" s="14">
        <v>0.23</v>
      </c>
    </row>
    <row r="24" spans="1:32" ht="60.95">
      <c r="A24" s="20"/>
      <c r="B24" s="11" t="s">
        <v>1014</v>
      </c>
      <c r="C24" s="12">
        <v>8924</v>
      </c>
      <c r="D24" s="12">
        <v>324</v>
      </c>
      <c r="E24" s="12">
        <v>352</v>
      </c>
      <c r="F24" s="12">
        <v>234</v>
      </c>
      <c r="G24" s="12">
        <v>450</v>
      </c>
      <c r="H24" s="12">
        <v>404</v>
      </c>
      <c r="I24" s="12">
        <v>520</v>
      </c>
      <c r="J24" s="12">
        <v>116</v>
      </c>
      <c r="K24" s="12">
        <v>269</v>
      </c>
      <c r="L24" s="12">
        <v>339</v>
      </c>
      <c r="M24" s="12">
        <v>371</v>
      </c>
      <c r="N24" s="12">
        <v>277</v>
      </c>
      <c r="O24" s="12">
        <v>292</v>
      </c>
      <c r="P24" s="12">
        <v>423</v>
      </c>
      <c r="Q24" s="12">
        <v>379</v>
      </c>
      <c r="R24" s="12">
        <v>229</v>
      </c>
      <c r="S24" s="12">
        <v>181</v>
      </c>
      <c r="T24" s="12">
        <v>260</v>
      </c>
      <c r="U24" s="12">
        <v>163</v>
      </c>
      <c r="V24" s="12">
        <v>359</v>
      </c>
      <c r="W24" s="12">
        <v>243</v>
      </c>
      <c r="X24" s="12">
        <v>468</v>
      </c>
      <c r="Y24" s="12">
        <v>411</v>
      </c>
      <c r="Z24" s="12">
        <v>316</v>
      </c>
      <c r="AA24" s="12">
        <v>294</v>
      </c>
      <c r="AB24" s="12">
        <v>385</v>
      </c>
      <c r="AC24" s="12">
        <v>281</v>
      </c>
      <c r="AD24" s="12">
        <v>398</v>
      </c>
      <c r="AE24" s="12">
        <v>371</v>
      </c>
      <c r="AF24" s="12">
        <v>558</v>
      </c>
    </row>
    <row r="25" spans="1:32" ht="48.95">
      <c r="A25" s="20"/>
      <c r="B25" s="13" t="s">
        <v>1015</v>
      </c>
      <c r="C25" s="14">
        <v>0.34</v>
      </c>
      <c r="D25" s="14">
        <v>0.32</v>
      </c>
      <c r="E25" s="14">
        <v>0.35</v>
      </c>
      <c r="F25" s="14">
        <v>0.23</v>
      </c>
      <c r="G25" s="14">
        <v>0.45</v>
      </c>
      <c r="H25" s="14">
        <v>0.33</v>
      </c>
      <c r="I25" s="14">
        <v>0.34</v>
      </c>
      <c r="J25" s="14">
        <v>0.4</v>
      </c>
      <c r="K25" s="14">
        <v>0.27</v>
      </c>
      <c r="L25" s="14">
        <v>0.34</v>
      </c>
      <c r="M25" s="14">
        <v>0.37</v>
      </c>
      <c r="N25" s="14">
        <v>0.28000000000000003</v>
      </c>
      <c r="O25" s="14">
        <v>0.28999999999999998</v>
      </c>
      <c r="P25" s="14">
        <v>0.41</v>
      </c>
      <c r="Q25" s="14">
        <v>0.37</v>
      </c>
      <c r="R25" s="14">
        <v>0.46</v>
      </c>
      <c r="S25" s="14">
        <v>0.18</v>
      </c>
      <c r="T25" s="14">
        <v>0.26</v>
      </c>
      <c r="U25" s="14">
        <v>0.32</v>
      </c>
      <c r="V25" s="14">
        <v>0.35</v>
      </c>
      <c r="W25" s="14">
        <v>0.48</v>
      </c>
      <c r="X25" s="14">
        <v>0.46</v>
      </c>
      <c r="Y25" s="14">
        <v>0.41</v>
      </c>
      <c r="Z25" s="14">
        <v>0.31</v>
      </c>
      <c r="AA25" s="14">
        <v>0.28000000000000003</v>
      </c>
      <c r="AB25" s="14">
        <v>0.37</v>
      </c>
      <c r="AC25" s="14">
        <v>0.28000000000000003</v>
      </c>
      <c r="AD25" s="14">
        <v>0.4</v>
      </c>
      <c r="AE25" s="14">
        <v>0.37</v>
      </c>
      <c r="AF25" s="14">
        <v>0.55000000000000004</v>
      </c>
    </row>
    <row r="26" spans="1:32" ht="24.95">
      <c r="A26" s="20"/>
      <c r="B26" s="11" t="s">
        <v>1016</v>
      </c>
      <c r="C26" s="12">
        <v>8679</v>
      </c>
      <c r="D26" s="12">
        <v>323</v>
      </c>
      <c r="E26" s="12">
        <v>400</v>
      </c>
      <c r="F26" s="12">
        <v>304</v>
      </c>
      <c r="G26" s="12">
        <v>331</v>
      </c>
      <c r="H26" s="12">
        <v>450</v>
      </c>
      <c r="I26" s="12">
        <v>558</v>
      </c>
      <c r="J26" s="12">
        <v>108</v>
      </c>
      <c r="K26" s="12">
        <v>328</v>
      </c>
      <c r="L26" s="12">
        <v>389</v>
      </c>
      <c r="M26" s="12">
        <v>438</v>
      </c>
      <c r="N26" s="12">
        <v>299</v>
      </c>
      <c r="O26" s="12">
        <v>314</v>
      </c>
      <c r="P26" s="12">
        <v>417</v>
      </c>
      <c r="Q26" s="12">
        <v>329</v>
      </c>
      <c r="R26" s="12">
        <v>178</v>
      </c>
      <c r="S26" s="12">
        <v>228</v>
      </c>
      <c r="T26" s="12">
        <v>254</v>
      </c>
      <c r="U26" s="12">
        <v>152</v>
      </c>
      <c r="V26" s="12">
        <v>366</v>
      </c>
      <c r="W26" s="12">
        <v>147</v>
      </c>
      <c r="X26" s="12">
        <v>274</v>
      </c>
      <c r="Y26" s="12">
        <v>375</v>
      </c>
      <c r="Z26" s="12">
        <v>268</v>
      </c>
      <c r="AA26" s="12">
        <v>328</v>
      </c>
      <c r="AB26" s="12">
        <v>352</v>
      </c>
      <c r="AC26" s="12">
        <v>233</v>
      </c>
      <c r="AD26" s="12">
        <v>458</v>
      </c>
      <c r="AE26" s="12">
        <v>349</v>
      </c>
      <c r="AF26" s="12">
        <v>404</v>
      </c>
    </row>
    <row r="27" spans="1:32" ht="24.95">
      <c r="A27" s="20"/>
      <c r="B27" s="13" t="s">
        <v>1017</v>
      </c>
      <c r="C27" s="14">
        <v>0.33</v>
      </c>
      <c r="D27" s="14">
        <v>0.32</v>
      </c>
      <c r="E27" s="14">
        <v>0.39</v>
      </c>
      <c r="F27" s="14">
        <v>0.3</v>
      </c>
      <c r="G27" s="14">
        <v>0.33</v>
      </c>
      <c r="H27" s="14">
        <v>0.37</v>
      </c>
      <c r="I27" s="14">
        <v>0.37</v>
      </c>
      <c r="J27" s="14">
        <v>0.37</v>
      </c>
      <c r="K27" s="14">
        <v>0.33</v>
      </c>
      <c r="L27" s="14">
        <v>0.39</v>
      </c>
      <c r="M27" s="14">
        <v>0.44</v>
      </c>
      <c r="N27" s="14">
        <v>0.3</v>
      </c>
      <c r="O27" s="14">
        <v>0.31</v>
      </c>
      <c r="P27" s="14">
        <v>0.41</v>
      </c>
      <c r="Q27" s="14">
        <v>0.32</v>
      </c>
      <c r="R27" s="14">
        <v>0.36</v>
      </c>
      <c r="S27" s="14">
        <v>0.23</v>
      </c>
      <c r="T27" s="14">
        <v>0.25</v>
      </c>
      <c r="U27" s="14">
        <v>0.3</v>
      </c>
      <c r="V27" s="14">
        <v>0.36</v>
      </c>
      <c r="W27" s="14">
        <v>0.28999999999999998</v>
      </c>
      <c r="X27" s="14">
        <v>0.27</v>
      </c>
      <c r="Y27" s="14">
        <v>0.37</v>
      </c>
      <c r="Z27" s="14">
        <v>0.27</v>
      </c>
      <c r="AA27" s="14">
        <v>0.31</v>
      </c>
      <c r="AB27" s="14">
        <v>0.34</v>
      </c>
      <c r="AC27" s="14">
        <v>0.23</v>
      </c>
      <c r="AD27" s="14">
        <v>0.46</v>
      </c>
      <c r="AE27" s="14">
        <v>0.35</v>
      </c>
      <c r="AF27" s="14">
        <v>0.4</v>
      </c>
    </row>
    <row r="28" spans="1:32">
      <c r="A28" s="20"/>
      <c r="B28" s="11" t="s">
        <v>519</v>
      </c>
      <c r="C28" s="12">
        <v>109</v>
      </c>
      <c r="D28" s="12">
        <v>2</v>
      </c>
      <c r="E28" s="12">
        <v>3</v>
      </c>
      <c r="F28" s="12">
        <v>2</v>
      </c>
      <c r="G28" s="12">
        <v>6</v>
      </c>
      <c r="H28" s="12">
        <v>9</v>
      </c>
      <c r="I28" s="12">
        <v>9</v>
      </c>
      <c r="J28" s="12">
        <v>0</v>
      </c>
      <c r="K28" s="12">
        <v>10</v>
      </c>
      <c r="L28" s="12">
        <v>1</v>
      </c>
      <c r="M28" s="12">
        <v>2</v>
      </c>
      <c r="N28" s="12">
        <v>8</v>
      </c>
      <c r="O28" s="12">
        <v>3</v>
      </c>
      <c r="P28" s="12">
        <v>0</v>
      </c>
      <c r="Q28" s="12">
        <v>1</v>
      </c>
      <c r="R28" s="12">
        <v>0</v>
      </c>
      <c r="S28" s="12">
        <v>17</v>
      </c>
      <c r="T28" s="12">
        <v>4</v>
      </c>
      <c r="U28" s="12">
        <v>5</v>
      </c>
      <c r="V28" s="12">
        <v>0</v>
      </c>
      <c r="W28" s="12">
        <v>1</v>
      </c>
      <c r="X28" s="12">
        <v>3</v>
      </c>
      <c r="Y28" s="12">
        <v>20</v>
      </c>
      <c r="Z28" s="12">
        <v>1</v>
      </c>
      <c r="AA28" s="12">
        <v>7</v>
      </c>
      <c r="AB28" s="12">
        <v>6</v>
      </c>
      <c r="AC28" s="12">
        <v>8</v>
      </c>
      <c r="AD28" s="12">
        <v>3</v>
      </c>
      <c r="AE28" s="12">
        <v>3</v>
      </c>
      <c r="AF28" s="12">
        <v>3</v>
      </c>
    </row>
    <row r="29" spans="1:32">
      <c r="A29" s="20"/>
      <c r="B29" s="13" t="s">
        <v>520</v>
      </c>
      <c r="C29" s="15" t="s">
        <v>459</v>
      </c>
      <c r="D29" s="15" t="s">
        <v>459</v>
      </c>
      <c r="E29" s="15" t="s">
        <v>459</v>
      </c>
      <c r="F29" s="15" t="s">
        <v>459</v>
      </c>
      <c r="G29" s="14">
        <v>0.01</v>
      </c>
      <c r="H29" s="14">
        <v>0.01</v>
      </c>
      <c r="I29" s="14">
        <v>0.01</v>
      </c>
      <c r="J29" s="15" t="s">
        <v>459</v>
      </c>
      <c r="K29" s="14">
        <v>0.01</v>
      </c>
      <c r="L29" s="15" t="s">
        <v>459</v>
      </c>
      <c r="M29" s="15" t="s">
        <v>459</v>
      </c>
      <c r="N29" s="14">
        <v>0.01</v>
      </c>
      <c r="O29" s="15" t="s">
        <v>459</v>
      </c>
      <c r="P29" s="15" t="s">
        <v>459</v>
      </c>
      <c r="Q29" s="15" t="s">
        <v>459</v>
      </c>
      <c r="R29" s="15" t="s">
        <v>459</v>
      </c>
      <c r="S29" s="14">
        <v>0.02</v>
      </c>
      <c r="T29" s="15" t="s">
        <v>459</v>
      </c>
      <c r="U29" s="14">
        <v>0.01</v>
      </c>
      <c r="V29" s="15" t="s">
        <v>459</v>
      </c>
      <c r="W29" s="15" t="s">
        <v>459</v>
      </c>
      <c r="X29" s="15" t="s">
        <v>459</v>
      </c>
      <c r="Y29" s="14">
        <v>0.02</v>
      </c>
      <c r="Z29" s="15" t="s">
        <v>459</v>
      </c>
      <c r="AA29" s="14">
        <v>0.01</v>
      </c>
      <c r="AB29" s="14">
        <v>0.01</v>
      </c>
      <c r="AC29" s="14">
        <v>0.01</v>
      </c>
      <c r="AD29" s="15" t="s">
        <v>459</v>
      </c>
      <c r="AE29" s="15" t="s">
        <v>459</v>
      </c>
      <c r="AF29" s="15" t="s">
        <v>459</v>
      </c>
    </row>
    <row r="30" spans="1:32" ht="24.95">
      <c r="A30" s="20"/>
      <c r="B30" s="11" t="s">
        <v>551</v>
      </c>
      <c r="C30" s="12">
        <v>2100</v>
      </c>
      <c r="D30" s="12">
        <v>36</v>
      </c>
      <c r="E30" s="12">
        <v>70</v>
      </c>
      <c r="F30" s="12">
        <v>63</v>
      </c>
      <c r="G30" s="12">
        <v>58</v>
      </c>
      <c r="H30" s="12">
        <v>117</v>
      </c>
      <c r="I30" s="12">
        <v>136</v>
      </c>
      <c r="J30" s="12">
        <v>19</v>
      </c>
      <c r="K30" s="12">
        <v>160</v>
      </c>
      <c r="L30" s="12">
        <v>62</v>
      </c>
      <c r="M30" s="12">
        <v>50</v>
      </c>
      <c r="N30" s="12">
        <v>101</v>
      </c>
      <c r="O30" s="12">
        <v>102</v>
      </c>
      <c r="P30" s="12">
        <v>41</v>
      </c>
      <c r="Q30" s="12">
        <v>62</v>
      </c>
      <c r="R30" s="12">
        <v>31</v>
      </c>
      <c r="S30" s="12">
        <v>139</v>
      </c>
      <c r="T30" s="12">
        <v>186</v>
      </c>
      <c r="U30" s="12">
        <v>19</v>
      </c>
      <c r="V30" s="12">
        <v>107</v>
      </c>
      <c r="W30" s="12">
        <v>16</v>
      </c>
      <c r="X30" s="12">
        <v>22</v>
      </c>
      <c r="Y30" s="12">
        <v>111</v>
      </c>
      <c r="Z30" s="12">
        <v>76</v>
      </c>
      <c r="AA30" s="12">
        <v>128</v>
      </c>
      <c r="AB30" s="12">
        <v>67</v>
      </c>
      <c r="AC30" s="12">
        <v>200</v>
      </c>
      <c r="AD30" s="12">
        <v>50</v>
      </c>
      <c r="AE30" s="12">
        <v>63</v>
      </c>
      <c r="AF30" s="12">
        <v>16</v>
      </c>
    </row>
    <row r="31" spans="1:32">
      <c r="A31" s="20"/>
      <c r="B31" s="13" t="s">
        <v>522</v>
      </c>
      <c r="C31" s="14">
        <v>0.08</v>
      </c>
      <c r="D31" s="14">
        <v>0.04</v>
      </c>
      <c r="E31" s="14">
        <v>7.0000000000000007E-2</v>
      </c>
      <c r="F31" s="14">
        <v>0.06</v>
      </c>
      <c r="G31" s="14">
        <v>0.06</v>
      </c>
      <c r="H31" s="14">
        <v>0.1</v>
      </c>
      <c r="I31" s="14">
        <v>0.09</v>
      </c>
      <c r="J31" s="14">
        <v>0.06</v>
      </c>
      <c r="K31" s="14">
        <v>0.16</v>
      </c>
      <c r="L31" s="14">
        <v>0.06</v>
      </c>
      <c r="M31" s="14">
        <v>0.05</v>
      </c>
      <c r="N31" s="14">
        <v>0.1</v>
      </c>
      <c r="O31" s="14">
        <v>0.1</v>
      </c>
      <c r="P31" s="14">
        <v>0.04</v>
      </c>
      <c r="Q31" s="14">
        <v>0.06</v>
      </c>
      <c r="R31" s="14">
        <v>0.06</v>
      </c>
      <c r="S31" s="14">
        <v>0.14000000000000001</v>
      </c>
      <c r="T31" s="14">
        <v>0.18</v>
      </c>
      <c r="U31" s="14">
        <v>0.04</v>
      </c>
      <c r="V31" s="14">
        <v>0.11</v>
      </c>
      <c r="W31" s="14">
        <v>0.03</v>
      </c>
      <c r="X31" s="14">
        <v>0.02</v>
      </c>
      <c r="Y31" s="14">
        <v>0.11</v>
      </c>
      <c r="Z31" s="14">
        <v>0.08</v>
      </c>
      <c r="AA31" s="14">
        <v>0.12</v>
      </c>
      <c r="AB31" s="14">
        <v>0.06</v>
      </c>
      <c r="AC31" s="14">
        <v>0.2</v>
      </c>
      <c r="AD31" s="14">
        <v>0.05</v>
      </c>
      <c r="AE31" s="14">
        <v>0.06</v>
      </c>
      <c r="AF31" s="14">
        <v>0.02</v>
      </c>
    </row>
    <row r="32" spans="1:32">
      <c r="A32" s="20"/>
      <c r="B32" s="11" t="s">
        <v>468</v>
      </c>
      <c r="C32" s="12">
        <v>564</v>
      </c>
      <c r="D32" s="12">
        <v>7</v>
      </c>
      <c r="E32" s="12">
        <v>16</v>
      </c>
      <c r="F32" s="12">
        <v>43</v>
      </c>
      <c r="G32" s="12">
        <v>19</v>
      </c>
      <c r="H32" s="12">
        <v>17</v>
      </c>
      <c r="I32" s="12">
        <v>19</v>
      </c>
      <c r="J32" s="12">
        <v>2</v>
      </c>
      <c r="K32" s="12">
        <v>36</v>
      </c>
      <c r="L32" s="12">
        <v>18</v>
      </c>
      <c r="M32" s="12">
        <v>1</v>
      </c>
      <c r="N32" s="12">
        <v>44</v>
      </c>
      <c r="O32" s="12">
        <v>28</v>
      </c>
      <c r="P32" s="12">
        <v>3</v>
      </c>
      <c r="Q32" s="12">
        <v>15</v>
      </c>
      <c r="R32" s="12">
        <v>25</v>
      </c>
      <c r="S32" s="12">
        <v>54</v>
      </c>
      <c r="T32" s="12">
        <v>16</v>
      </c>
      <c r="U32" s="12">
        <v>1</v>
      </c>
      <c r="V32" s="12">
        <v>13</v>
      </c>
      <c r="W32" s="12">
        <v>16</v>
      </c>
      <c r="X32" s="12">
        <v>2</v>
      </c>
      <c r="Y32" s="12">
        <v>9</v>
      </c>
      <c r="Z32" s="12">
        <v>30</v>
      </c>
      <c r="AA32" s="12">
        <v>61</v>
      </c>
      <c r="AB32" s="12">
        <v>24</v>
      </c>
      <c r="AC32" s="12">
        <v>9</v>
      </c>
      <c r="AD32" s="12">
        <v>8</v>
      </c>
      <c r="AE32" s="12">
        <v>12</v>
      </c>
      <c r="AF32" s="12">
        <v>2</v>
      </c>
    </row>
    <row r="33" spans="1:32">
      <c r="A33" s="20"/>
      <c r="B33" s="13" t="s">
        <v>469</v>
      </c>
      <c r="C33" s="14">
        <v>0.02</v>
      </c>
      <c r="D33" s="14">
        <v>0.01</v>
      </c>
      <c r="E33" s="14">
        <v>0.02</v>
      </c>
      <c r="F33" s="14">
        <v>0.04</v>
      </c>
      <c r="G33" s="14">
        <v>0.02</v>
      </c>
      <c r="H33" s="14">
        <v>0.01</v>
      </c>
      <c r="I33" s="14">
        <v>0.01</v>
      </c>
      <c r="J33" s="14">
        <v>0.01</v>
      </c>
      <c r="K33" s="14">
        <v>0.04</v>
      </c>
      <c r="L33" s="14">
        <v>0.02</v>
      </c>
      <c r="M33" s="15" t="s">
        <v>459</v>
      </c>
      <c r="N33" s="14">
        <v>0.04</v>
      </c>
      <c r="O33" s="14">
        <v>0.03</v>
      </c>
      <c r="P33" s="15" t="s">
        <v>459</v>
      </c>
      <c r="Q33" s="14">
        <v>0.01</v>
      </c>
      <c r="R33" s="14">
        <v>0.05</v>
      </c>
      <c r="S33" s="14">
        <v>0.05</v>
      </c>
      <c r="T33" s="14">
        <v>0.02</v>
      </c>
      <c r="U33" s="15" t="s">
        <v>459</v>
      </c>
      <c r="V33" s="14">
        <v>0.01</v>
      </c>
      <c r="W33" s="14">
        <v>0.03</v>
      </c>
      <c r="X33" s="15" t="s">
        <v>459</v>
      </c>
      <c r="Y33" s="14">
        <v>0.01</v>
      </c>
      <c r="Z33" s="14">
        <v>0.03</v>
      </c>
      <c r="AA33" s="14">
        <v>0.06</v>
      </c>
      <c r="AB33" s="14">
        <v>0.02</v>
      </c>
      <c r="AC33" s="14">
        <v>0.01</v>
      </c>
      <c r="AD33" s="14">
        <v>0.01</v>
      </c>
      <c r="AE33" s="14">
        <v>0.01</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175</v>
      </c>
      <c r="C3" s="18"/>
      <c r="D3" s="18"/>
      <c r="E3" s="18"/>
      <c r="F3" s="18"/>
      <c r="H3" s="18" t="s">
        <v>176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HYPERLINK("#Content!A89","&lt;&lt;Back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9889</v>
      </c>
      <c r="D12" s="12">
        <v>396</v>
      </c>
      <c r="E12" s="12">
        <v>356</v>
      </c>
      <c r="F12" s="12">
        <v>218</v>
      </c>
      <c r="G12" s="12">
        <v>607</v>
      </c>
      <c r="H12" s="12">
        <v>468</v>
      </c>
      <c r="I12" s="12">
        <v>572</v>
      </c>
      <c r="J12" s="12">
        <v>104</v>
      </c>
      <c r="K12" s="12">
        <v>209</v>
      </c>
      <c r="L12" s="12">
        <v>464</v>
      </c>
      <c r="M12" s="12">
        <v>352</v>
      </c>
      <c r="N12" s="12">
        <v>414</v>
      </c>
      <c r="O12" s="12">
        <v>516</v>
      </c>
      <c r="P12" s="12">
        <v>342</v>
      </c>
      <c r="Q12" s="12">
        <v>276</v>
      </c>
      <c r="R12" s="12">
        <v>280</v>
      </c>
      <c r="S12" s="12">
        <v>384</v>
      </c>
      <c r="T12" s="12">
        <v>337</v>
      </c>
      <c r="U12" s="12">
        <v>306</v>
      </c>
      <c r="V12" s="12">
        <v>301</v>
      </c>
      <c r="W12" s="12">
        <v>279</v>
      </c>
      <c r="X12" s="12">
        <v>598</v>
      </c>
      <c r="Y12" s="12">
        <v>295</v>
      </c>
      <c r="Z12" s="12">
        <v>169</v>
      </c>
      <c r="AA12" s="12">
        <v>357</v>
      </c>
      <c r="AB12" s="12">
        <v>177</v>
      </c>
      <c r="AC12" s="12">
        <v>490</v>
      </c>
      <c r="AD12" s="12">
        <v>352</v>
      </c>
      <c r="AE12" s="12">
        <v>581</v>
      </c>
      <c r="AF12" s="12">
        <v>745</v>
      </c>
    </row>
    <row r="13" spans="1:32">
      <c r="A13" s="20"/>
      <c r="B13" s="13" t="s">
        <v>559</v>
      </c>
      <c r="C13" s="14">
        <v>0.37</v>
      </c>
      <c r="D13" s="14">
        <v>0.39</v>
      </c>
      <c r="E13" s="14">
        <v>0.35</v>
      </c>
      <c r="F13" s="14">
        <v>0.22</v>
      </c>
      <c r="G13" s="14">
        <v>0.6</v>
      </c>
      <c r="H13" s="14">
        <v>0.39</v>
      </c>
      <c r="I13" s="14">
        <v>0.38</v>
      </c>
      <c r="J13" s="14">
        <v>0.35</v>
      </c>
      <c r="K13" s="14">
        <v>0.21</v>
      </c>
      <c r="L13" s="14">
        <v>0.46</v>
      </c>
      <c r="M13" s="14">
        <v>0.35</v>
      </c>
      <c r="N13" s="14">
        <v>0.41</v>
      </c>
      <c r="O13" s="14">
        <v>0.51</v>
      </c>
      <c r="P13" s="14">
        <v>0.34</v>
      </c>
      <c r="Q13" s="14">
        <v>0.27</v>
      </c>
      <c r="R13" s="14">
        <v>0.56000000000000005</v>
      </c>
      <c r="S13" s="14">
        <v>0.38</v>
      </c>
      <c r="T13" s="14">
        <v>0.33</v>
      </c>
      <c r="U13" s="14">
        <v>0.6</v>
      </c>
      <c r="V13" s="14">
        <v>0.28999999999999998</v>
      </c>
      <c r="W13" s="14">
        <v>0.55000000000000004</v>
      </c>
      <c r="X13" s="14">
        <v>0.59</v>
      </c>
      <c r="Y13" s="14">
        <v>0.28999999999999998</v>
      </c>
      <c r="Z13" s="14">
        <v>0.17</v>
      </c>
      <c r="AA13" s="14">
        <v>0.34</v>
      </c>
      <c r="AB13" s="14">
        <v>0.17</v>
      </c>
      <c r="AC13" s="14">
        <v>0.49</v>
      </c>
      <c r="AD13" s="14">
        <v>0.35</v>
      </c>
      <c r="AE13" s="14">
        <v>0.57999999999999996</v>
      </c>
      <c r="AF13" s="14">
        <v>0.73</v>
      </c>
    </row>
    <row r="14" spans="1:32">
      <c r="A14" s="20"/>
      <c r="B14" s="11" t="s">
        <v>560</v>
      </c>
      <c r="C14" s="12">
        <v>12382</v>
      </c>
      <c r="D14" s="12">
        <v>449</v>
      </c>
      <c r="E14" s="12">
        <v>484</v>
      </c>
      <c r="F14" s="12">
        <v>500</v>
      </c>
      <c r="G14" s="12">
        <v>330</v>
      </c>
      <c r="H14" s="12">
        <v>565</v>
      </c>
      <c r="I14" s="12">
        <v>687</v>
      </c>
      <c r="J14" s="12">
        <v>122</v>
      </c>
      <c r="K14" s="12">
        <v>407</v>
      </c>
      <c r="L14" s="12">
        <v>381</v>
      </c>
      <c r="M14" s="12">
        <v>553</v>
      </c>
      <c r="N14" s="12">
        <v>426</v>
      </c>
      <c r="O14" s="12">
        <v>373</v>
      </c>
      <c r="P14" s="12">
        <v>540</v>
      </c>
      <c r="Q14" s="12">
        <v>607</v>
      </c>
      <c r="R14" s="12">
        <v>154</v>
      </c>
      <c r="S14" s="12">
        <v>394</v>
      </c>
      <c r="T14" s="12">
        <v>486</v>
      </c>
      <c r="U14" s="12">
        <v>147</v>
      </c>
      <c r="V14" s="12">
        <v>589</v>
      </c>
      <c r="W14" s="12">
        <v>191</v>
      </c>
      <c r="X14" s="12">
        <v>317</v>
      </c>
      <c r="Y14" s="12">
        <v>472</v>
      </c>
      <c r="Z14" s="12">
        <v>656</v>
      </c>
      <c r="AA14" s="12">
        <v>608</v>
      </c>
      <c r="AB14" s="12">
        <v>543</v>
      </c>
      <c r="AC14" s="12">
        <v>386</v>
      </c>
      <c r="AD14" s="12">
        <v>476</v>
      </c>
      <c r="AE14" s="12">
        <v>309</v>
      </c>
      <c r="AF14" s="12">
        <v>232</v>
      </c>
    </row>
    <row r="15" spans="1:32">
      <c r="A15" s="20"/>
      <c r="B15" s="13" t="s">
        <v>561</v>
      </c>
      <c r="C15" s="14">
        <v>0.47</v>
      </c>
      <c r="D15" s="14">
        <v>0.45</v>
      </c>
      <c r="E15" s="14">
        <v>0.47</v>
      </c>
      <c r="F15" s="14">
        <v>0.5</v>
      </c>
      <c r="G15" s="14">
        <v>0.33</v>
      </c>
      <c r="H15" s="14">
        <v>0.46</v>
      </c>
      <c r="I15" s="14">
        <v>0.46</v>
      </c>
      <c r="J15" s="14">
        <v>0.41</v>
      </c>
      <c r="K15" s="14">
        <v>0.4</v>
      </c>
      <c r="L15" s="14">
        <v>0.38</v>
      </c>
      <c r="M15" s="14">
        <v>0.55000000000000004</v>
      </c>
      <c r="N15" s="14">
        <v>0.42</v>
      </c>
      <c r="O15" s="14">
        <v>0.37</v>
      </c>
      <c r="P15" s="14">
        <v>0.53</v>
      </c>
      <c r="Q15" s="14">
        <v>0.6</v>
      </c>
      <c r="R15" s="14">
        <v>0.31</v>
      </c>
      <c r="S15" s="14">
        <v>0.39</v>
      </c>
      <c r="T15" s="14">
        <v>0.48</v>
      </c>
      <c r="U15" s="14">
        <v>0.28999999999999998</v>
      </c>
      <c r="V15" s="14">
        <v>0.57999999999999996</v>
      </c>
      <c r="W15" s="14">
        <v>0.38</v>
      </c>
      <c r="X15" s="14">
        <v>0.31</v>
      </c>
      <c r="Y15" s="14">
        <v>0.47</v>
      </c>
      <c r="Z15" s="14">
        <v>0.65</v>
      </c>
      <c r="AA15" s="14">
        <v>0.57999999999999996</v>
      </c>
      <c r="AB15" s="14">
        <v>0.52</v>
      </c>
      <c r="AC15" s="14">
        <v>0.38</v>
      </c>
      <c r="AD15" s="14">
        <v>0.47</v>
      </c>
      <c r="AE15" s="14">
        <v>0.31</v>
      </c>
      <c r="AF15" s="14">
        <v>0.23</v>
      </c>
    </row>
    <row r="16" spans="1:32">
      <c r="A16" s="20"/>
      <c r="B16" s="11" t="s">
        <v>562</v>
      </c>
      <c r="C16" s="12">
        <v>2801</v>
      </c>
      <c r="D16" s="12">
        <v>107</v>
      </c>
      <c r="E16" s="12">
        <v>99</v>
      </c>
      <c r="F16" s="12">
        <v>209</v>
      </c>
      <c r="G16" s="12">
        <v>47</v>
      </c>
      <c r="H16" s="12">
        <v>132</v>
      </c>
      <c r="I16" s="12">
        <v>185</v>
      </c>
      <c r="J16" s="12">
        <v>52</v>
      </c>
      <c r="K16" s="12">
        <v>226</v>
      </c>
      <c r="L16" s="12">
        <v>87</v>
      </c>
      <c r="M16" s="12">
        <v>56</v>
      </c>
      <c r="N16" s="12">
        <v>97</v>
      </c>
      <c r="O16" s="12">
        <v>75</v>
      </c>
      <c r="P16" s="12">
        <v>93</v>
      </c>
      <c r="Q16" s="12">
        <v>105</v>
      </c>
      <c r="R16" s="12">
        <v>39</v>
      </c>
      <c r="S16" s="12">
        <v>128</v>
      </c>
      <c r="T16" s="12">
        <v>117</v>
      </c>
      <c r="U16" s="12">
        <v>23</v>
      </c>
      <c r="V16" s="12">
        <v>99</v>
      </c>
      <c r="W16" s="12">
        <v>25</v>
      </c>
      <c r="X16" s="12">
        <v>67</v>
      </c>
      <c r="Y16" s="12">
        <v>157</v>
      </c>
      <c r="Z16" s="12">
        <v>139</v>
      </c>
      <c r="AA16" s="12">
        <v>61</v>
      </c>
      <c r="AB16" s="12">
        <v>224</v>
      </c>
      <c r="AC16" s="12">
        <v>86</v>
      </c>
      <c r="AD16" s="12">
        <v>127</v>
      </c>
      <c r="AE16" s="12">
        <v>77</v>
      </c>
      <c r="AF16" s="12">
        <v>27</v>
      </c>
    </row>
    <row r="17" spans="1:32">
      <c r="A17" s="20"/>
      <c r="B17" s="13" t="s">
        <v>563</v>
      </c>
      <c r="C17" s="14">
        <v>0.11</v>
      </c>
      <c r="D17" s="14">
        <v>0.11</v>
      </c>
      <c r="E17" s="14">
        <v>0.1</v>
      </c>
      <c r="F17" s="14">
        <v>0.21</v>
      </c>
      <c r="G17" s="14">
        <v>0.05</v>
      </c>
      <c r="H17" s="14">
        <v>0.11</v>
      </c>
      <c r="I17" s="14">
        <v>0.12</v>
      </c>
      <c r="J17" s="14">
        <v>0.18</v>
      </c>
      <c r="K17" s="14">
        <v>0.22</v>
      </c>
      <c r="L17" s="14">
        <v>0.09</v>
      </c>
      <c r="M17" s="14">
        <v>0.06</v>
      </c>
      <c r="N17" s="14">
        <v>0.1</v>
      </c>
      <c r="O17" s="14">
        <v>0.08</v>
      </c>
      <c r="P17" s="14">
        <v>0.09</v>
      </c>
      <c r="Q17" s="14">
        <v>0.1</v>
      </c>
      <c r="R17" s="14">
        <v>0.08</v>
      </c>
      <c r="S17" s="14">
        <v>0.13</v>
      </c>
      <c r="T17" s="14">
        <v>0.12</v>
      </c>
      <c r="U17" s="14">
        <v>0.04</v>
      </c>
      <c r="V17" s="14">
        <v>0.1</v>
      </c>
      <c r="W17" s="14">
        <v>0.05</v>
      </c>
      <c r="X17" s="14">
        <v>0.06</v>
      </c>
      <c r="Y17" s="14">
        <v>0.16</v>
      </c>
      <c r="Z17" s="14">
        <v>0.14000000000000001</v>
      </c>
      <c r="AA17" s="14">
        <v>0.06</v>
      </c>
      <c r="AB17" s="14">
        <v>0.22</v>
      </c>
      <c r="AC17" s="14">
        <v>0.09</v>
      </c>
      <c r="AD17" s="14">
        <v>0.13</v>
      </c>
      <c r="AE17" s="14">
        <v>7.0000000000000007E-2</v>
      </c>
      <c r="AF17" s="14">
        <v>0.03</v>
      </c>
    </row>
    <row r="18" spans="1:32">
      <c r="A18" s="20"/>
      <c r="B18" s="11" t="s">
        <v>564</v>
      </c>
      <c r="C18" s="12">
        <v>820</v>
      </c>
      <c r="D18" s="12">
        <v>49</v>
      </c>
      <c r="E18" s="12">
        <v>41</v>
      </c>
      <c r="F18" s="12">
        <v>45</v>
      </c>
      <c r="G18" s="12">
        <v>12</v>
      </c>
      <c r="H18" s="12">
        <v>34</v>
      </c>
      <c r="I18" s="12">
        <v>45</v>
      </c>
      <c r="J18" s="12">
        <v>11</v>
      </c>
      <c r="K18" s="12">
        <v>117</v>
      </c>
      <c r="L18" s="12">
        <v>54</v>
      </c>
      <c r="M18" s="12">
        <v>36</v>
      </c>
      <c r="N18" s="12">
        <v>42</v>
      </c>
      <c r="O18" s="12">
        <v>25</v>
      </c>
      <c r="P18" s="12">
        <v>33</v>
      </c>
      <c r="Q18" s="12">
        <v>23</v>
      </c>
      <c r="R18" s="12">
        <v>18</v>
      </c>
      <c r="S18" s="12">
        <v>83</v>
      </c>
      <c r="T18" s="12">
        <v>44</v>
      </c>
      <c r="U18" s="12">
        <v>23</v>
      </c>
      <c r="V18" s="12">
        <v>9</v>
      </c>
      <c r="W18" s="12">
        <v>5</v>
      </c>
      <c r="X18" s="12">
        <v>33</v>
      </c>
      <c r="Y18" s="12">
        <v>55</v>
      </c>
      <c r="Z18" s="12">
        <v>21</v>
      </c>
      <c r="AA18" s="12">
        <v>5</v>
      </c>
      <c r="AB18" s="12">
        <v>66</v>
      </c>
      <c r="AC18" s="12">
        <v>44</v>
      </c>
      <c r="AD18" s="12">
        <v>30</v>
      </c>
      <c r="AE18" s="12">
        <v>27</v>
      </c>
      <c r="AF18" s="12">
        <v>14</v>
      </c>
    </row>
    <row r="19" spans="1:32">
      <c r="A19" s="20"/>
      <c r="B19" s="13" t="s">
        <v>565</v>
      </c>
      <c r="C19" s="14">
        <v>0.03</v>
      </c>
      <c r="D19" s="14">
        <v>0.05</v>
      </c>
      <c r="E19" s="14">
        <v>0.04</v>
      </c>
      <c r="F19" s="14">
        <v>0.04</v>
      </c>
      <c r="G19" s="14">
        <v>0.01</v>
      </c>
      <c r="H19" s="14">
        <v>0.03</v>
      </c>
      <c r="I19" s="14">
        <v>0.03</v>
      </c>
      <c r="J19" s="14">
        <v>0.04</v>
      </c>
      <c r="K19" s="14">
        <v>0.12</v>
      </c>
      <c r="L19" s="14">
        <v>0.05</v>
      </c>
      <c r="M19" s="14">
        <v>0.04</v>
      </c>
      <c r="N19" s="14">
        <v>0.04</v>
      </c>
      <c r="O19" s="14">
        <v>0.02</v>
      </c>
      <c r="P19" s="14">
        <v>0.03</v>
      </c>
      <c r="Q19" s="14">
        <v>0.02</v>
      </c>
      <c r="R19" s="14">
        <v>0.03</v>
      </c>
      <c r="S19" s="14">
        <v>0.08</v>
      </c>
      <c r="T19" s="14">
        <v>0.04</v>
      </c>
      <c r="U19" s="14">
        <v>0.05</v>
      </c>
      <c r="V19" s="14">
        <v>0.01</v>
      </c>
      <c r="W19" s="14">
        <v>0.01</v>
      </c>
      <c r="X19" s="14">
        <v>0.03</v>
      </c>
      <c r="Y19" s="14">
        <v>0.05</v>
      </c>
      <c r="Z19" s="14">
        <v>0.02</v>
      </c>
      <c r="AA19" s="15" t="s">
        <v>459</v>
      </c>
      <c r="AB19" s="14">
        <v>0.06</v>
      </c>
      <c r="AC19" s="14">
        <v>0.04</v>
      </c>
      <c r="AD19" s="14">
        <v>0.03</v>
      </c>
      <c r="AE19" s="14">
        <v>0.03</v>
      </c>
      <c r="AF19" s="14">
        <v>0.01</v>
      </c>
    </row>
    <row r="20" spans="1:32">
      <c r="A20" s="20"/>
      <c r="B20" s="11" t="s">
        <v>468</v>
      </c>
      <c r="C20" s="12">
        <v>427</v>
      </c>
      <c r="D20" s="12">
        <v>3</v>
      </c>
      <c r="E20" s="12">
        <v>37</v>
      </c>
      <c r="F20" s="12">
        <v>33</v>
      </c>
      <c r="G20" s="12">
        <v>7</v>
      </c>
      <c r="H20" s="12">
        <v>16</v>
      </c>
      <c r="I20" s="12">
        <v>21</v>
      </c>
      <c r="J20" s="12">
        <v>5</v>
      </c>
      <c r="K20" s="12">
        <v>48</v>
      </c>
      <c r="L20" s="12">
        <v>20</v>
      </c>
      <c r="M20" s="12">
        <v>6</v>
      </c>
      <c r="N20" s="12">
        <v>25</v>
      </c>
      <c r="O20" s="12">
        <v>15</v>
      </c>
      <c r="P20" s="12">
        <v>13</v>
      </c>
      <c r="Q20" s="12">
        <v>8</v>
      </c>
      <c r="R20" s="12">
        <v>9</v>
      </c>
      <c r="S20" s="12">
        <v>19</v>
      </c>
      <c r="T20" s="12">
        <v>30</v>
      </c>
      <c r="U20" s="12">
        <v>8</v>
      </c>
      <c r="V20" s="12">
        <v>19</v>
      </c>
      <c r="W20" s="12">
        <v>4</v>
      </c>
      <c r="X20" s="12">
        <v>6</v>
      </c>
      <c r="Y20" s="12">
        <v>28</v>
      </c>
      <c r="Z20" s="12">
        <v>23</v>
      </c>
      <c r="AA20" s="12">
        <v>23</v>
      </c>
      <c r="AB20" s="12">
        <v>28</v>
      </c>
      <c r="AC20" s="12">
        <v>4</v>
      </c>
      <c r="AD20" s="12">
        <v>21</v>
      </c>
      <c r="AE20" s="12">
        <v>8</v>
      </c>
      <c r="AF20" s="12">
        <v>3</v>
      </c>
    </row>
    <row r="21" spans="1:32">
      <c r="A21" s="20"/>
      <c r="B21" s="13" t="s">
        <v>469</v>
      </c>
      <c r="C21" s="14">
        <v>0.02</v>
      </c>
      <c r="D21" s="15" t="s">
        <v>459</v>
      </c>
      <c r="E21" s="14">
        <v>0.04</v>
      </c>
      <c r="F21" s="14">
        <v>0.03</v>
      </c>
      <c r="G21" s="14">
        <v>0.01</v>
      </c>
      <c r="H21" s="14">
        <v>0.01</v>
      </c>
      <c r="I21" s="14">
        <v>0.01</v>
      </c>
      <c r="J21" s="14">
        <v>0.02</v>
      </c>
      <c r="K21" s="14">
        <v>0.05</v>
      </c>
      <c r="L21" s="14">
        <v>0.02</v>
      </c>
      <c r="M21" s="15" t="s">
        <v>459</v>
      </c>
      <c r="N21" s="14">
        <v>0.03</v>
      </c>
      <c r="O21" s="14">
        <v>0.02</v>
      </c>
      <c r="P21" s="14">
        <v>0.01</v>
      </c>
      <c r="Q21" s="14">
        <v>0.01</v>
      </c>
      <c r="R21" s="14">
        <v>0.02</v>
      </c>
      <c r="S21" s="14">
        <v>0.02</v>
      </c>
      <c r="T21" s="14">
        <v>0.03</v>
      </c>
      <c r="U21" s="14">
        <v>0.02</v>
      </c>
      <c r="V21" s="14">
        <v>0.02</v>
      </c>
      <c r="W21" s="14">
        <v>0.01</v>
      </c>
      <c r="X21" s="14">
        <v>0.01</v>
      </c>
      <c r="Y21" s="14">
        <v>0.03</v>
      </c>
      <c r="Z21" s="14">
        <v>0.02</v>
      </c>
      <c r="AA21" s="14">
        <v>0.02</v>
      </c>
      <c r="AB21" s="14">
        <v>0.03</v>
      </c>
      <c r="AC21" s="15" t="s">
        <v>459</v>
      </c>
      <c r="AD21" s="14">
        <v>0.02</v>
      </c>
      <c r="AE21" s="14">
        <v>0.01</v>
      </c>
      <c r="AF21" s="15" t="s">
        <v>459</v>
      </c>
    </row>
    <row r="22" spans="1:32">
      <c r="A22" s="20"/>
      <c r="B22" s="11" t="s">
        <v>566</v>
      </c>
      <c r="C22" s="12">
        <v>22271</v>
      </c>
      <c r="D22" s="12">
        <v>845</v>
      </c>
      <c r="E22" s="12">
        <v>840</v>
      </c>
      <c r="F22" s="12">
        <v>718</v>
      </c>
      <c r="G22" s="12">
        <v>937</v>
      </c>
      <c r="H22" s="12">
        <v>1033</v>
      </c>
      <c r="I22" s="12">
        <v>1259</v>
      </c>
      <c r="J22" s="12">
        <v>226</v>
      </c>
      <c r="K22" s="12">
        <v>616</v>
      </c>
      <c r="L22" s="12">
        <v>845</v>
      </c>
      <c r="M22" s="12">
        <v>905</v>
      </c>
      <c r="N22" s="12">
        <v>840</v>
      </c>
      <c r="O22" s="12">
        <v>889</v>
      </c>
      <c r="P22" s="12">
        <v>882</v>
      </c>
      <c r="Q22" s="12">
        <v>883</v>
      </c>
      <c r="R22" s="12">
        <v>434</v>
      </c>
      <c r="S22" s="12">
        <v>778</v>
      </c>
      <c r="T22" s="12">
        <v>823</v>
      </c>
      <c r="U22" s="12">
        <v>453</v>
      </c>
      <c r="V22" s="12">
        <v>890</v>
      </c>
      <c r="W22" s="12">
        <v>470</v>
      </c>
      <c r="X22" s="12">
        <v>915</v>
      </c>
      <c r="Y22" s="12">
        <v>767</v>
      </c>
      <c r="Z22" s="12">
        <v>825</v>
      </c>
      <c r="AA22" s="12">
        <v>965</v>
      </c>
      <c r="AB22" s="12">
        <v>720</v>
      </c>
      <c r="AC22" s="12">
        <v>876</v>
      </c>
      <c r="AD22" s="12">
        <v>828</v>
      </c>
      <c r="AE22" s="12">
        <v>890</v>
      </c>
      <c r="AF22" s="12">
        <v>977</v>
      </c>
    </row>
    <row r="23" spans="1:32">
      <c r="A23" s="20"/>
      <c r="B23" s="13" t="s">
        <v>567</v>
      </c>
      <c r="C23" s="14">
        <v>0.84</v>
      </c>
      <c r="D23" s="14">
        <v>0.84</v>
      </c>
      <c r="E23" s="14">
        <v>0.82000000000000006</v>
      </c>
      <c r="F23" s="14">
        <v>0.72</v>
      </c>
      <c r="G23" s="14">
        <v>0.93</v>
      </c>
      <c r="H23" s="14">
        <v>0.85</v>
      </c>
      <c r="I23" s="14">
        <v>0.84</v>
      </c>
      <c r="J23" s="14">
        <v>0.76</v>
      </c>
      <c r="K23" s="14">
        <v>0.61</v>
      </c>
      <c r="L23" s="14">
        <v>0.84</v>
      </c>
      <c r="M23" s="14">
        <v>0.9</v>
      </c>
      <c r="N23" s="14">
        <v>0.83000000000000007</v>
      </c>
      <c r="O23" s="14">
        <v>0.88</v>
      </c>
      <c r="P23" s="14">
        <v>0.87</v>
      </c>
      <c r="Q23" s="14">
        <v>0.87</v>
      </c>
      <c r="R23" s="14">
        <v>0.87</v>
      </c>
      <c r="S23" s="14">
        <v>0.77</v>
      </c>
      <c r="T23" s="14">
        <v>0.81</v>
      </c>
      <c r="U23" s="14">
        <v>0.89</v>
      </c>
      <c r="V23" s="14">
        <v>0.87</v>
      </c>
      <c r="W23" s="14">
        <v>0.93</v>
      </c>
      <c r="X23" s="14">
        <v>0.9</v>
      </c>
      <c r="Y23" s="14">
        <v>0.76</v>
      </c>
      <c r="Z23" s="14">
        <v>0.82000000000000006</v>
      </c>
      <c r="AA23" s="14">
        <v>0.92</v>
      </c>
      <c r="AB23" s="14">
        <v>0.69000000000000006</v>
      </c>
      <c r="AC23" s="14">
        <v>0.87</v>
      </c>
      <c r="AD23" s="14">
        <v>0.82000000000000006</v>
      </c>
      <c r="AE23" s="14">
        <v>0.89</v>
      </c>
      <c r="AF23" s="14">
        <v>0.96</v>
      </c>
    </row>
    <row r="24" spans="1:32">
      <c r="A24" s="20"/>
      <c r="B24" s="11" t="s">
        <v>568</v>
      </c>
      <c r="C24" s="12">
        <v>3621</v>
      </c>
      <c r="D24" s="12">
        <v>156</v>
      </c>
      <c r="E24" s="12">
        <v>140</v>
      </c>
      <c r="F24" s="12">
        <v>254</v>
      </c>
      <c r="G24" s="12">
        <v>59</v>
      </c>
      <c r="H24" s="12">
        <v>166</v>
      </c>
      <c r="I24" s="12">
        <v>230</v>
      </c>
      <c r="J24" s="12">
        <v>63</v>
      </c>
      <c r="K24" s="12">
        <v>343</v>
      </c>
      <c r="L24" s="12">
        <v>141</v>
      </c>
      <c r="M24" s="12">
        <v>92</v>
      </c>
      <c r="N24" s="12">
        <v>139</v>
      </c>
      <c r="O24" s="12">
        <v>100</v>
      </c>
      <c r="P24" s="12">
        <v>126</v>
      </c>
      <c r="Q24" s="12">
        <v>128</v>
      </c>
      <c r="R24" s="12">
        <v>57</v>
      </c>
      <c r="S24" s="12">
        <v>211</v>
      </c>
      <c r="T24" s="12">
        <v>161</v>
      </c>
      <c r="U24" s="12">
        <v>46</v>
      </c>
      <c r="V24" s="12">
        <v>108</v>
      </c>
      <c r="W24" s="12">
        <v>30</v>
      </c>
      <c r="X24" s="12">
        <v>100</v>
      </c>
      <c r="Y24" s="12">
        <v>212</v>
      </c>
      <c r="Z24" s="12">
        <v>160</v>
      </c>
      <c r="AA24" s="12">
        <v>66</v>
      </c>
      <c r="AB24" s="12">
        <v>290</v>
      </c>
      <c r="AC24" s="12">
        <v>130</v>
      </c>
      <c r="AD24" s="12">
        <v>157</v>
      </c>
      <c r="AE24" s="12">
        <v>104</v>
      </c>
      <c r="AF24" s="12">
        <v>41</v>
      </c>
    </row>
    <row r="25" spans="1:32">
      <c r="A25" s="20"/>
      <c r="B25" s="13" t="s">
        <v>569</v>
      </c>
      <c r="C25" s="14">
        <v>0.14000000000000001</v>
      </c>
      <c r="D25" s="14">
        <v>0.16</v>
      </c>
      <c r="E25" s="14">
        <v>0.14000000000000001</v>
      </c>
      <c r="F25" s="14">
        <v>0.25</v>
      </c>
      <c r="G25" s="14">
        <v>0.06</v>
      </c>
      <c r="H25" s="14">
        <v>0.14000000000000001</v>
      </c>
      <c r="I25" s="14">
        <v>0.15</v>
      </c>
      <c r="J25" s="14">
        <v>0.22</v>
      </c>
      <c r="K25" s="14">
        <v>0.34</v>
      </c>
      <c r="L25" s="14">
        <v>0.14000000000000001</v>
      </c>
      <c r="M25" s="14">
        <v>0.1</v>
      </c>
      <c r="N25" s="14">
        <v>0.14000000000000001</v>
      </c>
      <c r="O25" s="14">
        <v>0.1</v>
      </c>
      <c r="P25" s="14">
        <v>0.12</v>
      </c>
      <c r="Q25" s="14">
        <v>0.12</v>
      </c>
      <c r="R25" s="14">
        <v>0.11</v>
      </c>
      <c r="S25" s="14">
        <v>0.21</v>
      </c>
      <c r="T25" s="14">
        <v>0.16</v>
      </c>
      <c r="U25" s="14">
        <v>0.09</v>
      </c>
      <c r="V25" s="14">
        <v>0.11</v>
      </c>
      <c r="W25" s="14">
        <v>0.06</v>
      </c>
      <c r="X25" s="14">
        <v>0.09</v>
      </c>
      <c r="Y25" s="14">
        <v>0.21</v>
      </c>
      <c r="Z25" s="14">
        <v>0.16</v>
      </c>
      <c r="AA25" s="14">
        <v>0.06</v>
      </c>
      <c r="AB25" s="14">
        <v>0.28000000000000003</v>
      </c>
      <c r="AC25" s="14">
        <v>0.13</v>
      </c>
      <c r="AD25" s="14">
        <v>0.16</v>
      </c>
      <c r="AE25" s="14">
        <v>0.1</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177</v>
      </c>
      <c r="C3" s="18"/>
      <c r="D3" s="18"/>
      <c r="E3" s="18"/>
      <c r="F3" s="18"/>
      <c r="H3" s="18" t="s">
        <v>178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1021</v>
      </c>
      <c r="C12" s="12">
        <v>12494</v>
      </c>
      <c r="D12" s="12">
        <v>404</v>
      </c>
      <c r="E12" s="12">
        <v>884</v>
      </c>
      <c r="F12" s="12">
        <v>543</v>
      </c>
      <c r="G12" s="12">
        <v>364</v>
      </c>
      <c r="H12" s="12">
        <v>400</v>
      </c>
      <c r="I12" s="12">
        <v>488</v>
      </c>
      <c r="J12" s="12">
        <v>88</v>
      </c>
      <c r="K12" s="12">
        <v>596</v>
      </c>
      <c r="L12" s="12">
        <v>440</v>
      </c>
      <c r="M12" s="12">
        <v>707</v>
      </c>
      <c r="N12" s="12">
        <v>555</v>
      </c>
      <c r="O12" s="12">
        <v>379</v>
      </c>
      <c r="P12" s="12">
        <v>722</v>
      </c>
      <c r="Q12" s="12">
        <v>560</v>
      </c>
      <c r="R12" s="12">
        <v>339</v>
      </c>
      <c r="S12" s="12">
        <v>716</v>
      </c>
      <c r="T12" s="12">
        <v>839</v>
      </c>
      <c r="U12" s="12">
        <v>244</v>
      </c>
      <c r="V12" s="12">
        <v>802</v>
      </c>
      <c r="W12" s="12">
        <v>295</v>
      </c>
      <c r="X12" s="12">
        <v>190</v>
      </c>
      <c r="Y12" s="12">
        <v>291</v>
      </c>
      <c r="Z12" s="12">
        <v>517</v>
      </c>
      <c r="AA12" s="12">
        <v>583</v>
      </c>
      <c r="AB12" s="12">
        <v>840</v>
      </c>
      <c r="AC12" s="12">
        <v>803</v>
      </c>
      <c r="AD12" s="12">
        <v>672</v>
      </c>
      <c r="AE12" s="12">
        <v>417</v>
      </c>
      <c r="AF12" s="12">
        <v>276</v>
      </c>
    </row>
    <row r="13" spans="1:32" ht="24.95">
      <c r="A13" s="20"/>
      <c r="B13" s="13" t="s">
        <v>1022</v>
      </c>
      <c r="C13" s="14">
        <v>0.47</v>
      </c>
      <c r="D13" s="14">
        <v>0.4</v>
      </c>
      <c r="E13" s="14">
        <v>0.87</v>
      </c>
      <c r="F13" s="14">
        <v>0.54</v>
      </c>
      <c r="G13" s="14">
        <v>0.36</v>
      </c>
      <c r="H13" s="14">
        <v>0.33</v>
      </c>
      <c r="I13" s="14">
        <v>0.32</v>
      </c>
      <c r="J13" s="14">
        <v>0.3</v>
      </c>
      <c r="K13" s="14">
        <v>0.59</v>
      </c>
      <c r="L13" s="14">
        <v>0.44</v>
      </c>
      <c r="M13" s="14">
        <v>0.70000000000000007</v>
      </c>
      <c r="N13" s="14">
        <v>0.55000000000000004</v>
      </c>
      <c r="O13" s="14">
        <v>0.38</v>
      </c>
      <c r="P13" s="14">
        <v>0.71</v>
      </c>
      <c r="Q13" s="14">
        <v>0.55000000000000004</v>
      </c>
      <c r="R13" s="14">
        <v>0.68</v>
      </c>
      <c r="S13" s="14">
        <v>0.71</v>
      </c>
      <c r="T13" s="14">
        <v>0.83000000000000007</v>
      </c>
      <c r="U13" s="14">
        <v>0.48</v>
      </c>
      <c r="V13" s="14">
        <v>0.79</v>
      </c>
      <c r="W13" s="14">
        <v>0.59</v>
      </c>
      <c r="X13" s="14">
        <v>0.19</v>
      </c>
      <c r="Y13" s="14">
        <v>0.28999999999999998</v>
      </c>
      <c r="Z13" s="14">
        <v>0.51</v>
      </c>
      <c r="AA13" s="14">
        <v>0.55000000000000004</v>
      </c>
      <c r="AB13" s="14">
        <v>0.81</v>
      </c>
      <c r="AC13" s="14">
        <v>0.79</v>
      </c>
      <c r="AD13" s="14">
        <v>0.67</v>
      </c>
      <c r="AE13" s="14">
        <v>0.42</v>
      </c>
      <c r="AF13" s="14">
        <v>0.27</v>
      </c>
    </row>
    <row r="14" spans="1:32" ht="36.950000000000003">
      <c r="A14" s="20"/>
      <c r="B14" s="11" t="s">
        <v>1023</v>
      </c>
      <c r="C14" s="12">
        <v>4149</v>
      </c>
      <c r="D14" s="12">
        <v>248</v>
      </c>
      <c r="E14" s="12">
        <v>55</v>
      </c>
      <c r="F14" s="12">
        <v>138</v>
      </c>
      <c r="G14" s="12">
        <v>319</v>
      </c>
      <c r="H14" s="12">
        <v>99</v>
      </c>
      <c r="I14" s="12">
        <v>117</v>
      </c>
      <c r="J14" s="12">
        <v>19</v>
      </c>
      <c r="K14" s="12">
        <v>188</v>
      </c>
      <c r="L14" s="12">
        <v>269</v>
      </c>
      <c r="M14" s="12">
        <v>108</v>
      </c>
      <c r="N14" s="12">
        <v>154</v>
      </c>
      <c r="O14" s="12">
        <v>75</v>
      </c>
      <c r="P14" s="12">
        <v>73</v>
      </c>
      <c r="Q14" s="12">
        <v>218</v>
      </c>
      <c r="R14" s="12">
        <v>61</v>
      </c>
      <c r="S14" s="12">
        <v>53</v>
      </c>
      <c r="T14" s="12">
        <v>25</v>
      </c>
      <c r="U14" s="12">
        <v>62</v>
      </c>
      <c r="V14" s="12">
        <v>105</v>
      </c>
      <c r="W14" s="12">
        <v>118</v>
      </c>
      <c r="X14" s="12">
        <v>546</v>
      </c>
      <c r="Y14" s="12">
        <v>175</v>
      </c>
      <c r="Z14" s="12">
        <v>181</v>
      </c>
      <c r="AA14" s="12">
        <v>131</v>
      </c>
      <c r="AB14" s="12">
        <v>79</v>
      </c>
      <c r="AC14" s="12">
        <v>56</v>
      </c>
      <c r="AD14" s="12">
        <v>221</v>
      </c>
      <c r="AE14" s="12">
        <v>273</v>
      </c>
      <c r="AF14" s="12">
        <v>440</v>
      </c>
    </row>
    <row r="15" spans="1:32" ht="24.95">
      <c r="A15" s="20"/>
      <c r="B15" s="13" t="s">
        <v>1024</v>
      </c>
      <c r="C15" s="14">
        <v>0.16</v>
      </c>
      <c r="D15" s="14">
        <v>0.25</v>
      </c>
      <c r="E15" s="14">
        <v>0.05</v>
      </c>
      <c r="F15" s="14">
        <v>0.14000000000000001</v>
      </c>
      <c r="G15" s="14">
        <v>0.32</v>
      </c>
      <c r="H15" s="14">
        <v>0.08</v>
      </c>
      <c r="I15" s="14">
        <v>0.08</v>
      </c>
      <c r="J15" s="14">
        <v>0.06</v>
      </c>
      <c r="K15" s="14">
        <v>0.19</v>
      </c>
      <c r="L15" s="14">
        <v>0.27</v>
      </c>
      <c r="M15" s="14">
        <v>0.11</v>
      </c>
      <c r="N15" s="14">
        <v>0.15</v>
      </c>
      <c r="O15" s="14">
        <v>7.0000000000000007E-2</v>
      </c>
      <c r="P15" s="14">
        <v>7.0000000000000007E-2</v>
      </c>
      <c r="Q15" s="14">
        <v>0.21</v>
      </c>
      <c r="R15" s="14">
        <v>0.12</v>
      </c>
      <c r="S15" s="14">
        <v>0.05</v>
      </c>
      <c r="T15" s="14">
        <v>0.02</v>
      </c>
      <c r="U15" s="14">
        <v>0.12</v>
      </c>
      <c r="V15" s="14">
        <v>0.11</v>
      </c>
      <c r="W15" s="14">
        <v>0.23</v>
      </c>
      <c r="X15" s="14">
        <v>0.53</v>
      </c>
      <c r="Y15" s="14">
        <v>0.17</v>
      </c>
      <c r="Z15" s="14">
        <v>0.18</v>
      </c>
      <c r="AA15" s="14">
        <v>0.13</v>
      </c>
      <c r="AB15" s="14">
        <v>0.08</v>
      </c>
      <c r="AC15" s="14">
        <v>0.06</v>
      </c>
      <c r="AD15" s="14">
        <v>0.22</v>
      </c>
      <c r="AE15" s="14">
        <v>0.27</v>
      </c>
      <c r="AF15" s="14">
        <v>0.43</v>
      </c>
    </row>
    <row r="16" spans="1:32" ht="48.95">
      <c r="A16" s="20"/>
      <c r="B16" s="11" t="s">
        <v>1025</v>
      </c>
      <c r="C16" s="12">
        <v>7535</v>
      </c>
      <c r="D16" s="12">
        <v>262</v>
      </c>
      <c r="E16" s="12">
        <v>50</v>
      </c>
      <c r="F16" s="12">
        <v>211</v>
      </c>
      <c r="G16" s="12">
        <v>236</v>
      </c>
      <c r="H16" s="12">
        <v>635</v>
      </c>
      <c r="I16" s="12">
        <v>779</v>
      </c>
      <c r="J16" s="12">
        <v>144</v>
      </c>
      <c r="K16" s="12">
        <v>142</v>
      </c>
      <c r="L16" s="12">
        <v>182</v>
      </c>
      <c r="M16" s="12">
        <v>150</v>
      </c>
      <c r="N16" s="12">
        <v>212</v>
      </c>
      <c r="O16" s="12">
        <v>432</v>
      </c>
      <c r="P16" s="12">
        <v>144</v>
      </c>
      <c r="Q16" s="12">
        <v>184</v>
      </c>
      <c r="R16" s="12">
        <v>61</v>
      </c>
      <c r="S16" s="12">
        <v>190</v>
      </c>
      <c r="T16" s="12">
        <v>78</v>
      </c>
      <c r="U16" s="12">
        <v>137</v>
      </c>
      <c r="V16" s="12">
        <v>60</v>
      </c>
      <c r="W16" s="12">
        <v>38</v>
      </c>
      <c r="X16" s="12">
        <v>204</v>
      </c>
      <c r="Y16" s="12">
        <v>374</v>
      </c>
      <c r="Z16" s="12">
        <v>231</v>
      </c>
      <c r="AA16" s="12">
        <v>245</v>
      </c>
      <c r="AB16" s="12">
        <v>56</v>
      </c>
      <c r="AC16" s="12">
        <v>77</v>
      </c>
      <c r="AD16" s="12">
        <v>79</v>
      </c>
      <c r="AE16" s="12">
        <v>228</v>
      </c>
      <c r="AF16" s="12">
        <v>278</v>
      </c>
    </row>
    <row r="17" spans="1:32" ht="36.950000000000003">
      <c r="A17" s="20"/>
      <c r="B17" s="13" t="s">
        <v>1026</v>
      </c>
      <c r="C17" s="14">
        <v>0.28999999999999998</v>
      </c>
      <c r="D17" s="14">
        <v>0.26</v>
      </c>
      <c r="E17" s="14">
        <v>0.05</v>
      </c>
      <c r="F17" s="14">
        <v>0.21</v>
      </c>
      <c r="G17" s="14">
        <v>0.23</v>
      </c>
      <c r="H17" s="14">
        <v>0.52</v>
      </c>
      <c r="I17" s="14">
        <v>0.52</v>
      </c>
      <c r="J17" s="14">
        <v>0.49</v>
      </c>
      <c r="K17" s="14">
        <v>0.14000000000000001</v>
      </c>
      <c r="L17" s="14">
        <v>0.18</v>
      </c>
      <c r="M17" s="14">
        <v>0.15</v>
      </c>
      <c r="N17" s="14">
        <v>0.21</v>
      </c>
      <c r="O17" s="14">
        <v>0.43</v>
      </c>
      <c r="P17" s="14">
        <v>0.14000000000000001</v>
      </c>
      <c r="Q17" s="14">
        <v>0.18</v>
      </c>
      <c r="R17" s="14">
        <v>0.12</v>
      </c>
      <c r="S17" s="14">
        <v>0.19</v>
      </c>
      <c r="T17" s="14">
        <v>0.08</v>
      </c>
      <c r="U17" s="14">
        <v>0.27</v>
      </c>
      <c r="V17" s="14">
        <v>0.06</v>
      </c>
      <c r="W17" s="14">
        <v>7.0000000000000007E-2</v>
      </c>
      <c r="X17" s="14">
        <v>0.2</v>
      </c>
      <c r="Y17" s="14">
        <v>0.37</v>
      </c>
      <c r="Z17" s="14">
        <v>0.23</v>
      </c>
      <c r="AA17" s="14">
        <v>0.23</v>
      </c>
      <c r="AB17" s="14">
        <v>0.05</v>
      </c>
      <c r="AC17" s="14">
        <v>0.08</v>
      </c>
      <c r="AD17" s="14">
        <v>0.08</v>
      </c>
      <c r="AE17" s="14">
        <v>0.23</v>
      </c>
      <c r="AF17" s="14">
        <v>0.27</v>
      </c>
    </row>
    <row r="18" spans="1:32" ht="36.950000000000003">
      <c r="A18" s="20"/>
      <c r="B18" s="11" t="s">
        <v>1027</v>
      </c>
      <c r="C18" s="12">
        <v>1345</v>
      </c>
      <c r="D18" s="12">
        <v>57</v>
      </c>
      <c r="E18" s="12">
        <v>12</v>
      </c>
      <c r="F18" s="12">
        <v>52</v>
      </c>
      <c r="G18" s="12">
        <v>51</v>
      </c>
      <c r="H18" s="12">
        <v>44</v>
      </c>
      <c r="I18" s="12">
        <v>73</v>
      </c>
      <c r="J18" s="12">
        <v>30</v>
      </c>
      <c r="K18" s="12">
        <v>35</v>
      </c>
      <c r="L18" s="12">
        <v>86</v>
      </c>
      <c r="M18" s="12">
        <v>22</v>
      </c>
      <c r="N18" s="12">
        <v>54</v>
      </c>
      <c r="O18" s="12">
        <v>88</v>
      </c>
      <c r="P18" s="12">
        <v>37</v>
      </c>
      <c r="Q18" s="12">
        <v>40</v>
      </c>
      <c r="R18" s="12">
        <v>6</v>
      </c>
      <c r="S18" s="12">
        <v>28</v>
      </c>
      <c r="T18" s="12">
        <v>18</v>
      </c>
      <c r="U18" s="12">
        <v>32</v>
      </c>
      <c r="V18" s="12">
        <v>23</v>
      </c>
      <c r="W18" s="12">
        <v>38</v>
      </c>
      <c r="X18" s="12">
        <v>38</v>
      </c>
      <c r="Y18" s="12">
        <v>101</v>
      </c>
      <c r="Z18" s="12">
        <v>49</v>
      </c>
      <c r="AA18" s="12">
        <v>77</v>
      </c>
      <c r="AB18" s="12">
        <v>29</v>
      </c>
      <c r="AC18" s="12">
        <v>26</v>
      </c>
      <c r="AD18" s="12">
        <v>17</v>
      </c>
      <c r="AE18" s="12">
        <v>44</v>
      </c>
      <c r="AF18" s="12">
        <v>11</v>
      </c>
    </row>
    <row r="19" spans="1:32" ht="36.950000000000003">
      <c r="A19" s="20"/>
      <c r="B19" s="13" t="s">
        <v>1028</v>
      </c>
      <c r="C19" s="14">
        <v>0.05</v>
      </c>
      <c r="D19" s="14">
        <v>0.06</v>
      </c>
      <c r="E19" s="14">
        <v>0.01</v>
      </c>
      <c r="F19" s="14">
        <v>0.05</v>
      </c>
      <c r="G19" s="14">
        <v>0.05</v>
      </c>
      <c r="H19" s="14">
        <v>0.04</v>
      </c>
      <c r="I19" s="14">
        <v>0.05</v>
      </c>
      <c r="J19" s="14">
        <v>0.1</v>
      </c>
      <c r="K19" s="14">
        <v>0.03</v>
      </c>
      <c r="L19" s="14">
        <v>0.09</v>
      </c>
      <c r="M19" s="14">
        <v>0.02</v>
      </c>
      <c r="N19" s="14">
        <v>0.06</v>
      </c>
      <c r="O19" s="14">
        <v>0.09</v>
      </c>
      <c r="P19" s="14">
        <v>0.04</v>
      </c>
      <c r="Q19" s="14">
        <v>0.04</v>
      </c>
      <c r="R19" s="14">
        <v>0.01</v>
      </c>
      <c r="S19" s="14">
        <v>0.03</v>
      </c>
      <c r="T19" s="14">
        <v>0.02</v>
      </c>
      <c r="U19" s="14">
        <v>0.06</v>
      </c>
      <c r="V19" s="14">
        <v>0.02</v>
      </c>
      <c r="W19" s="14">
        <v>0.08</v>
      </c>
      <c r="X19" s="14">
        <v>0.04</v>
      </c>
      <c r="Y19" s="14">
        <v>0.1</v>
      </c>
      <c r="Z19" s="14">
        <v>0.05</v>
      </c>
      <c r="AA19" s="14">
        <v>7.0000000000000007E-2</v>
      </c>
      <c r="AB19" s="14">
        <v>0.03</v>
      </c>
      <c r="AC19" s="14">
        <v>0.03</v>
      </c>
      <c r="AD19" s="14">
        <v>0.01</v>
      </c>
      <c r="AE19" s="14">
        <v>0.04</v>
      </c>
      <c r="AF19" s="14">
        <v>0.01</v>
      </c>
    </row>
    <row r="20" spans="1:32" ht="24.95">
      <c r="A20" s="20"/>
      <c r="B20" s="11" t="s">
        <v>1029</v>
      </c>
      <c r="C20" s="12">
        <v>640</v>
      </c>
      <c r="D20" s="12">
        <v>26</v>
      </c>
      <c r="E20" s="12">
        <v>17</v>
      </c>
      <c r="F20" s="12">
        <v>34</v>
      </c>
      <c r="G20" s="12">
        <v>16</v>
      </c>
      <c r="H20" s="12">
        <v>37</v>
      </c>
      <c r="I20" s="12">
        <v>50</v>
      </c>
      <c r="J20" s="12">
        <v>13</v>
      </c>
      <c r="K20" s="12">
        <v>39</v>
      </c>
      <c r="L20" s="12">
        <v>25</v>
      </c>
      <c r="M20" s="12">
        <v>15</v>
      </c>
      <c r="N20" s="12">
        <v>23</v>
      </c>
      <c r="O20" s="12">
        <v>23</v>
      </c>
      <c r="P20" s="12">
        <v>46</v>
      </c>
      <c r="Q20" s="12">
        <v>12</v>
      </c>
      <c r="R20" s="12">
        <v>31</v>
      </c>
      <c r="S20" s="12">
        <v>11</v>
      </c>
      <c r="T20" s="12">
        <v>42</v>
      </c>
      <c r="U20" s="12">
        <v>24</v>
      </c>
      <c r="V20" s="12">
        <v>24</v>
      </c>
      <c r="W20" s="12">
        <v>14</v>
      </c>
      <c r="X20" s="12">
        <v>40</v>
      </c>
      <c r="Y20" s="12">
        <v>47</v>
      </c>
      <c r="Z20" s="12">
        <v>20</v>
      </c>
      <c r="AA20" s="12">
        <v>7</v>
      </c>
      <c r="AB20" s="12">
        <v>26</v>
      </c>
      <c r="AC20" s="12">
        <v>43</v>
      </c>
      <c r="AD20" s="12">
        <v>17</v>
      </c>
      <c r="AE20" s="12">
        <v>38</v>
      </c>
      <c r="AF20" s="12">
        <v>16</v>
      </c>
    </row>
    <row r="21" spans="1:32" ht="24.95">
      <c r="A21" s="20"/>
      <c r="B21" s="13" t="s">
        <v>1030</v>
      </c>
      <c r="C21" s="14">
        <v>0.02</v>
      </c>
      <c r="D21" s="14">
        <v>0.03</v>
      </c>
      <c r="E21" s="14">
        <v>0.02</v>
      </c>
      <c r="F21" s="14">
        <v>0.03</v>
      </c>
      <c r="G21" s="14">
        <v>0.02</v>
      </c>
      <c r="H21" s="14">
        <v>0.03</v>
      </c>
      <c r="I21" s="14">
        <v>0.03</v>
      </c>
      <c r="J21" s="14">
        <v>0.05</v>
      </c>
      <c r="K21" s="14">
        <v>0.04</v>
      </c>
      <c r="L21" s="14">
        <v>0.02</v>
      </c>
      <c r="M21" s="14">
        <v>0.02</v>
      </c>
      <c r="N21" s="14">
        <v>0.02</v>
      </c>
      <c r="O21" s="14">
        <v>0.02</v>
      </c>
      <c r="P21" s="14">
        <v>0.04</v>
      </c>
      <c r="Q21" s="14">
        <v>0.01</v>
      </c>
      <c r="R21" s="14">
        <v>0.06</v>
      </c>
      <c r="S21" s="14">
        <v>0.01</v>
      </c>
      <c r="T21" s="14">
        <v>0.04</v>
      </c>
      <c r="U21" s="14">
        <v>0.05</v>
      </c>
      <c r="V21" s="14">
        <v>0.02</v>
      </c>
      <c r="W21" s="14">
        <v>0.03</v>
      </c>
      <c r="X21" s="14">
        <v>0.04</v>
      </c>
      <c r="Y21" s="14">
        <v>0.05</v>
      </c>
      <c r="Z21" s="14">
        <v>0.02</v>
      </c>
      <c r="AA21" s="14">
        <v>0.01</v>
      </c>
      <c r="AB21" s="14">
        <v>0.02</v>
      </c>
      <c r="AC21" s="14">
        <v>0.04</v>
      </c>
      <c r="AD21" s="14">
        <v>0.02</v>
      </c>
      <c r="AE21" s="14">
        <v>0.04</v>
      </c>
      <c r="AF21" s="14">
        <v>0.02</v>
      </c>
    </row>
    <row r="22" spans="1:32">
      <c r="A22" s="20"/>
      <c r="B22" s="11" t="s">
        <v>468</v>
      </c>
      <c r="C22" s="12">
        <v>156</v>
      </c>
      <c r="D22" s="12">
        <v>6</v>
      </c>
      <c r="E22" s="12">
        <v>0</v>
      </c>
      <c r="F22" s="12">
        <v>26</v>
      </c>
      <c r="G22" s="12">
        <v>17</v>
      </c>
      <c r="H22" s="12">
        <v>3</v>
      </c>
      <c r="I22" s="12">
        <v>3</v>
      </c>
      <c r="J22" s="12">
        <v>0</v>
      </c>
      <c r="K22" s="12">
        <v>7</v>
      </c>
      <c r="L22" s="12">
        <v>4</v>
      </c>
      <c r="M22" s="12">
        <v>0</v>
      </c>
      <c r="N22" s="12">
        <v>6</v>
      </c>
      <c r="O22" s="12">
        <v>6</v>
      </c>
      <c r="P22" s="12">
        <v>1</v>
      </c>
      <c r="Q22" s="12">
        <v>5</v>
      </c>
      <c r="R22" s="12">
        <v>3</v>
      </c>
      <c r="S22" s="12">
        <v>10</v>
      </c>
      <c r="T22" s="12">
        <v>11</v>
      </c>
      <c r="U22" s="12">
        <v>8</v>
      </c>
      <c r="V22" s="12">
        <v>3</v>
      </c>
      <c r="W22" s="12">
        <v>0</v>
      </c>
      <c r="X22" s="12">
        <v>3</v>
      </c>
      <c r="Y22" s="12">
        <v>20</v>
      </c>
      <c r="Z22" s="12">
        <v>11</v>
      </c>
      <c r="AA22" s="12">
        <v>11</v>
      </c>
      <c r="AB22" s="12">
        <v>9</v>
      </c>
      <c r="AC22" s="12">
        <v>4</v>
      </c>
      <c r="AD22" s="12">
        <v>1</v>
      </c>
      <c r="AE22" s="12">
        <v>2</v>
      </c>
      <c r="AF22" s="12">
        <v>0</v>
      </c>
    </row>
    <row r="23" spans="1:32">
      <c r="A23" s="20"/>
      <c r="B23" s="13" t="s">
        <v>1018</v>
      </c>
      <c r="C23" s="14">
        <v>0.01</v>
      </c>
      <c r="D23" s="15" t="s">
        <v>459</v>
      </c>
      <c r="E23" s="15" t="s">
        <v>459</v>
      </c>
      <c r="F23" s="14">
        <v>0.03</v>
      </c>
      <c r="G23" s="14">
        <v>0.02</v>
      </c>
      <c r="H23" s="15" t="s">
        <v>459</v>
      </c>
      <c r="I23" s="15" t="s">
        <v>459</v>
      </c>
      <c r="J23" s="15" t="s">
        <v>459</v>
      </c>
      <c r="K23" s="14">
        <v>0.01</v>
      </c>
      <c r="L23" s="15" t="s">
        <v>459</v>
      </c>
      <c r="M23" s="15" t="s">
        <v>459</v>
      </c>
      <c r="N23" s="14">
        <v>0.01</v>
      </c>
      <c r="O23" s="14">
        <v>0.01</v>
      </c>
      <c r="P23" s="15" t="s">
        <v>459</v>
      </c>
      <c r="Q23" s="14">
        <v>0.01</v>
      </c>
      <c r="R23" s="14">
        <v>0.01</v>
      </c>
      <c r="S23" s="14">
        <v>0.01</v>
      </c>
      <c r="T23" s="14">
        <v>0.01</v>
      </c>
      <c r="U23" s="14">
        <v>0.02</v>
      </c>
      <c r="V23" s="15" t="s">
        <v>459</v>
      </c>
      <c r="W23" s="15" t="s">
        <v>459</v>
      </c>
      <c r="X23" s="15" t="s">
        <v>459</v>
      </c>
      <c r="Y23" s="14">
        <v>0.02</v>
      </c>
      <c r="Z23" s="14">
        <v>0.01</v>
      </c>
      <c r="AA23" s="14">
        <v>0.01</v>
      </c>
      <c r="AB23" s="14">
        <v>0.01</v>
      </c>
      <c r="AC23" s="15" t="s">
        <v>459</v>
      </c>
      <c r="AD23" s="15" t="s">
        <v>459</v>
      </c>
      <c r="AE23" s="15" t="s">
        <v>459</v>
      </c>
      <c r="AF23" s="15" t="s">
        <v>459</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179</v>
      </c>
      <c r="C3" s="18"/>
      <c r="D3" s="18"/>
      <c r="E3" s="18"/>
      <c r="F3" s="18"/>
      <c r="H3" s="18" t="s">
        <v>180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1031</v>
      </c>
      <c r="C12" s="12">
        <v>3321</v>
      </c>
      <c r="D12" s="12">
        <v>170</v>
      </c>
      <c r="E12" s="12">
        <v>49</v>
      </c>
      <c r="F12" s="12">
        <v>68</v>
      </c>
      <c r="G12" s="12">
        <v>281</v>
      </c>
      <c r="H12" s="12">
        <v>212</v>
      </c>
      <c r="I12" s="12">
        <v>247</v>
      </c>
      <c r="J12" s="12">
        <v>34</v>
      </c>
      <c r="K12" s="12">
        <v>63</v>
      </c>
      <c r="L12" s="12">
        <v>201</v>
      </c>
      <c r="M12" s="12">
        <v>68</v>
      </c>
      <c r="N12" s="12">
        <v>99</v>
      </c>
      <c r="O12" s="12">
        <v>113</v>
      </c>
      <c r="P12" s="12">
        <v>94</v>
      </c>
      <c r="Q12" s="12">
        <v>108</v>
      </c>
      <c r="R12" s="12">
        <v>30</v>
      </c>
      <c r="S12" s="12">
        <v>66</v>
      </c>
      <c r="T12" s="12">
        <v>89</v>
      </c>
      <c r="U12" s="12">
        <v>69</v>
      </c>
      <c r="V12" s="12">
        <v>100</v>
      </c>
      <c r="W12" s="12">
        <v>68</v>
      </c>
      <c r="X12" s="12">
        <v>232</v>
      </c>
      <c r="Y12" s="12">
        <v>115</v>
      </c>
      <c r="Z12" s="12">
        <v>76</v>
      </c>
      <c r="AA12" s="12">
        <v>90</v>
      </c>
      <c r="AB12" s="12">
        <v>70</v>
      </c>
      <c r="AC12" s="12">
        <v>123</v>
      </c>
      <c r="AD12" s="12">
        <v>66</v>
      </c>
      <c r="AE12" s="12">
        <v>219</v>
      </c>
      <c r="AF12" s="12">
        <v>385</v>
      </c>
    </row>
    <row r="13" spans="1:32">
      <c r="A13" s="20"/>
      <c r="B13" s="13" t="s">
        <v>1032</v>
      </c>
      <c r="C13" s="14">
        <v>0.13</v>
      </c>
      <c r="D13" s="14">
        <v>0.17</v>
      </c>
      <c r="E13" s="14">
        <v>0.05</v>
      </c>
      <c r="F13" s="14">
        <v>7.0000000000000007E-2</v>
      </c>
      <c r="G13" s="14">
        <v>0.28000000000000003</v>
      </c>
      <c r="H13" s="14">
        <v>0.18</v>
      </c>
      <c r="I13" s="14">
        <v>0.16</v>
      </c>
      <c r="J13" s="14">
        <v>0.12</v>
      </c>
      <c r="K13" s="14">
        <v>0.06</v>
      </c>
      <c r="L13" s="14">
        <v>0.2</v>
      </c>
      <c r="M13" s="14">
        <v>7.0000000000000007E-2</v>
      </c>
      <c r="N13" s="14">
        <v>0.1</v>
      </c>
      <c r="O13" s="14">
        <v>0.11</v>
      </c>
      <c r="P13" s="14">
        <v>0.09</v>
      </c>
      <c r="Q13" s="14">
        <v>0.11</v>
      </c>
      <c r="R13" s="14">
        <v>0.06</v>
      </c>
      <c r="S13" s="14">
        <v>7.0000000000000007E-2</v>
      </c>
      <c r="T13" s="14">
        <v>0.09</v>
      </c>
      <c r="U13" s="14">
        <v>0.14000000000000001</v>
      </c>
      <c r="V13" s="14">
        <v>0.1</v>
      </c>
      <c r="W13" s="14">
        <v>0.14000000000000001</v>
      </c>
      <c r="X13" s="14">
        <v>0.23</v>
      </c>
      <c r="Y13" s="14">
        <v>0.11</v>
      </c>
      <c r="Z13" s="14">
        <v>0.08</v>
      </c>
      <c r="AA13" s="14">
        <v>0.09</v>
      </c>
      <c r="AB13" s="14">
        <v>7.0000000000000007E-2</v>
      </c>
      <c r="AC13" s="14">
        <v>0.12</v>
      </c>
      <c r="AD13" s="14">
        <v>7.0000000000000007E-2</v>
      </c>
      <c r="AE13" s="14">
        <v>0.22</v>
      </c>
      <c r="AF13" s="14">
        <v>0.38</v>
      </c>
    </row>
    <row r="14" spans="1:32">
      <c r="A14" s="20"/>
      <c r="B14" s="11" t="s">
        <v>1033</v>
      </c>
      <c r="C14" s="12">
        <v>1534</v>
      </c>
      <c r="D14" s="12">
        <v>67</v>
      </c>
      <c r="E14" s="12">
        <v>46</v>
      </c>
      <c r="F14" s="12">
        <v>85</v>
      </c>
      <c r="G14" s="12">
        <v>22</v>
      </c>
      <c r="H14" s="12">
        <v>60</v>
      </c>
      <c r="I14" s="12">
        <v>85</v>
      </c>
      <c r="J14" s="12">
        <v>25</v>
      </c>
      <c r="K14" s="12">
        <v>47</v>
      </c>
      <c r="L14" s="12">
        <v>76</v>
      </c>
      <c r="M14" s="12">
        <v>21</v>
      </c>
      <c r="N14" s="12">
        <v>43</v>
      </c>
      <c r="O14" s="12">
        <v>97</v>
      </c>
      <c r="P14" s="12">
        <v>61</v>
      </c>
      <c r="Q14" s="12">
        <v>48</v>
      </c>
      <c r="R14" s="12">
        <v>14</v>
      </c>
      <c r="S14" s="12">
        <v>51</v>
      </c>
      <c r="T14" s="12">
        <v>34</v>
      </c>
      <c r="U14" s="12">
        <v>49</v>
      </c>
      <c r="V14" s="12">
        <v>42</v>
      </c>
      <c r="W14" s="12">
        <v>86</v>
      </c>
      <c r="X14" s="12">
        <v>54</v>
      </c>
      <c r="Y14" s="12">
        <v>83</v>
      </c>
      <c r="Z14" s="12">
        <v>62</v>
      </c>
      <c r="AA14" s="12">
        <v>55</v>
      </c>
      <c r="AB14" s="12">
        <v>61</v>
      </c>
      <c r="AC14" s="12">
        <v>94</v>
      </c>
      <c r="AD14" s="12">
        <v>38</v>
      </c>
      <c r="AE14" s="12">
        <v>19</v>
      </c>
      <c r="AF14" s="12">
        <v>18</v>
      </c>
    </row>
    <row r="15" spans="1:32">
      <c r="A15" s="20"/>
      <c r="B15" s="13" t="s">
        <v>1034</v>
      </c>
      <c r="C15" s="14">
        <v>0.06</v>
      </c>
      <c r="D15" s="14">
        <v>7.0000000000000007E-2</v>
      </c>
      <c r="E15" s="14">
        <v>0.05</v>
      </c>
      <c r="F15" s="14">
        <v>0.08</v>
      </c>
      <c r="G15" s="14">
        <v>0.02</v>
      </c>
      <c r="H15" s="14">
        <v>0.05</v>
      </c>
      <c r="I15" s="14">
        <v>0.06</v>
      </c>
      <c r="J15" s="14">
        <v>0.08</v>
      </c>
      <c r="K15" s="14">
        <v>0.05</v>
      </c>
      <c r="L15" s="14">
        <v>7.0000000000000007E-2</v>
      </c>
      <c r="M15" s="14">
        <v>0.02</v>
      </c>
      <c r="N15" s="14">
        <v>0.04</v>
      </c>
      <c r="O15" s="14">
        <v>0.1</v>
      </c>
      <c r="P15" s="14">
        <v>0.06</v>
      </c>
      <c r="Q15" s="14">
        <v>0.05</v>
      </c>
      <c r="R15" s="14">
        <v>0.03</v>
      </c>
      <c r="S15" s="14">
        <v>0.05</v>
      </c>
      <c r="T15" s="14">
        <v>0.03</v>
      </c>
      <c r="U15" s="14">
        <v>0.1</v>
      </c>
      <c r="V15" s="14">
        <v>0.04</v>
      </c>
      <c r="W15" s="14">
        <v>0.17</v>
      </c>
      <c r="X15" s="14">
        <v>0.05</v>
      </c>
      <c r="Y15" s="14">
        <v>0.08</v>
      </c>
      <c r="Z15" s="14">
        <v>0.06</v>
      </c>
      <c r="AA15" s="14">
        <v>0.05</v>
      </c>
      <c r="AB15" s="14">
        <v>0.06</v>
      </c>
      <c r="AC15" s="14">
        <v>0.09</v>
      </c>
      <c r="AD15" s="14">
        <v>0.04</v>
      </c>
      <c r="AE15" s="14">
        <v>0.02</v>
      </c>
      <c r="AF15" s="14">
        <v>0.02</v>
      </c>
    </row>
    <row r="16" spans="1:32" ht="24.95">
      <c r="A16" s="20"/>
      <c r="B16" s="11" t="s">
        <v>1035</v>
      </c>
      <c r="C16" s="12">
        <v>3584</v>
      </c>
      <c r="D16" s="12">
        <v>105</v>
      </c>
      <c r="E16" s="12">
        <v>152</v>
      </c>
      <c r="F16" s="12">
        <v>86</v>
      </c>
      <c r="G16" s="12">
        <v>99</v>
      </c>
      <c r="H16" s="12">
        <v>73</v>
      </c>
      <c r="I16" s="12">
        <v>106</v>
      </c>
      <c r="J16" s="12">
        <v>33</v>
      </c>
      <c r="K16" s="12">
        <v>77</v>
      </c>
      <c r="L16" s="12">
        <v>120</v>
      </c>
      <c r="M16" s="12">
        <v>223</v>
      </c>
      <c r="N16" s="12">
        <v>209</v>
      </c>
      <c r="O16" s="12">
        <v>197</v>
      </c>
      <c r="P16" s="12">
        <v>163</v>
      </c>
      <c r="Q16" s="12">
        <v>122</v>
      </c>
      <c r="R16" s="12">
        <v>116</v>
      </c>
      <c r="S16" s="12">
        <v>72</v>
      </c>
      <c r="T16" s="12">
        <v>81</v>
      </c>
      <c r="U16" s="12">
        <v>93</v>
      </c>
      <c r="V16" s="12">
        <v>202</v>
      </c>
      <c r="W16" s="12">
        <v>66</v>
      </c>
      <c r="X16" s="12">
        <v>83</v>
      </c>
      <c r="Y16" s="12">
        <v>136</v>
      </c>
      <c r="Z16" s="12">
        <v>93</v>
      </c>
      <c r="AA16" s="12">
        <v>248</v>
      </c>
      <c r="AB16" s="12">
        <v>171</v>
      </c>
      <c r="AC16" s="12">
        <v>145</v>
      </c>
      <c r="AD16" s="12">
        <v>192</v>
      </c>
      <c r="AE16" s="12">
        <v>123</v>
      </c>
      <c r="AF16" s="12">
        <v>79</v>
      </c>
    </row>
    <row r="17" spans="1:32" ht="24.95">
      <c r="A17" s="20"/>
      <c r="B17" s="13" t="s">
        <v>1036</v>
      </c>
      <c r="C17" s="14">
        <v>0.13</v>
      </c>
      <c r="D17" s="14">
        <v>0.11</v>
      </c>
      <c r="E17" s="14">
        <v>0.15</v>
      </c>
      <c r="F17" s="14">
        <v>0.08</v>
      </c>
      <c r="G17" s="14">
        <v>0.1</v>
      </c>
      <c r="H17" s="14">
        <v>0.06</v>
      </c>
      <c r="I17" s="14">
        <v>7.0000000000000007E-2</v>
      </c>
      <c r="J17" s="14">
        <v>0.11</v>
      </c>
      <c r="K17" s="14">
        <v>0.08</v>
      </c>
      <c r="L17" s="14">
        <v>0.12</v>
      </c>
      <c r="M17" s="14">
        <v>0.22</v>
      </c>
      <c r="N17" s="14">
        <v>0.21</v>
      </c>
      <c r="O17" s="14">
        <v>0.2</v>
      </c>
      <c r="P17" s="14">
        <v>0.16</v>
      </c>
      <c r="Q17" s="14">
        <v>0.12</v>
      </c>
      <c r="R17" s="14">
        <v>0.23</v>
      </c>
      <c r="S17" s="14">
        <v>7.0000000000000007E-2</v>
      </c>
      <c r="T17" s="14">
        <v>0.08</v>
      </c>
      <c r="U17" s="14">
        <v>0.18</v>
      </c>
      <c r="V17" s="14">
        <v>0.2</v>
      </c>
      <c r="W17" s="14">
        <v>0.13</v>
      </c>
      <c r="X17" s="14">
        <v>0.08</v>
      </c>
      <c r="Y17" s="14">
        <v>0.14000000000000001</v>
      </c>
      <c r="Z17" s="14">
        <v>0.09</v>
      </c>
      <c r="AA17" s="14">
        <v>0.24</v>
      </c>
      <c r="AB17" s="14">
        <v>0.16</v>
      </c>
      <c r="AC17" s="14">
        <v>0.15</v>
      </c>
      <c r="AD17" s="14">
        <v>0.19</v>
      </c>
      <c r="AE17" s="14">
        <v>0.12</v>
      </c>
      <c r="AF17" s="14">
        <v>0.08</v>
      </c>
    </row>
    <row r="18" spans="1:32" ht="24.95">
      <c r="A18" s="20"/>
      <c r="B18" s="11" t="s">
        <v>1037</v>
      </c>
      <c r="C18" s="12">
        <v>975</v>
      </c>
      <c r="D18" s="12">
        <v>24</v>
      </c>
      <c r="E18" s="12">
        <v>82</v>
      </c>
      <c r="F18" s="12">
        <v>49</v>
      </c>
      <c r="G18" s="12">
        <v>10</v>
      </c>
      <c r="H18" s="12">
        <v>10</v>
      </c>
      <c r="I18" s="12">
        <v>17</v>
      </c>
      <c r="J18" s="12">
        <v>7</v>
      </c>
      <c r="K18" s="12">
        <v>44</v>
      </c>
      <c r="L18" s="12">
        <v>41</v>
      </c>
      <c r="M18" s="12">
        <v>37</v>
      </c>
      <c r="N18" s="12">
        <v>20</v>
      </c>
      <c r="O18" s="12">
        <v>34</v>
      </c>
      <c r="P18" s="12">
        <v>74</v>
      </c>
      <c r="Q18" s="12">
        <v>71</v>
      </c>
      <c r="R18" s="12">
        <v>26</v>
      </c>
      <c r="S18" s="12">
        <v>53</v>
      </c>
      <c r="T18" s="12">
        <v>32</v>
      </c>
      <c r="U18" s="12">
        <v>5</v>
      </c>
      <c r="V18" s="12">
        <v>85</v>
      </c>
      <c r="W18" s="12">
        <v>22</v>
      </c>
      <c r="X18" s="12">
        <v>10</v>
      </c>
      <c r="Y18" s="12">
        <v>34</v>
      </c>
      <c r="Z18" s="12">
        <v>63</v>
      </c>
      <c r="AA18" s="12">
        <v>42</v>
      </c>
      <c r="AB18" s="12">
        <v>64</v>
      </c>
      <c r="AC18" s="12">
        <v>33</v>
      </c>
      <c r="AD18" s="12">
        <v>45</v>
      </c>
      <c r="AE18" s="12">
        <v>9</v>
      </c>
      <c r="AF18" s="12">
        <v>8</v>
      </c>
    </row>
    <row r="19" spans="1:32">
      <c r="A19" s="20"/>
      <c r="B19" s="13" t="s">
        <v>1038</v>
      </c>
      <c r="C19" s="14">
        <v>0.04</v>
      </c>
      <c r="D19" s="14">
        <v>0.02</v>
      </c>
      <c r="E19" s="14">
        <v>0.08</v>
      </c>
      <c r="F19" s="14">
        <v>0.05</v>
      </c>
      <c r="G19" s="14">
        <v>0.01</v>
      </c>
      <c r="H19" s="14">
        <v>0.01</v>
      </c>
      <c r="I19" s="14">
        <v>0.01</v>
      </c>
      <c r="J19" s="14">
        <v>0.03</v>
      </c>
      <c r="K19" s="14">
        <v>0.04</v>
      </c>
      <c r="L19" s="14">
        <v>0.04</v>
      </c>
      <c r="M19" s="14">
        <v>0.04</v>
      </c>
      <c r="N19" s="14">
        <v>0.02</v>
      </c>
      <c r="O19" s="14">
        <v>0.04</v>
      </c>
      <c r="P19" s="14">
        <v>7.0000000000000007E-2</v>
      </c>
      <c r="Q19" s="14">
        <v>7.0000000000000007E-2</v>
      </c>
      <c r="R19" s="14">
        <v>0.05</v>
      </c>
      <c r="S19" s="14">
        <v>0.05</v>
      </c>
      <c r="T19" s="14">
        <v>0.03</v>
      </c>
      <c r="U19" s="14">
        <v>0.01</v>
      </c>
      <c r="V19" s="14">
        <v>0.08</v>
      </c>
      <c r="W19" s="14">
        <v>0.04</v>
      </c>
      <c r="X19" s="14">
        <v>0.01</v>
      </c>
      <c r="Y19" s="14">
        <v>0.03</v>
      </c>
      <c r="Z19" s="14">
        <v>0.06</v>
      </c>
      <c r="AA19" s="14">
        <v>0.04</v>
      </c>
      <c r="AB19" s="14">
        <v>0.06</v>
      </c>
      <c r="AC19" s="14">
        <v>0.03</v>
      </c>
      <c r="AD19" s="14">
        <v>0.04</v>
      </c>
      <c r="AE19" s="14">
        <v>0.01</v>
      </c>
      <c r="AF19" s="14">
        <v>0.01</v>
      </c>
    </row>
    <row r="20" spans="1:32">
      <c r="A20" s="20"/>
      <c r="B20" s="11" t="s">
        <v>1039</v>
      </c>
      <c r="C20" s="12">
        <v>3913</v>
      </c>
      <c r="D20" s="12">
        <v>114</v>
      </c>
      <c r="E20" s="12">
        <v>131</v>
      </c>
      <c r="F20" s="12">
        <v>163</v>
      </c>
      <c r="G20" s="12">
        <v>18</v>
      </c>
      <c r="H20" s="12">
        <v>136</v>
      </c>
      <c r="I20" s="12">
        <v>178</v>
      </c>
      <c r="J20" s="12">
        <v>42</v>
      </c>
      <c r="K20" s="12">
        <v>166</v>
      </c>
      <c r="L20" s="12">
        <v>111</v>
      </c>
      <c r="M20" s="12">
        <v>392</v>
      </c>
      <c r="N20" s="12">
        <v>200</v>
      </c>
      <c r="O20" s="12">
        <v>128</v>
      </c>
      <c r="P20" s="12">
        <v>124</v>
      </c>
      <c r="Q20" s="12">
        <v>222</v>
      </c>
      <c r="R20" s="12">
        <v>163</v>
      </c>
      <c r="S20" s="12">
        <v>144</v>
      </c>
      <c r="T20" s="12">
        <v>124</v>
      </c>
      <c r="U20" s="12">
        <v>45</v>
      </c>
      <c r="V20" s="12">
        <v>182</v>
      </c>
      <c r="W20" s="12">
        <v>41</v>
      </c>
      <c r="X20" s="12">
        <v>33</v>
      </c>
      <c r="Y20" s="12">
        <v>154</v>
      </c>
      <c r="Z20" s="12">
        <v>133</v>
      </c>
      <c r="AA20" s="12">
        <v>258</v>
      </c>
      <c r="AB20" s="12">
        <v>146</v>
      </c>
      <c r="AC20" s="12">
        <v>99</v>
      </c>
      <c r="AD20" s="12">
        <v>74</v>
      </c>
      <c r="AE20" s="12">
        <v>42</v>
      </c>
      <c r="AF20" s="12">
        <v>22</v>
      </c>
    </row>
    <row r="21" spans="1:32">
      <c r="A21" s="20"/>
      <c r="B21" s="13" t="s">
        <v>1040</v>
      </c>
      <c r="C21" s="14">
        <v>0.15</v>
      </c>
      <c r="D21" s="14">
        <v>0.11</v>
      </c>
      <c r="E21" s="14">
        <v>0.13</v>
      </c>
      <c r="F21" s="14">
        <v>0.16</v>
      </c>
      <c r="G21" s="14">
        <v>0.02</v>
      </c>
      <c r="H21" s="14">
        <v>0.11</v>
      </c>
      <c r="I21" s="14">
        <v>0.12</v>
      </c>
      <c r="J21" s="14">
        <v>0.14000000000000001</v>
      </c>
      <c r="K21" s="14">
        <v>0.17</v>
      </c>
      <c r="L21" s="14">
        <v>0.11</v>
      </c>
      <c r="M21" s="14">
        <v>0.39</v>
      </c>
      <c r="N21" s="14">
        <v>0.2</v>
      </c>
      <c r="O21" s="14">
        <v>0.13</v>
      </c>
      <c r="P21" s="14">
        <v>0.12</v>
      </c>
      <c r="Q21" s="14">
        <v>0.22</v>
      </c>
      <c r="R21" s="14">
        <v>0.33</v>
      </c>
      <c r="S21" s="14">
        <v>0.14000000000000001</v>
      </c>
      <c r="T21" s="14">
        <v>0.12</v>
      </c>
      <c r="U21" s="14">
        <v>0.09</v>
      </c>
      <c r="V21" s="14">
        <v>0.18</v>
      </c>
      <c r="W21" s="14">
        <v>0.08</v>
      </c>
      <c r="X21" s="14">
        <v>0.03</v>
      </c>
      <c r="Y21" s="14">
        <v>0.15</v>
      </c>
      <c r="Z21" s="14">
        <v>0.13</v>
      </c>
      <c r="AA21" s="14">
        <v>0.25</v>
      </c>
      <c r="AB21" s="14">
        <v>0.14000000000000001</v>
      </c>
      <c r="AC21" s="14">
        <v>0.1</v>
      </c>
      <c r="AD21" s="14">
        <v>7.0000000000000007E-2</v>
      </c>
      <c r="AE21" s="14">
        <v>0.04</v>
      </c>
      <c r="AF21" s="14">
        <v>0.02</v>
      </c>
    </row>
    <row r="22" spans="1:32">
      <c r="A22" s="20"/>
      <c r="B22" s="11" t="s">
        <v>1041</v>
      </c>
      <c r="C22" s="12">
        <v>1528</v>
      </c>
      <c r="D22" s="12">
        <v>65</v>
      </c>
      <c r="E22" s="12">
        <v>36</v>
      </c>
      <c r="F22" s="12">
        <v>47</v>
      </c>
      <c r="G22" s="12">
        <v>106</v>
      </c>
      <c r="H22" s="12">
        <v>76</v>
      </c>
      <c r="I22" s="12">
        <v>88</v>
      </c>
      <c r="J22" s="12">
        <v>12</v>
      </c>
      <c r="K22" s="12">
        <v>78</v>
      </c>
      <c r="L22" s="12">
        <v>98</v>
      </c>
      <c r="M22" s="12">
        <v>37</v>
      </c>
      <c r="N22" s="12">
        <v>72</v>
      </c>
      <c r="O22" s="12">
        <v>43</v>
      </c>
      <c r="P22" s="12">
        <v>39</v>
      </c>
      <c r="Q22" s="12">
        <v>41</v>
      </c>
      <c r="R22" s="12">
        <v>21</v>
      </c>
      <c r="S22" s="12">
        <v>131</v>
      </c>
      <c r="T22" s="12">
        <v>77</v>
      </c>
      <c r="U22" s="12">
        <v>37</v>
      </c>
      <c r="V22" s="12">
        <v>25</v>
      </c>
      <c r="W22" s="12">
        <v>28</v>
      </c>
      <c r="X22" s="12">
        <v>104</v>
      </c>
      <c r="Y22" s="12">
        <v>56</v>
      </c>
      <c r="Z22" s="12">
        <v>50</v>
      </c>
      <c r="AA22" s="12">
        <v>19</v>
      </c>
      <c r="AB22" s="12">
        <v>119</v>
      </c>
      <c r="AC22" s="12">
        <v>113</v>
      </c>
      <c r="AD22" s="12">
        <v>84</v>
      </c>
      <c r="AE22" s="12">
        <v>60</v>
      </c>
      <c r="AF22" s="12">
        <v>79</v>
      </c>
    </row>
    <row r="23" spans="1:32">
      <c r="A23" s="20"/>
      <c r="B23" s="13" t="s">
        <v>1042</v>
      </c>
      <c r="C23" s="14">
        <v>0.06</v>
      </c>
      <c r="D23" s="14">
        <v>7.0000000000000007E-2</v>
      </c>
      <c r="E23" s="14">
        <v>0.04</v>
      </c>
      <c r="F23" s="14">
        <v>0.05</v>
      </c>
      <c r="G23" s="14">
        <v>0.1</v>
      </c>
      <c r="H23" s="14">
        <v>0.06</v>
      </c>
      <c r="I23" s="14">
        <v>0.06</v>
      </c>
      <c r="J23" s="14">
        <v>0.04</v>
      </c>
      <c r="K23" s="14">
        <v>0.08</v>
      </c>
      <c r="L23" s="14">
        <v>0.1</v>
      </c>
      <c r="M23" s="14">
        <v>0.04</v>
      </c>
      <c r="N23" s="14">
        <v>7.0000000000000007E-2</v>
      </c>
      <c r="O23" s="14">
        <v>0.04</v>
      </c>
      <c r="P23" s="14">
        <v>0.04</v>
      </c>
      <c r="Q23" s="14">
        <v>0.04</v>
      </c>
      <c r="R23" s="14">
        <v>0.04</v>
      </c>
      <c r="S23" s="14">
        <v>0.13</v>
      </c>
      <c r="T23" s="14">
        <v>0.08</v>
      </c>
      <c r="U23" s="14">
        <v>7.0000000000000007E-2</v>
      </c>
      <c r="V23" s="14">
        <v>0.02</v>
      </c>
      <c r="W23" s="14">
        <v>0.06</v>
      </c>
      <c r="X23" s="14">
        <v>0.1</v>
      </c>
      <c r="Y23" s="14">
        <v>0.06</v>
      </c>
      <c r="Z23" s="14">
        <v>0.05</v>
      </c>
      <c r="AA23" s="14">
        <v>0.02</v>
      </c>
      <c r="AB23" s="14">
        <v>0.12</v>
      </c>
      <c r="AC23" s="14">
        <v>0.11</v>
      </c>
      <c r="AD23" s="14">
        <v>0.08</v>
      </c>
      <c r="AE23" s="14">
        <v>0.06</v>
      </c>
      <c r="AF23" s="14">
        <v>0.08</v>
      </c>
    </row>
    <row r="24" spans="1:32">
      <c r="A24" s="20"/>
      <c r="B24" s="11" t="s">
        <v>1043</v>
      </c>
      <c r="C24" s="12">
        <v>6131</v>
      </c>
      <c r="D24" s="12">
        <v>234</v>
      </c>
      <c r="E24" s="12">
        <v>359</v>
      </c>
      <c r="F24" s="12">
        <v>288</v>
      </c>
      <c r="G24" s="12">
        <v>228</v>
      </c>
      <c r="H24" s="12">
        <v>333</v>
      </c>
      <c r="I24" s="12">
        <v>406</v>
      </c>
      <c r="J24" s="12">
        <v>73</v>
      </c>
      <c r="K24" s="12">
        <v>326</v>
      </c>
      <c r="L24" s="12">
        <v>208</v>
      </c>
      <c r="M24" s="12">
        <v>85</v>
      </c>
      <c r="N24" s="12">
        <v>203</v>
      </c>
      <c r="O24" s="12">
        <v>193</v>
      </c>
      <c r="P24" s="12">
        <v>273</v>
      </c>
      <c r="Q24" s="12">
        <v>235</v>
      </c>
      <c r="R24" s="12">
        <v>93</v>
      </c>
      <c r="S24" s="12">
        <v>350</v>
      </c>
      <c r="T24" s="12">
        <v>400</v>
      </c>
      <c r="U24" s="12">
        <v>128</v>
      </c>
      <c r="V24" s="12">
        <v>103</v>
      </c>
      <c r="W24" s="12">
        <v>85</v>
      </c>
      <c r="X24" s="12">
        <v>187</v>
      </c>
      <c r="Y24" s="12">
        <v>181</v>
      </c>
      <c r="Z24" s="12">
        <v>368</v>
      </c>
      <c r="AA24" s="12">
        <v>226</v>
      </c>
      <c r="AB24" s="12">
        <v>191</v>
      </c>
      <c r="AC24" s="12">
        <v>209</v>
      </c>
      <c r="AD24" s="12">
        <v>315</v>
      </c>
      <c r="AE24" s="12">
        <v>271</v>
      </c>
      <c r="AF24" s="12">
        <v>168</v>
      </c>
    </row>
    <row r="25" spans="1:32">
      <c r="A25" s="20"/>
      <c r="B25" s="13" t="s">
        <v>1044</v>
      </c>
      <c r="C25" s="14">
        <v>0.23</v>
      </c>
      <c r="D25" s="14">
        <v>0.23</v>
      </c>
      <c r="E25" s="14">
        <v>0.35</v>
      </c>
      <c r="F25" s="14">
        <v>0.28999999999999998</v>
      </c>
      <c r="G25" s="14">
        <v>0.23</v>
      </c>
      <c r="H25" s="14">
        <v>0.27</v>
      </c>
      <c r="I25" s="14">
        <v>0.27</v>
      </c>
      <c r="J25" s="14">
        <v>0.25</v>
      </c>
      <c r="K25" s="14">
        <v>0.32</v>
      </c>
      <c r="L25" s="14">
        <v>0.21</v>
      </c>
      <c r="M25" s="14">
        <v>0.08</v>
      </c>
      <c r="N25" s="14">
        <v>0.2</v>
      </c>
      <c r="O25" s="14">
        <v>0.19</v>
      </c>
      <c r="P25" s="14">
        <v>0.27</v>
      </c>
      <c r="Q25" s="14">
        <v>0.23</v>
      </c>
      <c r="R25" s="14">
        <v>0.19</v>
      </c>
      <c r="S25" s="14">
        <v>0.35</v>
      </c>
      <c r="T25" s="14">
        <v>0.39</v>
      </c>
      <c r="U25" s="14">
        <v>0.25</v>
      </c>
      <c r="V25" s="14">
        <v>0.1</v>
      </c>
      <c r="W25" s="14">
        <v>0.17</v>
      </c>
      <c r="X25" s="14">
        <v>0.18</v>
      </c>
      <c r="Y25" s="14">
        <v>0.18</v>
      </c>
      <c r="Z25" s="14">
        <v>0.37</v>
      </c>
      <c r="AA25" s="14">
        <v>0.21</v>
      </c>
      <c r="AB25" s="14">
        <v>0.18</v>
      </c>
      <c r="AC25" s="14">
        <v>0.21</v>
      </c>
      <c r="AD25" s="14">
        <v>0.31</v>
      </c>
      <c r="AE25" s="14">
        <v>0.27</v>
      </c>
      <c r="AF25" s="14">
        <v>0.16</v>
      </c>
    </row>
    <row r="26" spans="1:32" ht="24.95">
      <c r="A26" s="20"/>
      <c r="B26" s="11" t="s">
        <v>1045</v>
      </c>
      <c r="C26" s="12">
        <v>1498</v>
      </c>
      <c r="D26" s="12">
        <v>99</v>
      </c>
      <c r="E26" s="12">
        <v>34</v>
      </c>
      <c r="F26" s="12">
        <v>47</v>
      </c>
      <c r="G26" s="12">
        <v>71</v>
      </c>
      <c r="H26" s="12">
        <v>112</v>
      </c>
      <c r="I26" s="12">
        <v>127</v>
      </c>
      <c r="J26" s="12">
        <v>15</v>
      </c>
      <c r="K26" s="12">
        <v>64</v>
      </c>
      <c r="L26" s="12">
        <v>32</v>
      </c>
      <c r="M26" s="12">
        <v>28</v>
      </c>
      <c r="N26" s="12">
        <v>38</v>
      </c>
      <c r="O26" s="12">
        <v>45</v>
      </c>
      <c r="P26" s="12">
        <v>47</v>
      </c>
      <c r="Q26" s="12">
        <v>46</v>
      </c>
      <c r="R26" s="12">
        <v>10</v>
      </c>
      <c r="S26" s="12">
        <v>31</v>
      </c>
      <c r="T26" s="12">
        <v>46</v>
      </c>
      <c r="U26" s="12">
        <v>16</v>
      </c>
      <c r="V26" s="12">
        <v>79</v>
      </c>
      <c r="W26" s="12">
        <v>19</v>
      </c>
      <c r="X26" s="12">
        <v>116</v>
      </c>
      <c r="Y26" s="12">
        <v>85</v>
      </c>
      <c r="Z26" s="12">
        <v>37</v>
      </c>
      <c r="AA26" s="12">
        <v>32</v>
      </c>
      <c r="AB26" s="12">
        <v>52</v>
      </c>
      <c r="AC26" s="12">
        <v>73</v>
      </c>
      <c r="AD26" s="12">
        <v>48</v>
      </c>
      <c r="AE26" s="12">
        <v>88</v>
      </c>
      <c r="AF26" s="12">
        <v>62</v>
      </c>
    </row>
    <row r="27" spans="1:32">
      <c r="A27" s="20"/>
      <c r="B27" s="13" t="s">
        <v>1046</v>
      </c>
      <c r="C27" s="14">
        <v>0.06</v>
      </c>
      <c r="D27" s="14">
        <v>0.1</v>
      </c>
      <c r="E27" s="14">
        <v>0.03</v>
      </c>
      <c r="F27" s="14">
        <v>0.05</v>
      </c>
      <c r="G27" s="14">
        <v>7.0000000000000007E-2</v>
      </c>
      <c r="H27" s="14">
        <v>0.09</v>
      </c>
      <c r="I27" s="14">
        <v>0.08</v>
      </c>
      <c r="J27" s="14">
        <v>0.05</v>
      </c>
      <c r="K27" s="14">
        <v>0.06</v>
      </c>
      <c r="L27" s="14">
        <v>0.03</v>
      </c>
      <c r="M27" s="14">
        <v>0.03</v>
      </c>
      <c r="N27" s="14">
        <v>0.04</v>
      </c>
      <c r="O27" s="14">
        <v>0.05</v>
      </c>
      <c r="P27" s="14">
        <v>0.05</v>
      </c>
      <c r="Q27" s="14">
        <v>0.04</v>
      </c>
      <c r="R27" s="14">
        <v>0.02</v>
      </c>
      <c r="S27" s="14">
        <v>0.03</v>
      </c>
      <c r="T27" s="14">
        <v>0.05</v>
      </c>
      <c r="U27" s="14">
        <v>0.03</v>
      </c>
      <c r="V27" s="14">
        <v>0.08</v>
      </c>
      <c r="W27" s="14">
        <v>0.04</v>
      </c>
      <c r="X27" s="14">
        <v>0.12</v>
      </c>
      <c r="Y27" s="14">
        <v>0.09</v>
      </c>
      <c r="Z27" s="14">
        <v>0.04</v>
      </c>
      <c r="AA27" s="14">
        <v>0.03</v>
      </c>
      <c r="AB27" s="14">
        <v>0.05</v>
      </c>
      <c r="AC27" s="14">
        <v>7.0000000000000007E-2</v>
      </c>
      <c r="AD27" s="14">
        <v>0.05</v>
      </c>
      <c r="AE27" s="14">
        <v>0.09</v>
      </c>
      <c r="AF27" s="14">
        <v>0.06</v>
      </c>
    </row>
    <row r="28" spans="1:32">
      <c r="A28" s="20"/>
      <c r="B28" s="11" t="s">
        <v>1047</v>
      </c>
      <c r="C28" s="12">
        <v>1340</v>
      </c>
      <c r="D28" s="12">
        <v>50</v>
      </c>
      <c r="E28" s="12">
        <v>83</v>
      </c>
      <c r="F28" s="12">
        <v>87</v>
      </c>
      <c r="G28" s="12">
        <v>42</v>
      </c>
      <c r="H28" s="12">
        <v>28</v>
      </c>
      <c r="I28" s="12">
        <v>38</v>
      </c>
      <c r="J28" s="12">
        <v>10</v>
      </c>
      <c r="K28" s="12">
        <v>72</v>
      </c>
      <c r="L28" s="12">
        <v>40</v>
      </c>
      <c r="M28" s="12">
        <v>23</v>
      </c>
      <c r="N28" s="12">
        <v>36</v>
      </c>
      <c r="O28" s="12">
        <v>74</v>
      </c>
      <c r="P28" s="12">
        <v>91</v>
      </c>
      <c r="Q28" s="12">
        <v>60</v>
      </c>
      <c r="R28" s="12">
        <v>8</v>
      </c>
      <c r="S28" s="12">
        <v>55</v>
      </c>
      <c r="T28" s="12">
        <v>81</v>
      </c>
      <c r="U28" s="12">
        <v>25</v>
      </c>
      <c r="V28" s="12">
        <v>121</v>
      </c>
      <c r="W28" s="12">
        <v>39</v>
      </c>
      <c r="X28" s="12">
        <v>39</v>
      </c>
      <c r="Y28" s="12">
        <v>45</v>
      </c>
      <c r="Z28" s="12">
        <v>52</v>
      </c>
      <c r="AA28" s="12">
        <v>36</v>
      </c>
      <c r="AB28" s="12">
        <v>58</v>
      </c>
      <c r="AC28" s="12">
        <v>72</v>
      </c>
      <c r="AD28" s="12">
        <v>89</v>
      </c>
      <c r="AE28" s="12">
        <v>64</v>
      </c>
      <c r="AF28" s="12">
        <v>36</v>
      </c>
    </row>
    <row r="29" spans="1:32">
      <c r="A29" s="20"/>
      <c r="B29" s="13" t="s">
        <v>1048</v>
      </c>
      <c r="C29" s="14">
        <v>0.05</v>
      </c>
      <c r="D29" s="14">
        <v>0.05</v>
      </c>
      <c r="E29" s="14">
        <v>0.08</v>
      </c>
      <c r="F29" s="14">
        <v>0.09</v>
      </c>
      <c r="G29" s="14">
        <v>0.04</v>
      </c>
      <c r="H29" s="14">
        <v>0.02</v>
      </c>
      <c r="I29" s="14">
        <v>0.03</v>
      </c>
      <c r="J29" s="14">
        <v>0.04</v>
      </c>
      <c r="K29" s="14">
        <v>7.0000000000000007E-2</v>
      </c>
      <c r="L29" s="14">
        <v>0.04</v>
      </c>
      <c r="M29" s="14">
        <v>0.02</v>
      </c>
      <c r="N29" s="14">
        <v>0.04</v>
      </c>
      <c r="O29" s="14">
        <v>7.0000000000000007E-2</v>
      </c>
      <c r="P29" s="14">
        <v>0.09</v>
      </c>
      <c r="Q29" s="14">
        <v>0.06</v>
      </c>
      <c r="R29" s="14">
        <v>0.02</v>
      </c>
      <c r="S29" s="14">
        <v>0.05</v>
      </c>
      <c r="T29" s="14">
        <v>0.08</v>
      </c>
      <c r="U29" s="14">
        <v>0.05</v>
      </c>
      <c r="V29" s="14">
        <v>0.12</v>
      </c>
      <c r="W29" s="14">
        <v>0.08</v>
      </c>
      <c r="X29" s="14">
        <v>0.04</v>
      </c>
      <c r="Y29" s="14">
        <v>0.04</v>
      </c>
      <c r="Z29" s="14">
        <v>0.05</v>
      </c>
      <c r="AA29" s="14">
        <v>0.03</v>
      </c>
      <c r="AB29" s="14">
        <v>0.06</v>
      </c>
      <c r="AC29" s="14">
        <v>7.0000000000000007E-2</v>
      </c>
      <c r="AD29" s="14">
        <v>0.09</v>
      </c>
      <c r="AE29" s="14">
        <v>7.0000000000000007E-2</v>
      </c>
      <c r="AF29" s="14">
        <v>0.04</v>
      </c>
    </row>
    <row r="30" spans="1:32" ht="24.95">
      <c r="A30" s="20"/>
      <c r="B30" s="11" t="s">
        <v>1049</v>
      </c>
      <c r="C30" s="12">
        <v>2335</v>
      </c>
      <c r="D30" s="12">
        <v>73</v>
      </c>
      <c r="E30" s="12">
        <v>44</v>
      </c>
      <c r="F30" s="12">
        <v>46</v>
      </c>
      <c r="G30" s="12">
        <v>117</v>
      </c>
      <c r="H30" s="12">
        <v>166</v>
      </c>
      <c r="I30" s="12">
        <v>208</v>
      </c>
      <c r="J30" s="12">
        <v>41</v>
      </c>
      <c r="K30" s="12">
        <v>58</v>
      </c>
      <c r="L30" s="12">
        <v>69</v>
      </c>
      <c r="M30" s="12">
        <v>86</v>
      </c>
      <c r="N30" s="12">
        <v>82</v>
      </c>
      <c r="O30" s="12">
        <v>72</v>
      </c>
      <c r="P30" s="12">
        <v>56</v>
      </c>
      <c r="Q30" s="12">
        <v>63</v>
      </c>
      <c r="R30" s="12">
        <v>14</v>
      </c>
      <c r="S30" s="12">
        <v>39</v>
      </c>
      <c r="T30" s="12">
        <v>39</v>
      </c>
      <c r="U30" s="12">
        <v>39</v>
      </c>
      <c r="V30" s="12">
        <v>74</v>
      </c>
      <c r="W30" s="12">
        <v>40</v>
      </c>
      <c r="X30" s="12">
        <v>156</v>
      </c>
      <c r="Y30" s="12">
        <v>101</v>
      </c>
      <c r="Z30" s="12">
        <v>69</v>
      </c>
      <c r="AA30" s="12">
        <v>38</v>
      </c>
      <c r="AB30" s="12">
        <v>101</v>
      </c>
      <c r="AC30" s="12">
        <v>46</v>
      </c>
      <c r="AD30" s="12">
        <v>56</v>
      </c>
      <c r="AE30" s="12">
        <v>99</v>
      </c>
      <c r="AF30" s="12">
        <v>158</v>
      </c>
    </row>
    <row r="31" spans="1:32" ht="24.95">
      <c r="A31" s="20"/>
      <c r="B31" s="13" t="s">
        <v>1050</v>
      </c>
      <c r="C31" s="14">
        <v>0.09</v>
      </c>
      <c r="D31" s="14">
        <v>7.0000000000000007E-2</v>
      </c>
      <c r="E31" s="14">
        <v>0.04</v>
      </c>
      <c r="F31" s="14">
        <v>0.04</v>
      </c>
      <c r="G31" s="14">
        <v>0.12</v>
      </c>
      <c r="H31" s="14">
        <v>0.14000000000000001</v>
      </c>
      <c r="I31" s="14">
        <v>0.14000000000000001</v>
      </c>
      <c r="J31" s="14">
        <v>0.14000000000000001</v>
      </c>
      <c r="K31" s="14">
        <v>0.06</v>
      </c>
      <c r="L31" s="14">
        <v>7.0000000000000007E-2</v>
      </c>
      <c r="M31" s="14">
        <v>0.09</v>
      </c>
      <c r="N31" s="14">
        <v>0.08</v>
      </c>
      <c r="O31" s="14">
        <v>7.0000000000000007E-2</v>
      </c>
      <c r="P31" s="14">
        <v>0.05</v>
      </c>
      <c r="Q31" s="14">
        <v>0.06</v>
      </c>
      <c r="R31" s="14">
        <v>0.03</v>
      </c>
      <c r="S31" s="14">
        <v>0.04</v>
      </c>
      <c r="T31" s="14">
        <v>0.04</v>
      </c>
      <c r="U31" s="14">
        <v>0.08</v>
      </c>
      <c r="V31" s="14">
        <v>7.0000000000000007E-2</v>
      </c>
      <c r="W31" s="14">
        <v>0.08</v>
      </c>
      <c r="X31" s="14">
        <v>0.15</v>
      </c>
      <c r="Y31" s="14">
        <v>0.1</v>
      </c>
      <c r="Z31" s="14">
        <v>7.0000000000000007E-2</v>
      </c>
      <c r="AA31" s="14">
        <v>0.04</v>
      </c>
      <c r="AB31" s="14">
        <v>0.1</v>
      </c>
      <c r="AC31" s="14">
        <v>0.05</v>
      </c>
      <c r="AD31" s="14">
        <v>0.06</v>
      </c>
      <c r="AE31" s="14">
        <v>0.1</v>
      </c>
      <c r="AF31" s="14">
        <v>0.15</v>
      </c>
    </row>
    <row r="32" spans="1:32">
      <c r="A32" s="20"/>
      <c r="B32" s="11" t="s">
        <v>519</v>
      </c>
      <c r="C32" s="12">
        <v>47</v>
      </c>
      <c r="D32" s="12">
        <v>1</v>
      </c>
      <c r="E32" s="12">
        <v>0</v>
      </c>
      <c r="F32" s="12">
        <v>3</v>
      </c>
      <c r="G32" s="12">
        <v>2</v>
      </c>
      <c r="H32" s="12">
        <v>4</v>
      </c>
      <c r="I32" s="12">
        <v>4</v>
      </c>
      <c r="J32" s="12">
        <v>0</v>
      </c>
      <c r="K32" s="12">
        <v>5</v>
      </c>
      <c r="L32" s="12">
        <v>7</v>
      </c>
      <c r="M32" s="12">
        <v>2</v>
      </c>
      <c r="N32" s="12">
        <v>1</v>
      </c>
      <c r="O32" s="12">
        <v>2</v>
      </c>
      <c r="P32" s="12">
        <v>0</v>
      </c>
      <c r="Q32" s="12">
        <v>0</v>
      </c>
      <c r="R32" s="12">
        <v>1</v>
      </c>
      <c r="S32" s="12">
        <v>7</v>
      </c>
      <c r="T32" s="12">
        <v>0</v>
      </c>
      <c r="U32" s="12">
        <v>1</v>
      </c>
      <c r="V32" s="12">
        <v>0</v>
      </c>
      <c r="W32" s="12">
        <v>1</v>
      </c>
      <c r="X32" s="12">
        <v>4</v>
      </c>
      <c r="Y32" s="12">
        <v>11</v>
      </c>
      <c r="Z32" s="12">
        <v>0</v>
      </c>
      <c r="AA32" s="12">
        <v>4</v>
      </c>
      <c r="AB32" s="12">
        <v>0</v>
      </c>
      <c r="AC32" s="12">
        <v>0</v>
      </c>
      <c r="AD32" s="12">
        <v>0</v>
      </c>
      <c r="AE32" s="12">
        <v>2</v>
      </c>
      <c r="AF32" s="12">
        <v>3</v>
      </c>
    </row>
    <row r="33" spans="1:32">
      <c r="A33" s="20"/>
      <c r="B33" s="13" t="s">
        <v>520</v>
      </c>
      <c r="C33" s="15" t="s">
        <v>459</v>
      </c>
      <c r="D33" s="15" t="s">
        <v>459</v>
      </c>
      <c r="E33" s="15" t="s">
        <v>459</v>
      </c>
      <c r="F33" s="15" t="s">
        <v>459</v>
      </c>
      <c r="G33" s="15" t="s">
        <v>459</v>
      </c>
      <c r="H33" s="14">
        <v>0.01</v>
      </c>
      <c r="I33" s="15" t="s">
        <v>459</v>
      </c>
      <c r="J33" s="15" t="s">
        <v>459</v>
      </c>
      <c r="K33" s="14">
        <v>0.01</v>
      </c>
      <c r="L33" s="14">
        <v>0.01</v>
      </c>
      <c r="M33" s="15" t="s">
        <v>459</v>
      </c>
      <c r="N33" s="15" t="s">
        <v>459</v>
      </c>
      <c r="O33" s="15" t="s">
        <v>459</v>
      </c>
      <c r="P33" s="15" t="s">
        <v>459</v>
      </c>
      <c r="Q33" s="15" t="s">
        <v>459</v>
      </c>
      <c r="R33" s="15" t="s">
        <v>459</v>
      </c>
      <c r="S33" s="14">
        <v>0.01</v>
      </c>
      <c r="T33" s="15" t="s">
        <v>459</v>
      </c>
      <c r="U33" s="15" t="s">
        <v>459</v>
      </c>
      <c r="V33" s="15" t="s">
        <v>459</v>
      </c>
      <c r="W33" s="15" t="s">
        <v>459</v>
      </c>
      <c r="X33" s="14">
        <v>0.01</v>
      </c>
      <c r="Y33" s="14">
        <v>0.01</v>
      </c>
      <c r="Z33" s="15" t="s">
        <v>459</v>
      </c>
      <c r="AA33" s="15" t="s">
        <v>459</v>
      </c>
      <c r="AB33" s="15" t="s">
        <v>459</v>
      </c>
      <c r="AC33" s="15" t="s">
        <v>459</v>
      </c>
      <c r="AD33" s="15" t="s">
        <v>459</v>
      </c>
      <c r="AE33" s="15" t="s">
        <v>459</v>
      </c>
      <c r="AF33" s="15" t="s">
        <v>459</v>
      </c>
    </row>
    <row r="34" spans="1:32" ht="24.95">
      <c r="A34" s="20"/>
      <c r="B34" s="11" t="s">
        <v>551</v>
      </c>
      <c r="C34" s="12">
        <v>36</v>
      </c>
      <c r="D34" s="12">
        <v>0</v>
      </c>
      <c r="E34" s="12">
        <v>0</v>
      </c>
      <c r="F34" s="12">
        <v>9</v>
      </c>
      <c r="G34" s="12">
        <v>1</v>
      </c>
      <c r="H34" s="12">
        <v>2</v>
      </c>
      <c r="I34" s="12">
        <v>2</v>
      </c>
      <c r="J34" s="12">
        <v>0</v>
      </c>
      <c r="K34" s="12">
        <v>2</v>
      </c>
      <c r="L34" s="12">
        <v>0</v>
      </c>
      <c r="M34" s="12">
        <v>1</v>
      </c>
      <c r="N34" s="12">
        <v>0</v>
      </c>
      <c r="O34" s="12">
        <v>4</v>
      </c>
      <c r="P34" s="12">
        <v>0</v>
      </c>
      <c r="Q34" s="12">
        <v>0</v>
      </c>
      <c r="R34" s="12">
        <v>2</v>
      </c>
      <c r="S34" s="12">
        <v>3</v>
      </c>
      <c r="T34" s="12">
        <v>2</v>
      </c>
      <c r="U34" s="12">
        <v>0</v>
      </c>
      <c r="V34" s="12">
        <v>0</v>
      </c>
      <c r="W34" s="12">
        <v>5</v>
      </c>
      <c r="X34" s="12">
        <v>0</v>
      </c>
      <c r="Y34" s="12">
        <v>5</v>
      </c>
      <c r="Z34" s="12">
        <v>1</v>
      </c>
      <c r="AA34" s="12">
        <v>0</v>
      </c>
      <c r="AB34" s="12">
        <v>0</v>
      </c>
      <c r="AC34" s="12">
        <v>2</v>
      </c>
      <c r="AD34" s="12">
        <v>0</v>
      </c>
      <c r="AE34" s="12">
        <v>1</v>
      </c>
      <c r="AF34" s="12">
        <v>0</v>
      </c>
    </row>
    <row r="35" spans="1:32">
      <c r="A35" s="20"/>
      <c r="B35" s="13" t="s">
        <v>522</v>
      </c>
      <c r="C35" s="15" t="s">
        <v>459</v>
      </c>
      <c r="D35" s="15" t="s">
        <v>459</v>
      </c>
      <c r="E35" s="15" t="s">
        <v>459</v>
      </c>
      <c r="F35" s="14">
        <v>0.01</v>
      </c>
      <c r="G35" s="15" t="s">
        <v>459</v>
      </c>
      <c r="H35" s="15" t="s">
        <v>459</v>
      </c>
      <c r="I35" s="15" t="s">
        <v>459</v>
      </c>
      <c r="J35" s="15" t="s">
        <v>459</v>
      </c>
      <c r="K35" s="15" t="s">
        <v>459</v>
      </c>
      <c r="L35" s="15" t="s">
        <v>459</v>
      </c>
      <c r="M35" s="15" t="s">
        <v>459</v>
      </c>
      <c r="N35" s="15" t="s">
        <v>459</v>
      </c>
      <c r="O35" s="15" t="s">
        <v>459</v>
      </c>
      <c r="P35" s="15" t="s">
        <v>459</v>
      </c>
      <c r="Q35" s="15" t="s">
        <v>459</v>
      </c>
      <c r="R35" s="15" t="s">
        <v>459</v>
      </c>
      <c r="S35" s="15" t="s">
        <v>459</v>
      </c>
      <c r="T35" s="15" t="s">
        <v>459</v>
      </c>
      <c r="U35" s="15" t="s">
        <v>459</v>
      </c>
      <c r="V35" s="15" t="s">
        <v>459</v>
      </c>
      <c r="W35" s="14">
        <v>0.01</v>
      </c>
      <c r="X35" s="15" t="s">
        <v>459</v>
      </c>
      <c r="Y35" s="14">
        <v>0.01</v>
      </c>
      <c r="Z35" s="15" t="s">
        <v>459</v>
      </c>
      <c r="AA35" s="15" t="s">
        <v>459</v>
      </c>
      <c r="AB35" s="15" t="s">
        <v>459</v>
      </c>
      <c r="AC35" s="15" t="s">
        <v>459</v>
      </c>
      <c r="AD35" s="15" t="s">
        <v>459</v>
      </c>
      <c r="AE35" s="15" t="s">
        <v>459</v>
      </c>
      <c r="AF35" s="15" t="s">
        <v>459</v>
      </c>
    </row>
    <row r="36" spans="1:32">
      <c r="A36" s="20"/>
      <c r="B36" s="11" t="s">
        <v>468</v>
      </c>
      <c r="C36" s="12">
        <v>79</v>
      </c>
      <c r="D36" s="12">
        <v>0</v>
      </c>
      <c r="E36" s="12">
        <v>2</v>
      </c>
      <c r="F36" s="12">
        <v>28</v>
      </c>
      <c r="G36" s="12">
        <v>8</v>
      </c>
      <c r="H36" s="12">
        <v>2</v>
      </c>
      <c r="I36" s="12">
        <v>3</v>
      </c>
      <c r="J36" s="12">
        <v>1</v>
      </c>
      <c r="K36" s="12">
        <v>4</v>
      </c>
      <c r="L36" s="12">
        <v>4</v>
      </c>
      <c r="M36" s="12">
        <v>0</v>
      </c>
      <c r="N36" s="12">
        <v>2</v>
      </c>
      <c r="O36" s="12">
        <v>2</v>
      </c>
      <c r="P36" s="12">
        <v>0</v>
      </c>
      <c r="Q36" s="12">
        <v>3</v>
      </c>
      <c r="R36" s="12">
        <v>3</v>
      </c>
      <c r="S36" s="12">
        <v>8</v>
      </c>
      <c r="T36" s="12">
        <v>9</v>
      </c>
      <c r="U36" s="12">
        <v>0</v>
      </c>
      <c r="V36" s="12">
        <v>4</v>
      </c>
      <c r="W36" s="12">
        <v>2</v>
      </c>
      <c r="X36" s="12">
        <v>2</v>
      </c>
      <c r="Y36" s="12">
        <v>3</v>
      </c>
      <c r="Z36" s="12">
        <v>3</v>
      </c>
      <c r="AA36" s="12">
        <v>5</v>
      </c>
      <c r="AB36" s="12">
        <v>4</v>
      </c>
      <c r="AC36" s="12">
        <v>1</v>
      </c>
      <c r="AD36" s="12">
        <v>0</v>
      </c>
      <c r="AE36" s="12">
        <v>3</v>
      </c>
      <c r="AF36" s="12">
        <v>0</v>
      </c>
    </row>
    <row r="37" spans="1:32">
      <c r="A37" s="20"/>
      <c r="B37" s="13" t="s">
        <v>469</v>
      </c>
      <c r="C37" s="15" t="s">
        <v>459</v>
      </c>
      <c r="D37" s="15" t="s">
        <v>459</v>
      </c>
      <c r="E37" s="15" t="s">
        <v>459</v>
      </c>
      <c r="F37" s="14">
        <v>0.03</v>
      </c>
      <c r="G37" s="14">
        <v>0.01</v>
      </c>
      <c r="H37" s="15" t="s">
        <v>459</v>
      </c>
      <c r="I37" s="15" t="s">
        <v>459</v>
      </c>
      <c r="J37" s="15" t="s">
        <v>459</v>
      </c>
      <c r="K37" s="15" t="s">
        <v>459</v>
      </c>
      <c r="L37" s="15" t="s">
        <v>459</v>
      </c>
      <c r="M37" s="15" t="s">
        <v>459</v>
      </c>
      <c r="N37" s="15" t="s">
        <v>459</v>
      </c>
      <c r="O37" s="15" t="s">
        <v>459</v>
      </c>
      <c r="P37" s="15" t="s">
        <v>459</v>
      </c>
      <c r="Q37" s="15" t="s">
        <v>459</v>
      </c>
      <c r="R37" s="15" t="s">
        <v>459</v>
      </c>
      <c r="S37" s="14">
        <v>0.01</v>
      </c>
      <c r="T37" s="14">
        <v>0.01</v>
      </c>
      <c r="U37" s="15" t="s">
        <v>459</v>
      </c>
      <c r="V37" s="14">
        <v>0.01</v>
      </c>
      <c r="W37" s="15" t="s">
        <v>459</v>
      </c>
      <c r="X37" s="15" t="s">
        <v>459</v>
      </c>
      <c r="Y37" s="15" t="s">
        <v>459</v>
      </c>
      <c r="Z37" s="15" t="s">
        <v>459</v>
      </c>
      <c r="AA37" s="15" t="s">
        <v>459</v>
      </c>
      <c r="AB37" s="15" t="s">
        <v>459</v>
      </c>
      <c r="AC37" s="15" t="s">
        <v>459</v>
      </c>
      <c r="AD37" s="15" t="s">
        <v>459</v>
      </c>
      <c r="AE37" s="15" t="s">
        <v>459</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181</v>
      </c>
      <c r="C3" s="18"/>
      <c r="D3" s="18"/>
      <c r="E3" s="18"/>
      <c r="F3" s="18"/>
      <c r="H3" s="18" t="s">
        <v>182</v>
      </c>
      <c r="I3" s="18"/>
      <c r="J3" s="18"/>
      <c r="K3" s="18"/>
      <c r="L3" s="18"/>
    </row>
    <row r="4" spans="1:32" ht="27" customHeight="1">
      <c r="B4" s="18"/>
      <c r="C4" s="18"/>
      <c r="D4" s="18"/>
      <c r="E4" s="18"/>
      <c r="F4" s="18"/>
      <c r="H4" s="18"/>
      <c r="I4" s="18"/>
      <c r="J4" s="18"/>
      <c r="K4" s="18"/>
      <c r="L4" s="18"/>
    </row>
    <row r="5" spans="1:32" ht="24" customHeight="1">
      <c r="B5" s="18" t="s">
        <v>1051</v>
      </c>
      <c r="C5" s="18"/>
      <c r="D5" s="18"/>
      <c r="E5" s="18"/>
      <c r="F5" s="18"/>
      <c r="H5" s="18" t="s">
        <v>1052</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26204</v>
      </c>
      <c r="D10" s="10">
        <v>1003</v>
      </c>
      <c r="E10" s="10">
        <v>1016</v>
      </c>
      <c r="F10" s="10">
        <v>968</v>
      </c>
      <c r="G10" s="10">
        <v>995</v>
      </c>
      <c r="H10" s="10">
        <v>1211</v>
      </c>
      <c r="I10" s="10">
        <v>1505</v>
      </c>
      <c r="J10" s="10">
        <v>286</v>
      </c>
      <c r="K10" s="10">
        <v>1000</v>
      </c>
      <c r="L10" s="10">
        <v>1003</v>
      </c>
      <c r="M10" s="10">
        <v>1002</v>
      </c>
      <c r="N10" s="10">
        <v>1002</v>
      </c>
      <c r="O10" s="10">
        <v>998</v>
      </c>
      <c r="P10" s="10">
        <v>1022</v>
      </c>
      <c r="Q10" s="10">
        <v>1016</v>
      </c>
      <c r="R10" s="10">
        <v>496</v>
      </c>
      <c r="S10" s="10">
        <v>997</v>
      </c>
      <c r="T10" s="10">
        <v>1003</v>
      </c>
      <c r="U10" s="10">
        <v>507</v>
      </c>
      <c r="V10" s="10">
        <v>988</v>
      </c>
      <c r="W10" s="10">
        <v>496</v>
      </c>
      <c r="X10" s="10">
        <v>1019</v>
      </c>
      <c r="Y10" s="10">
        <v>999</v>
      </c>
      <c r="Z10" s="10">
        <v>1004</v>
      </c>
      <c r="AA10" s="10">
        <v>1048</v>
      </c>
      <c r="AB10" s="10">
        <v>1035</v>
      </c>
      <c r="AC10" s="10">
        <v>1008</v>
      </c>
      <c r="AD10" s="10">
        <v>1006</v>
      </c>
      <c r="AE10" s="10">
        <v>996</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1031</v>
      </c>
      <c r="C12" s="12">
        <v>8996</v>
      </c>
      <c r="D12" s="12">
        <v>324</v>
      </c>
      <c r="E12" s="12">
        <v>283</v>
      </c>
      <c r="F12" s="12">
        <v>234</v>
      </c>
      <c r="G12" s="12">
        <v>454</v>
      </c>
      <c r="H12" s="12">
        <v>424</v>
      </c>
      <c r="I12" s="12">
        <v>520</v>
      </c>
      <c r="J12" s="12">
        <v>96</v>
      </c>
      <c r="K12" s="12">
        <v>220</v>
      </c>
      <c r="L12" s="12">
        <v>329</v>
      </c>
      <c r="M12" s="12">
        <v>389</v>
      </c>
      <c r="N12" s="12">
        <v>332</v>
      </c>
      <c r="O12" s="12">
        <v>408</v>
      </c>
      <c r="P12" s="12">
        <v>403</v>
      </c>
      <c r="Q12" s="12">
        <v>379</v>
      </c>
      <c r="R12" s="12">
        <v>217</v>
      </c>
      <c r="S12" s="12">
        <v>237</v>
      </c>
      <c r="T12" s="12">
        <v>342</v>
      </c>
      <c r="U12" s="12">
        <v>185</v>
      </c>
      <c r="V12" s="12">
        <v>357</v>
      </c>
      <c r="W12" s="12">
        <v>181</v>
      </c>
      <c r="X12" s="12">
        <v>428</v>
      </c>
      <c r="Y12" s="12">
        <v>400</v>
      </c>
      <c r="Z12" s="12">
        <v>180</v>
      </c>
      <c r="AA12" s="12">
        <v>398</v>
      </c>
      <c r="AB12" s="12">
        <v>243</v>
      </c>
      <c r="AC12" s="12">
        <v>343</v>
      </c>
      <c r="AD12" s="12">
        <v>322</v>
      </c>
      <c r="AE12" s="12">
        <v>374</v>
      </c>
      <c r="AF12" s="12">
        <v>399</v>
      </c>
    </row>
    <row r="13" spans="1:32">
      <c r="A13" s="20"/>
      <c r="B13" s="13" t="s">
        <v>1032</v>
      </c>
      <c r="C13" s="14">
        <v>0.39</v>
      </c>
      <c r="D13" s="14">
        <v>0.39</v>
      </c>
      <c r="E13" s="14">
        <v>0.28999999999999998</v>
      </c>
      <c r="F13" s="14">
        <v>0.26</v>
      </c>
      <c r="G13" s="14">
        <v>0.64</v>
      </c>
      <c r="H13" s="14">
        <v>0.42</v>
      </c>
      <c r="I13" s="14">
        <v>0.41</v>
      </c>
      <c r="J13" s="14">
        <v>0.37</v>
      </c>
      <c r="K13" s="14">
        <v>0.23</v>
      </c>
      <c r="L13" s="14">
        <v>0.41</v>
      </c>
      <c r="M13" s="14">
        <v>0.42</v>
      </c>
      <c r="N13" s="14">
        <v>0.37</v>
      </c>
      <c r="O13" s="14">
        <v>0.46</v>
      </c>
      <c r="P13" s="14">
        <v>0.43</v>
      </c>
      <c r="Q13" s="14">
        <v>0.42</v>
      </c>
      <c r="R13" s="14">
        <v>0.47</v>
      </c>
      <c r="S13" s="14">
        <v>0.25</v>
      </c>
      <c r="T13" s="14">
        <v>0.37</v>
      </c>
      <c r="U13" s="14">
        <v>0.42</v>
      </c>
      <c r="V13" s="14">
        <v>0.39</v>
      </c>
      <c r="W13" s="14">
        <v>0.42</v>
      </c>
      <c r="X13" s="14">
        <v>0.54</v>
      </c>
      <c r="Y13" s="14">
        <v>0.45</v>
      </c>
      <c r="Z13" s="14">
        <v>0.19</v>
      </c>
      <c r="AA13" s="14">
        <v>0.42</v>
      </c>
      <c r="AB13" s="14">
        <v>0.25</v>
      </c>
      <c r="AC13" s="14">
        <v>0.39</v>
      </c>
      <c r="AD13" s="14">
        <v>0.34</v>
      </c>
      <c r="AE13" s="14">
        <v>0.48</v>
      </c>
      <c r="AF13" s="14">
        <v>0.63</v>
      </c>
    </row>
    <row r="14" spans="1:32">
      <c r="A14" s="20"/>
      <c r="B14" s="11" t="s">
        <v>1033</v>
      </c>
      <c r="C14" s="12">
        <v>7569</v>
      </c>
      <c r="D14" s="12">
        <v>254</v>
      </c>
      <c r="E14" s="12">
        <v>329</v>
      </c>
      <c r="F14" s="12">
        <v>325</v>
      </c>
      <c r="G14" s="12">
        <v>232</v>
      </c>
      <c r="H14" s="12">
        <v>394</v>
      </c>
      <c r="I14" s="12">
        <v>508</v>
      </c>
      <c r="J14" s="12">
        <v>114</v>
      </c>
      <c r="K14" s="12">
        <v>200</v>
      </c>
      <c r="L14" s="12">
        <v>265</v>
      </c>
      <c r="M14" s="12">
        <v>281</v>
      </c>
      <c r="N14" s="12">
        <v>231</v>
      </c>
      <c r="O14" s="12">
        <v>316</v>
      </c>
      <c r="P14" s="12">
        <v>336</v>
      </c>
      <c r="Q14" s="12">
        <v>320</v>
      </c>
      <c r="R14" s="12">
        <v>161</v>
      </c>
      <c r="S14" s="12">
        <v>212</v>
      </c>
      <c r="T14" s="12">
        <v>278</v>
      </c>
      <c r="U14" s="12">
        <v>159</v>
      </c>
      <c r="V14" s="12">
        <v>275</v>
      </c>
      <c r="W14" s="12">
        <v>133</v>
      </c>
      <c r="X14" s="12">
        <v>233</v>
      </c>
      <c r="Y14" s="12">
        <v>376</v>
      </c>
      <c r="Z14" s="12">
        <v>219</v>
      </c>
      <c r="AA14" s="12">
        <v>350</v>
      </c>
      <c r="AB14" s="12">
        <v>232</v>
      </c>
      <c r="AC14" s="12">
        <v>348</v>
      </c>
      <c r="AD14" s="12">
        <v>276</v>
      </c>
      <c r="AE14" s="12">
        <v>215</v>
      </c>
      <c r="AF14" s="12">
        <v>272</v>
      </c>
    </row>
    <row r="15" spans="1:32">
      <c r="A15" s="20"/>
      <c r="B15" s="13" t="s">
        <v>1034</v>
      </c>
      <c r="C15" s="14">
        <v>0.31</v>
      </c>
      <c r="D15" s="14">
        <v>0.27</v>
      </c>
      <c r="E15" s="14">
        <v>0.34</v>
      </c>
      <c r="F15" s="14">
        <v>0.37</v>
      </c>
      <c r="G15" s="14">
        <v>0.24</v>
      </c>
      <c r="H15" s="14">
        <v>0.34</v>
      </c>
      <c r="I15" s="14">
        <v>0.36</v>
      </c>
      <c r="J15" s="14">
        <v>0.42</v>
      </c>
      <c r="K15" s="14">
        <v>0.21</v>
      </c>
      <c r="L15" s="14">
        <v>0.28999999999999998</v>
      </c>
      <c r="M15" s="14">
        <v>0.28999999999999998</v>
      </c>
      <c r="N15" s="14">
        <v>0.24</v>
      </c>
      <c r="O15" s="14">
        <v>0.35</v>
      </c>
      <c r="P15" s="14">
        <v>0.35</v>
      </c>
      <c r="Q15" s="14">
        <v>0.33</v>
      </c>
      <c r="R15" s="14">
        <v>0.34</v>
      </c>
      <c r="S15" s="14">
        <v>0.22</v>
      </c>
      <c r="T15" s="14">
        <v>0.28999999999999998</v>
      </c>
      <c r="U15" s="14">
        <v>0.35</v>
      </c>
      <c r="V15" s="14">
        <v>0.28000000000000003</v>
      </c>
      <c r="W15" s="14">
        <v>0.32</v>
      </c>
      <c r="X15" s="14">
        <v>0.24</v>
      </c>
      <c r="Y15" s="14">
        <v>0.41</v>
      </c>
      <c r="Z15" s="14">
        <v>0.23</v>
      </c>
      <c r="AA15" s="14">
        <v>0.35</v>
      </c>
      <c r="AB15" s="14">
        <v>0.24</v>
      </c>
      <c r="AC15" s="14">
        <v>0.38</v>
      </c>
      <c r="AD15" s="14">
        <v>0.28999999999999998</v>
      </c>
      <c r="AE15" s="14">
        <v>0.22</v>
      </c>
      <c r="AF15" s="14">
        <v>0.27</v>
      </c>
    </row>
    <row r="16" spans="1:32" ht="24.95">
      <c r="A16" s="20"/>
      <c r="B16" s="11" t="s">
        <v>1035</v>
      </c>
      <c r="C16" s="12">
        <v>9638</v>
      </c>
      <c r="D16" s="12">
        <v>338</v>
      </c>
      <c r="E16" s="12">
        <v>377</v>
      </c>
      <c r="F16" s="12">
        <v>272</v>
      </c>
      <c r="G16" s="12">
        <v>428</v>
      </c>
      <c r="H16" s="12">
        <v>472</v>
      </c>
      <c r="I16" s="12">
        <v>575</v>
      </c>
      <c r="J16" s="12">
        <v>103</v>
      </c>
      <c r="K16" s="12">
        <v>288</v>
      </c>
      <c r="L16" s="12">
        <v>306</v>
      </c>
      <c r="M16" s="12">
        <v>520</v>
      </c>
      <c r="N16" s="12">
        <v>387</v>
      </c>
      <c r="O16" s="12">
        <v>422</v>
      </c>
      <c r="P16" s="12">
        <v>391</v>
      </c>
      <c r="Q16" s="12">
        <v>304</v>
      </c>
      <c r="R16" s="12">
        <v>254</v>
      </c>
      <c r="S16" s="12">
        <v>212</v>
      </c>
      <c r="T16" s="12">
        <v>262</v>
      </c>
      <c r="U16" s="12">
        <v>197</v>
      </c>
      <c r="V16" s="12">
        <v>438</v>
      </c>
      <c r="W16" s="12">
        <v>154</v>
      </c>
      <c r="X16" s="12">
        <v>396</v>
      </c>
      <c r="Y16" s="12">
        <v>428</v>
      </c>
      <c r="Z16" s="12">
        <v>237</v>
      </c>
      <c r="AA16" s="12">
        <v>468</v>
      </c>
      <c r="AB16" s="12">
        <v>341</v>
      </c>
      <c r="AC16" s="12">
        <v>353</v>
      </c>
      <c r="AD16" s="12">
        <v>428</v>
      </c>
      <c r="AE16" s="12">
        <v>374</v>
      </c>
      <c r="AF16" s="12">
        <v>497</v>
      </c>
    </row>
    <row r="17" spans="1:32" ht="24.95">
      <c r="A17" s="20"/>
      <c r="B17" s="13" t="s">
        <v>1036</v>
      </c>
      <c r="C17" s="14">
        <v>0.43</v>
      </c>
      <c r="D17" s="14">
        <v>0.38</v>
      </c>
      <c r="E17" s="14">
        <v>0.44</v>
      </c>
      <c r="F17" s="14">
        <v>0.31</v>
      </c>
      <c r="G17" s="14">
        <v>0.48</v>
      </c>
      <c r="H17" s="14">
        <v>0.41</v>
      </c>
      <c r="I17" s="14">
        <v>0.41</v>
      </c>
      <c r="J17" s="14">
        <v>0.4</v>
      </c>
      <c r="K17" s="14">
        <v>0.31</v>
      </c>
      <c r="L17" s="14">
        <v>0.35</v>
      </c>
      <c r="M17" s="14">
        <v>0.67</v>
      </c>
      <c r="N17" s="14">
        <v>0.49</v>
      </c>
      <c r="O17" s="14">
        <v>0.53</v>
      </c>
      <c r="P17" s="14">
        <v>0.45</v>
      </c>
      <c r="Q17" s="14">
        <v>0.34</v>
      </c>
      <c r="R17" s="14">
        <v>0.67</v>
      </c>
      <c r="S17" s="14">
        <v>0.23</v>
      </c>
      <c r="T17" s="14">
        <v>0.28000000000000003</v>
      </c>
      <c r="U17" s="14">
        <v>0.48</v>
      </c>
      <c r="V17" s="14">
        <v>0.54</v>
      </c>
      <c r="W17" s="14">
        <v>0.36</v>
      </c>
      <c r="X17" s="14">
        <v>0.42</v>
      </c>
      <c r="Y17" s="14">
        <v>0.5</v>
      </c>
      <c r="Z17" s="14">
        <v>0.26</v>
      </c>
      <c r="AA17" s="14">
        <v>0.59</v>
      </c>
      <c r="AB17" s="14">
        <v>0.39</v>
      </c>
      <c r="AC17" s="14">
        <v>0.41</v>
      </c>
      <c r="AD17" s="14">
        <v>0.53</v>
      </c>
      <c r="AE17" s="14">
        <v>0.43</v>
      </c>
      <c r="AF17" s="14">
        <v>0.53</v>
      </c>
    </row>
    <row r="18" spans="1:32" ht="24.95">
      <c r="A18" s="20"/>
      <c r="B18" s="11" t="s">
        <v>1037</v>
      </c>
      <c r="C18" s="12">
        <v>6046</v>
      </c>
      <c r="D18" s="12">
        <v>172</v>
      </c>
      <c r="E18" s="12">
        <v>367</v>
      </c>
      <c r="F18" s="12">
        <v>332</v>
      </c>
      <c r="G18" s="12">
        <v>201</v>
      </c>
      <c r="H18" s="12">
        <v>159</v>
      </c>
      <c r="I18" s="12">
        <v>221</v>
      </c>
      <c r="J18" s="12">
        <v>62</v>
      </c>
      <c r="K18" s="12">
        <v>292</v>
      </c>
      <c r="L18" s="12">
        <v>212</v>
      </c>
      <c r="M18" s="12">
        <v>359</v>
      </c>
      <c r="N18" s="12">
        <v>216</v>
      </c>
      <c r="O18" s="12">
        <v>202</v>
      </c>
      <c r="P18" s="12">
        <v>306</v>
      </c>
      <c r="Q18" s="12">
        <v>324</v>
      </c>
      <c r="R18" s="12">
        <v>158</v>
      </c>
      <c r="S18" s="12">
        <v>172</v>
      </c>
      <c r="T18" s="12">
        <v>287</v>
      </c>
      <c r="U18" s="12">
        <v>69</v>
      </c>
      <c r="V18" s="12">
        <v>408</v>
      </c>
      <c r="W18" s="12">
        <v>100</v>
      </c>
      <c r="X18" s="12">
        <v>184</v>
      </c>
      <c r="Y18" s="12">
        <v>328</v>
      </c>
      <c r="Z18" s="12">
        <v>195</v>
      </c>
      <c r="AA18" s="12">
        <v>235</v>
      </c>
      <c r="AB18" s="12">
        <v>301</v>
      </c>
      <c r="AC18" s="12">
        <v>212</v>
      </c>
      <c r="AD18" s="12">
        <v>395</v>
      </c>
      <c r="AE18" s="12">
        <v>165</v>
      </c>
      <c r="AF18" s="12">
        <v>201</v>
      </c>
    </row>
    <row r="19" spans="1:32">
      <c r="A19" s="20"/>
      <c r="B19" s="13" t="s">
        <v>1038</v>
      </c>
      <c r="C19" s="14">
        <v>0.24</v>
      </c>
      <c r="D19" s="14">
        <v>0.18</v>
      </c>
      <c r="E19" s="14">
        <v>0.39</v>
      </c>
      <c r="F19" s="14">
        <v>0.36</v>
      </c>
      <c r="G19" s="14">
        <v>0.2</v>
      </c>
      <c r="H19" s="14">
        <v>0.13</v>
      </c>
      <c r="I19" s="14">
        <v>0.15</v>
      </c>
      <c r="J19" s="14">
        <v>0.22</v>
      </c>
      <c r="K19" s="14">
        <v>0.31</v>
      </c>
      <c r="L19" s="14">
        <v>0.22</v>
      </c>
      <c r="M19" s="14">
        <v>0.37</v>
      </c>
      <c r="N19" s="14">
        <v>0.22</v>
      </c>
      <c r="O19" s="14">
        <v>0.21</v>
      </c>
      <c r="P19" s="14">
        <v>0.32</v>
      </c>
      <c r="Q19" s="14">
        <v>0.34</v>
      </c>
      <c r="R19" s="14">
        <v>0.34</v>
      </c>
      <c r="S19" s="14">
        <v>0.18</v>
      </c>
      <c r="T19" s="14">
        <v>0.3</v>
      </c>
      <c r="U19" s="14">
        <v>0.14000000000000001</v>
      </c>
      <c r="V19" s="14">
        <v>0.44</v>
      </c>
      <c r="W19" s="14">
        <v>0.21</v>
      </c>
      <c r="X19" s="14">
        <v>0.18</v>
      </c>
      <c r="Y19" s="14">
        <v>0.34</v>
      </c>
      <c r="Z19" s="14">
        <v>0.21</v>
      </c>
      <c r="AA19" s="14">
        <v>0.23</v>
      </c>
      <c r="AB19" s="14">
        <v>0.31</v>
      </c>
      <c r="AC19" s="14">
        <v>0.22</v>
      </c>
      <c r="AD19" s="14">
        <v>0.41</v>
      </c>
      <c r="AE19" s="14">
        <v>0.17</v>
      </c>
      <c r="AF19" s="14">
        <v>0.2</v>
      </c>
    </row>
    <row r="20" spans="1:32">
      <c r="A20" s="20"/>
      <c r="B20" s="11" t="s">
        <v>1039</v>
      </c>
      <c r="C20" s="12">
        <v>8507</v>
      </c>
      <c r="D20" s="12">
        <v>243</v>
      </c>
      <c r="E20" s="12">
        <v>395</v>
      </c>
      <c r="F20" s="12">
        <v>338</v>
      </c>
      <c r="G20" s="12">
        <v>215</v>
      </c>
      <c r="H20" s="12">
        <v>380</v>
      </c>
      <c r="I20" s="12">
        <v>497</v>
      </c>
      <c r="J20" s="12">
        <v>117</v>
      </c>
      <c r="K20" s="12">
        <v>387</v>
      </c>
      <c r="L20" s="12">
        <v>315</v>
      </c>
      <c r="M20" s="12">
        <v>421</v>
      </c>
      <c r="N20" s="12">
        <v>355</v>
      </c>
      <c r="O20" s="12">
        <v>311</v>
      </c>
      <c r="P20" s="12">
        <v>400</v>
      </c>
      <c r="Q20" s="12">
        <v>387</v>
      </c>
      <c r="R20" s="12">
        <v>222</v>
      </c>
      <c r="S20" s="12">
        <v>293</v>
      </c>
      <c r="T20" s="12">
        <v>292</v>
      </c>
      <c r="U20" s="12">
        <v>135</v>
      </c>
      <c r="V20" s="12">
        <v>409</v>
      </c>
      <c r="W20" s="12">
        <v>137</v>
      </c>
      <c r="X20" s="12">
        <v>216</v>
      </c>
      <c r="Y20" s="12">
        <v>349</v>
      </c>
      <c r="Z20" s="12">
        <v>232</v>
      </c>
      <c r="AA20" s="12">
        <v>411</v>
      </c>
      <c r="AB20" s="12">
        <v>356</v>
      </c>
      <c r="AC20" s="12">
        <v>313</v>
      </c>
      <c r="AD20" s="12">
        <v>390</v>
      </c>
      <c r="AE20" s="12">
        <v>175</v>
      </c>
      <c r="AF20" s="12">
        <v>237</v>
      </c>
    </row>
    <row r="21" spans="1:32">
      <c r="A21" s="20"/>
      <c r="B21" s="13" t="s">
        <v>1040</v>
      </c>
      <c r="C21" s="14">
        <v>0.38</v>
      </c>
      <c r="D21" s="14">
        <v>0.27</v>
      </c>
      <c r="E21" s="14">
        <v>0.45</v>
      </c>
      <c r="F21" s="14">
        <v>0.42</v>
      </c>
      <c r="G21" s="14">
        <v>0.22</v>
      </c>
      <c r="H21" s="14">
        <v>0.35</v>
      </c>
      <c r="I21" s="14">
        <v>0.37</v>
      </c>
      <c r="J21" s="14">
        <v>0.47</v>
      </c>
      <c r="K21" s="14">
        <v>0.46</v>
      </c>
      <c r="L21" s="14">
        <v>0.35</v>
      </c>
      <c r="M21" s="14">
        <v>0.69000000000000006</v>
      </c>
      <c r="N21" s="14">
        <v>0.44</v>
      </c>
      <c r="O21" s="14">
        <v>0.36</v>
      </c>
      <c r="P21" s="14">
        <v>0.45</v>
      </c>
      <c r="Q21" s="14">
        <v>0.49</v>
      </c>
      <c r="R21" s="14">
        <v>0.67</v>
      </c>
      <c r="S21" s="14">
        <v>0.34</v>
      </c>
      <c r="T21" s="14">
        <v>0.33</v>
      </c>
      <c r="U21" s="14">
        <v>0.28999999999999998</v>
      </c>
      <c r="V21" s="14">
        <v>0.49</v>
      </c>
      <c r="W21" s="14">
        <v>0.3</v>
      </c>
      <c r="X21" s="14">
        <v>0.22</v>
      </c>
      <c r="Y21" s="14">
        <v>0.41</v>
      </c>
      <c r="Z21" s="14">
        <v>0.27</v>
      </c>
      <c r="AA21" s="14">
        <v>0.52</v>
      </c>
      <c r="AB21" s="14">
        <v>0.4</v>
      </c>
      <c r="AC21" s="14">
        <v>0.34</v>
      </c>
      <c r="AD21" s="14">
        <v>0.42</v>
      </c>
      <c r="AE21" s="14">
        <v>0.18</v>
      </c>
      <c r="AF21" s="14">
        <v>0.24</v>
      </c>
    </row>
    <row r="22" spans="1:32">
      <c r="A22" s="20"/>
      <c r="B22" s="11" t="s">
        <v>1041</v>
      </c>
      <c r="C22" s="12">
        <v>6429</v>
      </c>
      <c r="D22" s="12">
        <v>234</v>
      </c>
      <c r="E22" s="12">
        <v>286</v>
      </c>
      <c r="F22" s="12">
        <v>222</v>
      </c>
      <c r="G22" s="12">
        <v>325</v>
      </c>
      <c r="H22" s="12">
        <v>316</v>
      </c>
      <c r="I22" s="12">
        <v>393</v>
      </c>
      <c r="J22" s="12">
        <v>76</v>
      </c>
      <c r="K22" s="12">
        <v>261</v>
      </c>
      <c r="L22" s="12">
        <v>300</v>
      </c>
      <c r="M22" s="12">
        <v>310</v>
      </c>
      <c r="N22" s="12">
        <v>221</v>
      </c>
      <c r="O22" s="12">
        <v>210</v>
      </c>
      <c r="P22" s="12">
        <v>194</v>
      </c>
      <c r="Q22" s="12">
        <v>218</v>
      </c>
      <c r="R22" s="12">
        <v>148</v>
      </c>
      <c r="S22" s="12">
        <v>258</v>
      </c>
      <c r="T22" s="12">
        <v>320</v>
      </c>
      <c r="U22" s="12">
        <v>132</v>
      </c>
      <c r="V22" s="12">
        <v>205</v>
      </c>
      <c r="W22" s="12">
        <v>99</v>
      </c>
      <c r="X22" s="12">
        <v>360</v>
      </c>
      <c r="Y22" s="12">
        <v>296</v>
      </c>
      <c r="Z22" s="12">
        <v>199</v>
      </c>
      <c r="AA22" s="12">
        <v>222</v>
      </c>
      <c r="AB22" s="12">
        <v>259</v>
      </c>
      <c r="AC22" s="12">
        <v>253</v>
      </c>
      <c r="AD22" s="12">
        <v>330</v>
      </c>
      <c r="AE22" s="12">
        <v>300</v>
      </c>
      <c r="AF22" s="12">
        <v>442</v>
      </c>
    </row>
    <row r="23" spans="1:32">
      <c r="A23" s="20"/>
      <c r="B23" s="13" t="s">
        <v>1042</v>
      </c>
      <c r="C23" s="14">
        <v>0.26</v>
      </c>
      <c r="D23" s="14">
        <v>0.25</v>
      </c>
      <c r="E23" s="14">
        <v>0.28999999999999998</v>
      </c>
      <c r="F23" s="14">
        <v>0.24</v>
      </c>
      <c r="G23" s="14">
        <v>0.37</v>
      </c>
      <c r="H23" s="14">
        <v>0.28000000000000003</v>
      </c>
      <c r="I23" s="14">
        <v>0.28000000000000003</v>
      </c>
      <c r="J23" s="14">
        <v>0.27</v>
      </c>
      <c r="K23" s="14">
        <v>0.28000000000000003</v>
      </c>
      <c r="L23" s="14">
        <v>0.33</v>
      </c>
      <c r="M23" s="14">
        <v>0.32</v>
      </c>
      <c r="N23" s="14">
        <v>0.24</v>
      </c>
      <c r="O23" s="14">
        <v>0.22</v>
      </c>
      <c r="P23" s="14">
        <v>0.2</v>
      </c>
      <c r="Q23" s="14">
        <v>0.22</v>
      </c>
      <c r="R23" s="14">
        <v>0.31</v>
      </c>
      <c r="S23" s="14">
        <v>0.3</v>
      </c>
      <c r="T23" s="14">
        <v>0.35</v>
      </c>
      <c r="U23" s="14">
        <v>0.28000000000000003</v>
      </c>
      <c r="V23" s="14">
        <v>0.21</v>
      </c>
      <c r="W23" s="14">
        <v>0.21</v>
      </c>
      <c r="X23" s="14">
        <v>0.39</v>
      </c>
      <c r="Y23" s="14">
        <v>0.31</v>
      </c>
      <c r="Z23" s="14">
        <v>0.21</v>
      </c>
      <c r="AA23" s="14">
        <v>0.22</v>
      </c>
      <c r="AB23" s="14">
        <v>0.28000000000000003</v>
      </c>
      <c r="AC23" s="14">
        <v>0.28000000000000003</v>
      </c>
      <c r="AD23" s="14">
        <v>0.36</v>
      </c>
      <c r="AE23" s="14">
        <v>0.32</v>
      </c>
      <c r="AF23" s="14">
        <v>0.47</v>
      </c>
    </row>
    <row r="24" spans="1:32">
      <c r="A24" s="20"/>
      <c r="B24" s="11" t="s">
        <v>1043</v>
      </c>
      <c r="C24" s="12">
        <v>9872</v>
      </c>
      <c r="D24" s="12">
        <v>316</v>
      </c>
      <c r="E24" s="12">
        <v>322</v>
      </c>
      <c r="F24" s="12">
        <v>374</v>
      </c>
      <c r="G24" s="12">
        <v>422</v>
      </c>
      <c r="H24" s="12">
        <v>504</v>
      </c>
      <c r="I24" s="12">
        <v>633</v>
      </c>
      <c r="J24" s="12">
        <v>129</v>
      </c>
      <c r="K24" s="12">
        <v>357</v>
      </c>
      <c r="L24" s="12">
        <v>335</v>
      </c>
      <c r="M24" s="12">
        <v>439</v>
      </c>
      <c r="N24" s="12">
        <v>403</v>
      </c>
      <c r="O24" s="12">
        <v>382</v>
      </c>
      <c r="P24" s="12">
        <v>310</v>
      </c>
      <c r="Q24" s="12">
        <v>364</v>
      </c>
      <c r="R24" s="12">
        <v>193</v>
      </c>
      <c r="S24" s="12">
        <v>293</v>
      </c>
      <c r="T24" s="12">
        <v>349</v>
      </c>
      <c r="U24" s="12">
        <v>178</v>
      </c>
      <c r="V24" s="12">
        <v>383</v>
      </c>
      <c r="W24" s="12">
        <v>160</v>
      </c>
      <c r="X24" s="12">
        <v>407</v>
      </c>
      <c r="Y24" s="12">
        <v>478</v>
      </c>
      <c r="Z24" s="12">
        <v>231</v>
      </c>
      <c r="AA24" s="12">
        <v>422</v>
      </c>
      <c r="AB24" s="12">
        <v>328</v>
      </c>
      <c r="AC24" s="12">
        <v>398</v>
      </c>
      <c r="AD24" s="12">
        <v>442</v>
      </c>
      <c r="AE24" s="12">
        <v>363</v>
      </c>
      <c r="AF24" s="12">
        <v>502</v>
      </c>
    </row>
    <row r="25" spans="1:32">
      <c r="A25" s="20"/>
      <c r="B25" s="13" t="s">
        <v>1044</v>
      </c>
      <c r="C25" s="14">
        <v>0.49</v>
      </c>
      <c r="D25" s="14">
        <v>0.41</v>
      </c>
      <c r="E25" s="14">
        <v>0.49</v>
      </c>
      <c r="F25" s="14">
        <v>0.55000000000000004</v>
      </c>
      <c r="G25" s="14">
        <v>0.55000000000000004</v>
      </c>
      <c r="H25" s="14">
        <v>0.57000000000000006</v>
      </c>
      <c r="I25" s="14">
        <v>0.57999999999999996</v>
      </c>
      <c r="J25" s="14">
        <v>0.57999999999999996</v>
      </c>
      <c r="K25" s="14">
        <v>0.53</v>
      </c>
      <c r="L25" s="14">
        <v>0.42</v>
      </c>
      <c r="M25" s="14">
        <v>0.48</v>
      </c>
      <c r="N25" s="14">
        <v>0.5</v>
      </c>
      <c r="O25" s="14">
        <v>0.47</v>
      </c>
      <c r="P25" s="14">
        <v>0.41</v>
      </c>
      <c r="Q25" s="14">
        <v>0.47</v>
      </c>
      <c r="R25" s="14">
        <v>0.48</v>
      </c>
      <c r="S25" s="14">
        <v>0.45</v>
      </c>
      <c r="T25" s="14">
        <v>0.57999999999999996</v>
      </c>
      <c r="U25" s="14">
        <v>0.47</v>
      </c>
      <c r="V25" s="14">
        <v>0.42</v>
      </c>
      <c r="W25" s="14">
        <v>0.39</v>
      </c>
      <c r="X25" s="14">
        <v>0.49</v>
      </c>
      <c r="Y25" s="14">
        <v>0.57999999999999996</v>
      </c>
      <c r="Z25" s="14">
        <v>0.36</v>
      </c>
      <c r="AA25" s="14">
        <v>0.51</v>
      </c>
      <c r="AB25" s="14">
        <v>0.39</v>
      </c>
      <c r="AC25" s="14">
        <v>0.5</v>
      </c>
      <c r="AD25" s="14">
        <v>0.64</v>
      </c>
      <c r="AE25" s="14">
        <v>0.5</v>
      </c>
      <c r="AF25" s="14">
        <v>0.59</v>
      </c>
    </row>
    <row r="26" spans="1:32" ht="24.95">
      <c r="A26" s="20"/>
      <c r="B26" s="11" t="s">
        <v>1045</v>
      </c>
      <c r="C26" s="12">
        <v>5081</v>
      </c>
      <c r="D26" s="12">
        <v>175</v>
      </c>
      <c r="E26" s="12">
        <v>172</v>
      </c>
      <c r="F26" s="12">
        <v>210</v>
      </c>
      <c r="G26" s="12">
        <v>208</v>
      </c>
      <c r="H26" s="12">
        <v>255</v>
      </c>
      <c r="I26" s="12">
        <v>331</v>
      </c>
      <c r="J26" s="12">
        <v>76</v>
      </c>
      <c r="K26" s="12">
        <v>187</v>
      </c>
      <c r="L26" s="12">
        <v>168</v>
      </c>
      <c r="M26" s="12">
        <v>199</v>
      </c>
      <c r="N26" s="12">
        <v>126</v>
      </c>
      <c r="O26" s="12">
        <v>203</v>
      </c>
      <c r="P26" s="12">
        <v>203</v>
      </c>
      <c r="Q26" s="12">
        <v>202</v>
      </c>
      <c r="R26" s="12">
        <v>91</v>
      </c>
      <c r="S26" s="12">
        <v>96</v>
      </c>
      <c r="T26" s="12">
        <v>202</v>
      </c>
      <c r="U26" s="12">
        <v>79</v>
      </c>
      <c r="V26" s="12">
        <v>303</v>
      </c>
      <c r="W26" s="12">
        <v>76</v>
      </c>
      <c r="X26" s="12">
        <v>229</v>
      </c>
      <c r="Y26" s="12">
        <v>358</v>
      </c>
      <c r="Z26" s="12">
        <v>108</v>
      </c>
      <c r="AA26" s="12">
        <v>255</v>
      </c>
      <c r="AB26" s="12">
        <v>165</v>
      </c>
      <c r="AC26" s="12">
        <v>207</v>
      </c>
      <c r="AD26" s="12">
        <v>256</v>
      </c>
      <c r="AE26" s="12">
        <v>235</v>
      </c>
      <c r="AF26" s="12">
        <v>218</v>
      </c>
    </row>
    <row r="27" spans="1:32">
      <c r="A27" s="20"/>
      <c r="B27" s="13" t="s">
        <v>1046</v>
      </c>
      <c r="C27" s="14">
        <v>0.21</v>
      </c>
      <c r="D27" s="14">
        <v>0.19</v>
      </c>
      <c r="E27" s="14">
        <v>0.18</v>
      </c>
      <c r="F27" s="14">
        <v>0.23</v>
      </c>
      <c r="G27" s="14">
        <v>0.22</v>
      </c>
      <c r="H27" s="14">
        <v>0.23</v>
      </c>
      <c r="I27" s="14">
        <v>0.24</v>
      </c>
      <c r="J27" s="14">
        <v>0.27</v>
      </c>
      <c r="K27" s="14">
        <v>0.2</v>
      </c>
      <c r="L27" s="14">
        <v>0.17</v>
      </c>
      <c r="M27" s="14">
        <v>0.2</v>
      </c>
      <c r="N27" s="14">
        <v>0.13</v>
      </c>
      <c r="O27" s="14">
        <v>0.21</v>
      </c>
      <c r="P27" s="14">
        <v>0.21</v>
      </c>
      <c r="Q27" s="14">
        <v>0.21</v>
      </c>
      <c r="R27" s="14">
        <v>0.19</v>
      </c>
      <c r="S27" s="14">
        <v>0.1</v>
      </c>
      <c r="T27" s="14">
        <v>0.21</v>
      </c>
      <c r="U27" s="14">
        <v>0.16</v>
      </c>
      <c r="V27" s="14">
        <v>0.32</v>
      </c>
      <c r="W27" s="14">
        <v>0.16</v>
      </c>
      <c r="X27" s="14">
        <v>0.25</v>
      </c>
      <c r="Y27" s="14">
        <v>0.39</v>
      </c>
      <c r="Z27" s="14">
        <v>0.11</v>
      </c>
      <c r="AA27" s="14">
        <v>0.25</v>
      </c>
      <c r="AB27" s="14">
        <v>0.17</v>
      </c>
      <c r="AC27" s="14">
        <v>0.22</v>
      </c>
      <c r="AD27" s="14">
        <v>0.27</v>
      </c>
      <c r="AE27" s="14">
        <v>0.26</v>
      </c>
      <c r="AF27" s="14">
        <v>0.23</v>
      </c>
    </row>
    <row r="28" spans="1:32">
      <c r="A28" s="20"/>
      <c r="B28" s="11" t="s">
        <v>1047</v>
      </c>
      <c r="C28" s="12">
        <v>7247</v>
      </c>
      <c r="D28" s="12">
        <v>239</v>
      </c>
      <c r="E28" s="12">
        <v>337</v>
      </c>
      <c r="F28" s="12">
        <v>296</v>
      </c>
      <c r="G28" s="12">
        <v>341</v>
      </c>
      <c r="H28" s="12">
        <v>299</v>
      </c>
      <c r="I28" s="12">
        <v>380</v>
      </c>
      <c r="J28" s="12">
        <v>81</v>
      </c>
      <c r="K28" s="12">
        <v>294</v>
      </c>
      <c r="L28" s="12">
        <v>206</v>
      </c>
      <c r="M28" s="12">
        <v>390</v>
      </c>
      <c r="N28" s="12">
        <v>225</v>
      </c>
      <c r="O28" s="12">
        <v>318</v>
      </c>
      <c r="P28" s="12">
        <v>382</v>
      </c>
      <c r="Q28" s="12">
        <v>283</v>
      </c>
      <c r="R28" s="12">
        <v>109</v>
      </c>
      <c r="S28" s="12">
        <v>191</v>
      </c>
      <c r="T28" s="12">
        <v>307</v>
      </c>
      <c r="U28" s="12">
        <v>144</v>
      </c>
      <c r="V28" s="12">
        <v>430</v>
      </c>
      <c r="W28" s="12">
        <v>86</v>
      </c>
      <c r="X28" s="12">
        <v>304</v>
      </c>
      <c r="Y28" s="12">
        <v>394</v>
      </c>
      <c r="Z28" s="12">
        <v>152</v>
      </c>
      <c r="AA28" s="12">
        <v>317</v>
      </c>
      <c r="AB28" s="12">
        <v>282</v>
      </c>
      <c r="AC28" s="12">
        <v>342</v>
      </c>
      <c r="AD28" s="12">
        <v>369</v>
      </c>
      <c r="AE28" s="12">
        <v>282</v>
      </c>
      <c r="AF28" s="12">
        <v>362</v>
      </c>
    </row>
    <row r="29" spans="1:32">
      <c r="A29" s="20"/>
      <c r="B29" s="13" t="s">
        <v>1048</v>
      </c>
      <c r="C29" s="14">
        <v>0.28999999999999998</v>
      </c>
      <c r="D29" s="14">
        <v>0.25</v>
      </c>
      <c r="E29" s="14">
        <v>0.36</v>
      </c>
      <c r="F29" s="14">
        <v>0.34</v>
      </c>
      <c r="G29" s="14">
        <v>0.36</v>
      </c>
      <c r="H29" s="14">
        <v>0.25</v>
      </c>
      <c r="I29" s="14">
        <v>0.26</v>
      </c>
      <c r="J29" s="14">
        <v>0.28999999999999998</v>
      </c>
      <c r="K29" s="14">
        <v>0.32</v>
      </c>
      <c r="L29" s="14">
        <v>0.21</v>
      </c>
      <c r="M29" s="14">
        <v>0.4</v>
      </c>
      <c r="N29" s="14">
        <v>0.23</v>
      </c>
      <c r="O29" s="14">
        <v>0.34</v>
      </c>
      <c r="P29" s="14">
        <v>0.41</v>
      </c>
      <c r="Q29" s="14">
        <v>0.3</v>
      </c>
      <c r="R29" s="14">
        <v>0.22</v>
      </c>
      <c r="S29" s="14">
        <v>0.2</v>
      </c>
      <c r="T29" s="14">
        <v>0.33</v>
      </c>
      <c r="U29" s="14">
        <v>0.3</v>
      </c>
      <c r="V29" s="14">
        <v>0.48</v>
      </c>
      <c r="W29" s="14">
        <v>0.19</v>
      </c>
      <c r="X29" s="14">
        <v>0.31</v>
      </c>
      <c r="Y29" s="14">
        <v>0.41</v>
      </c>
      <c r="Z29" s="14">
        <v>0.16</v>
      </c>
      <c r="AA29" s="14">
        <v>0.31</v>
      </c>
      <c r="AB29" s="14">
        <v>0.28999999999999998</v>
      </c>
      <c r="AC29" s="14">
        <v>0.37</v>
      </c>
      <c r="AD29" s="14">
        <v>0.4</v>
      </c>
      <c r="AE29" s="14">
        <v>0.3</v>
      </c>
      <c r="AF29" s="14">
        <v>0.37</v>
      </c>
    </row>
    <row r="30" spans="1:32" ht="24.95">
      <c r="A30" s="20"/>
      <c r="B30" s="11" t="s">
        <v>1049</v>
      </c>
      <c r="C30" s="12">
        <v>7554</v>
      </c>
      <c r="D30" s="12">
        <v>253</v>
      </c>
      <c r="E30" s="12">
        <v>255</v>
      </c>
      <c r="F30" s="12">
        <v>235</v>
      </c>
      <c r="G30" s="12">
        <v>353</v>
      </c>
      <c r="H30" s="12">
        <v>427</v>
      </c>
      <c r="I30" s="12">
        <v>528</v>
      </c>
      <c r="J30" s="12">
        <v>100</v>
      </c>
      <c r="K30" s="12">
        <v>191</v>
      </c>
      <c r="L30" s="12">
        <v>259</v>
      </c>
      <c r="M30" s="12">
        <v>434</v>
      </c>
      <c r="N30" s="12">
        <v>193</v>
      </c>
      <c r="O30" s="12">
        <v>287</v>
      </c>
      <c r="P30" s="12">
        <v>333</v>
      </c>
      <c r="Q30" s="12">
        <v>277</v>
      </c>
      <c r="R30" s="12">
        <v>120</v>
      </c>
      <c r="S30" s="12">
        <v>130</v>
      </c>
      <c r="T30" s="12">
        <v>203</v>
      </c>
      <c r="U30" s="12">
        <v>160</v>
      </c>
      <c r="V30" s="12">
        <v>324</v>
      </c>
      <c r="W30" s="12">
        <v>125</v>
      </c>
      <c r="X30" s="12">
        <v>348</v>
      </c>
      <c r="Y30" s="12">
        <v>431</v>
      </c>
      <c r="Z30" s="12">
        <v>201</v>
      </c>
      <c r="AA30" s="12">
        <v>257</v>
      </c>
      <c r="AB30" s="12">
        <v>270</v>
      </c>
      <c r="AC30" s="12">
        <v>236</v>
      </c>
      <c r="AD30" s="12">
        <v>311</v>
      </c>
      <c r="AE30" s="12">
        <v>336</v>
      </c>
      <c r="AF30" s="12">
        <v>470</v>
      </c>
    </row>
    <row r="31" spans="1:32" ht="24.95">
      <c r="A31" s="20"/>
      <c r="B31" s="13" t="s">
        <v>1050</v>
      </c>
      <c r="C31" s="14">
        <v>0.32</v>
      </c>
      <c r="D31" s="14">
        <v>0.27</v>
      </c>
      <c r="E31" s="14">
        <v>0.26</v>
      </c>
      <c r="F31" s="14">
        <v>0.26</v>
      </c>
      <c r="G31" s="14">
        <v>0.4</v>
      </c>
      <c r="H31" s="14">
        <v>0.41</v>
      </c>
      <c r="I31" s="14">
        <v>0.41</v>
      </c>
      <c r="J31" s="14">
        <v>0.4</v>
      </c>
      <c r="K31" s="14">
        <v>0.2</v>
      </c>
      <c r="L31" s="14">
        <v>0.28000000000000003</v>
      </c>
      <c r="M31" s="14">
        <v>0.47</v>
      </c>
      <c r="N31" s="14">
        <v>0.21</v>
      </c>
      <c r="O31" s="14">
        <v>0.31</v>
      </c>
      <c r="P31" s="14">
        <v>0.34</v>
      </c>
      <c r="Q31" s="14">
        <v>0.28999999999999998</v>
      </c>
      <c r="R31" s="14">
        <v>0.25</v>
      </c>
      <c r="S31" s="14">
        <v>0.14000000000000001</v>
      </c>
      <c r="T31" s="14">
        <v>0.21</v>
      </c>
      <c r="U31" s="14">
        <v>0.34</v>
      </c>
      <c r="V31" s="14">
        <v>0.35</v>
      </c>
      <c r="W31" s="14">
        <v>0.27</v>
      </c>
      <c r="X31" s="14">
        <v>0.4</v>
      </c>
      <c r="Y31" s="14">
        <v>0.48</v>
      </c>
      <c r="Z31" s="14">
        <v>0.21</v>
      </c>
      <c r="AA31" s="14">
        <v>0.25</v>
      </c>
      <c r="AB31" s="14">
        <v>0.28999999999999998</v>
      </c>
      <c r="AC31" s="14">
        <v>0.24</v>
      </c>
      <c r="AD31" s="14">
        <v>0.33</v>
      </c>
      <c r="AE31" s="14">
        <v>0.37</v>
      </c>
      <c r="AF31" s="14">
        <v>0.55000000000000004</v>
      </c>
    </row>
    <row r="32" spans="1:32">
      <c r="A32" s="20"/>
      <c r="B32" s="11" t="s">
        <v>519</v>
      </c>
      <c r="C32" s="12">
        <v>54</v>
      </c>
      <c r="D32" s="12">
        <v>1</v>
      </c>
      <c r="E32" s="12">
        <v>0</v>
      </c>
      <c r="F32" s="12">
        <v>0</v>
      </c>
      <c r="G32" s="12">
        <v>0</v>
      </c>
      <c r="H32" s="12">
        <v>7</v>
      </c>
      <c r="I32" s="12">
        <v>7</v>
      </c>
      <c r="J32" s="12">
        <v>0</v>
      </c>
      <c r="K32" s="12">
        <v>8</v>
      </c>
      <c r="L32" s="12">
        <v>8</v>
      </c>
      <c r="M32" s="12">
        <v>1</v>
      </c>
      <c r="N32" s="12">
        <v>3</v>
      </c>
      <c r="O32" s="12">
        <v>0</v>
      </c>
      <c r="P32" s="12">
        <v>0</v>
      </c>
      <c r="Q32" s="12">
        <v>1</v>
      </c>
      <c r="R32" s="12">
        <v>2</v>
      </c>
      <c r="S32" s="12">
        <v>6</v>
      </c>
      <c r="T32" s="12">
        <v>3</v>
      </c>
      <c r="U32" s="12">
        <v>2</v>
      </c>
      <c r="V32" s="12">
        <v>0</v>
      </c>
      <c r="W32" s="12">
        <v>0</v>
      </c>
      <c r="X32" s="12">
        <v>7</v>
      </c>
      <c r="Y32" s="12">
        <v>3</v>
      </c>
      <c r="Z32" s="12">
        <v>0</v>
      </c>
      <c r="AA32" s="12">
        <v>2</v>
      </c>
      <c r="AB32" s="12">
        <v>1</v>
      </c>
      <c r="AC32" s="12">
        <v>3</v>
      </c>
      <c r="AD32" s="12">
        <v>1</v>
      </c>
      <c r="AE32" s="12">
        <v>0</v>
      </c>
      <c r="AF32" s="12">
        <v>3</v>
      </c>
    </row>
    <row r="33" spans="1:32">
      <c r="A33" s="20"/>
      <c r="B33" s="13" t="s">
        <v>520</v>
      </c>
      <c r="C33" s="15" t="s">
        <v>459</v>
      </c>
      <c r="D33" s="15" t="s">
        <v>459</v>
      </c>
      <c r="E33" s="15" t="s">
        <v>459</v>
      </c>
      <c r="F33" s="15" t="s">
        <v>459</v>
      </c>
      <c r="G33" s="15" t="s">
        <v>459</v>
      </c>
      <c r="H33" s="14">
        <v>0.01</v>
      </c>
      <c r="I33" s="15" t="s">
        <v>459</v>
      </c>
      <c r="J33" s="15" t="s">
        <v>459</v>
      </c>
      <c r="K33" s="14">
        <v>0.01</v>
      </c>
      <c r="L33" s="14">
        <v>0.01</v>
      </c>
      <c r="M33" s="15" t="s">
        <v>459</v>
      </c>
      <c r="N33" s="15" t="s">
        <v>459</v>
      </c>
      <c r="O33" s="15" t="s">
        <v>459</v>
      </c>
      <c r="P33" s="15" t="s">
        <v>459</v>
      </c>
      <c r="Q33" s="15" t="s">
        <v>459</v>
      </c>
      <c r="R33" s="15" t="s">
        <v>459</v>
      </c>
      <c r="S33" s="14">
        <v>0.01</v>
      </c>
      <c r="T33" s="15" t="s">
        <v>459</v>
      </c>
      <c r="U33" s="15" t="s">
        <v>459</v>
      </c>
      <c r="V33" s="15" t="s">
        <v>459</v>
      </c>
      <c r="W33" s="15" t="s">
        <v>459</v>
      </c>
      <c r="X33" s="14">
        <v>0.01</v>
      </c>
      <c r="Y33" s="15" t="s">
        <v>459</v>
      </c>
      <c r="Z33" s="15" t="s">
        <v>459</v>
      </c>
      <c r="AA33" s="15" t="s">
        <v>459</v>
      </c>
      <c r="AB33" s="15" t="s">
        <v>459</v>
      </c>
      <c r="AC33" s="15" t="s">
        <v>459</v>
      </c>
      <c r="AD33" s="15" t="s">
        <v>459</v>
      </c>
      <c r="AE33" s="15" t="s">
        <v>459</v>
      </c>
      <c r="AF33" s="15" t="s">
        <v>459</v>
      </c>
    </row>
    <row r="34" spans="1:32" ht="24.95">
      <c r="A34" s="20"/>
      <c r="B34" s="11" t="s">
        <v>551</v>
      </c>
      <c r="C34" s="12">
        <v>78</v>
      </c>
      <c r="D34" s="12">
        <v>2</v>
      </c>
      <c r="E34" s="12">
        <v>3</v>
      </c>
      <c r="F34" s="12">
        <v>6</v>
      </c>
      <c r="G34" s="12">
        <v>5</v>
      </c>
      <c r="H34" s="12">
        <v>0</v>
      </c>
      <c r="I34" s="12">
        <v>0</v>
      </c>
      <c r="J34" s="12">
        <v>0</v>
      </c>
      <c r="K34" s="12">
        <v>12</v>
      </c>
      <c r="L34" s="12">
        <v>0</v>
      </c>
      <c r="M34" s="12">
        <v>1</v>
      </c>
      <c r="N34" s="12">
        <v>5</v>
      </c>
      <c r="O34" s="12">
        <v>9</v>
      </c>
      <c r="P34" s="12">
        <v>0</v>
      </c>
      <c r="Q34" s="12">
        <v>1</v>
      </c>
      <c r="R34" s="12">
        <v>1</v>
      </c>
      <c r="S34" s="12">
        <v>6</v>
      </c>
      <c r="T34" s="12">
        <v>1</v>
      </c>
      <c r="U34" s="12">
        <v>4</v>
      </c>
      <c r="V34" s="12">
        <v>0</v>
      </c>
      <c r="W34" s="12">
        <v>3</v>
      </c>
      <c r="X34" s="12">
        <v>2</v>
      </c>
      <c r="Y34" s="12">
        <v>4</v>
      </c>
      <c r="Z34" s="12">
        <v>2</v>
      </c>
      <c r="AA34" s="12">
        <v>0</v>
      </c>
      <c r="AB34" s="12">
        <v>0</v>
      </c>
      <c r="AC34" s="12">
        <v>11</v>
      </c>
      <c r="AD34" s="12">
        <v>4</v>
      </c>
      <c r="AE34" s="12">
        <v>5</v>
      </c>
      <c r="AF34" s="12">
        <v>4</v>
      </c>
    </row>
    <row r="35" spans="1:32">
      <c r="A35" s="20"/>
      <c r="B35" s="13" t="s">
        <v>522</v>
      </c>
      <c r="C35" s="15" t="s">
        <v>459</v>
      </c>
      <c r="D35" s="15" t="s">
        <v>459</v>
      </c>
      <c r="E35" s="15" t="s">
        <v>459</v>
      </c>
      <c r="F35" s="14">
        <v>0.01</v>
      </c>
      <c r="G35" s="15" t="s">
        <v>459</v>
      </c>
      <c r="H35" s="15" t="s">
        <v>459</v>
      </c>
      <c r="I35" s="15" t="s">
        <v>459</v>
      </c>
      <c r="J35" s="15" t="s">
        <v>459</v>
      </c>
      <c r="K35" s="14">
        <v>0.01</v>
      </c>
      <c r="L35" s="15" t="s">
        <v>459</v>
      </c>
      <c r="M35" s="15" t="s">
        <v>459</v>
      </c>
      <c r="N35" s="15" t="s">
        <v>459</v>
      </c>
      <c r="O35" s="14">
        <v>0.01</v>
      </c>
      <c r="P35" s="15" t="s">
        <v>459</v>
      </c>
      <c r="Q35" s="15" t="s">
        <v>459</v>
      </c>
      <c r="R35" s="15" t="s">
        <v>459</v>
      </c>
      <c r="S35" s="14">
        <v>0.01</v>
      </c>
      <c r="T35" s="15" t="s">
        <v>459</v>
      </c>
      <c r="U35" s="14">
        <v>0.01</v>
      </c>
      <c r="V35" s="15" t="s">
        <v>459</v>
      </c>
      <c r="W35" s="14">
        <v>0.01</v>
      </c>
      <c r="X35" s="15" t="s">
        <v>459</v>
      </c>
      <c r="Y35" s="15" t="s">
        <v>459</v>
      </c>
      <c r="Z35" s="15" t="s">
        <v>459</v>
      </c>
      <c r="AA35" s="15" t="s">
        <v>459</v>
      </c>
      <c r="AB35" s="15" t="s">
        <v>459</v>
      </c>
      <c r="AC35" s="14">
        <v>0.01</v>
      </c>
      <c r="AD35" s="15" t="s">
        <v>459</v>
      </c>
      <c r="AE35" s="14">
        <v>0.01</v>
      </c>
      <c r="AF35" s="15" t="s">
        <v>459</v>
      </c>
    </row>
    <row r="36" spans="1:32">
      <c r="A36" s="20"/>
      <c r="B36" s="11" t="s">
        <v>468</v>
      </c>
      <c r="C36" s="12">
        <v>88</v>
      </c>
      <c r="D36" s="12">
        <v>0</v>
      </c>
      <c r="E36" s="12">
        <v>1</v>
      </c>
      <c r="F36" s="12">
        <v>8</v>
      </c>
      <c r="G36" s="12">
        <v>2</v>
      </c>
      <c r="H36" s="12">
        <v>2</v>
      </c>
      <c r="I36" s="12">
        <v>2</v>
      </c>
      <c r="J36" s="12">
        <v>0</v>
      </c>
      <c r="K36" s="12">
        <v>24</v>
      </c>
      <c r="L36" s="12">
        <v>2</v>
      </c>
      <c r="M36" s="12">
        <v>0</v>
      </c>
      <c r="N36" s="12">
        <v>6</v>
      </c>
      <c r="O36" s="12">
        <v>6</v>
      </c>
      <c r="P36" s="12">
        <v>2</v>
      </c>
      <c r="Q36" s="12">
        <v>1</v>
      </c>
      <c r="R36" s="12">
        <v>9</v>
      </c>
      <c r="S36" s="12">
        <v>39</v>
      </c>
      <c r="T36" s="12">
        <v>3</v>
      </c>
      <c r="U36" s="12">
        <v>0</v>
      </c>
      <c r="V36" s="12">
        <v>0</v>
      </c>
      <c r="W36" s="12">
        <v>0</v>
      </c>
      <c r="X36" s="12">
        <v>1</v>
      </c>
      <c r="Y36" s="12">
        <v>0</v>
      </c>
      <c r="Z36" s="12">
        <v>2</v>
      </c>
      <c r="AA36" s="12">
        <v>11</v>
      </c>
      <c r="AB36" s="12">
        <v>1</v>
      </c>
      <c r="AC36" s="12">
        <v>0</v>
      </c>
      <c r="AD36" s="12">
        <v>12</v>
      </c>
      <c r="AE36" s="12">
        <v>16</v>
      </c>
      <c r="AF36" s="12">
        <v>1</v>
      </c>
    </row>
    <row r="37" spans="1:32">
      <c r="A37" s="20"/>
      <c r="B37" s="13" t="s">
        <v>469</v>
      </c>
      <c r="C37" s="15" t="s">
        <v>459</v>
      </c>
      <c r="D37" s="15" t="s">
        <v>459</v>
      </c>
      <c r="E37" s="15" t="s">
        <v>459</v>
      </c>
      <c r="F37" s="14">
        <v>0.01</v>
      </c>
      <c r="G37" s="15" t="s">
        <v>459</v>
      </c>
      <c r="H37" s="15" t="s">
        <v>459</v>
      </c>
      <c r="I37" s="15" t="s">
        <v>459</v>
      </c>
      <c r="J37" s="15" t="s">
        <v>459</v>
      </c>
      <c r="K37" s="14">
        <v>0.02</v>
      </c>
      <c r="L37" s="15" t="s">
        <v>459</v>
      </c>
      <c r="M37" s="15" t="s">
        <v>459</v>
      </c>
      <c r="N37" s="14">
        <v>0.01</v>
      </c>
      <c r="O37" s="14">
        <v>0.01</v>
      </c>
      <c r="P37" s="15" t="s">
        <v>459</v>
      </c>
      <c r="Q37" s="15" t="s">
        <v>459</v>
      </c>
      <c r="R37" s="14">
        <v>0.02</v>
      </c>
      <c r="S37" s="14">
        <v>0.04</v>
      </c>
      <c r="T37" s="15" t="s">
        <v>459</v>
      </c>
      <c r="U37" s="15" t="s">
        <v>459</v>
      </c>
      <c r="V37" s="15" t="s">
        <v>459</v>
      </c>
      <c r="W37" s="15" t="s">
        <v>459</v>
      </c>
      <c r="X37" s="15" t="s">
        <v>459</v>
      </c>
      <c r="Y37" s="15" t="s">
        <v>459</v>
      </c>
      <c r="Z37" s="15" t="s">
        <v>459</v>
      </c>
      <c r="AA37" s="14">
        <v>0.01</v>
      </c>
      <c r="AB37" s="15" t="s">
        <v>459</v>
      </c>
      <c r="AC37" s="15" t="s">
        <v>459</v>
      </c>
      <c r="AD37" s="14">
        <v>0.01</v>
      </c>
      <c r="AE37" s="14">
        <v>0.02</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183</v>
      </c>
      <c r="C3" s="18"/>
      <c r="D3" s="18"/>
      <c r="E3" s="18"/>
      <c r="F3" s="18"/>
      <c r="H3" s="18" t="s">
        <v>184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1031</v>
      </c>
      <c r="C12" s="12">
        <v>12317</v>
      </c>
      <c r="D12" s="12">
        <v>494</v>
      </c>
      <c r="E12" s="12">
        <v>332</v>
      </c>
      <c r="F12" s="12">
        <v>302</v>
      </c>
      <c r="G12" s="12">
        <v>736</v>
      </c>
      <c r="H12" s="12">
        <v>636</v>
      </c>
      <c r="I12" s="12">
        <v>767</v>
      </c>
      <c r="J12" s="12">
        <v>130</v>
      </c>
      <c r="K12" s="12">
        <v>283</v>
      </c>
      <c r="L12" s="12">
        <v>530</v>
      </c>
      <c r="M12" s="12">
        <v>457</v>
      </c>
      <c r="N12" s="12">
        <v>431</v>
      </c>
      <c r="O12" s="12">
        <v>522</v>
      </c>
      <c r="P12" s="12">
        <v>497</v>
      </c>
      <c r="Q12" s="12">
        <v>486</v>
      </c>
      <c r="R12" s="12">
        <v>246</v>
      </c>
      <c r="S12" s="12">
        <v>303</v>
      </c>
      <c r="T12" s="12">
        <v>431</v>
      </c>
      <c r="U12" s="12">
        <v>254</v>
      </c>
      <c r="V12" s="12">
        <v>457</v>
      </c>
      <c r="W12" s="12">
        <v>249</v>
      </c>
      <c r="X12" s="12">
        <v>661</v>
      </c>
      <c r="Y12" s="12">
        <v>515</v>
      </c>
      <c r="Z12" s="12">
        <v>256</v>
      </c>
      <c r="AA12" s="12">
        <v>488</v>
      </c>
      <c r="AB12" s="12">
        <v>313</v>
      </c>
      <c r="AC12" s="12">
        <v>466</v>
      </c>
      <c r="AD12" s="12">
        <v>388</v>
      </c>
      <c r="AE12" s="12">
        <v>594</v>
      </c>
      <c r="AF12" s="12">
        <v>784</v>
      </c>
    </row>
    <row r="13" spans="1:32">
      <c r="A13" s="20"/>
      <c r="B13" s="13" t="s">
        <v>1032</v>
      </c>
      <c r="C13" s="14">
        <v>0.47</v>
      </c>
      <c r="D13" s="14">
        <v>0.49</v>
      </c>
      <c r="E13" s="14">
        <v>0.33</v>
      </c>
      <c r="F13" s="14">
        <v>0.3</v>
      </c>
      <c r="G13" s="14">
        <v>0.73</v>
      </c>
      <c r="H13" s="14">
        <v>0.52</v>
      </c>
      <c r="I13" s="14">
        <v>0.51</v>
      </c>
      <c r="J13" s="14">
        <v>0.44</v>
      </c>
      <c r="K13" s="14">
        <v>0.28000000000000003</v>
      </c>
      <c r="L13" s="14">
        <v>0.53</v>
      </c>
      <c r="M13" s="14">
        <v>0.46</v>
      </c>
      <c r="N13" s="14">
        <v>0.43</v>
      </c>
      <c r="O13" s="14">
        <v>0.52</v>
      </c>
      <c r="P13" s="14">
        <v>0.49</v>
      </c>
      <c r="Q13" s="14">
        <v>0.48</v>
      </c>
      <c r="R13" s="14">
        <v>0.49</v>
      </c>
      <c r="S13" s="14">
        <v>0.3</v>
      </c>
      <c r="T13" s="14">
        <v>0.42</v>
      </c>
      <c r="U13" s="14">
        <v>0.5</v>
      </c>
      <c r="V13" s="14">
        <v>0.45</v>
      </c>
      <c r="W13" s="14">
        <v>0.49</v>
      </c>
      <c r="X13" s="14">
        <v>0.65</v>
      </c>
      <c r="Y13" s="14">
        <v>0.51</v>
      </c>
      <c r="Z13" s="14">
        <v>0.25</v>
      </c>
      <c r="AA13" s="14">
        <v>0.46</v>
      </c>
      <c r="AB13" s="14">
        <v>0.3</v>
      </c>
      <c r="AC13" s="14">
        <v>0.46</v>
      </c>
      <c r="AD13" s="14">
        <v>0.39</v>
      </c>
      <c r="AE13" s="14">
        <v>0.59</v>
      </c>
      <c r="AF13" s="14">
        <v>0.77</v>
      </c>
    </row>
    <row r="14" spans="1:32">
      <c r="A14" s="20"/>
      <c r="B14" s="11" t="s">
        <v>1033</v>
      </c>
      <c r="C14" s="12">
        <v>9103</v>
      </c>
      <c r="D14" s="12">
        <v>321</v>
      </c>
      <c r="E14" s="12">
        <v>374</v>
      </c>
      <c r="F14" s="12">
        <v>410</v>
      </c>
      <c r="G14" s="12">
        <v>254</v>
      </c>
      <c r="H14" s="12">
        <v>455</v>
      </c>
      <c r="I14" s="12">
        <v>593</v>
      </c>
      <c r="J14" s="12">
        <v>138</v>
      </c>
      <c r="K14" s="12">
        <v>247</v>
      </c>
      <c r="L14" s="12">
        <v>341</v>
      </c>
      <c r="M14" s="12">
        <v>302</v>
      </c>
      <c r="N14" s="12">
        <v>275</v>
      </c>
      <c r="O14" s="12">
        <v>413</v>
      </c>
      <c r="P14" s="12">
        <v>397</v>
      </c>
      <c r="Q14" s="12">
        <v>367</v>
      </c>
      <c r="R14" s="12">
        <v>176</v>
      </c>
      <c r="S14" s="12">
        <v>262</v>
      </c>
      <c r="T14" s="12">
        <v>312</v>
      </c>
      <c r="U14" s="12">
        <v>209</v>
      </c>
      <c r="V14" s="12">
        <v>317</v>
      </c>
      <c r="W14" s="12">
        <v>218</v>
      </c>
      <c r="X14" s="12">
        <v>287</v>
      </c>
      <c r="Y14" s="12">
        <v>458</v>
      </c>
      <c r="Z14" s="12">
        <v>281</v>
      </c>
      <c r="AA14" s="12">
        <v>405</v>
      </c>
      <c r="AB14" s="12">
        <v>293</v>
      </c>
      <c r="AC14" s="12">
        <v>443</v>
      </c>
      <c r="AD14" s="12">
        <v>315</v>
      </c>
      <c r="AE14" s="12">
        <v>234</v>
      </c>
      <c r="AF14" s="12">
        <v>290</v>
      </c>
    </row>
    <row r="15" spans="1:32">
      <c r="A15" s="20"/>
      <c r="B15" s="13" t="s">
        <v>1034</v>
      </c>
      <c r="C15" s="14">
        <v>0.35</v>
      </c>
      <c r="D15" s="14">
        <v>0.32</v>
      </c>
      <c r="E15" s="14">
        <v>0.37</v>
      </c>
      <c r="F15" s="14">
        <v>0.41</v>
      </c>
      <c r="G15" s="14">
        <v>0.25</v>
      </c>
      <c r="H15" s="14">
        <v>0.37</v>
      </c>
      <c r="I15" s="14">
        <v>0.39</v>
      </c>
      <c r="J15" s="14">
        <v>0.47</v>
      </c>
      <c r="K15" s="14">
        <v>0.25</v>
      </c>
      <c r="L15" s="14">
        <v>0.34</v>
      </c>
      <c r="M15" s="14">
        <v>0.3</v>
      </c>
      <c r="N15" s="14">
        <v>0.27</v>
      </c>
      <c r="O15" s="14">
        <v>0.41</v>
      </c>
      <c r="P15" s="14">
        <v>0.39</v>
      </c>
      <c r="Q15" s="14">
        <v>0.36</v>
      </c>
      <c r="R15" s="14">
        <v>0.35</v>
      </c>
      <c r="S15" s="14">
        <v>0.26</v>
      </c>
      <c r="T15" s="14">
        <v>0.31</v>
      </c>
      <c r="U15" s="14">
        <v>0.41</v>
      </c>
      <c r="V15" s="14">
        <v>0.31</v>
      </c>
      <c r="W15" s="14">
        <v>0.43</v>
      </c>
      <c r="X15" s="14">
        <v>0.28000000000000003</v>
      </c>
      <c r="Y15" s="14">
        <v>0.45</v>
      </c>
      <c r="Z15" s="14">
        <v>0.28000000000000003</v>
      </c>
      <c r="AA15" s="14">
        <v>0.38</v>
      </c>
      <c r="AB15" s="14">
        <v>0.28000000000000003</v>
      </c>
      <c r="AC15" s="14">
        <v>0.44</v>
      </c>
      <c r="AD15" s="14">
        <v>0.31</v>
      </c>
      <c r="AE15" s="14">
        <v>0.23</v>
      </c>
      <c r="AF15" s="14">
        <v>0.28000000000000003</v>
      </c>
    </row>
    <row r="16" spans="1:32" ht="24.95">
      <c r="A16" s="20"/>
      <c r="B16" s="11" t="s">
        <v>1035</v>
      </c>
      <c r="C16" s="12">
        <v>13222</v>
      </c>
      <c r="D16" s="12">
        <v>444</v>
      </c>
      <c r="E16" s="12">
        <v>529</v>
      </c>
      <c r="F16" s="12">
        <v>358</v>
      </c>
      <c r="G16" s="12">
        <v>526</v>
      </c>
      <c r="H16" s="12">
        <v>545</v>
      </c>
      <c r="I16" s="12">
        <v>682</v>
      </c>
      <c r="J16" s="12">
        <v>136</v>
      </c>
      <c r="K16" s="12">
        <v>365</v>
      </c>
      <c r="L16" s="12">
        <v>426</v>
      </c>
      <c r="M16" s="12">
        <v>744</v>
      </c>
      <c r="N16" s="12">
        <v>596</v>
      </c>
      <c r="O16" s="12">
        <v>620</v>
      </c>
      <c r="P16" s="12">
        <v>554</v>
      </c>
      <c r="Q16" s="12">
        <v>426</v>
      </c>
      <c r="R16" s="12">
        <v>369</v>
      </c>
      <c r="S16" s="12">
        <v>283</v>
      </c>
      <c r="T16" s="12">
        <v>343</v>
      </c>
      <c r="U16" s="12">
        <v>290</v>
      </c>
      <c r="V16" s="12">
        <v>640</v>
      </c>
      <c r="W16" s="12">
        <v>220</v>
      </c>
      <c r="X16" s="12">
        <v>479</v>
      </c>
      <c r="Y16" s="12">
        <v>565</v>
      </c>
      <c r="Z16" s="12">
        <v>331</v>
      </c>
      <c r="AA16" s="12">
        <v>716</v>
      </c>
      <c r="AB16" s="12">
        <v>512</v>
      </c>
      <c r="AC16" s="12">
        <v>498</v>
      </c>
      <c r="AD16" s="12">
        <v>620</v>
      </c>
      <c r="AE16" s="12">
        <v>497</v>
      </c>
      <c r="AF16" s="12">
        <v>577</v>
      </c>
    </row>
    <row r="17" spans="1:32" ht="24.95">
      <c r="A17" s="20"/>
      <c r="B17" s="13" t="s">
        <v>1036</v>
      </c>
      <c r="C17" s="14">
        <v>0.5</v>
      </c>
      <c r="D17" s="14">
        <v>0.44</v>
      </c>
      <c r="E17" s="14">
        <v>0.52</v>
      </c>
      <c r="F17" s="14">
        <v>0.36</v>
      </c>
      <c r="G17" s="14">
        <v>0.52</v>
      </c>
      <c r="H17" s="14">
        <v>0.45</v>
      </c>
      <c r="I17" s="14">
        <v>0.45</v>
      </c>
      <c r="J17" s="14">
        <v>0.46</v>
      </c>
      <c r="K17" s="14">
        <v>0.36</v>
      </c>
      <c r="L17" s="14">
        <v>0.42</v>
      </c>
      <c r="M17" s="14">
        <v>0.74</v>
      </c>
      <c r="N17" s="14">
        <v>0.59</v>
      </c>
      <c r="O17" s="14">
        <v>0.62</v>
      </c>
      <c r="P17" s="14">
        <v>0.54</v>
      </c>
      <c r="Q17" s="14">
        <v>0.42</v>
      </c>
      <c r="R17" s="14">
        <v>0.74</v>
      </c>
      <c r="S17" s="14">
        <v>0.28000000000000003</v>
      </c>
      <c r="T17" s="14">
        <v>0.34</v>
      </c>
      <c r="U17" s="14">
        <v>0.57000000000000006</v>
      </c>
      <c r="V17" s="14">
        <v>0.63</v>
      </c>
      <c r="W17" s="14">
        <v>0.44</v>
      </c>
      <c r="X17" s="14">
        <v>0.47</v>
      </c>
      <c r="Y17" s="14">
        <v>0.56000000000000005</v>
      </c>
      <c r="Z17" s="14">
        <v>0.33</v>
      </c>
      <c r="AA17" s="14">
        <v>0.68</v>
      </c>
      <c r="AB17" s="14">
        <v>0.49</v>
      </c>
      <c r="AC17" s="14">
        <v>0.49</v>
      </c>
      <c r="AD17" s="14">
        <v>0.62</v>
      </c>
      <c r="AE17" s="14">
        <v>0.5</v>
      </c>
      <c r="AF17" s="14">
        <v>0.57000000000000006</v>
      </c>
    </row>
    <row r="18" spans="1:32" ht="24.95">
      <c r="A18" s="20"/>
      <c r="B18" s="11" t="s">
        <v>1037</v>
      </c>
      <c r="C18" s="12">
        <v>7021</v>
      </c>
      <c r="D18" s="12">
        <v>197</v>
      </c>
      <c r="E18" s="12">
        <v>449</v>
      </c>
      <c r="F18" s="12">
        <v>381</v>
      </c>
      <c r="G18" s="12">
        <v>211</v>
      </c>
      <c r="H18" s="12">
        <v>169</v>
      </c>
      <c r="I18" s="12">
        <v>238</v>
      </c>
      <c r="J18" s="12">
        <v>69</v>
      </c>
      <c r="K18" s="12">
        <v>336</v>
      </c>
      <c r="L18" s="12">
        <v>253</v>
      </c>
      <c r="M18" s="12">
        <v>396</v>
      </c>
      <c r="N18" s="12">
        <v>236</v>
      </c>
      <c r="O18" s="12">
        <v>236</v>
      </c>
      <c r="P18" s="12">
        <v>380</v>
      </c>
      <c r="Q18" s="12">
        <v>395</v>
      </c>
      <c r="R18" s="12">
        <v>184</v>
      </c>
      <c r="S18" s="12">
        <v>225</v>
      </c>
      <c r="T18" s="12">
        <v>318</v>
      </c>
      <c r="U18" s="12">
        <v>74</v>
      </c>
      <c r="V18" s="12">
        <v>493</v>
      </c>
      <c r="W18" s="12">
        <v>122</v>
      </c>
      <c r="X18" s="12">
        <v>194</v>
      </c>
      <c r="Y18" s="12">
        <v>362</v>
      </c>
      <c r="Z18" s="12">
        <v>258</v>
      </c>
      <c r="AA18" s="12">
        <v>277</v>
      </c>
      <c r="AB18" s="12">
        <v>366</v>
      </c>
      <c r="AC18" s="12">
        <v>245</v>
      </c>
      <c r="AD18" s="12">
        <v>440</v>
      </c>
      <c r="AE18" s="12">
        <v>175</v>
      </c>
      <c r="AF18" s="12">
        <v>209</v>
      </c>
    </row>
    <row r="19" spans="1:32">
      <c r="A19" s="20"/>
      <c r="B19" s="13" t="s">
        <v>1038</v>
      </c>
      <c r="C19" s="14">
        <v>0.27</v>
      </c>
      <c r="D19" s="14">
        <v>0.2</v>
      </c>
      <c r="E19" s="14">
        <v>0.44</v>
      </c>
      <c r="F19" s="14">
        <v>0.38</v>
      </c>
      <c r="G19" s="14">
        <v>0.21</v>
      </c>
      <c r="H19" s="14">
        <v>0.14000000000000001</v>
      </c>
      <c r="I19" s="14">
        <v>0.16</v>
      </c>
      <c r="J19" s="14">
        <v>0.24</v>
      </c>
      <c r="K19" s="14">
        <v>0.33</v>
      </c>
      <c r="L19" s="14">
        <v>0.25</v>
      </c>
      <c r="M19" s="14">
        <v>0.4</v>
      </c>
      <c r="N19" s="14">
        <v>0.23</v>
      </c>
      <c r="O19" s="14">
        <v>0.24</v>
      </c>
      <c r="P19" s="14">
        <v>0.37</v>
      </c>
      <c r="Q19" s="14">
        <v>0.39</v>
      </c>
      <c r="R19" s="14">
        <v>0.37</v>
      </c>
      <c r="S19" s="14">
        <v>0.22</v>
      </c>
      <c r="T19" s="14">
        <v>0.31</v>
      </c>
      <c r="U19" s="14">
        <v>0.15</v>
      </c>
      <c r="V19" s="14">
        <v>0.48</v>
      </c>
      <c r="W19" s="14">
        <v>0.24</v>
      </c>
      <c r="X19" s="14">
        <v>0.19</v>
      </c>
      <c r="Y19" s="14">
        <v>0.36</v>
      </c>
      <c r="Z19" s="14">
        <v>0.26</v>
      </c>
      <c r="AA19" s="14">
        <v>0.26</v>
      </c>
      <c r="AB19" s="14">
        <v>0.35</v>
      </c>
      <c r="AC19" s="14">
        <v>0.24</v>
      </c>
      <c r="AD19" s="14">
        <v>0.44</v>
      </c>
      <c r="AE19" s="14">
        <v>0.17</v>
      </c>
      <c r="AF19" s="14">
        <v>0.21</v>
      </c>
    </row>
    <row r="20" spans="1:32">
      <c r="A20" s="20"/>
      <c r="B20" s="11" t="s">
        <v>1039</v>
      </c>
      <c r="C20" s="12">
        <v>12420</v>
      </c>
      <c r="D20" s="12">
        <v>357</v>
      </c>
      <c r="E20" s="12">
        <v>526</v>
      </c>
      <c r="F20" s="12">
        <v>501</v>
      </c>
      <c r="G20" s="12">
        <v>234</v>
      </c>
      <c r="H20" s="12">
        <v>516</v>
      </c>
      <c r="I20" s="12">
        <v>675</v>
      </c>
      <c r="J20" s="12">
        <v>159</v>
      </c>
      <c r="K20" s="12">
        <v>552</v>
      </c>
      <c r="L20" s="12">
        <v>426</v>
      </c>
      <c r="M20" s="12">
        <v>813</v>
      </c>
      <c r="N20" s="12">
        <v>556</v>
      </c>
      <c r="O20" s="12">
        <v>439</v>
      </c>
      <c r="P20" s="12">
        <v>525</v>
      </c>
      <c r="Q20" s="12">
        <v>609</v>
      </c>
      <c r="R20" s="12">
        <v>385</v>
      </c>
      <c r="S20" s="12">
        <v>437</v>
      </c>
      <c r="T20" s="12">
        <v>416</v>
      </c>
      <c r="U20" s="12">
        <v>180</v>
      </c>
      <c r="V20" s="12">
        <v>591</v>
      </c>
      <c r="W20" s="12">
        <v>178</v>
      </c>
      <c r="X20" s="12">
        <v>249</v>
      </c>
      <c r="Y20" s="12">
        <v>503</v>
      </c>
      <c r="Z20" s="12">
        <v>365</v>
      </c>
      <c r="AA20" s="12">
        <v>669</v>
      </c>
      <c r="AB20" s="12">
        <v>502</v>
      </c>
      <c r="AC20" s="12">
        <v>412</v>
      </c>
      <c r="AD20" s="12">
        <v>464</v>
      </c>
      <c r="AE20" s="12">
        <v>217</v>
      </c>
      <c r="AF20" s="12">
        <v>259</v>
      </c>
    </row>
    <row r="21" spans="1:32">
      <c r="A21" s="20"/>
      <c r="B21" s="13" t="s">
        <v>1040</v>
      </c>
      <c r="C21" s="14">
        <v>0.47</v>
      </c>
      <c r="D21" s="14">
        <v>0.36</v>
      </c>
      <c r="E21" s="14">
        <v>0.52</v>
      </c>
      <c r="F21" s="14">
        <v>0.5</v>
      </c>
      <c r="G21" s="14">
        <v>0.23</v>
      </c>
      <c r="H21" s="14">
        <v>0.42</v>
      </c>
      <c r="I21" s="14">
        <v>0.45</v>
      </c>
      <c r="J21" s="14">
        <v>0.54</v>
      </c>
      <c r="K21" s="14">
        <v>0.55000000000000004</v>
      </c>
      <c r="L21" s="14">
        <v>0.42</v>
      </c>
      <c r="M21" s="14">
        <v>0.81</v>
      </c>
      <c r="N21" s="14">
        <v>0.55000000000000004</v>
      </c>
      <c r="O21" s="14">
        <v>0.44</v>
      </c>
      <c r="P21" s="14">
        <v>0.51</v>
      </c>
      <c r="Q21" s="14">
        <v>0.6</v>
      </c>
      <c r="R21" s="14">
        <v>0.77</v>
      </c>
      <c r="S21" s="14">
        <v>0.43</v>
      </c>
      <c r="T21" s="14">
        <v>0.41</v>
      </c>
      <c r="U21" s="14">
        <v>0.36</v>
      </c>
      <c r="V21" s="14">
        <v>0.57999999999999996</v>
      </c>
      <c r="W21" s="14">
        <v>0.35</v>
      </c>
      <c r="X21" s="14">
        <v>0.24</v>
      </c>
      <c r="Y21" s="14">
        <v>0.5</v>
      </c>
      <c r="Z21" s="14">
        <v>0.36</v>
      </c>
      <c r="AA21" s="14">
        <v>0.64</v>
      </c>
      <c r="AB21" s="14">
        <v>0.48</v>
      </c>
      <c r="AC21" s="14">
        <v>0.41</v>
      </c>
      <c r="AD21" s="14">
        <v>0.46</v>
      </c>
      <c r="AE21" s="14">
        <v>0.22</v>
      </c>
      <c r="AF21" s="14">
        <v>0.25</v>
      </c>
    </row>
    <row r="22" spans="1:32">
      <c r="A22" s="20"/>
      <c r="B22" s="11" t="s">
        <v>1041</v>
      </c>
      <c r="C22" s="12">
        <v>7957</v>
      </c>
      <c r="D22" s="12">
        <v>299</v>
      </c>
      <c r="E22" s="12">
        <v>322</v>
      </c>
      <c r="F22" s="12">
        <v>268</v>
      </c>
      <c r="G22" s="12">
        <v>431</v>
      </c>
      <c r="H22" s="12">
        <v>392</v>
      </c>
      <c r="I22" s="12">
        <v>481</v>
      </c>
      <c r="J22" s="12">
        <v>88</v>
      </c>
      <c r="K22" s="12">
        <v>340</v>
      </c>
      <c r="L22" s="12">
        <v>398</v>
      </c>
      <c r="M22" s="12">
        <v>346</v>
      </c>
      <c r="N22" s="12">
        <v>292</v>
      </c>
      <c r="O22" s="12">
        <v>253</v>
      </c>
      <c r="P22" s="12">
        <v>233</v>
      </c>
      <c r="Q22" s="12">
        <v>260</v>
      </c>
      <c r="R22" s="12">
        <v>169</v>
      </c>
      <c r="S22" s="12">
        <v>389</v>
      </c>
      <c r="T22" s="12">
        <v>397</v>
      </c>
      <c r="U22" s="12">
        <v>169</v>
      </c>
      <c r="V22" s="12">
        <v>229</v>
      </c>
      <c r="W22" s="12">
        <v>127</v>
      </c>
      <c r="X22" s="12">
        <v>464</v>
      </c>
      <c r="Y22" s="12">
        <v>352</v>
      </c>
      <c r="Z22" s="12">
        <v>249</v>
      </c>
      <c r="AA22" s="12">
        <v>241</v>
      </c>
      <c r="AB22" s="12">
        <v>379</v>
      </c>
      <c r="AC22" s="12">
        <v>366</v>
      </c>
      <c r="AD22" s="12">
        <v>414</v>
      </c>
      <c r="AE22" s="12">
        <v>361</v>
      </c>
      <c r="AF22" s="12">
        <v>521</v>
      </c>
    </row>
    <row r="23" spans="1:32">
      <c r="A23" s="20"/>
      <c r="B23" s="13" t="s">
        <v>1042</v>
      </c>
      <c r="C23" s="14">
        <v>0.3</v>
      </c>
      <c r="D23" s="14">
        <v>0.3</v>
      </c>
      <c r="E23" s="14">
        <v>0.32</v>
      </c>
      <c r="F23" s="14">
        <v>0.27</v>
      </c>
      <c r="G23" s="14">
        <v>0.43</v>
      </c>
      <c r="H23" s="14">
        <v>0.32</v>
      </c>
      <c r="I23" s="14">
        <v>0.32</v>
      </c>
      <c r="J23" s="14">
        <v>0.3</v>
      </c>
      <c r="K23" s="14">
        <v>0.34</v>
      </c>
      <c r="L23" s="14">
        <v>0.4</v>
      </c>
      <c r="M23" s="14">
        <v>0.35</v>
      </c>
      <c r="N23" s="14">
        <v>0.28999999999999998</v>
      </c>
      <c r="O23" s="14">
        <v>0.25</v>
      </c>
      <c r="P23" s="14">
        <v>0.23</v>
      </c>
      <c r="Q23" s="14">
        <v>0.25</v>
      </c>
      <c r="R23" s="14">
        <v>0.34</v>
      </c>
      <c r="S23" s="14">
        <v>0.39</v>
      </c>
      <c r="T23" s="14">
        <v>0.39</v>
      </c>
      <c r="U23" s="14">
        <v>0.33</v>
      </c>
      <c r="V23" s="14">
        <v>0.23</v>
      </c>
      <c r="W23" s="14">
        <v>0.25</v>
      </c>
      <c r="X23" s="14">
        <v>0.45</v>
      </c>
      <c r="Y23" s="14">
        <v>0.35</v>
      </c>
      <c r="Z23" s="14">
        <v>0.25</v>
      </c>
      <c r="AA23" s="14">
        <v>0.23</v>
      </c>
      <c r="AB23" s="14">
        <v>0.36</v>
      </c>
      <c r="AC23" s="14">
        <v>0.36</v>
      </c>
      <c r="AD23" s="14">
        <v>0.41</v>
      </c>
      <c r="AE23" s="14">
        <v>0.36</v>
      </c>
      <c r="AF23" s="14">
        <v>0.51</v>
      </c>
    </row>
    <row r="24" spans="1:32">
      <c r="A24" s="20"/>
      <c r="B24" s="11" t="s">
        <v>1043</v>
      </c>
      <c r="C24" s="12">
        <v>16003</v>
      </c>
      <c r="D24" s="12">
        <v>550</v>
      </c>
      <c r="E24" s="12">
        <v>681</v>
      </c>
      <c r="F24" s="12">
        <v>662</v>
      </c>
      <c r="G24" s="12">
        <v>649</v>
      </c>
      <c r="H24" s="12">
        <v>837</v>
      </c>
      <c r="I24" s="12">
        <v>1038</v>
      </c>
      <c r="J24" s="12">
        <v>202</v>
      </c>
      <c r="K24" s="12">
        <v>683</v>
      </c>
      <c r="L24" s="12">
        <v>543</v>
      </c>
      <c r="M24" s="12">
        <v>523</v>
      </c>
      <c r="N24" s="12">
        <v>606</v>
      </c>
      <c r="O24" s="12">
        <v>575</v>
      </c>
      <c r="P24" s="12">
        <v>583</v>
      </c>
      <c r="Q24" s="12">
        <v>598</v>
      </c>
      <c r="R24" s="12">
        <v>286</v>
      </c>
      <c r="S24" s="12">
        <v>642</v>
      </c>
      <c r="T24" s="12">
        <v>749</v>
      </c>
      <c r="U24" s="12">
        <v>306</v>
      </c>
      <c r="V24" s="12">
        <v>486</v>
      </c>
      <c r="W24" s="12">
        <v>245</v>
      </c>
      <c r="X24" s="12">
        <v>594</v>
      </c>
      <c r="Y24" s="12">
        <v>658</v>
      </c>
      <c r="Z24" s="12">
        <v>599</v>
      </c>
      <c r="AA24" s="12">
        <v>648</v>
      </c>
      <c r="AB24" s="12">
        <v>519</v>
      </c>
      <c r="AC24" s="12">
        <v>607</v>
      </c>
      <c r="AD24" s="12">
        <v>756</v>
      </c>
      <c r="AE24" s="12">
        <v>634</v>
      </c>
      <c r="AF24" s="12">
        <v>671</v>
      </c>
    </row>
    <row r="25" spans="1:32">
      <c r="A25" s="20"/>
      <c r="B25" s="13" t="s">
        <v>1044</v>
      </c>
      <c r="C25" s="14">
        <v>0.61</v>
      </c>
      <c r="D25" s="14">
        <v>0.55000000000000004</v>
      </c>
      <c r="E25" s="14">
        <v>0.67</v>
      </c>
      <c r="F25" s="14">
        <v>0.66</v>
      </c>
      <c r="G25" s="14">
        <v>0.65</v>
      </c>
      <c r="H25" s="14">
        <v>0.69000000000000006</v>
      </c>
      <c r="I25" s="14">
        <v>0.69000000000000006</v>
      </c>
      <c r="J25" s="14">
        <v>0.69000000000000006</v>
      </c>
      <c r="K25" s="14">
        <v>0.68</v>
      </c>
      <c r="L25" s="14">
        <v>0.54</v>
      </c>
      <c r="M25" s="14">
        <v>0.52</v>
      </c>
      <c r="N25" s="14">
        <v>0.6</v>
      </c>
      <c r="O25" s="14">
        <v>0.57000000000000006</v>
      </c>
      <c r="P25" s="14">
        <v>0.57000000000000006</v>
      </c>
      <c r="Q25" s="14">
        <v>0.59</v>
      </c>
      <c r="R25" s="14">
        <v>0.57000000000000006</v>
      </c>
      <c r="S25" s="14">
        <v>0.64</v>
      </c>
      <c r="T25" s="14">
        <v>0.74</v>
      </c>
      <c r="U25" s="14">
        <v>0.6</v>
      </c>
      <c r="V25" s="14">
        <v>0.48</v>
      </c>
      <c r="W25" s="14">
        <v>0.49</v>
      </c>
      <c r="X25" s="14">
        <v>0.57999999999999996</v>
      </c>
      <c r="Y25" s="14">
        <v>0.65</v>
      </c>
      <c r="Z25" s="14">
        <v>0.59</v>
      </c>
      <c r="AA25" s="14">
        <v>0.62</v>
      </c>
      <c r="AB25" s="14">
        <v>0.5</v>
      </c>
      <c r="AC25" s="14">
        <v>0.6</v>
      </c>
      <c r="AD25" s="14">
        <v>0.75</v>
      </c>
      <c r="AE25" s="14">
        <v>0.63</v>
      </c>
      <c r="AF25" s="14">
        <v>0.66</v>
      </c>
    </row>
    <row r="26" spans="1:32" ht="24.95">
      <c r="A26" s="20"/>
      <c r="B26" s="11" t="s">
        <v>1045</v>
      </c>
      <c r="C26" s="12">
        <v>6578</v>
      </c>
      <c r="D26" s="12">
        <v>274</v>
      </c>
      <c r="E26" s="12">
        <v>206</v>
      </c>
      <c r="F26" s="12">
        <v>257</v>
      </c>
      <c r="G26" s="12">
        <v>279</v>
      </c>
      <c r="H26" s="12">
        <v>367</v>
      </c>
      <c r="I26" s="12">
        <v>457</v>
      </c>
      <c r="J26" s="12">
        <v>91</v>
      </c>
      <c r="K26" s="12">
        <v>251</v>
      </c>
      <c r="L26" s="12">
        <v>200</v>
      </c>
      <c r="M26" s="12">
        <v>227</v>
      </c>
      <c r="N26" s="12">
        <v>164</v>
      </c>
      <c r="O26" s="12">
        <v>248</v>
      </c>
      <c r="P26" s="12">
        <v>250</v>
      </c>
      <c r="Q26" s="12">
        <v>248</v>
      </c>
      <c r="R26" s="12">
        <v>101</v>
      </c>
      <c r="S26" s="12">
        <v>127</v>
      </c>
      <c r="T26" s="12">
        <v>247</v>
      </c>
      <c r="U26" s="12">
        <v>95</v>
      </c>
      <c r="V26" s="12">
        <v>382</v>
      </c>
      <c r="W26" s="12">
        <v>96</v>
      </c>
      <c r="X26" s="12">
        <v>345</v>
      </c>
      <c r="Y26" s="12">
        <v>443</v>
      </c>
      <c r="Z26" s="12">
        <v>145</v>
      </c>
      <c r="AA26" s="12">
        <v>287</v>
      </c>
      <c r="AB26" s="12">
        <v>217</v>
      </c>
      <c r="AC26" s="12">
        <v>280</v>
      </c>
      <c r="AD26" s="12">
        <v>304</v>
      </c>
      <c r="AE26" s="12">
        <v>324</v>
      </c>
      <c r="AF26" s="12">
        <v>280</v>
      </c>
    </row>
    <row r="27" spans="1:32">
      <c r="A27" s="20"/>
      <c r="B27" s="13" t="s">
        <v>1046</v>
      </c>
      <c r="C27" s="14">
        <v>0.25</v>
      </c>
      <c r="D27" s="14">
        <v>0.27</v>
      </c>
      <c r="E27" s="14">
        <v>0.2</v>
      </c>
      <c r="F27" s="14">
        <v>0.26</v>
      </c>
      <c r="G27" s="14">
        <v>0.28000000000000003</v>
      </c>
      <c r="H27" s="14">
        <v>0.3</v>
      </c>
      <c r="I27" s="14">
        <v>0.3</v>
      </c>
      <c r="J27" s="14">
        <v>0.31</v>
      </c>
      <c r="K27" s="14">
        <v>0.25</v>
      </c>
      <c r="L27" s="14">
        <v>0.2</v>
      </c>
      <c r="M27" s="14">
        <v>0.23</v>
      </c>
      <c r="N27" s="14">
        <v>0.16</v>
      </c>
      <c r="O27" s="14">
        <v>0.25</v>
      </c>
      <c r="P27" s="14">
        <v>0.24</v>
      </c>
      <c r="Q27" s="14">
        <v>0.24</v>
      </c>
      <c r="R27" s="14">
        <v>0.2</v>
      </c>
      <c r="S27" s="14">
        <v>0.13</v>
      </c>
      <c r="T27" s="14">
        <v>0.24</v>
      </c>
      <c r="U27" s="14">
        <v>0.19</v>
      </c>
      <c r="V27" s="14">
        <v>0.38</v>
      </c>
      <c r="W27" s="14">
        <v>0.19</v>
      </c>
      <c r="X27" s="14">
        <v>0.34</v>
      </c>
      <c r="Y27" s="14">
        <v>0.44</v>
      </c>
      <c r="Z27" s="14">
        <v>0.14000000000000001</v>
      </c>
      <c r="AA27" s="14">
        <v>0.27</v>
      </c>
      <c r="AB27" s="14">
        <v>0.21</v>
      </c>
      <c r="AC27" s="14">
        <v>0.28000000000000003</v>
      </c>
      <c r="AD27" s="14">
        <v>0.3</v>
      </c>
      <c r="AE27" s="14">
        <v>0.32</v>
      </c>
      <c r="AF27" s="14">
        <v>0.27</v>
      </c>
    </row>
    <row r="28" spans="1:32">
      <c r="A28" s="20"/>
      <c r="B28" s="11" t="s">
        <v>1047</v>
      </c>
      <c r="C28" s="12">
        <v>8588</v>
      </c>
      <c r="D28" s="12">
        <v>290</v>
      </c>
      <c r="E28" s="12">
        <v>420</v>
      </c>
      <c r="F28" s="12">
        <v>383</v>
      </c>
      <c r="G28" s="12">
        <v>382</v>
      </c>
      <c r="H28" s="12">
        <v>327</v>
      </c>
      <c r="I28" s="12">
        <v>418</v>
      </c>
      <c r="J28" s="12">
        <v>91</v>
      </c>
      <c r="K28" s="12">
        <v>366</v>
      </c>
      <c r="L28" s="12">
        <v>246</v>
      </c>
      <c r="M28" s="12">
        <v>413</v>
      </c>
      <c r="N28" s="12">
        <v>261</v>
      </c>
      <c r="O28" s="12">
        <v>392</v>
      </c>
      <c r="P28" s="12">
        <v>473</v>
      </c>
      <c r="Q28" s="12">
        <v>343</v>
      </c>
      <c r="R28" s="12">
        <v>117</v>
      </c>
      <c r="S28" s="12">
        <v>246</v>
      </c>
      <c r="T28" s="12">
        <v>387</v>
      </c>
      <c r="U28" s="12">
        <v>169</v>
      </c>
      <c r="V28" s="12">
        <v>551</v>
      </c>
      <c r="W28" s="12">
        <v>125</v>
      </c>
      <c r="X28" s="12">
        <v>343</v>
      </c>
      <c r="Y28" s="12">
        <v>439</v>
      </c>
      <c r="Z28" s="12">
        <v>204</v>
      </c>
      <c r="AA28" s="12">
        <v>353</v>
      </c>
      <c r="AB28" s="12">
        <v>340</v>
      </c>
      <c r="AC28" s="12">
        <v>415</v>
      </c>
      <c r="AD28" s="12">
        <v>458</v>
      </c>
      <c r="AE28" s="12">
        <v>346</v>
      </c>
      <c r="AF28" s="12">
        <v>398</v>
      </c>
    </row>
    <row r="29" spans="1:32">
      <c r="A29" s="20"/>
      <c r="B29" s="13" t="s">
        <v>1048</v>
      </c>
      <c r="C29" s="14">
        <v>0.33</v>
      </c>
      <c r="D29" s="14">
        <v>0.28999999999999998</v>
      </c>
      <c r="E29" s="14">
        <v>0.41</v>
      </c>
      <c r="F29" s="14">
        <v>0.38</v>
      </c>
      <c r="G29" s="14">
        <v>0.38</v>
      </c>
      <c r="H29" s="14">
        <v>0.27</v>
      </c>
      <c r="I29" s="14">
        <v>0.28000000000000003</v>
      </c>
      <c r="J29" s="14">
        <v>0.31</v>
      </c>
      <c r="K29" s="14">
        <v>0.36</v>
      </c>
      <c r="L29" s="14">
        <v>0.24</v>
      </c>
      <c r="M29" s="14">
        <v>0.41</v>
      </c>
      <c r="N29" s="14">
        <v>0.26</v>
      </c>
      <c r="O29" s="14">
        <v>0.39</v>
      </c>
      <c r="P29" s="14">
        <v>0.46</v>
      </c>
      <c r="Q29" s="14">
        <v>0.34</v>
      </c>
      <c r="R29" s="14">
        <v>0.23</v>
      </c>
      <c r="S29" s="14">
        <v>0.24</v>
      </c>
      <c r="T29" s="14">
        <v>0.38</v>
      </c>
      <c r="U29" s="14">
        <v>0.33</v>
      </c>
      <c r="V29" s="14">
        <v>0.54</v>
      </c>
      <c r="W29" s="14">
        <v>0.25</v>
      </c>
      <c r="X29" s="14">
        <v>0.34</v>
      </c>
      <c r="Y29" s="14">
        <v>0.44</v>
      </c>
      <c r="Z29" s="14">
        <v>0.2</v>
      </c>
      <c r="AA29" s="14">
        <v>0.34</v>
      </c>
      <c r="AB29" s="14">
        <v>0.33</v>
      </c>
      <c r="AC29" s="14">
        <v>0.41</v>
      </c>
      <c r="AD29" s="14">
        <v>0.46</v>
      </c>
      <c r="AE29" s="14">
        <v>0.35</v>
      </c>
      <c r="AF29" s="14">
        <v>0.39</v>
      </c>
    </row>
    <row r="30" spans="1:32" ht="24.95">
      <c r="A30" s="20"/>
      <c r="B30" s="11" t="s">
        <v>1049</v>
      </c>
      <c r="C30" s="12">
        <v>9889</v>
      </c>
      <c r="D30" s="12">
        <v>326</v>
      </c>
      <c r="E30" s="12">
        <v>299</v>
      </c>
      <c r="F30" s="12">
        <v>281</v>
      </c>
      <c r="G30" s="12">
        <v>471</v>
      </c>
      <c r="H30" s="12">
        <v>594</v>
      </c>
      <c r="I30" s="12">
        <v>736</v>
      </c>
      <c r="J30" s="12">
        <v>142</v>
      </c>
      <c r="K30" s="12">
        <v>249</v>
      </c>
      <c r="L30" s="12">
        <v>328</v>
      </c>
      <c r="M30" s="12">
        <v>520</v>
      </c>
      <c r="N30" s="12">
        <v>274</v>
      </c>
      <c r="O30" s="12">
        <v>358</v>
      </c>
      <c r="P30" s="12">
        <v>388</v>
      </c>
      <c r="Q30" s="12">
        <v>340</v>
      </c>
      <c r="R30" s="12">
        <v>135</v>
      </c>
      <c r="S30" s="12">
        <v>168</v>
      </c>
      <c r="T30" s="12">
        <v>243</v>
      </c>
      <c r="U30" s="12">
        <v>199</v>
      </c>
      <c r="V30" s="12">
        <v>399</v>
      </c>
      <c r="W30" s="12">
        <v>165</v>
      </c>
      <c r="X30" s="12">
        <v>503</v>
      </c>
      <c r="Y30" s="12">
        <v>532</v>
      </c>
      <c r="Z30" s="12">
        <v>270</v>
      </c>
      <c r="AA30" s="12">
        <v>296</v>
      </c>
      <c r="AB30" s="12">
        <v>371</v>
      </c>
      <c r="AC30" s="12">
        <v>281</v>
      </c>
      <c r="AD30" s="12">
        <v>367</v>
      </c>
      <c r="AE30" s="12">
        <v>435</v>
      </c>
      <c r="AF30" s="12">
        <v>628</v>
      </c>
    </row>
    <row r="31" spans="1:32" ht="24.95">
      <c r="A31" s="20"/>
      <c r="B31" s="13" t="s">
        <v>1050</v>
      </c>
      <c r="C31" s="14">
        <v>0.38</v>
      </c>
      <c r="D31" s="14">
        <v>0.32</v>
      </c>
      <c r="E31" s="14">
        <v>0.28999999999999998</v>
      </c>
      <c r="F31" s="14">
        <v>0.28000000000000003</v>
      </c>
      <c r="G31" s="14">
        <v>0.47</v>
      </c>
      <c r="H31" s="14">
        <v>0.49</v>
      </c>
      <c r="I31" s="14">
        <v>0.49</v>
      </c>
      <c r="J31" s="14">
        <v>0.48</v>
      </c>
      <c r="K31" s="14">
        <v>0.25</v>
      </c>
      <c r="L31" s="14">
        <v>0.33</v>
      </c>
      <c r="M31" s="14">
        <v>0.52</v>
      </c>
      <c r="N31" s="14">
        <v>0.27</v>
      </c>
      <c r="O31" s="14">
        <v>0.36</v>
      </c>
      <c r="P31" s="14">
        <v>0.38</v>
      </c>
      <c r="Q31" s="14">
        <v>0.33</v>
      </c>
      <c r="R31" s="14">
        <v>0.27</v>
      </c>
      <c r="S31" s="14">
        <v>0.17</v>
      </c>
      <c r="T31" s="14">
        <v>0.24</v>
      </c>
      <c r="U31" s="14">
        <v>0.39</v>
      </c>
      <c r="V31" s="14">
        <v>0.39</v>
      </c>
      <c r="W31" s="14">
        <v>0.33</v>
      </c>
      <c r="X31" s="14">
        <v>0.49</v>
      </c>
      <c r="Y31" s="14">
        <v>0.53</v>
      </c>
      <c r="Z31" s="14">
        <v>0.27</v>
      </c>
      <c r="AA31" s="14">
        <v>0.28000000000000003</v>
      </c>
      <c r="AB31" s="14">
        <v>0.36</v>
      </c>
      <c r="AC31" s="14">
        <v>0.28000000000000003</v>
      </c>
      <c r="AD31" s="14">
        <v>0.36</v>
      </c>
      <c r="AE31" s="14">
        <v>0.43</v>
      </c>
      <c r="AF31" s="14">
        <v>0.62</v>
      </c>
    </row>
    <row r="32" spans="1:32">
      <c r="A32" s="20"/>
      <c r="B32" s="11" t="s">
        <v>519</v>
      </c>
      <c r="C32" s="12">
        <v>98</v>
      </c>
      <c r="D32" s="12">
        <v>2</v>
      </c>
      <c r="E32" s="12">
        <v>0</v>
      </c>
      <c r="F32" s="12">
        <v>3</v>
      </c>
      <c r="G32" s="12">
        <v>2</v>
      </c>
      <c r="H32" s="12">
        <v>12</v>
      </c>
      <c r="I32" s="12">
        <v>12</v>
      </c>
      <c r="J32" s="12">
        <v>0</v>
      </c>
      <c r="K32" s="12">
        <v>13</v>
      </c>
      <c r="L32" s="12">
        <v>12</v>
      </c>
      <c r="M32" s="12">
        <v>3</v>
      </c>
      <c r="N32" s="12">
        <v>3</v>
      </c>
      <c r="O32" s="12">
        <v>2</v>
      </c>
      <c r="P32" s="12">
        <v>0</v>
      </c>
      <c r="Q32" s="12">
        <v>1</v>
      </c>
      <c r="R32" s="12">
        <v>3</v>
      </c>
      <c r="S32" s="12">
        <v>12</v>
      </c>
      <c r="T32" s="12">
        <v>3</v>
      </c>
      <c r="U32" s="12">
        <v>2</v>
      </c>
      <c r="V32" s="12">
        <v>0</v>
      </c>
      <c r="W32" s="12">
        <v>1</v>
      </c>
      <c r="X32" s="12">
        <v>10</v>
      </c>
      <c r="Y32" s="12">
        <v>14</v>
      </c>
      <c r="Z32" s="12">
        <v>0</v>
      </c>
      <c r="AA32" s="12">
        <v>6</v>
      </c>
      <c r="AB32" s="12">
        <v>1</v>
      </c>
      <c r="AC32" s="12">
        <v>3</v>
      </c>
      <c r="AD32" s="12">
        <v>1</v>
      </c>
      <c r="AE32" s="12">
        <v>2</v>
      </c>
      <c r="AF32" s="12">
        <v>6</v>
      </c>
    </row>
    <row r="33" spans="1:32">
      <c r="A33" s="20"/>
      <c r="B33" s="13" t="s">
        <v>520</v>
      </c>
      <c r="C33" s="15" t="s">
        <v>459</v>
      </c>
      <c r="D33" s="15" t="s">
        <v>459</v>
      </c>
      <c r="E33" s="15" t="s">
        <v>459</v>
      </c>
      <c r="F33" s="15" t="s">
        <v>459</v>
      </c>
      <c r="G33" s="15" t="s">
        <v>459</v>
      </c>
      <c r="H33" s="14">
        <v>0.01</v>
      </c>
      <c r="I33" s="14">
        <v>0.01</v>
      </c>
      <c r="J33" s="15" t="s">
        <v>459</v>
      </c>
      <c r="K33" s="14">
        <v>0.01</v>
      </c>
      <c r="L33" s="14">
        <v>0.01</v>
      </c>
      <c r="M33" s="15" t="s">
        <v>459</v>
      </c>
      <c r="N33" s="15" t="s">
        <v>459</v>
      </c>
      <c r="O33" s="15" t="s">
        <v>459</v>
      </c>
      <c r="P33" s="15" t="s">
        <v>459</v>
      </c>
      <c r="Q33" s="15" t="s">
        <v>459</v>
      </c>
      <c r="R33" s="14">
        <v>0.01</v>
      </c>
      <c r="S33" s="14">
        <v>0.01</v>
      </c>
      <c r="T33" s="15" t="s">
        <v>459</v>
      </c>
      <c r="U33" s="15" t="s">
        <v>459</v>
      </c>
      <c r="V33" s="15" t="s">
        <v>459</v>
      </c>
      <c r="W33" s="15" t="s">
        <v>459</v>
      </c>
      <c r="X33" s="14">
        <v>0.01</v>
      </c>
      <c r="Y33" s="14">
        <v>0.01</v>
      </c>
      <c r="Z33" s="15" t="s">
        <v>459</v>
      </c>
      <c r="AA33" s="14">
        <v>0.01</v>
      </c>
      <c r="AB33" s="15" t="s">
        <v>459</v>
      </c>
      <c r="AC33" s="15" t="s">
        <v>459</v>
      </c>
      <c r="AD33" s="15" t="s">
        <v>459</v>
      </c>
      <c r="AE33" s="15" t="s">
        <v>459</v>
      </c>
      <c r="AF33" s="14">
        <v>0.01</v>
      </c>
    </row>
    <row r="34" spans="1:32" ht="24.95">
      <c r="A34" s="20"/>
      <c r="B34" s="11" t="s">
        <v>551</v>
      </c>
      <c r="C34" s="12">
        <v>36</v>
      </c>
      <c r="D34" s="12">
        <v>0</v>
      </c>
      <c r="E34" s="12">
        <v>0</v>
      </c>
      <c r="F34" s="12">
        <v>9</v>
      </c>
      <c r="G34" s="12">
        <v>1</v>
      </c>
      <c r="H34" s="12">
        <v>2</v>
      </c>
      <c r="I34" s="12">
        <v>2</v>
      </c>
      <c r="J34" s="12">
        <v>0</v>
      </c>
      <c r="K34" s="12">
        <v>2</v>
      </c>
      <c r="L34" s="12">
        <v>0</v>
      </c>
      <c r="M34" s="12">
        <v>1</v>
      </c>
      <c r="N34" s="12">
        <v>0</v>
      </c>
      <c r="O34" s="12">
        <v>4</v>
      </c>
      <c r="P34" s="12">
        <v>0</v>
      </c>
      <c r="Q34" s="12">
        <v>0</v>
      </c>
      <c r="R34" s="12">
        <v>2</v>
      </c>
      <c r="S34" s="12">
        <v>3</v>
      </c>
      <c r="T34" s="12">
        <v>2</v>
      </c>
      <c r="U34" s="12">
        <v>0</v>
      </c>
      <c r="V34" s="12">
        <v>0</v>
      </c>
      <c r="W34" s="12">
        <v>5</v>
      </c>
      <c r="X34" s="12">
        <v>0</v>
      </c>
      <c r="Y34" s="12">
        <v>5</v>
      </c>
      <c r="Z34" s="12">
        <v>1</v>
      </c>
      <c r="AA34" s="12">
        <v>0</v>
      </c>
      <c r="AB34" s="12">
        <v>0</v>
      </c>
      <c r="AC34" s="12">
        <v>2</v>
      </c>
      <c r="AD34" s="12">
        <v>0</v>
      </c>
      <c r="AE34" s="12">
        <v>1</v>
      </c>
      <c r="AF34" s="12">
        <v>0</v>
      </c>
    </row>
    <row r="35" spans="1:32">
      <c r="A35" s="20"/>
      <c r="B35" s="13" t="s">
        <v>522</v>
      </c>
      <c r="C35" s="15" t="s">
        <v>459</v>
      </c>
      <c r="D35" s="15" t="s">
        <v>459</v>
      </c>
      <c r="E35" s="15" t="s">
        <v>459</v>
      </c>
      <c r="F35" s="14">
        <v>0.01</v>
      </c>
      <c r="G35" s="15" t="s">
        <v>459</v>
      </c>
      <c r="H35" s="15" t="s">
        <v>459</v>
      </c>
      <c r="I35" s="15" t="s">
        <v>459</v>
      </c>
      <c r="J35" s="15" t="s">
        <v>459</v>
      </c>
      <c r="K35" s="15" t="s">
        <v>459</v>
      </c>
      <c r="L35" s="15" t="s">
        <v>459</v>
      </c>
      <c r="M35" s="15" t="s">
        <v>459</v>
      </c>
      <c r="N35" s="15" t="s">
        <v>459</v>
      </c>
      <c r="O35" s="15" t="s">
        <v>459</v>
      </c>
      <c r="P35" s="15" t="s">
        <v>459</v>
      </c>
      <c r="Q35" s="15" t="s">
        <v>459</v>
      </c>
      <c r="R35" s="15" t="s">
        <v>459</v>
      </c>
      <c r="S35" s="15" t="s">
        <v>459</v>
      </c>
      <c r="T35" s="15" t="s">
        <v>459</v>
      </c>
      <c r="U35" s="15" t="s">
        <v>459</v>
      </c>
      <c r="V35" s="15" t="s">
        <v>459</v>
      </c>
      <c r="W35" s="14">
        <v>0.01</v>
      </c>
      <c r="X35" s="15" t="s">
        <v>459</v>
      </c>
      <c r="Y35" s="14">
        <v>0.01</v>
      </c>
      <c r="Z35" s="15" t="s">
        <v>459</v>
      </c>
      <c r="AA35" s="15" t="s">
        <v>459</v>
      </c>
      <c r="AB35" s="15" t="s">
        <v>459</v>
      </c>
      <c r="AC35" s="15" t="s">
        <v>459</v>
      </c>
      <c r="AD35" s="15" t="s">
        <v>459</v>
      </c>
      <c r="AE35" s="15" t="s">
        <v>459</v>
      </c>
      <c r="AF35" s="15" t="s">
        <v>459</v>
      </c>
    </row>
    <row r="36" spans="1:32">
      <c r="A36" s="20"/>
      <c r="B36" s="11" t="s">
        <v>468</v>
      </c>
      <c r="C36" s="12">
        <v>79</v>
      </c>
      <c r="D36" s="12">
        <v>0</v>
      </c>
      <c r="E36" s="12">
        <v>2</v>
      </c>
      <c r="F36" s="12">
        <v>28</v>
      </c>
      <c r="G36" s="12">
        <v>8</v>
      </c>
      <c r="H36" s="12">
        <v>2</v>
      </c>
      <c r="I36" s="12">
        <v>3</v>
      </c>
      <c r="J36" s="12">
        <v>1</v>
      </c>
      <c r="K36" s="12">
        <v>4</v>
      </c>
      <c r="L36" s="12">
        <v>4</v>
      </c>
      <c r="M36" s="12">
        <v>0</v>
      </c>
      <c r="N36" s="12">
        <v>2</v>
      </c>
      <c r="O36" s="12">
        <v>2</v>
      </c>
      <c r="P36" s="12">
        <v>0</v>
      </c>
      <c r="Q36" s="12">
        <v>3</v>
      </c>
      <c r="R36" s="12">
        <v>3</v>
      </c>
      <c r="S36" s="12">
        <v>8</v>
      </c>
      <c r="T36" s="12">
        <v>9</v>
      </c>
      <c r="U36" s="12">
        <v>0</v>
      </c>
      <c r="V36" s="12">
        <v>4</v>
      </c>
      <c r="W36" s="12">
        <v>2</v>
      </c>
      <c r="X36" s="12">
        <v>2</v>
      </c>
      <c r="Y36" s="12">
        <v>3</v>
      </c>
      <c r="Z36" s="12">
        <v>3</v>
      </c>
      <c r="AA36" s="12">
        <v>5</v>
      </c>
      <c r="AB36" s="12">
        <v>4</v>
      </c>
      <c r="AC36" s="12">
        <v>1</v>
      </c>
      <c r="AD36" s="12">
        <v>0</v>
      </c>
      <c r="AE36" s="12">
        <v>3</v>
      </c>
      <c r="AF36" s="12">
        <v>0</v>
      </c>
    </row>
    <row r="37" spans="1:32">
      <c r="A37" s="20"/>
      <c r="B37" s="13" t="s">
        <v>469</v>
      </c>
      <c r="C37" s="15" t="s">
        <v>459</v>
      </c>
      <c r="D37" s="15" t="s">
        <v>459</v>
      </c>
      <c r="E37" s="15" t="s">
        <v>459</v>
      </c>
      <c r="F37" s="14">
        <v>0.03</v>
      </c>
      <c r="G37" s="14">
        <v>0.01</v>
      </c>
      <c r="H37" s="15" t="s">
        <v>459</v>
      </c>
      <c r="I37" s="15" t="s">
        <v>459</v>
      </c>
      <c r="J37" s="15" t="s">
        <v>459</v>
      </c>
      <c r="K37" s="15" t="s">
        <v>459</v>
      </c>
      <c r="L37" s="15" t="s">
        <v>459</v>
      </c>
      <c r="M37" s="15" t="s">
        <v>459</v>
      </c>
      <c r="N37" s="15" t="s">
        <v>459</v>
      </c>
      <c r="O37" s="15" t="s">
        <v>459</v>
      </c>
      <c r="P37" s="15" t="s">
        <v>459</v>
      </c>
      <c r="Q37" s="15" t="s">
        <v>459</v>
      </c>
      <c r="R37" s="14">
        <v>0.01</v>
      </c>
      <c r="S37" s="14">
        <v>0.01</v>
      </c>
      <c r="T37" s="14">
        <v>0.01</v>
      </c>
      <c r="U37" s="15" t="s">
        <v>459</v>
      </c>
      <c r="V37" s="15" t="s">
        <v>459</v>
      </c>
      <c r="W37" s="15" t="s">
        <v>459</v>
      </c>
      <c r="X37" s="15" t="s">
        <v>459</v>
      </c>
      <c r="Y37" s="15" t="s">
        <v>459</v>
      </c>
      <c r="Z37" s="15" t="s">
        <v>459</v>
      </c>
      <c r="AA37" s="14">
        <v>0.01</v>
      </c>
      <c r="AB37" s="15" t="s">
        <v>459</v>
      </c>
      <c r="AC37" s="15" t="s">
        <v>459</v>
      </c>
      <c r="AD37" s="15" t="s">
        <v>459</v>
      </c>
      <c r="AE37" s="15" t="s">
        <v>459</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185</v>
      </c>
      <c r="C3" s="18"/>
      <c r="D3" s="18"/>
      <c r="E3" s="18"/>
      <c r="F3" s="18"/>
      <c r="H3" s="18" t="s">
        <v>186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1053</v>
      </c>
      <c r="C12" s="12">
        <v>9634</v>
      </c>
      <c r="D12" s="12">
        <v>401</v>
      </c>
      <c r="E12" s="12">
        <v>415</v>
      </c>
      <c r="F12" s="12">
        <v>209</v>
      </c>
      <c r="G12" s="12">
        <v>495</v>
      </c>
      <c r="H12" s="12">
        <v>398</v>
      </c>
      <c r="I12" s="12">
        <v>496</v>
      </c>
      <c r="J12" s="12">
        <v>97</v>
      </c>
      <c r="K12" s="12">
        <v>149</v>
      </c>
      <c r="L12" s="12">
        <v>457</v>
      </c>
      <c r="M12" s="12">
        <v>392</v>
      </c>
      <c r="N12" s="12">
        <v>335</v>
      </c>
      <c r="O12" s="12">
        <v>504</v>
      </c>
      <c r="P12" s="12">
        <v>344</v>
      </c>
      <c r="Q12" s="12">
        <v>367</v>
      </c>
      <c r="R12" s="12">
        <v>272</v>
      </c>
      <c r="S12" s="12">
        <v>309</v>
      </c>
      <c r="T12" s="12">
        <v>342</v>
      </c>
      <c r="U12" s="12">
        <v>286</v>
      </c>
      <c r="V12" s="12">
        <v>417</v>
      </c>
      <c r="W12" s="12">
        <v>300</v>
      </c>
      <c r="X12" s="12">
        <v>528</v>
      </c>
      <c r="Y12" s="12">
        <v>252</v>
      </c>
      <c r="Z12" s="12">
        <v>148</v>
      </c>
      <c r="AA12" s="12">
        <v>511</v>
      </c>
      <c r="AB12" s="12">
        <v>189</v>
      </c>
      <c r="AC12" s="12">
        <v>492</v>
      </c>
      <c r="AD12" s="12">
        <v>338</v>
      </c>
      <c r="AE12" s="12">
        <v>499</v>
      </c>
      <c r="AF12" s="12">
        <v>684</v>
      </c>
    </row>
    <row r="13" spans="1:32">
      <c r="A13" s="20"/>
      <c r="B13" s="13" t="s">
        <v>1054</v>
      </c>
      <c r="C13" s="14">
        <v>0.37</v>
      </c>
      <c r="D13" s="14">
        <v>0.4</v>
      </c>
      <c r="E13" s="14">
        <v>0.41</v>
      </c>
      <c r="F13" s="14">
        <v>0.21</v>
      </c>
      <c r="G13" s="14">
        <v>0.49</v>
      </c>
      <c r="H13" s="14">
        <v>0.33</v>
      </c>
      <c r="I13" s="14">
        <v>0.33</v>
      </c>
      <c r="J13" s="14">
        <v>0.33</v>
      </c>
      <c r="K13" s="14">
        <v>0.15</v>
      </c>
      <c r="L13" s="14">
        <v>0.45</v>
      </c>
      <c r="M13" s="14">
        <v>0.39</v>
      </c>
      <c r="N13" s="14">
        <v>0.33</v>
      </c>
      <c r="O13" s="14">
        <v>0.5</v>
      </c>
      <c r="P13" s="14">
        <v>0.34</v>
      </c>
      <c r="Q13" s="14">
        <v>0.36</v>
      </c>
      <c r="R13" s="14">
        <v>0.55000000000000004</v>
      </c>
      <c r="S13" s="14">
        <v>0.31</v>
      </c>
      <c r="T13" s="14">
        <v>0.34</v>
      </c>
      <c r="U13" s="14">
        <v>0.56000000000000005</v>
      </c>
      <c r="V13" s="14">
        <v>0.41</v>
      </c>
      <c r="W13" s="14">
        <v>0.6</v>
      </c>
      <c r="X13" s="14">
        <v>0.52</v>
      </c>
      <c r="Y13" s="14">
        <v>0.25</v>
      </c>
      <c r="Z13" s="14">
        <v>0.15</v>
      </c>
      <c r="AA13" s="14">
        <v>0.48</v>
      </c>
      <c r="AB13" s="14">
        <v>0.18</v>
      </c>
      <c r="AC13" s="14">
        <v>0.49</v>
      </c>
      <c r="AD13" s="14">
        <v>0.33</v>
      </c>
      <c r="AE13" s="14">
        <v>0.5</v>
      </c>
      <c r="AF13" s="14">
        <v>0.67</v>
      </c>
    </row>
    <row r="14" spans="1:32">
      <c r="A14" s="20"/>
      <c r="B14" s="11" t="s">
        <v>1055</v>
      </c>
      <c r="C14" s="12">
        <v>12742</v>
      </c>
      <c r="D14" s="12">
        <v>437</v>
      </c>
      <c r="E14" s="12">
        <v>468</v>
      </c>
      <c r="F14" s="12">
        <v>467</v>
      </c>
      <c r="G14" s="12">
        <v>418</v>
      </c>
      <c r="H14" s="12">
        <v>639</v>
      </c>
      <c r="I14" s="12">
        <v>768</v>
      </c>
      <c r="J14" s="12">
        <v>129</v>
      </c>
      <c r="K14" s="12">
        <v>450</v>
      </c>
      <c r="L14" s="12">
        <v>426</v>
      </c>
      <c r="M14" s="12">
        <v>505</v>
      </c>
      <c r="N14" s="12">
        <v>550</v>
      </c>
      <c r="O14" s="12">
        <v>423</v>
      </c>
      <c r="P14" s="12">
        <v>524</v>
      </c>
      <c r="Q14" s="12">
        <v>515</v>
      </c>
      <c r="R14" s="12">
        <v>176</v>
      </c>
      <c r="S14" s="12">
        <v>471</v>
      </c>
      <c r="T14" s="12">
        <v>494</v>
      </c>
      <c r="U14" s="12">
        <v>179</v>
      </c>
      <c r="V14" s="12">
        <v>521</v>
      </c>
      <c r="W14" s="12">
        <v>147</v>
      </c>
      <c r="X14" s="12">
        <v>331</v>
      </c>
      <c r="Y14" s="12">
        <v>496</v>
      </c>
      <c r="Z14" s="12">
        <v>652</v>
      </c>
      <c r="AA14" s="12">
        <v>442</v>
      </c>
      <c r="AB14" s="12">
        <v>489</v>
      </c>
      <c r="AC14" s="12">
        <v>401</v>
      </c>
      <c r="AD14" s="12">
        <v>512</v>
      </c>
      <c r="AE14" s="12">
        <v>367</v>
      </c>
      <c r="AF14" s="12">
        <v>253</v>
      </c>
    </row>
    <row r="15" spans="1:32">
      <c r="A15" s="20"/>
      <c r="B15" s="13" t="s">
        <v>1056</v>
      </c>
      <c r="C15" s="14">
        <v>0.48</v>
      </c>
      <c r="D15" s="14">
        <v>0.44</v>
      </c>
      <c r="E15" s="14">
        <v>0.46</v>
      </c>
      <c r="F15" s="14">
        <v>0.46</v>
      </c>
      <c r="G15" s="14">
        <v>0.42</v>
      </c>
      <c r="H15" s="14">
        <v>0.53</v>
      </c>
      <c r="I15" s="14">
        <v>0.51</v>
      </c>
      <c r="J15" s="14">
        <v>0.44</v>
      </c>
      <c r="K15" s="14">
        <v>0.45</v>
      </c>
      <c r="L15" s="14">
        <v>0.42</v>
      </c>
      <c r="M15" s="14">
        <v>0.5</v>
      </c>
      <c r="N15" s="14">
        <v>0.55000000000000004</v>
      </c>
      <c r="O15" s="14">
        <v>0.42</v>
      </c>
      <c r="P15" s="14">
        <v>0.51</v>
      </c>
      <c r="Q15" s="14">
        <v>0.5</v>
      </c>
      <c r="R15" s="14">
        <v>0.35</v>
      </c>
      <c r="S15" s="14">
        <v>0.47</v>
      </c>
      <c r="T15" s="14">
        <v>0.49</v>
      </c>
      <c r="U15" s="14">
        <v>0.35</v>
      </c>
      <c r="V15" s="14">
        <v>0.51</v>
      </c>
      <c r="W15" s="14">
        <v>0.28999999999999998</v>
      </c>
      <c r="X15" s="14">
        <v>0.32</v>
      </c>
      <c r="Y15" s="14">
        <v>0.49</v>
      </c>
      <c r="Z15" s="14">
        <v>0.65</v>
      </c>
      <c r="AA15" s="14">
        <v>0.42</v>
      </c>
      <c r="AB15" s="14">
        <v>0.47</v>
      </c>
      <c r="AC15" s="14">
        <v>0.4</v>
      </c>
      <c r="AD15" s="14">
        <v>0.51</v>
      </c>
      <c r="AE15" s="14">
        <v>0.37</v>
      </c>
      <c r="AF15" s="14">
        <v>0.25</v>
      </c>
    </row>
    <row r="16" spans="1:32">
      <c r="A16" s="20"/>
      <c r="B16" s="11" t="s">
        <v>1057</v>
      </c>
      <c r="C16" s="12">
        <v>3088</v>
      </c>
      <c r="D16" s="12">
        <v>128</v>
      </c>
      <c r="E16" s="12">
        <v>102</v>
      </c>
      <c r="F16" s="12">
        <v>245</v>
      </c>
      <c r="G16" s="12">
        <v>69</v>
      </c>
      <c r="H16" s="12">
        <v>139</v>
      </c>
      <c r="I16" s="12">
        <v>193</v>
      </c>
      <c r="J16" s="12">
        <v>54</v>
      </c>
      <c r="K16" s="12">
        <v>283</v>
      </c>
      <c r="L16" s="12">
        <v>78</v>
      </c>
      <c r="M16" s="12">
        <v>81</v>
      </c>
      <c r="N16" s="12">
        <v>87</v>
      </c>
      <c r="O16" s="12">
        <v>60</v>
      </c>
      <c r="P16" s="12">
        <v>124</v>
      </c>
      <c r="Q16" s="12">
        <v>108</v>
      </c>
      <c r="R16" s="12">
        <v>35</v>
      </c>
      <c r="S16" s="12">
        <v>166</v>
      </c>
      <c r="T16" s="12">
        <v>135</v>
      </c>
      <c r="U16" s="12">
        <v>29</v>
      </c>
      <c r="V16" s="12">
        <v>72</v>
      </c>
      <c r="W16" s="12">
        <v>44</v>
      </c>
      <c r="X16" s="12">
        <v>128</v>
      </c>
      <c r="Y16" s="12">
        <v>184</v>
      </c>
      <c r="Z16" s="12">
        <v>176</v>
      </c>
      <c r="AA16" s="12">
        <v>83</v>
      </c>
      <c r="AB16" s="12">
        <v>295</v>
      </c>
      <c r="AC16" s="12">
        <v>94</v>
      </c>
      <c r="AD16" s="12">
        <v>117</v>
      </c>
      <c r="AE16" s="12">
        <v>96</v>
      </c>
      <c r="AF16" s="12">
        <v>69</v>
      </c>
    </row>
    <row r="17" spans="1:32">
      <c r="A17" s="20"/>
      <c r="B17" s="13" t="s">
        <v>1058</v>
      </c>
      <c r="C17" s="14">
        <v>0.12</v>
      </c>
      <c r="D17" s="14">
        <v>0.13</v>
      </c>
      <c r="E17" s="14">
        <v>0.1</v>
      </c>
      <c r="F17" s="14">
        <v>0.24</v>
      </c>
      <c r="G17" s="14">
        <v>7.0000000000000007E-2</v>
      </c>
      <c r="H17" s="14">
        <v>0.11</v>
      </c>
      <c r="I17" s="14">
        <v>0.13</v>
      </c>
      <c r="J17" s="14">
        <v>0.18</v>
      </c>
      <c r="K17" s="14">
        <v>0.28000000000000003</v>
      </c>
      <c r="L17" s="14">
        <v>0.08</v>
      </c>
      <c r="M17" s="14">
        <v>0.08</v>
      </c>
      <c r="N17" s="14">
        <v>0.09</v>
      </c>
      <c r="O17" s="14">
        <v>0.06</v>
      </c>
      <c r="P17" s="14">
        <v>0.12</v>
      </c>
      <c r="Q17" s="14">
        <v>0.11</v>
      </c>
      <c r="R17" s="14">
        <v>7.0000000000000007E-2</v>
      </c>
      <c r="S17" s="14">
        <v>0.16</v>
      </c>
      <c r="T17" s="14">
        <v>0.13</v>
      </c>
      <c r="U17" s="14">
        <v>0.06</v>
      </c>
      <c r="V17" s="14">
        <v>7.0000000000000007E-2</v>
      </c>
      <c r="W17" s="14">
        <v>0.09</v>
      </c>
      <c r="X17" s="14">
        <v>0.13</v>
      </c>
      <c r="Y17" s="14">
        <v>0.18</v>
      </c>
      <c r="Z17" s="14">
        <v>0.17</v>
      </c>
      <c r="AA17" s="14">
        <v>0.08</v>
      </c>
      <c r="AB17" s="14">
        <v>0.28999999999999998</v>
      </c>
      <c r="AC17" s="14">
        <v>0.09</v>
      </c>
      <c r="AD17" s="14">
        <v>0.12</v>
      </c>
      <c r="AE17" s="14">
        <v>0.09</v>
      </c>
      <c r="AF17" s="14">
        <v>7.0000000000000007E-2</v>
      </c>
    </row>
    <row r="18" spans="1:32">
      <c r="A18" s="20"/>
      <c r="B18" s="11" t="s">
        <v>1059</v>
      </c>
      <c r="C18" s="12">
        <v>564</v>
      </c>
      <c r="D18" s="12">
        <v>32</v>
      </c>
      <c r="E18" s="12">
        <v>18</v>
      </c>
      <c r="F18" s="12">
        <v>47</v>
      </c>
      <c r="G18" s="12">
        <v>7</v>
      </c>
      <c r="H18" s="12">
        <v>22</v>
      </c>
      <c r="I18" s="12">
        <v>29</v>
      </c>
      <c r="J18" s="12">
        <v>8</v>
      </c>
      <c r="K18" s="12">
        <v>99</v>
      </c>
      <c r="L18" s="12">
        <v>39</v>
      </c>
      <c r="M18" s="12">
        <v>24</v>
      </c>
      <c r="N18" s="12">
        <v>14</v>
      </c>
      <c r="O18" s="12">
        <v>9</v>
      </c>
      <c r="P18" s="12">
        <v>24</v>
      </c>
      <c r="Q18" s="12">
        <v>27</v>
      </c>
      <c r="R18" s="12">
        <v>10</v>
      </c>
      <c r="S18" s="12">
        <v>40</v>
      </c>
      <c r="T18" s="12">
        <v>22</v>
      </c>
      <c r="U18" s="12">
        <v>10</v>
      </c>
      <c r="V18" s="12">
        <v>4</v>
      </c>
      <c r="W18" s="12">
        <v>9</v>
      </c>
      <c r="X18" s="12">
        <v>25</v>
      </c>
      <c r="Y18" s="12">
        <v>59</v>
      </c>
      <c r="Z18" s="12">
        <v>23</v>
      </c>
      <c r="AA18" s="12">
        <v>8</v>
      </c>
      <c r="AB18" s="12">
        <v>44</v>
      </c>
      <c r="AC18" s="12">
        <v>20</v>
      </c>
      <c r="AD18" s="12">
        <v>29</v>
      </c>
      <c r="AE18" s="12">
        <v>32</v>
      </c>
      <c r="AF18" s="12">
        <v>10</v>
      </c>
    </row>
    <row r="19" spans="1:32">
      <c r="A19" s="20"/>
      <c r="B19" s="13" t="s">
        <v>1060</v>
      </c>
      <c r="C19" s="14">
        <v>0.02</v>
      </c>
      <c r="D19" s="14">
        <v>0.03</v>
      </c>
      <c r="E19" s="14">
        <v>0.02</v>
      </c>
      <c r="F19" s="14">
        <v>0.05</v>
      </c>
      <c r="G19" s="14">
        <v>0.01</v>
      </c>
      <c r="H19" s="14">
        <v>0.02</v>
      </c>
      <c r="I19" s="14">
        <v>0.02</v>
      </c>
      <c r="J19" s="14">
        <v>0.03</v>
      </c>
      <c r="K19" s="14">
        <v>0.1</v>
      </c>
      <c r="L19" s="14">
        <v>0.04</v>
      </c>
      <c r="M19" s="14">
        <v>0.03</v>
      </c>
      <c r="N19" s="14">
        <v>0.01</v>
      </c>
      <c r="O19" s="14">
        <v>0.01</v>
      </c>
      <c r="P19" s="14">
        <v>0.02</v>
      </c>
      <c r="Q19" s="14">
        <v>0.03</v>
      </c>
      <c r="R19" s="14">
        <v>0.02</v>
      </c>
      <c r="S19" s="14">
        <v>0.04</v>
      </c>
      <c r="T19" s="14">
        <v>0.02</v>
      </c>
      <c r="U19" s="14">
        <v>0.02</v>
      </c>
      <c r="V19" s="14">
        <v>0.01</v>
      </c>
      <c r="W19" s="14">
        <v>0.02</v>
      </c>
      <c r="X19" s="14">
        <v>0.02</v>
      </c>
      <c r="Y19" s="14">
        <v>0.06</v>
      </c>
      <c r="Z19" s="14">
        <v>0.02</v>
      </c>
      <c r="AA19" s="14">
        <v>0.01</v>
      </c>
      <c r="AB19" s="14">
        <v>0.04</v>
      </c>
      <c r="AC19" s="14">
        <v>0.02</v>
      </c>
      <c r="AD19" s="14">
        <v>0.03</v>
      </c>
      <c r="AE19" s="14">
        <v>0.03</v>
      </c>
      <c r="AF19" s="14">
        <v>0.01</v>
      </c>
    </row>
    <row r="20" spans="1:32">
      <c r="A20" s="20"/>
      <c r="B20" s="11" t="s">
        <v>468</v>
      </c>
      <c r="C20" s="12">
        <v>292</v>
      </c>
      <c r="D20" s="12">
        <v>5</v>
      </c>
      <c r="E20" s="12">
        <v>16</v>
      </c>
      <c r="F20" s="12">
        <v>38</v>
      </c>
      <c r="G20" s="12">
        <v>15</v>
      </c>
      <c r="H20" s="12">
        <v>18</v>
      </c>
      <c r="I20" s="12">
        <v>24</v>
      </c>
      <c r="J20" s="12">
        <v>6</v>
      </c>
      <c r="K20" s="12">
        <v>26</v>
      </c>
      <c r="L20" s="12">
        <v>7</v>
      </c>
      <c r="M20" s="12">
        <v>2</v>
      </c>
      <c r="N20" s="12">
        <v>18</v>
      </c>
      <c r="O20" s="12">
        <v>7</v>
      </c>
      <c r="P20" s="12">
        <v>6</v>
      </c>
      <c r="Q20" s="12">
        <v>2</v>
      </c>
      <c r="R20" s="12">
        <v>6</v>
      </c>
      <c r="S20" s="12">
        <v>23</v>
      </c>
      <c r="T20" s="12">
        <v>21</v>
      </c>
      <c r="U20" s="12">
        <v>3</v>
      </c>
      <c r="V20" s="12">
        <v>4</v>
      </c>
      <c r="W20" s="12">
        <v>2</v>
      </c>
      <c r="X20" s="12">
        <v>9</v>
      </c>
      <c r="Y20" s="12">
        <v>18</v>
      </c>
      <c r="Z20" s="12">
        <v>9</v>
      </c>
      <c r="AA20" s="12">
        <v>9</v>
      </c>
      <c r="AB20" s="12">
        <v>22</v>
      </c>
      <c r="AC20" s="12">
        <v>4</v>
      </c>
      <c r="AD20" s="12">
        <v>10</v>
      </c>
      <c r="AE20" s="12">
        <v>7</v>
      </c>
      <c r="AF20" s="12">
        <v>4</v>
      </c>
    </row>
    <row r="21" spans="1:32">
      <c r="A21" s="20"/>
      <c r="B21" s="13" t="s">
        <v>469</v>
      </c>
      <c r="C21" s="14">
        <v>0.01</v>
      </c>
      <c r="D21" s="15" t="s">
        <v>459</v>
      </c>
      <c r="E21" s="14">
        <v>0.01</v>
      </c>
      <c r="F21" s="14">
        <v>0.04</v>
      </c>
      <c r="G21" s="14">
        <v>0.01</v>
      </c>
      <c r="H21" s="14">
        <v>0.01</v>
      </c>
      <c r="I21" s="14">
        <v>0.01</v>
      </c>
      <c r="J21" s="14">
        <v>0.02</v>
      </c>
      <c r="K21" s="14">
        <v>0.02</v>
      </c>
      <c r="L21" s="14">
        <v>0.01</v>
      </c>
      <c r="M21" s="15" t="s">
        <v>459</v>
      </c>
      <c r="N21" s="14">
        <v>0.02</v>
      </c>
      <c r="O21" s="14">
        <v>0.01</v>
      </c>
      <c r="P21" s="14">
        <v>0.01</v>
      </c>
      <c r="Q21" s="15" t="s">
        <v>459</v>
      </c>
      <c r="R21" s="14">
        <v>0.01</v>
      </c>
      <c r="S21" s="14">
        <v>0.02</v>
      </c>
      <c r="T21" s="14">
        <v>0.02</v>
      </c>
      <c r="U21" s="14">
        <v>0.01</v>
      </c>
      <c r="V21" s="15" t="s">
        <v>459</v>
      </c>
      <c r="W21" s="15" t="s">
        <v>459</v>
      </c>
      <c r="X21" s="14">
        <v>0.01</v>
      </c>
      <c r="Y21" s="14">
        <v>0.02</v>
      </c>
      <c r="Z21" s="14">
        <v>0.01</v>
      </c>
      <c r="AA21" s="14">
        <v>0.01</v>
      </c>
      <c r="AB21" s="14">
        <v>0.02</v>
      </c>
      <c r="AC21" s="15" t="s">
        <v>459</v>
      </c>
      <c r="AD21" s="14">
        <v>0.01</v>
      </c>
      <c r="AE21" s="14">
        <v>0.01</v>
      </c>
      <c r="AF21" s="15" t="s">
        <v>459</v>
      </c>
    </row>
    <row r="22" spans="1:32">
      <c r="A22" s="20"/>
      <c r="B22" s="11" t="s">
        <v>1061</v>
      </c>
      <c r="C22" s="12">
        <v>22376</v>
      </c>
      <c r="D22" s="12">
        <v>838</v>
      </c>
      <c r="E22" s="12">
        <v>883</v>
      </c>
      <c r="F22" s="12">
        <v>676</v>
      </c>
      <c r="G22" s="12">
        <v>913</v>
      </c>
      <c r="H22" s="12">
        <v>1037</v>
      </c>
      <c r="I22" s="12">
        <v>1264</v>
      </c>
      <c r="J22" s="12">
        <v>226</v>
      </c>
      <c r="K22" s="12">
        <v>599</v>
      </c>
      <c r="L22" s="12">
        <v>883</v>
      </c>
      <c r="M22" s="12">
        <v>897</v>
      </c>
      <c r="N22" s="12">
        <v>885</v>
      </c>
      <c r="O22" s="12">
        <v>927</v>
      </c>
      <c r="P22" s="12">
        <v>868</v>
      </c>
      <c r="Q22" s="12">
        <v>882</v>
      </c>
      <c r="R22" s="12">
        <v>448</v>
      </c>
      <c r="S22" s="12">
        <v>780</v>
      </c>
      <c r="T22" s="12">
        <v>836</v>
      </c>
      <c r="U22" s="12">
        <v>465</v>
      </c>
      <c r="V22" s="12">
        <v>938</v>
      </c>
      <c r="W22" s="12">
        <v>447</v>
      </c>
      <c r="X22" s="12">
        <v>859</v>
      </c>
      <c r="Y22" s="12">
        <v>748</v>
      </c>
      <c r="Z22" s="12">
        <v>800</v>
      </c>
      <c r="AA22" s="12">
        <v>953</v>
      </c>
      <c r="AB22" s="12">
        <v>678</v>
      </c>
      <c r="AC22" s="12">
        <v>893</v>
      </c>
      <c r="AD22" s="12">
        <v>850</v>
      </c>
      <c r="AE22" s="12">
        <v>866</v>
      </c>
      <c r="AF22" s="12">
        <v>937</v>
      </c>
    </row>
    <row r="23" spans="1:32">
      <c r="A23" s="20"/>
      <c r="B23" s="13" t="s">
        <v>1062</v>
      </c>
      <c r="C23" s="14">
        <v>0.85</v>
      </c>
      <c r="D23" s="14">
        <v>0.84</v>
      </c>
      <c r="E23" s="14">
        <v>0.87</v>
      </c>
      <c r="F23" s="14">
        <v>0.67</v>
      </c>
      <c r="G23" s="14">
        <v>0.91</v>
      </c>
      <c r="H23" s="14">
        <v>0.86</v>
      </c>
      <c r="I23" s="14">
        <v>0.84</v>
      </c>
      <c r="J23" s="14">
        <v>0.77</v>
      </c>
      <c r="K23" s="14">
        <v>0.6</v>
      </c>
      <c r="L23" s="14">
        <v>0.87</v>
      </c>
      <c r="M23" s="14">
        <v>0.89</v>
      </c>
      <c r="N23" s="14">
        <v>0.88</v>
      </c>
      <c r="O23" s="14">
        <v>0.92</v>
      </c>
      <c r="P23" s="14">
        <v>0.85</v>
      </c>
      <c r="Q23" s="14">
        <v>0.86</v>
      </c>
      <c r="R23" s="14">
        <v>0.9</v>
      </c>
      <c r="S23" s="14">
        <v>0.78</v>
      </c>
      <c r="T23" s="14">
        <v>0.83000000000000007</v>
      </c>
      <c r="U23" s="14">
        <v>0.91</v>
      </c>
      <c r="V23" s="14">
        <v>0.92</v>
      </c>
      <c r="W23" s="14">
        <v>0.89</v>
      </c>
      <c r="X23" s="14">
        <v>0.84</v>
      </c>
      <c r="Y23" s="14">
        <v>0.74</v>
      </c>
      <c r="Z23" s="14">
        <v>0.8</v>
      </c>
      <c r="AA23" s="14">
        <v>0.9</v>
      </c>
      <c r="AB23" s="14">
        <v>0.65</v>
      </c>
      <c r="AC23" s="14">
        <v>0.89</v>
      </c>
      <c r="AD23" s="14">
        <v>0.84</v>
      </c>
      <c r="AE23" s="14">
        <v>0.87</v>
      </c>
      <c r="AF23" s="14">
        <v>0.92</v>
      </c>
    </row>
    <row r="24" spans="1:32">
      <c r="A24" s="20"/>
      <c r="B24" s="11" t="s">
        <v>1063</v>
      </c>
      <c r="C24" s="12">
        <v>3652</v>
      </c>
      <c r="D24" s="12">
        <v>160</v>
      </c>
      <c r="E24" s="12">
        <v>120</v>
      </c>
      <c r="F24" s="12">
        <v>292</v>
      </c>
      <c r="G24" s="12">
        <v>76</v>
      </c>
      <c r="H24" s="12">
        <v>161</v>
      </c>
      <c r="I24" s="12">
        <v>222</v>
      </c>
      <c r="J24" s="12">
        <v>62</v>
      </c>
      <c r="K24" s="12">
        <v>382</v>
      </c>
      <c r="L24" s="12">
        <v>117</v>
      </c>
      <c r="M24" s="12">
        <v>105</v>
      </c>
      <c r="N24" s="12">
        <v>101</v>
      </c>
      <c r="O24" s="12">
        <v>69</v>
      </c>
      <c r="P24" s="12">
        <v>148</v>
      </c>
      <c r="Q24" s="12">
        <v>135</v>
      </c>
      <c r="R24" s="12">
        <v>45</v>
      </c>
      <c r="S24" s="12">
        <v>206</v>
      </c>
      <c r="T24" s="12">
        <v>157</v>
      </c>
      <c r="U24" s="12">
        <v>39</v>
      </c>
      <c r="V24" s="12">
        <v>76</v>
      </c>
      <c r="W24" s="12">
        <v>53</v>
      </c>
      <c r="X24" s="12">
        <v>153</v>
      </c>
      <c r="Y24" s="12">
        <v>243</v>
      </c>
      <c r="Z24" s="12">
        <v>199</v>
      </c>
      <c r="AA24" s="12">
        <v>91</v>
      </c>
      <c r="AB24" s="12">
        <v>339</v>
      </c>
      <c r="AC24" s="12">
        <v>114</v>
      </c>
      <c r="AD24" s="12">
        <v>146</v>
      </c>
      <c r="AE24" s="12">
        <v>128</v>
      </c>
      <c r="AF24" s="12">
        <v>79</v>
      </c>
    </row>
    <row r="25" spans="1:32">
      <c r="A25" s="20"/>
      <c r="B25" s="13" t="s">
        <v>1064</v>
      </c>
      <c r="C25" s="14">
        <v>0.14000000000000001</v>
      </c>
      <c r="D25" s="14">
        <v>0.16</v>
      </c>
      <c r="E25" s="14">
        <v>0.12</v>
      </c>
      <c r="F25" s="14">
        <v>0.28999999999999998</v>
      </c>
      <c r="G25" s="14">
        <v>0.08</v>
      </c>
      <c r="H25" s="14">
        <v>0.13</v>
      </c>
      <c r="I25" s="14">
        <v>0.15</v>
      </c>
      <c r="J25" s="14">
        <v>0.21</v>
      </c>
      <c r="K25" s="14">
        <v>0.38</v>
      </c>
      <c r="L25" s="14">
        <v>0.12</v>
      </c>
      <c r="M25" s="14">
        <v>0.11</v>
      </c>
      <c r="N25" s="14">
        <v>0.1</v>
      </c>
      <c r="O25" s="14">
        <v>7.0000000000000007E-2</v>
      </c>
      <c r="P25" s="14">
        <v>0.14000000000000001</v>
      </c>
      <c r="Q25" s="14">
        <v>0.14000000000000001</v>
      </c>
      <c r="R25" s="14">
        <v>0.09</v>
      </c>
      <c r="S25" s="14">
        <v>0.2</v>
      </c>
      <c r="T25" s="14">
        <v>0.15</v>
      </c>
      <c r="U25" s="14">
        <v>0.08</v>
      </c>
      <c r="V25" s="14">
        <v>0.08</v>
      </c>
      <c r="W25" s="14">
        <v>0.11</v>
      </c>
      <c r="X25" s="14">
        <v>0.15</v>
      </c>
      <c r="Y25" s="14">
        <v>0.24</v>
      </c>
      <c r="Z25" s="14">
        <v>0.19</v>
      </c>
      <c r="AA25" s="14">
        <v>0.09</v>
      </c>
      <c r="AB25" s="14">
        <v>0.33</v>
      </c>
      <c r="AC25" s="14">
        <v>0.11</v>
      </c>
      <c r="AD25" s="14">
        <v>0.15</v>
      </c>
      <c r="AE25" s="14">
        <v>0.12</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187</v>
      </c>
      <c r="C3" s="18"/>
      <c r="D3" s="18"/>
      <c r="E3" s="18"/>
      <c r="F3" s="18"/>
      <c r="H3" s="18" t="s">
        <v>188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1065</v>
      </c>
      <c r="C12" s="12">
        <v>6790</v>
      </c>
      <c r="D12" s="12">
        <v>269</v>
      </c>
      <c r="E12" s="12">
        <v>195</v>
      </c>
      <c r="F12" s="12">
        <v>190</v>
      </c>
      <c r="G12" s="12">
        <v>346</v>
      </c>
      <c r="H12" s="12">
        <v>331</v>
      </c>
      <c r="I12" s="12">
        <v>398</v>
      </c>
      <c r="J12" s="12">
        <v>67</v>
      </c>
      <c r="K12" s="12">
        <v>199</v>
      </c>
      <c r="L12" s="12">
        <v>255</v>
      </c>
      <c r="M12" s="12">
        <v>281</v>
      </c>
      <c r="N12" s="12">
        <v>330</v>
      </c>
      <c r="O12" s="12">
        <v>171</v>
      </c>
      <c r="P12" s="12">
        <v>272</v>
      </c>
      <c r="Q12" s="12">
        <v>338</v>
      </c>
      <c r="R12" s="12">
        <v>117</v>
      </c>
      <c r="S12" s="12">
        <v>177</v>
      </c>
      <c r="T12" s="12">
        <v>177</v>
      </c>
      <c r="U12" s="12">
        <v>118</v>
      </c>
      <c r="V12" s="12">
        <v>241</v>
      </c>
      <c r="W12" s="12">
        <v>136</v>
      </c>
      <c r="X12" s="12">
        <v>378</v>
      </c>
      <c r="Y12" s="12">
        <v>211</v>
      </c>
      <c r="Z12" s="12">
        <v>157</v>
      </c>
      <c r="AA12" s="12">
        <v>308</v>
      </c>
      <c r="AB12" s="12">
        <v>201</v>
      </c>
      <c r="AC12" s="12">
        <v>199</v>
      </c>
      <c r="AD12" s="12">
        <v>258</v>
      </c>
      <c r="AE12" s="12">
        <v>320</v>
      </c>
      <c r="AF12" s="12">
        <v>387</v>
      </c>
    </row>
    <row r="13" spans="1:32">
      <c r="A13" s="20"/>
      <c r="B13" s="13" t="s">
        <v>1066</v>
      </c>
      <c r="C13" s="14">
        <v>0.26</v>
      </c>
      <c r="D13" s="14">
        <v>0.27</v>
      </c>
      <c r="E13" s="14">
        <v>0.19</v>
      </c>
      <c r="F13" s="14">
        <v>0.19</v>
      </c>
      <c r="G13" s="14">
        <v>0.35</v>
      </c>
      <c r="H13" s="14">
        <v>0.27</v>
      </c>
      <c r="I13" s="14">
        <v>0.26</v>
      </c>
      <c r="J13" s="14">
        <v>0.23</v>
      </c>
      <c r="K13" s="14">
        <v>0.2</v>
      </c>
      <c r="L13" s="14">
        <v>0.25</v>
      </c>
      <c r="M13" s="14">
        <v>0.28000000000000003</v>
      </c>
      <c r="N13" s="14">
        <v>0.33</v>
      </c>
      <c r="O13" s="14">
        <v>0.17</v>
      </c>
      <c r="P13" s="14">
        <v>0.27</v>
      </c>
      <c r="Q13" s="14">
        <v>0.33</v>
      </c>
      <c r="R13" s="14">
        <v>0.23</v>
      </c>
      <c r="S13" s="14">
        <v>0.17</v>
      </c>
      <c r="T13" s="14">
        <v>0.18</v>
      </c>
      <c r="U13" s="14">
        <v>0.23</v>
      </c>
      <c r="V13" s="14">
        <v>0.24</v>
      </c>
      <c r="W13" s="14">
        <v>0.27</v>
      </c>
      <c r="X13" s="14">
        <v>0.37</v>
      </c>
      <c r="Y13" s="14">
        <v>0.21</v>
      </c>
      <c r="Z13" s="14">
        <v>0.16</v>
      </c>
      <c r="AA13" s="14">
        <v>0.28999999999999998</v>
      </c>
      <c r="AB13" s="14">
        <v>0.19</v>
      </c>
      <c r="AC13" s="14">
        <v>0.2</v>
      </c>
      <c r="AD13" s="14">
        <v>0.26</v>
      </c>
      <c r="AE13" s="14">
        <v>0.32</v>
      </c>
      <c r="AF13" s="14">
        <v>0.38</v>
      </c>
    </row>
    <row r="14" spans="1:32">
      <c r="A14" s="20"/>
      <c r="B14" s="11" t="s">
        <v>1067</v>
      </c>
      <c r="C14" s="12">
        <v>6518</v>
      </c>
      <c r="D14" s="12">
        <v>161</v>
      </c>
      <c r="E14" s="12">
        <v>250</v>
      </c>
      <c r="F14" s="12">
        <v>321</v>
      </c>
      <c r="G14" s="12">
        <v>300</v>
      </c>
      <c r="H14" s="12">
        <v>257</v>
      </c>
      <c r="I14" s="12">
        <v>322</v>
      </c>
      <c r="J14" s="12">
        <v>65</v>
      </c>
      <c r="K14" s="12">
        <v>152</v>
      </c>
      <c r="L14" s="12">
        <v>286</v>
      </c>
      <c r="M14" s="12">
        <v>387</v>
      </c>
      <c r="N14" s="12">
        <v>222</v>
      </c>
      <c r="O14" s="12">
        <v>278</v>
      </c>
      <c r="P14" s="12">
        <v>176</v>
      </c>
      <c r="Q14" s="12">
        <v>272</v>
      </c>
      <c r="R14" s="12">
        <v>154</v>
      </c>
      <c r="S14" s="12">
        <v>235</v>
      </c>
      <c r="T14" s="12">
        <v>157</v>
      </c>
      <c r="U14" s="12">
        <v>110</v>
      </c>
      <c r="V14" s="12">
        <v>218</v>
      </c>
      <c r="W14" s="12">
        <v>165</v>
      </c>
      <c r="X14" s="12">
        <v>204</v>
      </c>
      <c r="Y14" s="12">
        <v>152</v>
      </c>
      <c r="Z14" s="12">
        <v>303</v>
      </c>
      <c r="AA14" s="12">
        <v>199</v>
      </c>
      <c r="AB14" s="12">
        <v>266</v>
      </c>
      <c r="AC14" s="12">
        <v>212</v>
      </c>
      <c r="AD14" s="12">
        <v>221</v>
      </c>
      <c r="AE14" s="12">
        <v>261</v>
      </c>
      <c r="AF14" s="12">
        <v>324</v>
      </c>
    </row>
    <row r="15" spans="1:32">
      <c r="A15" s="20"/>
      <c r="B15" s="13" t="s">
        <v>1068</v>
      </c>
      <c r="C15" s="14">
        <v>0.25</v>
      </c>
      <c r="D15" s="14">
        <v>0.16</v>
      </c>
      <c r="E15" s="14">
        <v>0.25</v>
      </c>
      <c r="F15" s="14">
        <v>0.32</v>
      </c>
      <c r="G15" s="14">
        <v>0.3</v>
      </c>
      <c r="H15" s="14">
        <v>0.21</v>
      </c>
      <c r="I15" s="14">
        <v>0.21</v>
      </c>
      <c r="J15" s="14">
        <v>0.22</v>
      </c>
      <c r="K15" s="14">
        <v>0.15</v>
      </c>
      <c r="L15" s="14">
        <v>0.28000000000000003</v>
      </c>
      <c r="M15" s="14">
        <v>0.39</v>
      </c>
      <c r="N15" s="14">
        <v>0.22</v>
      </c>
      <c r="O15" s="14">
        <v>0.28000000000000003</v>
      </c>
      <c r="P15" s="14">
        <v>0.17</v>
      </c>
      <c r="Q15" s="14">
        <v>0.27</v>
      </c>
      <c r="R15" s="14">
        <v>0.31</v>
      </c>
      <c r="S15" s="14">
        <v>0.23</v>
      </c>
      <c r="T15" s="14">
        <v>0.15</v>
      </c>
      <c r="U15" s="14">
        <v>0.22</v>
      </c>
      <c r="V15" s="14">
        <v>0.21</v>
      </c>
      <c r="W15" s="14">
        <v>0.33</v>
      </c>
      <c r="X15" s="14">
        <v>0.2</v>
      </c>
      <c r="Y15" s="14">
        <v>0.15</v>
      </c>
      <c r="Z15" s="14">
        <v>0.3</v>
      </c>
      <c r="AA15" s="14">
        <v>0.19</v>
      </c>
      <c r="AB15" s="14">
        <v>0.26</v>
      </c>
      <c r="AC15" s="14">
        <v>0.21</v>
      </c>
      <c r="AD15" s="14">
        <v>0.22</v>
      </c>
      <c r="AE15" s="14">
        <v>0.26</v>
      </c>
      <c r="AF15" s="14">
        <v>0.32</v>
      </c>
    </row>
    <row r="16" spans="1:32" ht="24.95">
      <c r="A16" s="20"/>
      <c r="B16" s="11" t="s">
        <v>1069</v>
      </c>
      <c r="C16" s="12">
        <v>1788</v>
      </c>
      <c r="D16" s="12">
        <v>69</v>
      </c>
      <c r="E16" s="12">
        <v>94</v>
      </c>
      <c r="F16" s="12">
        <v>50</v>
      </c>
      <c r="G16" s="12">
        <v>32</v>
      </c>
      <c r="H16" s="12">
        <v>47</v>
      </c>
      <c r="I16" s="12">
        <v>64</v>
      </c>
      <c r="J16" s="12">
        <v>17</v>
      </c>
      <c r="K16" s="12">
        <v>75</v>
      </c>
      <c r="L16" s="12">
        <v>73</v>
      </c>
      <c r="M16" s="12">
        <v>77</v>
      </c>
      <c r="N16" s="12">
        <v>42</v>
      </c>
      <c r="O16" s="12">
        <v>82</v>
      </c>
      <c r="P16" s="12">
        <v>165</v>
      </c>
      <c r="Q16" s="12">
        <v>73</v>
      </c>
      <c r="R16" s="12">
        <v>30</v>
      </c>
      <c r="S16" s="12">
        <v>78</v>
      </c>
      <c r="T16" s="12">
        <v>61</v>
      </c>
      <c r="U16" s="12">
        <v>26</v>
      </c>
      <c r="V16" s="12">
        <v>64</v>
      </c>
      <c r="W16" s="12">
        <v>36</v>
      </c>
      <c r="X16" s="12">
        <v>35</v>
      </c>
      <c r="Y16" s="12">
        <v>82</v>
      </c>
      <c r="Z16" s="12">
        <v>118</v>
      </c>
      <c r="AA16" s="12">
        <v>70</v>
      </c>
      <c r="AB16" s="12">
        <v>147</v>
      </c>
      <c r="AC16" s="12">
        <v>38</v>
      </c>
      <c r="AD16" s="12">
        <v>95</v>
      </c>
      <c r="AE16" s="12">
        <v>18</v>
      </c>
      <c r="AF16" s="12">
        <v>35</v>
      </c>
    </row>
    <row r="17" spans="1:32">
      <c r="A17" s="20"/>
      <c r="B17" s="13" t="s">
        <v>1070</v>
      </c>
      <c r="C17" s="14">
        <v>7.0000000000000007E-2</v>
      </c>
      <c r="D17" s="14">
        <v>7.0000000000000007E-2</v>
      </c>
      <c r="E17" s="14">
        <v>0.09</v>
      </c>
      <c r="F17" s="14">
        <v>0.05</v>
      </c>
      <c r="G17" s="14">
        <v>0.03</v>
      </c>
      <c r="H17" s="14">
        <v>0.04</v>
      </c>
      <c r="I17" s="14">
        <v>0.04</v>
      </c>
      <c r="J17" s="14">
        <v>0.06</v>
      </c>
      <c r="K17" s="14">
        <v>7.0000000000000007E-2</v>
      </c>
      <c r="L17" s="14">
        <v>7.0000000000000007E-2</v>
      </c>
      <c r="M17" s="14">
        <v>0.08</v>
      </c>
      <c r="N17" s="14">
        <v>0.04</v>
      </c>
      <c r="O17" s="14">
        <v>0.08</v>
      </c>
      <c r="P17" s="14">
        <v>0.16</v>
      </c>
      <c r="Q17" s="14">
        <v>7.0000000000000007E-2</v>
      </c>
      <c r="R17" s="14">
        <v>0.06</v>
      </c>
      <c r="S17" s="14">
        <v>0.08</v>
      </c>
      <c r="T17" s="14">
        <v>0.06</v>
      </c>
      <c r="U17" s="14">
        <v>0.05</v>
      </c>
      <c r="V17" s="14">
        <v>0.06</v>
      </c>
      <c r="W17" s="14">
        <v>7.0000000000000007E-2</v>
      </c>
      <c r="X17" s="14">
        <v>0.03</v>
      </c>
      <c r="Y17" s="14">
        <v>0.08</v>
      </c>
      <c r="Z17" s="14">
        <v>0.12</v>
      </c>
      <c r="AA17" s="14">
        <v>7.0000000000000007E-2</v>
      </c>
      <c r="AB17" s="14">
        <v>0.14000000000000001</v>
      </c>
      <c r="AC17" s="14">
        <v>0.04</v>
      </c>
      <c r="AD17" s="14">
        <v>0.09</v>
      </c>
      <c r="AE17" s="14">
        <v>0.02</v>
      </c>
      <c r="AF17" s="14">
        <v>0.03</v>
      </c>
    </row>
    <row r="18" spans="1:32">
      <c r="A18" s="20"/>
      <c r="B18" s="11" t="s">
        <v>1071</v>
      </c>
      <c r="C18" s="12">
        <v>5260</v>
      </c>
      <c r="D18" s="12">
        <v>266</v>
      </c>
      <c r="E18" s="12">
        <v>155</v>
      </c>
      <c r="F18" s="12">
        <v>176</v>
      </c>
      <c r="G18" s="12">
        <v>160</v>
      </c>
      <c r="H18" s="12">
        <v>305</v>
      </c>
      <c r="I18" s="12">
        <v>392</v>
      </c>
      <c r="J18" s="12">
        <v>87</v>
      </c>
      <c r="K18" s="12">
        <v>169</v>
      </c>
      <c r="L18" s="12">
        <v>151</v>
      </c>
      <c r="M18" s="12">
        <v>114</v>
      </c>
      <c r="N18" s="12">
        <v>176</v>
      </c>
      <c r="O18" s="12">
        <v>269</v>
      </c>
      <c r="P18" s="12">
        <v>149</v>
      </c>
      <c r="Q18" s="12">
        <v>108</v>
      </c>
      <c r="R18" s="12">
        <v>57</v>
      </c>
      <c r="S18" s="12">
        <v>125</v>
      </c>
      <c r="T18" s="12">
        <v>227</v>
      </c>
      <c r="U18" s="12">
        <v>118</v>
      </c>
      <c r="V18" s="12">
        <v>268</v>
      </c>
      <c r="W18" s="12">
        <v>36</v>
      </c>
      <c r="X18" s="12">
        <v>222</v>
      </c>
      <c r="Y18" s="12">
        <v>227</v>
      </c>
      <c r="Z18" s="12">
        <v>180</v>
      </c>
      <c r="AA18" s="12">
        <v>154</v>
      </c>
      <c r="AB18" s="12">
        <v>150</v>
      </c>
      <c r="AC18" s="12">
        <v>241</v>
      </c>
      <c r="AD18" s="12">
        <v>208</v>
      </c>
      <c r="AE18" s="12">
        <v>271</v>
      </c>
      <c r="AF18" s="12">
        <v>176</v>
      </c>
    </row>
    <row r="19" spans="1:32">
      <c r="A19" s="20"/>
      <c r="B19" s="13" t="s">
        <v>1072</v>
      </c>
      <c r="C19" s="14">
        <v>0.2</v>
      </c>
      <c r="D19" s="14">
        <v>0.26</v>
      </c>
      <c r="E19" s="14">
        <v>0.15</v>
      </c>
      <c r="F19" s="14">
        <v>0.17</v>
      </c>
      <c r="G19" s="14">
        <v>0.16</v>
      </c>
      <c r="H19" s="14">
        <v>0.25</v>
      </c>
      <c r="I19" s="14">
        <v>0.26</v>
      </c>
      <c r="J19" s="14">
        <v>0.28999999999999998</v>
      </c>
      <c r="K19" s="14">
        <v>0.17</v>
      </c>
      <c r="L19" s="14">
        <v>0.15</v>
      </c>
      <c r="M19" s="14">
        <v>0.11</v>
      </c>
      <c r="N19" s="14">
        <v>0.18</v>
      </c>
      <c r="O19" s="14">
        <v>0.27</v>
      </c>
      <c r="P19" s="14">
        <v>0.15</v>
      </c>
      <c r="Q19" s="14">
        <v>0.11</v>
      </c>
      <c r="R19" s="14">
        <v>0.11</v>
      </c>
      <c r="S19" s="14">
        <v>0.12</v>
      </c>
      <c r="T19" s="14">
        <v>0.22</v>
      </c>
      <c r="U19" s="14">
        <v>0.23</v>
      </c>
      <c r="V19" s="14">
        <v>0.26</v>
      </c>
      <c r="W19" s="14">
        <v>7.0000000000000007E-2</v>
      </c>
      <c r="X19" s="14">
        <v>0.22</v>
      </c>
      <c r="Y19" s="14">
        <v>0.23</v>
      </c>
      <c r="Z19" s="14">
        <v>0.18</v>
      </c>
      <c r="AA19" s="14">
        <v>0.15</v>
      </c>
      <c r="AB19" s="14">
        <v>0.14000000000000001</v>
      </c>
      <c r="AC19" s="14">
        <v>0.24</v>
      </c>
      <c r="AD19" s="14">
        <v>0.21</v>
      </c>
      <c r="AE19" s="14">
        <v>0.27</v>
      </c>
      <c r="AF19" s="14">
        <v>0.17</v>
      </c>
    </row>
    <row r="20" spans="1:32">
      <c r="A20" s="20"/>
      <c r="B20" s="11" t="s">
        <v>869</v>
      </c>
      <c r="C20" s="12">
        <v>1582</v>
      </c>
      <c r="D20" s="12">
        <v>85</v>
      </c>
      <c r="E20" s="12">
        <v>23</v>
      </c>
      <c r="F20" s="12">
        <v>38</v>
      </c>
      <c r="G20" s="12">
        <v>78</v>
      </c>
      <c r="H20" s="12">
        <v>105</v>
      </c>
      <c r="I20" s="12">
        <v>117</v>
      </c>
      <c r="J20" s="12">
        <v>12</v>
      </c>
      <c r="K20" s="12">
        <v>50</v>
      </c>
      <c r="L20" s="12">
        <v>62</v>
      </c>
      <c r="M20" s="12">
        <v>26</v>
      </c>
      <c r="N20" s="12">
        <v>53</v>
      </c>
      <c r="O20" s="12">
        <v>61</v>
      </c>
      <c r="P20" s="12">
        <v>37</v>
      </c>
      <c r="Q20" s="12">
        <v>43</v>
      </c>
      <c r="R20" s="12">
        <v>23</v>
      </c>
      <c r="S20" s="12">
        <v>81</v>
      </c>
      <c r="T20" s="12">
        <v>80</v>
      </c>
      <c r="U20" s="12">
        <v>74</v>
      </c>
      <c r="V20" s="12">
        <v>39</v>
      </c>
      <c r="W20" s="12">
        <v>41</v>
      </c>
      <c r="X20" s="12">
        <v>95</v>
      </c>
      <c r="Y20" s="12">
        <v>90</v>
      </c>
      <c r="Z20" s="12">
        <v>56</v>
      </c>
      <c r="AA20" s="12">
        <v>57</v>
      </c>
      <c r="AB20" s="12">
        <v>70</v>
      </c>
      <c r="AC20" s="12">
        <v>83</v>
      </c>
      <c r="AD20" s="12">
        <v>53</v>
      </c>
      <c r="AE20" s="12">
        <v>57</v>
      </c>
      <c r="AF20" s="12">
        <v>46</v>
      </c>
    </row>
    <row r="21" spans="1:32">
      <c r="A21" s="20"/>
      <c r="B21" s="13" t="s">
        <v>870</v>
      </c>
      <c r="C21" s="14">
        <v>0.06</v>
      </c>
      <c r="D21" s="14">
        <v>0.08</v>
      </c>
      <c r="E21" s="14">
        <v>0.02</v>
      </c>
      <c r="F21" s="14">
        <v>0.04</v>
      </c>
      <c r="G21" s="14">
        <v>0.08</v>
      </c>
      <c r="H21" s="14">
        <v>0.09</v>
      </c>
      <c r="I21" s="14">
        <v>0.08</v>
      </c>
      <c r="J21" s="14">
        <v>0.04</v>
      </c>
      <c r="K21" s="14">
        <v>0.05</v>
      </c>
      <c r="L21" s="14">
        <v>0.06</v>
      </c>
      <c r="M21" s="14">
        <v>0.03</v>
      </c>
      <c r="N21" s="14">
        <v>0.05</v>
      </c>
      <c r="O21" s="14">
        <v>0.06</v>
      </c>
      <c r="P21" s="14">
        <v>0.04</v>
      </c>
      <c r="Q21" s="14">
        <v>0.04</v>
      </c>
      <c r="R21" s="14">
        <v>0.05</v>
      </c>
      <c r="S21" s="14">
        <v>0.08</v>
      </c>
      <c r="T21" s="14">
        <v>0.08</v>
      </c>
      <c r="U21" s="14">
        <v>0.15</v>
      </c>
      <c r="V21" s="14">
        <v>0.04</v>
      </c>
      <c r="W21" s="14">
        <v>0.08</v>
      </c>
      <c r="X21" s="14">
        <v>0.09</v>
      </c>
      <c r="Y21" s="14">
        <v>0.09</v>
      </c>
      <c r="Z21" s="14">
        <v>0.06</v>
      </c>
      <c r="AA21" s="14">
        <v>0.05</v>
      </c>
      <c r="AB21" s="14">
        <v>7.0000000000000007E-2</v>
      </c>
      <c r="AC21" s="14">
        <v>0.08</v>
      </c>
      <c r="AD21" s="14">
        <v>0.05</v>
      </c>
      <c r="AE21" s="14">
        <v>0.06</v>
      </c>
      <c r="AF21" s="14">
        <v>0.05</v>
      </c>
    </row>
    <row r="22" spans="1:32" ht="24.95">
      <c r="A22" s="20"/>
      <c r="B22" s="11" t="s">
        <v>1073</v>
      </c>
      <c r="C22" s="12">
        <v>1826</v>
      </c>
      <c r="D22" s="12">
        <v>77</v>
      </c>
      <c r="E22" s="12">
        <v>101</v>
      </c>
      <c r="F22" s="12">
        <v>76</v>
      </c>
      <c r="G22" s="12">
        <v>27</v>
      </c>
      <c r="H22" s="12">
        <v>35</v>
      </c>
      <c r="I22" s="12">
        <v>55</v>
      </c>
      <c r="J22" s="12">
        <v>19</v>
      </c>
      <c r="K22" s="12">
        <v>92</v>
      </c>
      <c r="L22" s="12">
        <v>54</v>
      </c>
      <c r="M22" s="12">
        <v>54</v>
      </c>
      <c r="N22" s="12">
        <v>41</v>
      </c>
      <c r="O22" s="12">
        <v>77</v>
      </c>
      <c r="P22" s="12">
        <v>148</v>
      </c>
      <c r="Q22" s="12">
        <v>92</v>
      </c>
      <c r="R22" s="12">
        <v>38</v>
      </c>
      <c r="S22" s="12">
        <v>98</v>
      </c>
      <c r="T22" s="12">
        <v>89</v>
      </c>
      <c r="U22" s="12">
        <v>24</v>
      </c>
      <c r="V22" s="12">
        <v>98</v>
      </c>
      <c r="W22" s="12">
        <v>39</v>
      </c>
      <c r="X22" s="12">
        <v>34</v>
      </c>
      <c r="Y22" s="12">
        <v>70</v>
      </c>
      <c r="Z22" s="12">
        <v>133</v>
      </c>
      <c r="AA22" s="12">
        <v>118</v>
      </c>
      <c r="AB22" s="12">
        <v>96</v>
      </c>
      <c r="AC22" s="12">
        <v>115</v>
      </c>
      <c r="AD22" s="12">
        <v>78</v>
      </c>
      <c r="AE22" s="12">
        <v>17</v>
      </c>
      <c r="AF22" s="12">
        <v>26</v>
      </c>
    </row>
    <row r="23" spans="1:32" ht="24.95">
      <c r="A23" s="20"/>
      <c r="B23" s="13" t="s">
        <v>1074</v>
      </c>
      <c r="C23" s="14">
        <v>7.0000000000000007E-2</v>
      </c>
      <c r="D23" s="14">
        <v>0.08</v>
      </c>
      <c r="E23" s="14">
        <v>0.1</v>
      </c>
      <c r="F23" s="14">
        <v>0.08</v>
      </c>
      <c r="G23" s="14">
        <v>0.03</v>
      </c>
      <c r="H23" s="14">
        <v>0.03</v>
      </c>
      <c r="I23" s="14">
        <v>0.04</v>
      </c>
      <c r="J23" s="14">
        <v>7.0000000000000007E-2</v>
      </c>
      <c r="K23" s="14">
        <v>0.09</v>
      </c>
      <c r="L23" s="14">
        <v>0.05</v>
      </c>
      <c r="M23" s="14">
        <v>0.05</v>
      </c>
      <c r="N23" s="14">
        <v>0.04</v>
      </c>
      <c r="O23" s="14">
        <v>0.08</v>
      </c>
      <c r="P23" s="14">
        <v>0.14000000000000001</v>
      </c>
      <c r="Q23" s="14">
        <v>0.09</v>
      </c>
      <c r="R23" s="14">
        <v>0.08</v>
      </c>
      <c r="S23" s="14">
        <v>0.1</v>
      </c>
      <c r="T23" s="14">
        <v>0.09</v>
      </c>
      <c r="U23" s="14">
        <v>0.05</v>
      </c>
      <c r="V23" s="14">
        <v>0.1</v>
      </c>
      <c r="W23" s="14">
        <v>0.08</v>
      </c>
      <c r="X23" s="14">
        <v>0.03</v>
      </c>
      <c r="Y23" s="14">
        <v>7.0000000000000007E-2</v>
      </c>
      <c r="Z23" s="14">
        <v>0.13</v>
      </c>
      <c r="AA23" s="14">
        <v>0.11</v>
      </c>
      <c r="AB23" s="14">
        <v>0.09</v>
      </c>
      <c r="AC23" s="14">
        <v>0.11</v>
      </c>
      <c r="AD23" s="14">
        <v>0.08</v>
      </c>
      <c r="AE23" s="14">
        <v>0.02</v>
      </c>
      <c r="AF23" s="14">
        <v>0.03</v>
      </c>
    </row>
    <row r="24" spans="1:32">
      <c r="A24" s="20"/>
      <c r="B24" s="11" t="s">
        <v>1075</v>
      </c>
      <c r="C24" s="12">
        <v>826</v>
      </c>
      <c r="D24" s="12">
        <v>46</v>
      </c>
      <c r="E24" s="12">
        <v>31</v>
      </c>
      <c r="F24" s="12">
        <v>24</v>
      </c>
      <c r="G24" s="12">
        <v>10</v>
      </c>
      <c r="H24" s="12">
        <v>16</v>
      </c>
      <c r="I24" s="12">
        <v>20</v>
      </c>
      <c r="J24" s="12">
        <v>4</v>
      </c>
      <c r="K24" s="12">
        <v>58</v>
      </c>
      <c r="L24" s="12">
        <v>46</v>
      </c>
      <c r="M24" s="12">
        <v>36</v>
      </c>
      <c r="N24" s="12">
        <v>37</v>
      </c>
      <c r="O24" s="12">
        <v>33</v>
      </c>
      <c r="P24" s="12">
        <v>25</v>
      </c>
      <c r="Q24" s="12">
        <v>40</v>
      </c>
      <c r="R24" s="12">
        <v>40</v>
      </c>
      <c r="S24" s="12">
        <v>37</v>
      </c>
      <c r="T24" s="12">
        <v>14</v>
      </c>
      <c r="U24" s="12">
        <v>13</v>
      </c>
      <c r="V24" s="12">
        <v>31</v>
      </c>
      <c r="W24" s="12">
        <v>37</v>
      </c>
      <c r="X24" s="12">
        <v>17</v>
      </c>
      <c r="Y24" s="12">
        <v>31</v>
      </c>
      <c r="Z24" s="12">
        <v>50</v>
      </c>
      <c r="AA24" s="12">
        <v>36</v>
      </c>
      <c r="AB24" s="12">
        <v>51</v>
      </c>
      <c r="AC24" s="12">
        <v>45</v>
      </c>
      <c r="AD24" s="12">
        <v>49</v>
      </c>
      <c r="AE24" s="12">
        <v>21</v>
      </c>
      <c r="AF24" s="12">
        <v>9</v>
      </c>
    </row>
    <row r="25" spans="1:32">
      <c r="A25" s="20"/>
      <c r="B25" s="13" t="s">
        <v>1076</v>
      </c>
      <c r="C25" s="14">
        <v>0.03</v>
      </c>
      <c r="D25" s="14">
        <v>0.05</v>
      </c>
      <c r="E25" s="14">
        <v>0.03</v>
      </c>
      <c r="F25" s="14">
        <v>0.02</v>
      </c>
      <c r="G25" s="14">
        <v>0.01</v>
      </c>
      <c r="H25" s="14">
        <v>0.01</v>
      </c>
      <c r="I25" s="14">
        <v>0.01</v>
      </c>
      <c r="J25" s="14">
        <v>0.01</v>
      </c>
      <c r="K25" s="14">
        <v>0.06</v>
      </c>
      <c r="L25" s="14">
        <v>0.05</v>
      </c>
      <c r="M25" s="14">
        <v>0.04</v>
      </c>
      <c r="N25" s="14">
        <v>0.04</v>
      </c>
      <c r="O25" s="14">
        <v>0.03</v>
      </c>
      <c r="P25" s="14">
        <v>0.02</v>
      </c>
      <c r="Q25" s="14">
        <v>0.04</v>
      </c>
      <c r="R25" s="14">
        <v>0.08</v>
      </c>
      <c r="S25" s="14">
        <v>0.04</v>
      </c>
      <c r="T25" s="14">
        <v>0.01</v>
      </c>
      <c r="U25" s="14">
        <v>0.03</v>
      </c>
      <c r="V25" s="14">
        <v>0.03</v>
      </c>
      <c r="W25" s="14">
        <v>7.0000000000000007E-2</v>
      </c>
      <c r="X25" s="14">
        <v>0.02</v>
      </c>
      <c r="Y25" s="14">
        <v>0.03</v>
      </c>
      <c r="Z25" s="14">
        <v>0.05</v>
      </c>
      <c r="AA25" s="14">
        <v>0.03</v>
      </c>
      <c r="AB25" s="14">
        <v>0.05</v>
      </c>
      <c r="AC25" s="14">
        <v>0.04</v>
      </c>
      <c r="AD25" s="14">
        <v>0.05</v>
      </c>
      <c r="AE25" s="14">
        <v>0.02</v>
      </c>
      <c r="AF25" s="14">
        <v>0.01</v>
      </c>
    </row>
    <row r="26" spans="1:32">
      <c r="A26" s="20"/>
      <c r="B26" s="11" t="s">
        <v>519</v>
      </c>
      <c r="C26" s="12">
        <v>49</v>
      </c>
      <c r="D26" s="12">
        <v>0</v>
      </c>
      <c r="E26" s="12">
        <v>2</v>
      </c>
      <c r="F26" s="12">
        <v>4</v>
      </c>
      <c r="G26" s="12">
        <v>2</v>
      </c>
      <c r="H26" s="12">
        <v>3</v>
      </c>
      <c r="I26" s="12">
        <v>3</v>
      </c>
      <c r="J26" s="12">
        <v>0</v>
      </c>
      <c r="K26" s="12">
        <v>6</v>
      </c>
      <c r="L26" s="12">
        <v>0</v>
      </c>
      <c r="M26" s="12">
        <v>3</v>
      </c>
      <c r="N26" s="12">
        <v>1</v>
      </c>
      <c r="O26" s="12">
        <v>1</v>
      </c>
      <c r="P26" s="12">
        <v>0</v>
      </c>
      <c r="Q26" s="12">
        <v>2</v>
      </c>
      <c r="R26" s="12">
        <v>1</v>
      </c>
      <c r="S26" s="12">
        <v>7</v>
      </c>
      <c r="T26" s="12">
        <v>3</v>
      </c>
      <c r="U26" s="12">
        <v>1</v>
      </c>
      <c r="V26" s="12">
        <v>0</v>
      </c>
      <c r="W26" s="12">
        <v>1</v>
      </c>
      <c r="X26" s="12">
        <v>5</v>
      </c>
      <c r="Y26" s="12">
        <v>3</v>
      </c>
      <c r="Z26" s="12">
        <v>0</v>
      </c>
      <c r="AA26" s="12">
        <v>1</v>
      </c>
      <c r="AB26" s="12">
        <v>7</v>
      </c>
      <c r="AC26" s="12">
        <v>6</v>
      </c>
      <c r="AD26" s="12">
        <v>2</v>
      </c>
      <c r="AE26" s="12">
        <v>2</v>
      </c>
      <c r="AF26" s="12">
        <v>2</v>
      </c>
    </row>
    <row r="27" spans="1:32">
      <c r="A27" s="20"/>
      <c r="B27" s="13" t="s">
        <v>520</v>
      </c>
      <c r="C27" s="15" t="s">
        <v>459</v>
      </c>
      <c r="D27" s="15" t="s">
        <v>459</v>
      </c>
      <c r="E27" s="15" t="s">
        <v>459</v>
      </c>
      <c r="F27" s="15" t="s">
        <v>459</v>
      </c>
      <c r="G27" s="15" t="s">
        <v>459</v>
      </c>
      <c r="H27" s="15" t="s">
        <v>459</v>
      </c>
      <c r="I27" s="15" t="s">
        <v>459</v>
      </c>
      <c r="J27" s="15" t="s">
        <v>459</v>
      </c>
      <c r="K27" s="14">
        <v>0.01</v>
      </c>
      <c r="L27" s="15" t="s">
        <v>459</v>
      </c>
      <c r="M27" s="15" t="s">
        <v>459</v>
      </c>
      <c r="N27" s="15" t="s">
        <v>459</v>
      </c>
      <c r="O27" s="15" t="s">
        <v>459</v>
      </c>
      <c r="P27" s="15" t="s">
        <v>459</v>
      </c>
      <c r="Q27" s="15" t="s">
        <v>459</v>
      </c>
      <c r="R27" s="15" t="s">
        <v>459</v>
      </c>
      <c r="S27" s="14">
        <v>0.01</v>
      </c>
      <c r="T27" s="15" t="s">
        <v>459</v>
      </c>
      <c r="U27" s="15" t="s">
        <v>459</v>
      </c>
      <c r="V27" s="15" t="s">
        <v>459</v>
      </c>
      <c r="W27" s="15" t="s">
        <v>459</v>
      </c>
      <c r="X27" s="14">
        <v>0.01</v>
      </c>
      <c r="Y27" s="15" t="s">
        <v>459</v>
      </c>
      <c r="Z27" s="15" t="s">
        <v>459</v>
      </c>
      <c r="AA27" s="15" t="s">
        <v>459</v>
      </c>
      <c r="AB27" s="14">
        <v>0.01</v>
      </c>
      <c r="AC27" s="14">
        <v>0.01</v>
      </c>
      <c r="AD27" s="15" t="s">
        <v>459</v>
      </c>
      <c r="AE27" s="15" t="s">
        <v>459</v>
      </c>
      <c r="AF27" s="15" t="s">
        <v>459</v>
      </c>
    </row>
    <row r="28" spans="1:32">
      <c r="A28" s="20"/>
      <c r="B28" s="11" t="s">
        <v>1077</v>
      </c>
      <c r="C28" s="12">
        <v>691</v>
      </c>
      <c r="D28" s="12">
        <v>20</v>
      </c>
      <c r="E28" s="12">
        <v>69</v>
      </c>
      <c r="F28" s="12">
        <v>19</v>
      </c>
      <c r="G28" s="12">
        <v>13</v>
      </c>
      <c r="H28" s="12">
        <v>69</v>
      </c>
      <c r="I28" s="12">
        <v>75</v>
      </c>
      <c r="J28" s="12">
        <v>6</v>
      </c>
      <c r="K28" s="12">
        <v>32</v>
      </c>
      <c r="L28" s="12">
        <v>38</v>
      </c>
      <c r="M28" s="12">
        <v>7</v>
      </c>
      <c r="N28" s="12">
        <v>47</v>
      </c>
      <c r="O28" s="12">
        <v>5</v>
      </c>
      <c r="P28" s="12">
        <v>19</v>
      </c>
      <c r="Q28" s="12">
        <v>25</v>
      </c>
      <c r="R28" s="12">
        <v>4</v>
      </c>
      <c r="S28" s="12">
        <v>49</v>
      </c>
      <c r="T28" s="12">
        <v>128</v>
      </c>
      <c r="U28" s="12">
        <v>11</v>
      </c>
      <c r="V28" s="12">
        <v>36</v>
      </c>
      <c r="W28" s="12">
        <v>0</v>
      </c>
      <c r="X28" s="12">
        <v>2</v>
      </c>
      <c r="Y28" s="12">
        <v>65</v>
      </c>
      <c r="Z28" s="12">
        <v>3</v>
      </c>
      <c r="AA28" s="12">
        <v>29</v>
      </c>
      <c r="AB28" s="12">
        <v>9</v>
      </c>
      <c r="AC28" s="12">
        <v>39</v>
      </c>
      <c r="AD28" s="12">
        <v>3</v>
      </c>
      <c r="AE28" s="12">
        <v>6</v>
      </c>
      <c r="AF28" s="12">
        <v>3</v>
      </c>
    </row>
    <row r="29" spans="1:32">
      <c r="A29" s="20"/>
      <c r="B29" s="13" t="s">
        <v>1078</v>
      </c>
      <c r="C29" s="14">
        <v>0.02</v>
      </c>
      <c r="D29" s="14">
        <v>0.02</v>
      </c>
      <c r="E29" s="14">
        <v>7.0000000000000007E-2</v>
      </c>
      <c r="F29" s="14">
        <v>0.02</v>
      </c>
      <c r="G29" s="14">
        <v>0.01</v>
      </c>
      <c r="H29" s="14">
        <v>0.06</v>
      </c>
      <c r="I29" s="14">
        <v>0.05</v>
      </c>
      <c r="J29" s="14">
        <v>0.02</v>
      </c>
      <c r="K29" s="14">
        <v>0.03</v>
      </c>
      <c r="L29" s="14">
        <v>0.04</v>
      </c>
      <c r="M29" s="14">
        <v>0.01</v>
      </c>
      <c r="N29" s="14">
        <v>0.05</v>
      </c>
      <c r="O29" s="14">
        <v>0.01</v>
      </c>
      <c r="P29" s="14">
        <v>0.02</v>
      </c>
      <c r="Q29" s="14">
        <v>0.03</v>
      </c>
      <c r="R29" s="14">
        <v>0.01</v>
      </c>
      <c r="S29" s="14">
        <v>0.05</v>
      </c>
      <c r="T29" s="14">
        <v>0.13</v>
      </c>
      <c r="U29" s="14">
        <v>0.02</v>
      </c>
      <c r="V29" s="14">
        <v>0.04</v>
      </c>
      <c r="W29" s="15" t="s">
        <v>459</v>
      </c>
      <c r="X29" s="15" t="s">
        <v>459</v>
      </c>
      <c r="Y29" s="14">
        <v>7.0000000000000007E-2</v>
      </c>
      <c r="Z29" s="15" t="s">
        <v>459</v>
      </c>
      <c r="AA29" s="14">
        <v>0.03</v>
      </c>
      <c r="AB29" s="14">
        <v>0.01</v>
      </c>
      <c r="AC29" s="14">
        <v>0.04</v>
      </c>
      <c r="AD29" s="15" t="s">
        <v>459</v>
      </c>
      <c r="AE29" s="15" t="s">
        <v>459</v>
      </c>
      <c r="AF29" s="15" t="s">
        <v>459</v>
      </c>
    </row>
    <row r="30" spans="1:32" ht="24.95">
      <c r="A30" s="20"/>
      <c r="B30" s="11" t="s">
        <v>551</v>
      </c>
      <c r="C30" s="12">
        <v>446</v>
      </c>
      <c r="D30" s="12">
        <v>2</v>
      </c>
      <c r="E30" s="12">
        <v>30</v>
      </c>
      <c r="F30" s="12">
        <v>21</v>
      </c>
      <c r="G30" s="12">
        <v>4</v>
      </c>
      <c r="H30" s="12">
        <v>30</v>
      </c>
      <c r="I30" s="12">
        <v>43</v>
      </c>
      <c r="J30" s="12">
        <v>13</v>
      </c>
      <c r="K30" s="12">
        <v>70</v>
      </c>
      <c r="L30" s="12">
        <v>17</v>
      </c>
      <c r="M30" s="12">
        <v>14</v>
      </c>
      <c r="N30" s="12">
        <v>33</v>
      </c>
      <c r="O30" s="12">
        <v>3</v>
      </c>
      <c r="P30" s="12">
        <v>3</v>
      </c>
      <c r="Q30" s="12">
        <v>14</v>
      </c>
      <c r="R30" s="12">
        <v>15</v>
      </c>
      <c r="S30" s="12">
        <v>42</v>
      </c>
      <c r="T30" s="12">
        <v>37</v>
      </c>
      <c r="U30" s="12">
        <v>4</v>
      </c>
      <c r="V30" s="12">
        <v>5</v>
      </c>
      <c r="W30" s="12">
        <v>4</v>
      </c>
      <c r="X30" s="12">
        <v>22</v>
      </c>
      <c r="Y30" s="12">
        <v>63</v>
      </c>
      <c r="Z30" s="12">
        <v>2</v>
      </c>
      <c r="AA30" s="12">
        <v>6</v>
      </c>
      <c r="AB30" s="12">
        <v>10</v>
      </c>
      <c r="AC30" s="12">
        <v>15</v>
      </c>
      <c r="AD30" s="12">
        <v>19</v>
      </c>
      <c r="AE30" s="12">
        <v>9</v>
      </c>
      <c r="AF30" s="12">
        <v>4</v>
      </c>
    </row>
    <row r="31" spans="1:32">
      <c r="A31" s="20"/>
      <c r="B31" s="13" t="s">
        <v>522</v>
      </c>
      <c r="C31" s="14">
        <v>0.02</v>
      </c>
      <c r="D31" s="15" t="s">
        <v>459</v>
      </c>
      <c r="E31" s="14">
        <v>0.03</v>
      </c>
      <c r="F31" s="14">
        <v>0.02</v>
      </c>
      <c r="G31" s="15" t="s">
        <v>459</v>
      </c>
      <c r="H31" s="14">
        <v>0.02</v>
      </c>
      <c r="I31" s="14">
        <v>0.03</v>
      </c>
      <c r="J31" s="14">
        <v>0.05</v>
      </c>
      <c r="K31" s="14">
        <v>7.0000000000000007E-2</v>
      </c>
      <c r="L31" s="14">
        <v>0.02</v>
      </c>
      <c r="M31" s="14">
        <v>0.01</v>
      </c>
      <c r="N31" s="14">
        <v>0.03</v>
      </c>
      <c r="O31" s="15" t="s">
        <v>459</v>
      </c>
      <c r="P31" s="15" t="s">
        <v>459</v>
      </c>
      <c r="Q31" s="14">
        <v>0.01</v>
      </c>
      <c r="R31" s="14">
        <v>0.03</v>
      </c>
      <c r="S31" s="14">
        <v>0.04</v>
      </c>
      <c r="T31" s="14">
        <v>0.04</v>
      </c>
      <c r="U31" s="14">
        <v>0.01</v>
      </c>
      <c r="V31" s="15" t="s">
        <v>459</v>
      </c>
      <c r="W31" s="14">
        <v>0.01</v>
      </c>
      <c r="X31" s="14">
        <v>0.02</v>
      </c>
      <c r="Y31" s="14">
        <v>0.06</v>
      </c>
      <c r="Z31" s="15" t="s">
        <v>459</v>
      </c>
      <c r="AA31" s="14">
        <v>0.01</v>
      </c>
      <c r="AB31" s="14">
        <v>0.01</v>
      </c>
      <c r="AC31" s="14">
        <v>0.01</v>
      </c>
      <c r="AD31" s="14">
        <v>0.02</v>
      </c>
      <c r="AE31" s="14">
        <v>0.01</v>
      </c>
      <c r="AF31" s="15" t="s">
        <v>459</v>
      </c>
    </row>
    <row r="32" spans="1:32">
      <c r="A32" s="20"/>
      <c r="B32" s="11" t="s">
        <v>468</v>
      </c>
      <c r="C32" s="12">
        <v>543</v>
      </c>
      <c r="D32" s="12">
        <v>7</v>
      </c>
      <c r="E32" s="12">
        <v>68</v>
      </c>
      <c r="F32" s="12">
        <v>86</v>
      </c>
      <c r="G32" s="12">
        <v>33</v>
      </c>
      <c r="H32" s="12">
        <v>18</v>
      </c>
      <c r="I32" s="12">
        <v>22</v>
      </c>
      <c r="J32" s="12">
        <v>4</v>
      </c>
      <c r="K32" s="12">
        <v>103</v>
      </c>
      <c r="L32" s="12">
        <v>25</v>
      </c>
      <c r="M32" s="12">
        <v>5</v>
      </c>
      <c r="N32" s="12">
        <v>23</v>
      </c>
      <c r="O32" s="12">
        <v>24</v>
      </c>
      <c r="P32" s="12">
        <v>26</v>
      </c>
      <c r="Q32" s="12">
        <v>12</v>
      </c>
      <c r="R32" s="12">
        <v>20</v>
      </c>
      <c r="S32" s="12">
        <v>78</v>
      </c>
      <c r="T32" s="12">
        <v>40</v>
      </c>
      <c r="U32" s="12">
        <v>7</v>
      </c>
      <c r="V32" s="12">
        <v>16</v>
      </c>
      <c r="W32" s="12">
        <v>7</v>
      </c>
      <c r="X32" s="12">
        <v>6</v>
      </c>
      <c r="Y32" s="12">
        <v>14</v>
      </c>
      <c r="Z32" s="12">
        <v>5</v>
      </c>
      <c r="AA32" s="12">
        <v>74</v>
      </c>
      <c r="AB32" s="12">
        <v>32</v>
      </c>
      <c r="AC32" s="12">
        <v>18</v>
      </c>
      <c r="AD32" s="12">
        <v>21</v>
      </c>
      <c r="AE32" s="12">
        <v>20</v>
      </c>
      <c r="AF32" s="12">
        <v>10</v>
      </c>
    </row>
    <row r="33" spans="1:32">
      <c r="A33" s="20"/>
      <c r="B33" s="13" t="s">
        <v>469</v>
      </c>
      <c r="C33" s="14">
        <v>0.02</v>
      </c>
      <c r="D33" s="14">
        <v>0.01</v>
      </c>
      <c r="E33" s="14">
        <v>7.0000000000000007E-2</v>
      </c>
      <c r="F33" s="14">
        <v>0.09</v>
      </c>
      <c r="G33" s="14">
        <v>0.03</v>
      </c>
      <c r="H33" s="14">
        <v>0.02</v>
      </c>
      <c r="I33" s="14">
        <v>0.02</v>
      </c>
      <c r="J33" s="14">
        <v>0.01</v>
      </c>
      <c r="K33" s="14">
        <v>0.1</v>
      </c>
      <c r="L33" s="14">
        <v>0.03</v>
      </c>
      <c r="M33" s="15" t="s">
        <v>459</v>
      </c>
      <c r="N33" s="14">
        <v>0.02</v>
      </c>
      <c r="O33" s="14">
        <v>0.02</v>
      </c>
      <c r="P33" s="14">
        <v>0.03</v>
      </c>
      <c r="Q33" s="14">
        <v>0.01</v>
      </c>
      <c r="R33" s="14">
        <v>0.04</v>
      </c>
      <c r="S33" s="14">
        <v>0.08</v>
      </c>
      <c r="T33" s="14">
        <v>0.04</v>
      </c>
      <c r="U33" s="14">
        <v>0.01</v>
      </c>
      <c r="V33" s="14">
        <v>0.02</v>
      </c>
      <c r="W33" s="14">
        <v>0.02</v>
      </c>
      <c r="X33" s="14">
        <v>0.01</v>
      </c>
      <c r="Y33" s="14">
        <v>0.01</v>
      </c>
      <c r="Z33" s="15" t="s">
        <v>459</v>
      </c>
      <c r="AA33" s="14">
        <v>7.0000000000000007E-2</v>
      </c>
      <c r="AB33" s="14">
        <v>0.03</v>
      </c>
      <c r="AC33" s="14">
        <v>0.02</v>
      </c>
      <c r="AD33" s="14">
        <v>0.02</v>
      </c>
      <c r="AE33" s="14">
        <v>0.02</v>
      </c>
      <c r="AF33" s="14">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189</v>
      </c>
      <c r="C3" s="18"/>
      <c r="D3" s="18"/>
      <c r="E3" s="18"/>
      <c r="F3" s="18"/>
      <c r="H3" s="18" t="s">
        <v>190</v>
      </c>
      <c r="I3" s="18"/>
      <c r="J3" s="18"/>
      <c r="K3" s="18"/>
      <c r="L3" s="18"/>
    </row>
    <row r="4" spans="1:32" ht="27" customHeight="1">
      <c r="B4" s="18"/>
      <c r="C4" s="18"/>
      <c r="D4" s="18"/>
      <c r="E4" s="18"/>
      <c r="F4" s="18"/>
      <c r="H4" s="18"/>
      <c r="I4" s="18"/>
      <c r="J4" s="18"/>
      <c r="K4" s="18"/>
      <c r="L4" s="18"/>
    </row>
    <row r="5" spans="1:32" ht="24" customHeight="1">
      <c r="B5" s="18" t="s">
        <v>1079</v>
      </c>
      <c r="C5" s="18"/>
      <c r="D5" s="18"/>
      <c r="E5" s="18"/>
      <c r="F5" s="18"/>
      <c r="H5" s="18" t="s">
        <v>1080</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25330</v>
      </c>
      <c r="D10" s="10">
        <v>994</v>
      </c>
      <c r="E10" s="10">
        <v>920</v>
      </c>
      <c r="F10" s="10">
        <v>898</v>
      </c>
      <c r="G10" s="10">
        <v>967</v>
      </c>
      <c r="H10" s="10">
        <v>1168</v>
      </c>
      <c r="I10" s="10">
        <v>1445</v>
      </c>
      <c r="J10" s="10">
        <v>277</v>
      </c>
      <c r="K10" s="10">
        <v>833</v>
      </c>
      <c r="L10" s="10">
        <v>965</v>
      </c>
      <c r="M10" s="10">
        <v>983</v>
      </c>
      <c r="N10" s="10">
        <v>949</v>
      </c>
      <c r="O10" s="10">
        <v>976</v>
      </c>
      <c r="P10" s="10">
        <v>993</v>
      </c>
      <c r="Q10" s="10">
        <v>994</v>
      </c>
      <c r="R10" s="10">
        <v>465</v>
      </c>
      <c r="S10" s="10">
        <v>888</v>
      </c>
      <c r="T10" s="10">
        <v>937</v>
      </c>
      <c r="U10" s="10">
        <v>496</v>
      </c>
      <c r="V10" s="10">
        <v>995</v>
      </c>
      <c r="W10" s="10">
        <v>492</v>
      </c>
      <c r="X10" s="10">
        <v>993</v>
      </c>
      <c r="Y10" s="10">
        <v>931</v>
      </c>
      <c r="Z10" s="10">
        <v>1001</v>
      </c>
      <c r="AA10" s="10">
        <v>973</v>
      </c>
      <c r="AB10" s="10">
        <v>997</v>
      </c>
      <c r="AC10" s="10">
        <v>977</v>
      </c>
      <c r="AD10" s="10">
        <v>966</v>
      </c>
      <c r="AE10" s="10">
        <v>972</v>
      </c>
      <c r="AF10" s="10">
        <v>1006</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1065</v>
      </c>
      <c r="C12" s="12">
        <v>8666</v>
      </c>
      <c r="D12" s="12">
        <v>348</v>
      </c>
      <c r="E12" s="12">
        <v>291</v>
      </c>
      <c r="F12" s="12">
        <v>341</v>
      </c>
      <c r="G12" s="12">
        <v>386</v>
      </c>
      <c r="H12" s="12">
        <v>431</v>
      </c>
      <c r="I12" s="12">
        <v>540</v>
      </c>
      <c r="J12" s="12">
        <v>109</v>
      </c>
      <c r="K12" s="12">
        <v>215</v>
      </c>
      <c r="L12" s="12">
        <v>308</v>
      </c>
      <c r="M12" s="12">
        <v>414</v>
      </c>
      <c r="N12" s="12">
        <v>290</v>
      </c>
      <c r="O12" s="12">
        <v>357</v>
      </c>
      <c r="P12" s="12">
        <v>369</v>
      </c>
      <c r="Q12" s="12">
        <v>336</v>
      </c>
      <c r="R12" s="12">
        <v>209</v>
      </c>
      <c r="S12" s="12">
        <v>174</v>
      </c>
      <c r="T12" s="12">
        <v>352</v>
      </c>
      <c r="U12" s="12">
        <v>193</v>
      </c>
      <c r="V12" s="12">
        <v>412</v>
      </c>
      <c r="W12" s="12">
        <v>170</v>
      </c>
      <c r="X12" s="12">
        <v>310</v>
      </c>
      <c r="Y12" s="12">
        <v>345</v>
      </c>
      <c r="Z12" s="12">
        <v>243</v>
      </c>
      <c r="AA12" s="12">
        <v>323</v>
      </c>
      <c r="AB12" s="12">
        <v>290</v>
      </c>
      <c r="AC12" s="12">
        <v>322</v>
      </c>
      <c r="AD12" s="12">
        <v>392</v>
      </c>
      <c r="AE12" s="12">
        <v>374</v>
      </c>
      <c r="AF12" s="12">
        <v>362</v>
      </c>
    </row>
    <row r="13" spans="1:32">
      <c r="A13" s="20"/>
      <c r="B13" s="13" t="s">
        <v>1066</v>
      </c>
      <c r="C13" s="14">
        <v>0.47</v>
      </c>
      <c r="D13" s="14">
        <v>0.48</v>
      </c>
      <c r="E13" s="14">
        <v>0.4</v>
      </c>
      <c r="F13" s="14">
        <v>0.48</v>
      </c>
      <c r="G13" s="14">
        <v>0.62</v>
      </c>
      <c r="H13" s="14">
        <v>0.51</v>
      </c>
      <c r="I13" s="14">
        <v>0.52</v>
      </c>
      <c r="J13" s="14">
        <v>0.52</v>
      </c>
      <c r="K13" s="14">
        <v>0.34</v>
      </c>
      <c r="L13" s="14">
        <v>0.43</v>
      </c>
      <c r="M13" s="14">
        <v>0.59</v>
      </c>
      <c r="N13" s="14">
        <v>0.47</v>
      </c>
      <c r="O13" s="14">
        <v>0.44</v>
      </c>
      <c r="P13" s="14">
        <v>0.51</v>
      </c>
      <c r="Q13" s="14">
        <v>0.51</v>
      </c>
      <c r="R13" s="14">
        <v>0.6</v>
      </c>
      <c r="S13" s="14">
        <v>0.25</v>
      </c>
      <c r="T13" s="14">
        <v>0.46</v>
      </c>
      <c r="U13" s="14">
        <v>0.51</v>
      </c>
      <c r="V13" s="14">
        <v>0.55000000000000004</v>
      </c>
      <c r="W13" s="14">
        <v>0.48</v>
      </c>
      <c r="X13" s="14">
        <v>0.5</v>
      </c>
      <c r="Y13" s="14">
        <v>0.48</v>
      </c>
      <c r="Z13" s="14">
        <v>0.28999999999999998</v>
      </c>
      <c r="AA13" s="14">
        <v>0.49</v>
      </c>
      <c r="AB13" s="14">
        <v>0.36</v>
      </c>
      <c r="AC13" s="14">
        <v>0.41</v>
      </c>
      <c r="AD13" s="14">
        <v>0.55000000000000004</v>
      </c>
      <c r="AE13" s="14">
        <v>0.57000000000000006</v>
      </c>
      <c r="AF13" s="14">
        <v>0.59</v>
      </c>
    </row>
    <row r="14" spans="1:32">
      <c r="A14" s="20"/>
      <c r="B14" s="11" t="s">
        <v>1067</v>
      </c>
      <c r="C14" s="12">
        <v>10882</v>
      </c>
      <c r="D14" s="12">
        <v>401</v>
      </c>
      <c r="E14" s="12">
        <v>339</v>
      </c>
      <c r="F14" s="12">
        <v>340</v>
      </c>
      <c r="G14" s="12">
        <v>501</v>
      </c>
      <c r="H14" s="12">
        <v>542</v>
      </c>
      <c r="I14" s="12">
        <v>669</v>
      </c>
      <c r="J14" s="12">
        <v>127</v>
      </c>
      <c r="K14" s="12">
        <v>281</v>
      </c>
      <c r="L14" s="12">
        <v>427</v>
      </c>
      <c r="M14" s="12">
        <v>412</v>
      </c>
      <c r="N14" s="12">
        <v>417</v>
      </c>
      <c r="O14" s="12">
        <v>396</v>
      </c>
      <c r="P14" s="12">
        <v>447</v>
      </c>
      <c r="Q14" s="12">
        <v>451</v>
      </c>
      <c r="R14" s="12">
        <v>214</v>
      </c>
      <c r="S14" s="12">
        <v>240</v>
      </c>
      <c r="T14" s="12">
        <v>359</v>
      </c>
      <c r="U14" s="12">
        <v>224</v>
      </c>
      <c r="V14" s="12">
        <v>482</v>
      </c>
      <c r="W14" s="12">
        <v>188</v>
      </c>
      <c r="X14" s="12">
        <v>526</v>
      </c>
      <c r="Y14" s="12">
        <v>435</v>
      </c>
      <c r="Z14" s="12">
        <v>316</v>
      </c>
      <c r="AA14" s="12">
        <v>509</v>
      </c>
      <c r="AB14" s="12">
        <v>332</v>
      </c>
      <c r="AC14" s="12">
        <v>351</v>
      </c>
      <c r="AD14" s="12">
        <v>443</v>
      </c>
      <c r="AE14" s="12">
        <v>422</v>
      </c>
      <c r="AF14" s="12">
        <v>476</v>
      </c>
    </row>
    <row r="15" spans="1:32">
      <c r="A15" s="20"/>
      <c r="B15" s="13" t="s">
        <v>1068</v>
      </c>
      <c r="C15" s="14">
        <v>0.57999999999999996</v>
      </c>
      <c r="D15" s="14">
        <v>0.48</v>
      </c>
      <c r="E15" s="14">
        <v>0.51</v>
      </c>
      <c r="F15" s="14">
        <v>0.59</v>
      </c>
      <c r="G15" s="14">
        <v>0.75</v>
      </c>
      <c r="H15" s="14">
        <v>0.59</v>
      </c>
      <c r="I15" s="14">
        <v>0.6</v>
      </c>
      <c r="J15" s="14">
        <v>0.6</v>
      </c>
      <c r="K15" s="14">
        <v>0.41</v>
      </c>
      <c r="L15" s="14">
        <v>0.63</v>
      </c>
      <c r="M15" s="14">
        <v>0.69000000000000006</v>
      </c>
      <c r="N15" s="14">
        <v>0.57000000000000006</v>
      </c>
      <c r="O15" s="14">
        <v>0.57000000000000006</v>
      </c>
      <c r="P15" s="14">
        <v>0.55000000000000004</v>
      </c>
      <c r="Q15" s="14">
        <v>0.62</v>
      </c>
      <c r="R15" s="14">
        <v>0.69000000000000006</v>
      </c>
      <c r="S15" s="14">
        <v>0.37</v>
      </c>
      <c r="T15" s="14">
        <v>0.46</v>
      </c>
      <c r="U15" s="14">
        <v>0.57999999999999996</v>
      </c>
      <c r="V15" s="14">
        <v>0.62</v>
      </c>
      <c r="W15" s="14">
        <v>0.57999999999999996</v>
      </c>
      <c r="X15" s="14">
        <v>0.67</v>
      </c>
      <c r="Y15" s="14">
        <v>0.56000000000000005</v>
      </c>
      <c r="Z15" s="14">
        <v>0.45</v>
      </c>
      <c r="AA15" s="14">
        <v>0.66</v>
      </c>
      <c r="AB15" s="14">
        <v>0.45</v>
      </c>
      <c r="AC15" s="14">
        <v>0.46</v>
      </c>
      <c r="AD15" s="14">
        <v>0.59</v>
      </c>
      <c r="AE15" s="14">
        <v>0.59</v>
      </c>
      <c r="AF15" s="14">
        <v>0.70000000000000007</v>
      </c>
    </row>
    <row r="16" spans="1:32" ht="24.95">
      <c r="A16" s="20"/>
      <c r="B16" s="11" t="s">
        <v>1069</v>
      </c>
      <c r="C16" s="12">
        <v>9713</v>
      </c>
      <c r="D16" s="12">
        <v>290</v>
      </c>
      <c r="E16" s="12">
        <v>348</v>
      </c>
      <c r="F16" s="12">
        <v>342</v>
      </c>
      <c r="G16" s="12">
        <v>371</v>
      </c>
      <c r="H16" s="12">
        <v>461</v>
      </c>
      <c r="I16" s="12">
        <v>567</v>
      </c>
      <c r="J16" s="12">
        <v>106</v>
      </c>
      <c r="K16" s="12">
        <v>236</v>
      </c>
      <c r="L16" s="12">
        <v>380</v>
      </c>
      <c r="M16" s="12">
        <v>578</v>
      </c>
      <c r="N16" s="12">
        <v>306</v>
      </c>
      <c r="O16" s="12">
        <v>367</v>
      </c>
      <c r="P16" s="12">
        <v>467</v>
      </c>
      <c r="Q16" s="12">
        <v>422</v>
      </c>
      <c r="R16" s="12">
        <v>227</v>
      </c>
      <c r="S16" s="12">
        <v>203</v>
      </c>
      <c r="T16" s="12">
        <v>387</v>
      </c>
      <c r="U16" s="12">
        <v>171</v>
      </c>
      <c r="V16" s="12">
        <v>425</v>
      </c>
      <c r="W16" s="12">
        <v>197</v>
      </c>
      <c r="X16" s="12">
        <v>343</v>
      </c>
      <c r="Y16" s="12">
        <v>370</v>
      </c>
      <c r="Z16" s="12">
        <v>373</v>
      </c>
      <c r="AA16" s="12">
        <v>403</v>
      </c>
      <c r="AB16" s="12">
        <v>378</v>
      </c>
      <c r="AC16" s="12">
        <v>343</v>
      </c>
      <c r="AD16" s="12">
        <v>421</v>
      </c>
      <c r="AE16" s="12">
        <v>258</v>
      </c>
      <c r="AF16" s="12">
        <v>352</v>
      </c>
    </row>
    <row r="17" spans="1:32">
      <c r="A17" s="20"/>
      <c r="B17" s="13" t="s">
        <v>1070</v>
      </c>
      <c r="C17" s="14">
        <v>0.41</v>
      </c>
      <c r="D17" s="14">
        <v>0.31</v>
      </c>
      <c r="E17" s="14">
        <v>0.42</v>
      </c>
      <c r="F17" s="14">
        <v>0.4</v>
      </c>
      <c r="G17" s="14">
        <v>0.4</v>
      </c>
      <c r="H17" s="14">
        <v>0.41</v>
      </c>
      <c r="I17" s="14">
        <v>0.41</v>
      </c>
      <c r="J17" s="14">
        <v>0.41</v>
      </c>
      <c r="K17" s="14">
        <v>0.31</v>
      </c>
      <c r="L17" s="14">
        <v>0.43</v>
      </c>
      <c r="M17" s="14">
        <v>0.64</v>
      </c>
      <c r="N17" s="14">
        <v>0.34</v>
      </c>
      <c r="O17" s="14">
        <v>0.41</v>
      </c>
      <c r="P17" s="14">
        <v>0.56000000000000005</v>
      </c>
      <c r="Q17" s="14">
        <v>0.46</v>
      </c>
      <c r="R17" s="14">
        <v>0.52</v>
      </c>
      <c r="S17" s="14">
        <v>0.25</v>
      </c>
      <c r="T17" s="14">
        <v>0.44</v>
      </c>
      <c r="U17" s="14">
        <v>0.36</v>
      </c>
      <c r="V17" s="14">
        <v>0.46</v>
      </c>
      <c r="W17" s="14">
        <v>0.43</v>
      </c>
      <c r="X17" s="14">
        <v>0.36</v>
      </c>
      <c r="Y17" s="14">
        <v>0.44</v>
      </c>
      <c r="Z17" s="14">
        <v>0.42</v>
      </c>
      <c r="AA17" s="14">
        <v>0.45</v>
      </c>
      <c r="AB17" s="14">
        <v>0.44</v>
      </c>
      <c r="AC17" s="14">
        <v>0.37</v>
      </c>
      <c r="AD17" s="14">
        <v>0.48</v>
      </c>
      <c r="AE17" s="14">
        <v>0.27</v>
      </c>
      <c r="AF17" s="14">
        <v>0.36</v>
      </c>
    </row>
    <row r="18" spans="1:32">
      <c r="A18" s="20"/>
      <c r="B18" s="11" t="s">
        <v>1071</v>
      </c>
      <c r="C18" s="12">
        <v>10013</v>
      </c>
      <c r="D18" s="12">
        <v>337</v>
      </c>
      <c r="E18" s="12">
        <v>353</v>
      </c>
      <c r="F18" s="12">
        <v>335</v>
      </c>
      <c r="G18" s="12">
        <v>533</v>
      </c>
      <c r="H18" s="12">
        <v>487</v>
      </c>
      <c r="I18" s="12">
        <v>606</v>
      </c>
      <c r="J18" s="12">
        <v>119</v>
      </c>
      <c r="K18" s="12">
        <v>267</v>
      </c>
      <c r="L18" s="12">
        <v>359</v>
      </c>
      <c r="M18" s="12">
        <v>489</v>
      </c>
      <c r="N18" s="12">
        <v>331</v>
      </c>
      <c r="O18" s="12">
        <v>390</v>
      </c>
      <c r="P18" s="12">
        <v>459</v>
      </c>
      <c r="Q18" s="12">
        <v>395</v>
      </c>
      <c r="R18" s="12">
        <v>210</v>
      </c>
      <c r="S18" s="12">
        <v>184</v>
      </c>
      <c r="T18" s="12">
        <v>366</v>
      </c>
      <c r="U18" s="12">
        <v>211</v>
      </c>
      <c r="V18" s="12">
        <v>413</v>
      </c>
      <c r="W18" s="12">
        <v>202</v>
      </c>
      <c r="X18" s="12">
        <v>461</v>
      </c>
      <c r="Y18" s="12">
        <v>404</v>
      </c>
      <c r="Z18" s="12">
        <v>305</v>
      </c>
      <c r="AA18" s="12">
        <v>374</v>
      </c>
      <c r="AB18" s="12">
        <v>352</v>
      </c>
      <c r="AC18" s="12">
        <v>343</v>
      </c>
      <c r="AD18" s="12">
        <v>413</v>
      </c>
      <c r="AE18" s="12">
        <v>444</v>
      </c>
      <c r="AF18" s="12">
        <v>500</v>
      </c>
    </row>
    <row r="19" spans="1:32">
      <c r="A19" s="20"/>
      <c r="B19" s="13" t="s">
        <v>1072</v>
      </c>
      <c r="C19" s="14">
        <v>0.5</v>
      </c>
      <c r="D19" s="14">
        <v>0.46</v>
      </c>
      <c r="E19" s="14">
        <v>0.46</v>
      </c>
      <c r="F19" s="14">
        <v>0.46</v>
      </c>
      <c r="G19" s="14">
        <v>0.66</v>
      </c>
      <c r="H19" s="14">
        <v>0.56000000000000005</v>
      </c>
      <c r="I19" s="14">
        <v>0.57999999999999996</v>
      </c>
      <c r="J19" s="14">
        <v>0.63</v>
      </c>
      <c r="K19" s="14">
        <v>0.4</v>
      </c>
      <c r="L19" s="14">
        <v>0.44</v>
      </c>
      <c r="M19" s="14">
        <v>0.56000000000000005</v>
      </c>
      <c r="N19" s="14">
        <v>0.43</v>
      </c>
      <c r="O19" s="14">
        <v>0.55000000000000004</v>
      </c>
      <c r="P19" s="14">
        <v>0.54</v>
      </c>
      <c r="Q19" s="14">
        <v>0.45</v>
      </c>
      <c r="R19" s="14">
        <v>0.51</v>
      </c>
      <c r="S19" s="14">
        <v>0.24</v>
      </c>
      <c r="T19" s="14">
        <v>0.51</v>
      </c>
      <c r="U19" s="14">
        <v>0.56000000000000005</v>
      </c>
      <c r="V19" s="14">
        <v>0.57000000000000006</v>
      </c>
      <c r="W19" s="14">
        <v>0.44</v>
      </c>
      <c r="X19" s="14">
        <v>0.6</v>
      </c>
      <c r="Y19" s="14">
        <v>0.57000000000000006</v>
      </c>
      <c r="Z19" s="14">
        <v>0.37</v>
      </c>
      <c r="AA19" s="14">
        <v>0.46</v>
      </c>
      <c r="AB19" s="14">
        <v>0.42</v>
      </c>
      <c r="AC19" s="14">
        <v>0.47</v>
      </c>
      <c r="AD19" s="14">
        <v>0.54</v>
      </c>
      <c r="AE19" s="14">
        <v>0.63</v>
      </c>
      <c r="AF19" s="14">
        <v>0.6</v>
      </c>
    </row>
    <row r="20" spans="1:32">
      <c r="A20" s="20"/>
      <c r="B20" s="11" t="s">
        <v>869</v>
      </c>
      <c r="C20" s="12">
        <v>5906</v>
      </c>
      <c r="D20" s="12">
        <v>256</v>
      </c>
      <c r="E20" s="12">
        <v>145</v>
      </c>
      <c r="F20" s="12">
        <v>205</v>
      </c>
      <c r="G20" s="12">
        <v>337</v>
      </c>
      <c r="H20" s="12">
        <v>326</v>
      </c>
      <c r="I20" s="12">
        <v>396</v>
      </c>
      <c r="J20" s="12">
        <v>70</v>
      </c>
      <c r="K20" s="12">
        <v>108</v>
      </c>
      <c r="L20" s="12">
        <v>289</v>
      </c>
      <c r="M20" s="12">
        <v>221</v>
      </c>
      <c r="N20" s="12">
        <v>164</v>
      </c>
      <c r="O20" s="12">
        <v>251</v>
      </c>
      <c r="P20" s="12">
        <v>277</v>
      </c>
      <c r="Q20" s="12">
        <v>201</v>
      </c>
      <c r="R20" s="12">
        <v>126</v>
      </c>
      <c r="S20" s="12">
        <v>132</v>
      </c>
      <c r="T20" s="12">
        <v>241</v>
      </c>
      <c r="U20" s="12">
        <v>154</v>
      </c>
      <c r="V20" s="12">
        <v>230</v>
      </c>
      <c r="W20" s="12">
        <v>159</v>
      </c>
      <c r="X20" s="12">
        <v>255</v>
      </c>
      <c r="Y20" s="12">
        <v>300</v>
      </c>
      <c r="Z20" s="12">
        <v>144</v>
      </c>
      <c r="AA20" s="12">
        <v>260</v>
      </c>
      <c r="AB20" s="12">
        <v>199</v>
      </c>
      <c r="AC20" s="12">
        <v>215</v>
      </c>
      <c r="AD20" s="12">
        <v>301</v>
      </c>
      <c r="AE20" s="12">
        <v>230</v>
      </c>
      <c r="AF20" s="12">
        <v>325</v>
      </c>
    </row>
    <row r="21" spans="1:32">
      <c r="A21" s="20"/>
      <c r="B21" s="13" t="s">
        <v>870</v>
      </c>
      <c r="C21" s="14">
        <v>0.25</v>
      </c>
      <c r="D21" s="14">
        <v>0.28000000000000003</v>
      </c>
      <c r="E21" s="14">
        <v>0.16</v>
      </c>
      <c r="F21" s="14">
        <v>0.24</v>
      </c>
      <c r="G21" s="14">
        <v>0.38</v>
      </c>
      <c r="H21" s="14">
        <v>0.31</v>
      </c>
      <c r="I21" s="14">
        <v>0.3</v>
      </c>
      <c r="J21" s="14">
        <v>0.26</v>
      </c>
      <c r="K21" s="14">
        <v>0.14000000000000001</v>
      </c>
      <c r="L21" s="14">
        <v>0.32</v>
      </c>
      <c r="M21" s="14">
        <v>0.23</v>
      </c>
      <c r="N21" s="14">
        <v>0.18</v>
      </c>
      <c r="O21" s="14">
        <v>0.27</v>
      </c>
      <c r="P21" s="14">
        <v>0.28999999999999998</v>
      </c>
      <c r="Q21" s="14">
        <v>0.21</v>
      </c>
      <c r="R21" s="14">
        <v>0.28999999999999998</v>
      </c>
      <c r="S21" s="14">
        <v>0.16</v>
      </c>
      <c r="T21" s="14">
        <v>0.28000000000000003</v>
      </c>
      <c r="U21" s="14">
        <v>0.36</v>
      </c>
      <c r="V21" s="14">
        <v>0.24</v>
      </c>
      <c r="W21" s="14">
        <v>0.35</v>
      </c>
      <c r="X21" s="14">
        <v>0.28000000000000003</v>
      </c>
      <c r="Y21" s="14">
        <v>0.36</v>
      </c>
      <c r="Z21" s="14">
        <v>0.15</v>
      </c>
      <c r="AA21" s="14">
        <v>0.28000000000000003</v>
      </c>
      <c r="AB21" s="14">
        <v>0.21</v>
      </c>
      <c r="AC21" s="14">
        <v>0.24</v>
      </c>
      <c r="AD21" s="14">
        <v>0.33</v>
      </c>
      <c r="AE21" s="14">
        <v>0.25</v>
      </c>
      <c r="AF21" s="14">
        <v>0.34</v>
      </c>
    </row>
    <row r="22" spans="1:32" ht="24.95">
      <c r="A22" s="20"/>
      <c r="B22" s="11" t="s">
        <v>1073</v>
      </c>
      <c r="C22" s="12">
        <v>6095</v>
      </c>
      <c r="D22" s="12">
        <v>195</v>
      </c>
      <c r="E22" s="12">
        <v>252</v>
      </c>
      <c r="F22" s="12">
        <v>247</v>
      </c>
      <c r="G22" s="12">
        <v>301</v>
      </c>
      <c r="H22" s="12">
        <v>269</v>
      </c>
      <c r="I22" s="12">
        <v>319</v>
      </c>
      <c r="J22" s="12">
        <v>49</v>
      </c>
      <c r="K22" s="12">
        <v>165</v>
      </c>
      <c r="L22" s="12">
        <v>223</v>
      </c>
      <c r="M22" s="12">
        <v>330</v>
      </c>
      <c r="N22" s="12">
        <v>165</v>
      </c>
      <c r="O22" s="12">
        <v>226</v>
      </c>
      <c r="P22" s="12">
        <v>270</v>
      </c>
      <c r="Q22" s="12">
        <v>272</v>
      </c>
      <c r="R22" s="12">
        <v>149</v>
      </c>
      <c r="S22" s="12">
        <v>146</v>
      </c>
      <c r="T22" s="12">
        <v>292</v>
      </c>
      <c r="U22" s="12">
        <v>140</v>
      </c>
      <c r="V22" s="12">
        <v>336</v>
      </c>
      <c r="W22" s="12">
        <v>166</v>
      </c>
      <c r="X22" s="12">
        <v>188</v>
      </c>
      <c r="Y22" s="12">
        <v>293</v>
      </c>
      <c r="Z22" s="12">
        <v>235</v>
      </c>
      <c r="AA22" s="12">
        <v>330</v>
      </c>
      <c r="AB22" s="12">
        <v>209</v>
      </c>
      <c r="AC22" s="12">
        <v>282</v>
      </c>
      <c r="AD22" s="12">
        <v>317</v>
      </c>
      <c r="AE22" s="12">
        <v>219</v>
      </c>
      <c r="AF22" s="12">
        <v>280</v>
      </c>
    </row>
    <row r="23" spans="1:32" ht="24.95">
      <c r="A23" s="20"/>
      <c r="B23" s="13" t="s">
        <v>1074</v>
      </c>
      <c r="C23" s="14">
        <v>0.26</v>
      </c>
      <c r="D23" s="14">
        <v>0.21</v>
      </c>
      <c r="E23" s="14">
        <v>0.31</v>
      </c>
      <c r="F23" s="14">
        <v>0.3</v>
      </c>
      <c r="G23" s="14">
        <v>0.32</v>
      </c>
      <c r="H23" s="14">
        <v>0.24</v>
      </c>
      <c r="I23" s="14">
        <v>0.23</v>
      </c>
      <c r="J23" s="14">
        <v>0.19</v>
      </c>
      <c r="K23" s="14">
        <v>0.22</v>
      </c>
      <c r="L23" s="14">
        <v>0.24</v>
      </c>
      <c r="M23" s="14">
        <v>0.36</v>
      </c>
      <c r="N23" s="14">
        <v>0.18</v>
      </c>
      <c r="O23" s="14">
        <v>0.25</v>
      </c>
      <c r="P23" s="14">
        <v>0.32</v>
      </c>
      <c r="Q23" s="14">
        <v>0.3</v>
      </c>
      <c r="R23" s="14">
        <v>0.35</v>
      </c>
      <c r="S23" s="14">
        <v>0.18</v>
      </c>
      <c r="T23" s="14">
        <v>0.34</v>
      </c>
      <c r="U23" s="14">
        <v>0.3</v>
      </c>
      <c r="V23" s="14">
        <v>0.37</v>
      </c>
      <c r="W23" s="14">
        <v>0.37</v>
      </c>
      <c r="X23" s="14">
        <v>0.2</v>
      </c>
      <c r="Y23" s="14">
        <v>0.34</v>
      </c>
      <c r="Z23" s="14">
        <v>0.27</v>
      </c>
      <c r="AA23" s="14">
        <v>0.39</v>
      </c>
      <c r="AB23" s="14">
        <v>0.23</v>
      </c>
      <c r="AC23" s="14">
        <v>0.33</v>
      </c>
      <c r="AD23" s="14">
        <v>0.36</v>
      </c>
      <c r="AE23" s="14">
        <v>0.23</v>
      </c>
      <c r="AF23" s="14">
        <v>0.28999999999999998</v>
      </c>
    </row>
    <row r="24" spans="1:32">
      <c r="A24" s="20"/>
      <c r="B24" s="11" t="s">
        <v>1075</v>
      </c>
      <c r="C24" s="12">
        <v>4495</v>
      </c>
      <c r="D24" s="12">
        <v>169</v>
      </c>
      <c r="E24" s="12">
        <v>148</v>
      </c>
      <c r="F24" s="12">
        <v>187</v>
      </c>
      <c r="G24" s="12">
        <v>202</v>
      </c>
      <c r="H24" s="12">
        <v>141</v>
      </c>
      <c r="I24" s="12">
        <v>175</v>
      </c>
      <c r="J24" s="12">
        <v>34</v>
      </c>
      <c r="K24" s="12">
        <v>146</v>
      </c>
      <c r="L24" s="12">
        <v>232</v>
      </c>
      <c r="M24" s="12">
        <v>272</v>
      </c>
      <c r="N24" s="12">
        <v>156</v>
      </c>
      <c r="O24" s="12">
        <v>159</v>
      </c>
      <c r="P24" s="12">
        <v>242</v>
      </c>
      <c r="Q24" s="12">
        <v>213</v>
      </c>
      <c r="R24" s="12">
        <v>175</v>
      </c>
      <c r="S24" s="12">
        <v>104</v>
      </c>
      <c r="T24" s="12">
        <v>215</v>
      </c>
      <c r="U24" s="12">
        <v>117</v>
      </c>
      <c r="V24" s="12">
        <v>257</v>
      </c>
      <c r="W24" s="12">
        <v>141</v>
      </c>
      <c r="X24" s="12">
        <v>171</v>
      </c>
      <c r="Y24" s="12">
        <v>267</v>
      </c>
      <c r="Z24" s="12">
        <v>121</v>
      </c>
      <c r="AA24" s="12">
        <v>296</v>
      </c>
      <c r="AB24" s="12">
        <v>178</v>
      </c>
      <c r="AC24" s="12">
        <v>252</v>
      </c>
      <c r="AD24" s="12">
        <v>274</v>
      </c>
      <c r="AE24" s="12">
        <v>161</v>
      </c>
      <c r="AF24" s="12">
        <v>203</v>
      </c>
    </row>
    <row r="25" spans="1:32">
      <c r="A25" s="20"/>
      <c r="B25" s="13" t="s">
        <v>1076</v>
      </c>
      <c r="C25" s="14">
        <v>0.18</v>
      </c>
      <c r="D25" s="14">
        <v>0.18</v>
      </c>
      <c r="E25" s="14">
        <v>0.17</v>
      </c>
      <c r="F25" s="14">
        <v>0.21</v>
      </c>
      <c r="G25" s="14">
        <v>0.21</v>
      </c>
      <c r="H25" s="14">
        <v>0.12</v>
      </c>
      <c r="I25" s="14">
        <v>0.12</v>
      </c>
      <c r="J25" s="14">
        <v>0.12</v>
      </c>
      <c r="K25" s="14">
        <v>0.19</v>
      </c>
      <c r="L25" s="14">
        <v>0.25</v>
      </c>
      <c r="M25" s="14">
        <v>0.28999999999999998</v>
      </c>
      <c r="N25" s="14">
        <v>0.17</v>
      </c>
      <c r="O25" s="14">
        <v>0.17</v>
      </c>
      <c r="P25" s="14">
        <v>0.25</v>
      </c>
      <c r="Q25" s="14">
        <v>0.22</v>
      </c>
      <c r="R25" s="14">
        <v>0.41</v>
      </c>
      <c r="S25" s="14">
        <v>0.12</v>
      </c>
      <c r="T25" s="14">
        <v>0.23</v>
      </c>
      <c r="U25" s="14">
        <v>0.24</v>
      </c>
      <c r="V25" s="14">
        <v>0.27</v>
      </c>
      <c r="W25" s="14">
        <v>0.31</v>
      </c>
      <c r="X25" s="14">
        <v>0.18</v>
      </c>
      <c r="Y25" s="14">
        <v>0.3</v>
      </c>
      <c r="Z25" s="14">
        <v>0.13</v>
      </c>
      <c r="AA25" s="14">
        <v>0.32</v>
      </c>
      <c r="AB25" s="14">
        <v>0.19</v>
      </c>
      <c r="AC25" s="14">
        <v>0.27</v>
      </c>
      <c r="AD25" s="14">
        <v>0.3</v>
      </c>
      <c r="AE25" s="14">
        <v>0.17</v>
      </c>
      <c r="AF25" s="14">
        <v>0.2</v>
      </c>
    </row>
    <row r="26" spans="1:32">
      <c r="A26" s="20"/>
      <c r="B26" s="11" t="s">
        <v>519</v>
      </c>
      <c r="C26" s="12">
        <v>34</v>
      </c>
      <c r="D26" s="12">
        <v>2</v>
      </c>
      <c r="E26" s="12">
        <v>1</v>
      </c>
      <c r="F26" s="12">
        <v>0</v>
      </c>
      <c r="G26" s="12">
        <v>3</v>
      </c>
      <c r="H26" s="12">
        <v>1</v>
      </c>
      <c r="I26" s="12">
        <v>1</v>
      </c>
      <c r="J26" s="12">
        <v>0</v>
      </c>
      <c r="K26" s="12">
        <v>6</v>
      </c>
      <c r="L26" s="12">
        <v>0</v>
      </c>
      <c r="M26" s="12">
        <v>0</v>
      </c>
      <c r="N26" s="12">
        <v>0</v>
      </c>
      <c r="O26" s="12">
        <v>0</v>
      </c>
      <c r="P26" s="12">
        <v>0</v>
      </c>
      <c r="Q26" s="12">
        <v>2</v>
      </c>
      <c r="R26" s="12">
        <v>0</v>
      </c>
      <c r="S26" s="12">
        <v>4</v>
      </c>
      <c r="T26" s="12">
        <v>1</v>
      </c>
      <c r="U26" s="12">
        <v>2</v>
      </c>
      <c r="V26" s="12">
        <v>0</v>
      </c>
      <c r="W26" s="12">
        <v>1</v>
      </c>
      <c r="X26" s="12">
        <v>5</v>
      </c>
      <c r="Y26" s="12">
        <v>4</v>
      </c>
      <c r="Z26" s="12">
        <v>1</v>
      </c>
      <c r="AA26" s="12">
        <v>2</v>
      </c>
      <c r="AB26" s="12">
        <v>7</v>
      </c>
      <c r="AC26" s="12">
        <v>8</v>
      </c>
      <c r="AD26" s="12">
        <v>2</v>
      </c>
      <c r="AE26" s="12">
        <v>1</v>
      </c>
      <c r="AF26" s="12">
        <v>0</v>
      </c>
    </row>
    <row r="27" spans="1:32">
      <c r="A27" s="20"/>
      <c r="B27" s="13" t="s">
        <v>520</v>
      </c>
      <c r="C27" s="15" t="s">
        <v>459</v>
      </c>
      <c r="D27" s="15" t="s">
        <v>459</v>
      </c>
      <c r="E27" s="15" t="s">
        <v>459</v>
      </c>
      <c r="F27" s="15" t="s">
        <v>459</v>
      </c>
      <c r="G27" s="15" t="s">
        <v>459</v>
      </c>
      <c r="H27" s="15" t="s">
        <v>459</v>
      </c>
      <c r="I27" s="15" t="s">
        <v>459</v>
      </c>
      <c r="J27" s="15" t="s">
        <v>459</v>
      </c>
      <c r="K27" s="14">
        <v>0.01</v>
      </c>
      <c r="L27" s="15" t="s">
        <v>459</v>
      </c>
      <c r="M27" s="15" t="s">
        <v>459</v>
      </c>
      <c r="N27" s="15" t="s">
        <v>459</v>
      </c>
      <c r="O27" s="15" t="s">
        <v>459</v>
      </c>
      <c r="P27" s="15" t="s">
        <v>459</v>
      </c>
      <c r="Q27" s="15" t="s">
        <v>459</v>
      </c>
      <c r="R27" s="15" t="s">
        <v>459</v>
      </c>
      <c r="S27" s="14">
        <v>0.01</v>
      </c>
      <c r="T27" s="15" t="s">
        <v>459</v>
      </c>
      <c r="U27" s="15" t="s">
        <v>459</v>
      </c>
      <c r="V27" s="15" t="s">
        <v>459</v>
      </c>
      <c r="W27" s="15" t="s">
        <v>459</v>
      </c>
      <c r="X27" s="15" t="s">
        <v>459</v>
      </c>
      <c r="Y27" s="15" t="s">
        <v>459</v>
      </c>
      <c r="Z27" s="15" t="s">
        <v>459</v>
      </c>
      <c r="AA27" s="15" t="s">
        <v>459</v>
      </c>
      <c r="AB27" s="14">
        <v>0.01</v>
      </c>
      <c r="AC27" s="14">
        <v>0.01</v>
      </c>
      <c r="AD27" s="15" t="s">
        <v>459</v>
      </c>
      <c r="AE27" s="15" t="s">
        <v>459</v>
      </c>
      <c r="AF27" s="15" t="s">
        <v>459</v>
      </c>
    </row>
    <row r="28" spans="1:32">
      <c r="A28" s="20"/>
      <c r="B28" s="11" t="s">
        <v>1077</v>
      </c>
      <c r="C28" s="12">
        <v>630</v>
      </c>
      <c r="D28" s="12">
        <v>28</v>
      </c>
      <c r="E28" s="12">
        <v>53</v>
      </c>
      <c r="F28" s="12">
        <v>17</v>
      </c>
      <c r="G28" s="12">
        <v>11</v>
      </c>
      <c r="H28" s="12">
        <v>63</v>
      </c>
      <c r="I28" s="12">
        <v>70</v>
      </c>
      <c r="J28" s="12">
        <v>7</v>
      </c>
      <c r="K28" s="12">
        <v>30</v>
      </c>
      <c r="L28" s="12">
        <v>24</v>
      </c>
      <c r="M28" s="12">
        <v>6</v>
      </c>
      <c r="N28" s="12">
        <v>47</v>
      </c>
      <c r="O28" s="12">
        <v>3</v>
      </c>
      <c r="P28" s="12">
        <v>12</v>
      </c>
      <c r="Q28" s="12">
        <v>20</v>
      </c>
      <c r="R28" s="12">
        <v>12</v>
      </c>
      <c r="S28" s="12">
        <v>51</v>
      </c>
      <c r="T28" s="12">
        <v>111</v>
      </c>
      <c r="U28" s="12">
        <v>11</v>
      </c>
      <c r="V28" s="12">
        <v>29</v>
      </c>
      <c r="W28" s="12">
        <v>0</v>
      </c>
      <c r="X28" s="12">
        <v>3</v>
      </c>
      <c r="Y28" s="12">
        <v>59</v>
      </c>
      <c r="Z28" s="12">
        <v>2</v>
      </c>
      <c r="AA28" s="12">
        <v>25</v>
      </c>
      <c r="AB28" s="12">
        <v>7</v>
      </c>
      <c r="AC28" s="12">
        <v>54</v>
      </c>
      <c r="AD28" s="12">
        <v>3</v>
      </c>
      <c r="AE28" s="12">
        <v>6</v>
      </c>
      <c r="AF28" s="12">
        <v>7</v>
      </c>
    </row>
    <row r="29" spans="1:32">
      <c r="A29" s="20"/>
      <c r="B29" s="13" t="s">
        <v>1078</v>
      </c>
      <c r="C29" s="14">
        <v>0.02</v>
      </c>
      <c r="D29" s="14">
        <v>0.03</v>
      </c>
      <c r="E29" s="14">
        <v>0.06</v>
      </c>
      <c r="F29" s="14">
        <v>0.02</v>
      </c>
      <c r="G29" s="14">
        <v>0.01</v>
      </c>
      <c r="H29" s="14">
        <v>0.05</v>
      </c>
      <c r="I29" s="14">
        <v>0.05</v>
      </c>
      <c r="J29" s="14">
        <v>0.03</v>
      </c>
      <c r="K29" s="14">
        <v>0.04</v>
      </c>
      <c r="L29" s="14">
        <v>0.03</v>
      </c>
      <c r="M29" s="14">
        <v>0.01</v>
      </c>
      <c r="N29" s="14">
        <v>0.05</v>
      </c>
      <c r="O29" s="15" t="s">
        <v>459</v>
      </c>
      <c r="P29" s="14">
        <v>0.01</v>
      </c>
      <c r="Q29" s="14">
        <v>0.02</v>
      </c>
      <c r="R29" s="14">
        <v>0.03</v>
      </c>
      <c r="S29" s="14">
        <v>0.06</v>
      </c>
      <c r="T29" s="14">
        <v>0.12</v>
      </c>
      <c r="U29" s="14">
        <v>0.02</v>
      </c>
      <c r="V29" s="14">
        <v>0.03</v>
      </c>
      <c r="W29" s="15" t="s">
        <v>459</v>
      </c>
      <c r="X29" s="15" t="s">
        <v>459</v>
      </c>
      <c r="Y29" s="14">
        <v>0.06</v>
      </c>
      <c r="Z29" s="15" t="s">
        <v>459</v>
      </c>
      <c r="AA29" s="14">
        <v>0.03</v>
      </c>
      <c r="AB29" s="14">
        <v>0.01</v>
      </c>
      <c r="AC29" s="14">
        <v>0.05</v>
      </c>
      <c r="AD29" s="15" t="s">
        <v>459</v>
      </c>
      <c r="AE29" s="14">
        <v>0.01</v>
      </c>
      <c r="AF29" s="14">
        <v>0.01</v>
      </c>
    </row>
    <row r="30" spans="1:32" ht="24.95">
      <c r="A30" s="20"/>
      <c r="B30" s="11" t="s">
        <v>551</v>
      </c>
      <c r="C30" s="12">
        <v>341</v>
      </c>
      <c r="D30" s="12">
        <v>3</v>
      </c>
      <c r="E30" s="12">
        <v>4</v>
      </c>
      <c r="F30" s="12">
        <v>11</v>
      </c>
      <c r="G30" s="12">
        <v>10</v>
      </c>
      <c r="H30" s="12">
        <v>11</v>
      </c>
      <c r="I30" s="12">
        <v>12</v>
      </c>
      <c r="J30" s="12">
        <v>1</v>
      </c>
      <c r="K30" s="12">
        <v>20</v>
      </c>
      <c r="L30" s="12">
        <v>12</v>
      </c>
      <c r="M30" s="12">
        <v>3</v>
      </c>
      <c r="N30" s="12">
        <v>27</v>
      </c>
      <c r="O30" s="12">
        <v>26</v>
      </c>
      <c r="P30" s="12">
        <v>4</v>
      </c>
      <c r="Q30" s="12">
        <v>8</v>
      </c>
      <c r="R30" s="12">
        <v>6</v>
      </c>
      <c r="S30" s="12">
        <v>34</v>
      </c>
      <c r="T30" s="12">
        <v>6</v>
      </c>
      <c r="U30" s="12">
        <v>9</v>
      </c>
      <c r="V30" s="12">
        <v>3</v>
      </c>
      <c r="W30" s="12">
        <v>3</v>
      </c>
      <c r="X30" s="12">
        <v>11</v>
      </c>
      <c r="Y30" s="12">
        <v>16</v>
      </c>
      <c r="Z30" s="12">
        <v>3</v>
      </c>
      <c r="AA30" s="12">
        <v>1</v>
      </c>
      <c r="AB30" s="12">
        <v>6</v>
      </c>
      <c r="AC30" s="12">
        <v>31</v>
      </c>
      <c r="AD30" s="12">
        <v>12</v>
      </c>
      <c r="AE30" s="12">
        <v>25</v>
      </c>
      <c r="AF30" s="12">
        <v>31</v>
      </c>
    </row>
    <row r="31" spans="1:32">
      <c r="A31" s="20"/>
      <c r="B31" s="13" t="s">
        <v>522</v>
      </c>
      <c r="C31" s="14">
        <v>0.01</v>
      </c>
      <c r="D31" s="15" t="s">
        <v>459</v>
      </c>
      <c r="E31" s="15" t="s">
        <v>459</v>
      </c>
      <c r="F31" s="14">
        <v>0.01</v>
      </c>
      <c r="G31" s="14">
        <v>0.01</v>
      </c>
      <c r="H31" s="14">
        <v>0.01</v>
      </c>
      <c r="I31" s="14">
        <v>0.01</v>
      </c>
      <c r="J31" s="15" t="s">
        <v>459</v>
      </c>
      <c r="K31" s="14">
        <v>0.02</v>
      </c>
      <c r="L31" s="14">
        <v>0.01</v>
      </c>
      <c r="M31" s="15" t="s">
        <v>459</v>
      </c>
      <c r="N31" s="14">
        <v>0.03</v>
      </c>
      <c r="O31" s="14">
        <v>0.03</v>
      </c>
      <c r="P31" s="15" t="s">
        <v>459</v>
      </c>
      <c r="Q31" s="14">
        <v>0.01</v>
      </c>
      <c r="R31" s="14">
        <v>0.01</v>
      </c>
      <c r="S31" s="14">
        <v>0.04</v>
      </c>
      <c r="T31" s="14">
        <v>0.01</v>
      </c>
      <c r="U31" s="14">
        <v>0.02</v>
      </c>
      <c r="V31" s="15" t="s">
        <v>459</v>
      </c>
      <c r="W31" s="14">
        <v>0.01</v>
      </c>
      <c r="X31" s="14">
        <v>0.01</v>
      </c>
      <c r="Y31" s="14">
        <v>0.02</v>
      </c>
      <c r="Z31" s="15" t="s">
        <v>459</v>
      </c>
      <c r="AA31" s="15" t="s">
        <v>459</v>
      </c>
      <c r="AB31" s="14">
        <v>0.01</v>
      </c>
      <c r="AC31" s="14">
        <v>0.03</v>
      </c>
      <c r="AD31" s="14">
        <v>0.01</v>
      </c>
      <c r="AE31" s="14">
        <v>0.03</v>
      </c>
      <c r="AF31" s="14">
        <v>0.03</v>
      </c>
    </row>
    <row r="32" spans="1:32">
      <c r="A32" s="20"/>
      <c r="B32" s="11" t="s">
        <v>468</v>
      </c>
      <c r="C32" s="12">
        <v>336</v>
      </c>
      <c r="D32" s="12">
        <v>0</v>
      </c>
      <c r="E32" s="12">
        <v>28</v>
      </c>
      <c r="F32" s="12">
        <v>19</v>
      </c>
      <c r="G32" s="12">
        <v>6</v>
      </c>
      <c r="H32" s="12">
        <v>14</v>
      </c>
      <c r="I32" s="12">
        <v>16</v>
      </c>
      <c r="J32" s="12">
        <v>2</v>
      </c>
      <c r="K32" s="12">
        <v>52</v>
      </c>
      <c r="L32" s="12">
        <v>7</v>
      </c>
      <c r="M32" s="12">
        <v>5</v>
      </c>
      <c r="N32" s="12">
        <v>18</v>
      </c>
      <c r="O32" s="12">
        <v>27</v>
      </c>
      <c r="P32" s="12">
        <v>6</v>
      </c>
      <c r="Q32" s="12">
        <v>5</v>
      </c>
      <c r="R32" s="12">
        <v>6</v>
      </c>
      <c r="S32" s="12">
        <v>72</v>
      </c>
      <c r="T32" s="12">
        <v>22</v>
      </c>
      <c r="U32" s="12">
        <v>1</v>
      </c>
      <c r="V32" s="12">
        <v>5</v>
      </c>
      <c r="W32" s="12">
        <v>3</v>
      </c>
      <c r="X32" s="12">
        <v>3</v>
      </c>
      <c r="Y32" s="12">
        <v>4</v>
      </c>
      <c r="Z32" s="12">
        <v>4</v>
      </c>
      <c r="AA32" s="12">
        <v>13</v>
      </c>
      <c r="AB32" s="12">
        <v>14</v>
      </c>
      <c r="AC32" s="12">
        <v>7</v>
      </c>
      <c r="AD32" s="12">
        <v>8</v>
      </c>
      <c r="AE32" s="12">
        <v>40</v>
      </c>
      <c r="AF32" s="12">
        <v>5</v>
      </c>
    </row>
    <row r="33" spans="1:32">
      <c r="A33" s="20"/>
      <c r="B33" s="13" t="s">
        <v>469</v>
      </c>
      <c r="C33" s="14">
        <v>0.01</v>
      </c>
      <c r="D33" s="15" t="s">
        <v>459</v>
      </c>
      <c r="E33" s="14">
        <v>0.03</v>
      </c>
      <c r="F33" s="14">
        <v>0.02</v>
      </c>
      <c r="G33" s="14">
        <v>0.01</v>
      </c>
      <c r="H33" s="14">
        <v>0.01</v>
      </c>
      <c r="I33" s="14">
        <v>0.01</v>
      </c>
      <c r="J33" s="14">
        <v>0.01</v>
      </c>
      <c r="K33" s="14">
        <v>0.06</v>
      </c>
      <c r="L33" s="14">
        <v>0.01</v>
      </c>
      <c r="M33" s="15" t="s">
        <v>459</v>
      </c>
      <c r="N33" s="14">
        <v>0.02</v>
      </c>
      <c r="O33" s="14">
        <v>0.03</v>
      </c>
      <c r="P33" s="14">
        <v>0.01</v>
      </c>
      <c r="Q33" s="14">
        <v>0.01</v>
      </c>
      <c r="R33" s="14">
        <v>0.01</v>
      </c>
      <c r="S33" s="14">
        <v>0.08</v>
      </c>
      <c r="T33" s="14">
        <v>0.02</v>
      </c>
      <c r="U33" s="15" t="s">
        <v>459</v>
      </c>
      <c r="V33" s="14">
        <v>0.01</v>
      </c>
      <c r="W33" s="14">
        <v>0.01</v>
      </c>
      <c r="X33" s="15" t="s">
        <v>459</v>
      </c>
      <c r="Y33" s="15" t="s">
        <v>459</v>
      </c>
      <c r="Z33" s="15" t="s">
        <v>459</v>
      </c>
      <c r="AA33" s="14">
        <v>0.01</v>
      </c>
      <c r="AB33" s="14">
        <v>0.01</v>
      </c>
      <c r="AC33" s="14">
        <v>0.01</v>
      </c>
      <c r="AD33" s="14">
        <v>0.01</v>
      </c>
      <c r="AE33" s="14">
        <v>0.04</v>
      </c>
      <c r="AF33" s="15" t="s">
        <v>459</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191</v>
      </c>
      <c r="C3" s="18"/>
      <c r="D3" s="18"/>
      <c r="E3" s="18"/>
      <c r="F3" s="18"/>
      <c r="H3" s="18" t="s">
        <v>192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1065</v>
      </c>
      <c r="C12" s="12">
        <v>15456</v>
      </c>
      <c r="D12" s="12">
        <v>617</v>
      </c>
      <c r="E12" s="12">
        <v>486</v>
      </c>
      <c r="F12" s="12">
        <v>531</v>
      </c>
      <c r="G12" s="12">
        <v>732</v>
      </c>
      <c r="H12" s="12">
        <v>762</v>
      </c>
      <c r="I12" s="12">
        <v>938</v>
      </c>
      <c r="J12" s="12">
        <v>176</v>
      </c>
      <c r="K12" s="12">
        <v>414</v>
      </c>
      <c r="L12" s="12">
        <v>563</v>
      </c>
      <c r="M12" s="12">
        <v>695</v>
      </c>
      <c r="N12" s="12">
        <v>620</v>
      </c>
      <c r="O12" s="12">
        <v>528</v>
      </c>
      <c r="P12" s="12">
        <v>641</v>
      </c>
      <c r="Q12" s="12">
        <v>673</v>
      </c>
      <c r="R12" s="12">
        <v>326</v>
      </c>
      <c r="S12" s="12">
        <v>352</v>
      </c>
      <c r="T12" s="12">
        <v>529</v>
      </c>
      <c r="U12" s="12">
        <v>311</v>
      </c>
      <c r="V12" s="12">
        <v>653</v>
      </c>
      <c r="W12" s="12">
        <v>306</v>
      </c>
      <c r="X12" s="12">
        <v>687</v>
      </c>
      <c r="Y12" s="12">
        <v>557</v>
      </c>
      <c r="Z12" s="12">
        <v>400</v>
      </c>
      <c r="AA12" s="12">
        <v>632</v>
      </c>
      <c r="AB12" s="12">
        <v>491</v>
      </c>
      <c r="AC12" s="12">
        <v>521</v>
      </c>
      <c r="AD12" s="12">
        <v>649</v>
      </c>
      <c r="AE12" s="12">
        <v>694</v>
      </c>
      <c r="AF12" s="12">
        <v>749</v>
      </c>
    </row>
    <row r="13" spans="1:32">
      <c r="A13" s="20"/>
      <c r="B13" s="13" t="s">
        <v>1066</v>
      </c>
      <c r="C13" s="14">
        <v>0.59</v>
      </c>
      <c r="D13" s="14">
        <v>0.62</v>
      </c>
      <c r="E13" s="14">
        <v>0.48</v>
      </c>
      <c r="F13" s="14">
        <v>0.53</v>
      </c>
      <c r="G13" s="14">
        <v>0.73</v>
      </c>
      <c r="H13" s="14">
        <v>0.63</v>
      </c>
      <c r="I13" s="14">
        <v>0.62</v>
      </c>
      <c r="J13" s="14">
        <v>0.6</v>
      </c>
      <c r="K13" s="14">
        <v>0.41</v>
      </c>
      <c r="L13" s="14">
        <v>0.56000000000000005</v>
      </c>
      <c r="M13" s="14">
        <v>0.69000000000000006</v>
      </c>
      <c r="N13" s="14">
        <v>0.62</v>
      </c>
      <c r="O13" s="14">
        <v>0.53</v>
      </c>
      <c r="P13" s="14">
        <v>0.63</v>
      </c>
      <c r="Q13" s="14">
        <v>0.66</v>
      </c>
      <c r="R13" s="14">
        <v>0.65</v>
      </c>
      <c r="S13" s="14">
        <v>0.35</v>
      </c>
      <c r="T13" s="14">
        <v>0.52</v>
      </c>
      <c r="U13" s="14">
        <v>0.61</v>
      </c>
      <c r="V13" s="14">
        <v>0.64</v>
      </c>
      <c r="W13" s="14">
        <v>0.61</v>
      </c>
      <c r="X13" s="14">
        <v>0.67</v>
      </c>
      <c r="Y13" s="14">
        <v>0.55000000000000004</v>
      </c>
      <c r="Z13" s="14">
        <v>0.4</v>
      </c>
      <c r="AA13" s="14">
        <v>0.6</v>
      </c>
      <c r="AB13" s="14">
        <v>0.47</v>
      </c>
      <c r="AC13" s="14">
        <v>0.52</v>
      </c>
      <c r="AD13" s="14">
        <v>0.65</v>
      </c>
      <c r="AE13" s="14">
        <v>0.69000000000000006</v>
      </c>
      <c r="AF13" s="14">
        <v>0.73</v>
      </c>
    </row>
    <row r="14" spans="1:32">
      <c r="A14" s="20"/>
      <c r="B14" s="11" t="s">
        <v>1067</v>
      </c>
      <c r="C14" s="12">
        <v>17400</v>
      </c>
      <c r="D14" s="12">
        <v>563</v>
      </c>
      <c r="E14" s="12">
        <v>589</v>
      </c>
      <c r="F14" s="12">
        <v>662</v>
      </c>
      <c r="G14" s="12">
        <v>801</v>
      </c>
      <c r="H14" s="12">
        <v>799</v>
      </c>
      <c r="I14" s="12">
        <v>991</v>
      </c>
      <c r="J14" s="12">
        <v>192</v>
      </c>
      <c r="K14" s="12">
        <v>433</v>
      </c>
      <c r="L14" s="12">
        <v>713</v>
      </c>
      <c r="M14" s="12">
        <v>798</v>
      </c>
      <c r="N14" s="12">
        <v>639</v>
      </c>
      <c r="O14" s="12">
        <v>674</v>
      </c>
      <c r="P14" s="12">
        <v>623</v>
      </c>
      <c r="Q14" s="12">
        <v>723</v>
      </c>
      <c r="R14" s="12">
        <v>368</v>
      </c>
      <c r="S14" s="12">
        <v>475</v>
      </c>
      <c r="T14" s="12">
        <v>517</v>
      </c>
      <c r="U14" s="12">
        <v>334</v>
      </c>
      <c r="V14" s="12">
        <v>700</v>
      </c>
      <c r="W14" s="12">
        <v>353</v>
      </c>
      <c r="X14" s="12">
        <v>730</v>
      </c>
      <c r="Y14" s="12">
        <v>587</v>
      </c>
      <c r="Z14" s="12">
        <v>619</v>
      </c>
      <c r="AA14" s="12">
        <v>708</v>
      </c>
      <c r="AB14" s="12">
        <v>598</v>
      </c>
      <c r="AC14" s="12">
        <v>563</v>
      </c>
      <c r="AD14" s="12">
        <v>664</v>
      </c>
      <c r="AE14" s="12">
        <v>683</v>
      </c>
      <c r="AF14" s="12">
        <v>799</v>
      </c>
    </row>
    <row r="15" spans="1:32">
      <c r="A15" s="20"/>
      <c r="B15" s="13" t="s">
        <v>1068</v>
      </c>
      <c r="C15" s="14">
        <v>0.66</v>
      </c>
      <c r="D15" s="14">
        <v>0.56000000000000005</v>
      </c>
      <c r="E15" s="14">
        <v>0.57999999999999996</v>
      </c>
      <c r="F15" s="14">
        <v>0.66</v>
      </c>
      <c r="G15" s="14">
        <v>0.8</v>
      </c>
      <c r="H15" s="14">
        <v>0.66</v>
      </c>
      <c r="I15" s="14">
        <v>0.66</v>
      </c>
      <c r="J15" s="14">
        <v>0.65</v>
      </c>
      <c r="K15" s="14">
        <v>0.43</v>
      </c>
      <c r="L15" s="14">
        <v>0.71</v>
      </c>
      <c r="M15" s="14">
        <v>0.8</v>
      </c>
      <c r="N15" s="14">
        <v>0.64</v>
      </c>
      <c r="O15" s="14">
        <v>0.67</v>
      </c>
      <c r="P15" s="14">
        <v>0.61</v>
      </c>
      <c r="Q15" s="14">
        <v>0.71</v>
      </c>
      <c r="R15" s="14">
        <v>0.74</v>
      </c>
      <c r="S15" s="14">
        <v>0.47</v>
      </c>
      <c r="T15" s="14">
        <v>0.51</v>
      </c>
      <c r="U15" s="14">
        <v>0.66</v>
      </c>
      <c r="V15" s="14">
        <v>0.69000000000000006</v>
      </c>
      <c r="W15" s="14">
        <v>0.70000000000000007</v>
      </c>
      <c r="X15" s="14">
        <v>0.72</v>
      </c>
      <c r="Y15" s="14">
        <v>0.57999999999999996</v>
      </c>
      <c r="Z15" s="14">
        <v>0.61</v>
      </c>
      <c r="AA15" s="14">
        <v>0.67</v>
      </c>
      <c r="AB15" s="14">
        <v>0.57999999999999996</v>
      </c>
      <c r="AC15" s="14">
        <v>0.56000000000000005</v>
      </c>
      <c r="AD15" s="14">
        <v>0.66</v>
      </c>
      <c r="AE15" s="14">
        <v>0.68</v>
      </c>
      <c r="AF15" s="14">
        <v>0.78</v>
      </c>
    </row>
    <row r="16" spans="1:32" ht="24.95">
      <c r="A16" s="20"/>
      <c r="B16" s="11" t="s">
        <v>1069</v>
      </c>
      <c r="C16" s="12">
        <v>11501</v>
      </c>
      <c r="D16" s="12">
        <v>359</v>
      </c>
      <c r="E16" s="12">
        <v>442</v>
      </c>
      <c r="F16" s="12">
        <v>391</v>
      </c>
      <c r="G16" s="12">
        <v>403</v>
      </c>
      <c r="H16" s="12">
        <v>508</v>
      </c>
      <c r="I16" s="12">
        <v>631</v>
      </c>
      <c r="J16" s="12">
        <v>122</v>
      </c>
      <c r="K16" s="12">
        <v>311</v>
      </c>
      <c r="L16" s="12">
        <v>452</v>
      </c>
      <c r="M16" s="12">
        <v>655</v>
      </c>
      <c r="N16" s="12">
        <v>348</v>
      </c>
      <c r="O16" s="12">
        <v>449</v>
      </c>
      <c r="P16" s="12">
        <v>633</v>
      </c>
      <c r="Q16" s="12">
        <v>495</v>
      </c>
      <c r="R16" s="12">
        <v>257</v>
      </c>
      <c r="S16" s="12">
        <v>281</v>
      </c>
      <c r="T16" s="12">
        <v>448</v>
      </c>
      <c r="U16" s="12">
        <v>197</v>
      </c>
      <c r="V16" s="12">
        <v>489</v>
      </c>
      <c r="W16" s="12">
        <v>233</v>
      </c>
      <c r="X16" s="12">
        <v>378</v>
      </c>
      <c r="Y16" s="12">
        <v>452</v>
      </c>
      <c r="Z16" s="12">
        <v>491</v>
      </c>
      <c r="AA16" s="12">
        <v>473</v>
      </c>
      <c r="AB16" s="12">
        <v>525</v>
      </c>
      <c r="AC16" s="12">
        <v>381</v>
      </c>
      <c r="AD16" s="12">
        <v>516</v>
      </c>
      <c r="AE16" s="12">
        <v>275</v>
      </c>
      <c r="AF16" s="12">
        <v>387</v>
      </c>
    </row>
    <row r="17" spans="1:32">
      <c r="A17" s="20"/>
      <c r="B17" s="13" t="s">
        <v>1070</v>
      </c>
      <c r="C17" s="14">
        <v>0.44</v>
      </c>
      <c r="D17" s="14">
        <v>0.36</v>
      </c>
      <c r="E17" s="14">
        <v>0.43</v>
      </c>
      <c r="F17" s="14">
        <v>0.39</v>
      </c>
      <c r="G17" s="14">
        <v>0.4</v>
      </c>
      <c r="H17" s="14">
        <v>0.42</v>
      </c>
      <c r="I17" s="14">
        <v>0.42</v>
      </c>
      <c r="J17" s="14">
        <v>0.42</v>
      </c>
      <c r="K17" s="14">
        <v>0.31</v>
      </c>
      <c r="L17" s="14">
        <v>0.45</v>
      </c>
      <c r="M17" s="14">
        <v>0.65</v>
      </c>
      <c r="N17" s="14">
        <v>0.35</v>
      </c>
      <c r="O17" s="14">
        <v>0.45</v>
      </c>
      <c r="P17" s="14">
        <v>0.62</v>
      </c>
      <c r="Q17" s="14">
        <v>0.49</v>
      </c>
      <c r="R17" s="14">
        <v>0.51</v>
      </c>
      <c r="S17" s="14">
        <v>0.28000000000000003</v>
      </c>
      <c r="T17" s="14">
        <v>0.44</v>
      </c>
      <c r="U17" s="14">
        <v>0.39</v>
      </c>
      <c r="V17" s="14">
        <v>0.48</v>
      </c>
      <c r="W17" s="14">
        <v>0.46</v>
      </c>
      <c r="X17" s="14">
        <v>0.37</v>
      </c>
      <c r="Y17" s="14">
        <v>0.45</v>
      </c>
      <c r="Z17" s="14">
        <v>0.49</v>
      </c>
      <c r="AA17" s="14">
        <v>0.45</v>
      </c>
      <c r="AB17" s="14">
        <v>0.5</v>
      </c>
      <c r="AC17" s="14">
        <v>0.38</v>
      </c>
      <c r="AD17" s="14">
        <v>0.51</v>
      </c>
      <c r="AE17" s="14">
        <v>0.28000000000000003</v>
      </c>
      <c r="AF17" s="14">
        <v>0.38</v>
      </c>
    </row>
    <row r="18" spans="1:32">
      <c r="A18" s="20"/>
      <c r="B18" s="11" t="s">
        <v>1071</v>
      </c>
      <c r="C18" s="12">
        <v>15273</v>
      </c>
      <c r="D18" s="12">
        <v>603</v>
      </c>
      <c r="E18" s="12">
        <v>509</v>
      </c>
      <c r="F18" s="12">
        <v>510</v>
      </c>
      <c r="G18" s="12">
        <v>693</v>
      </c>
      <c r="H18" s="12">
        <v>792</v>
      </c>
      <c r="I18" s="12">
        <v>998</v>
      </c>
      <c r="J18" s="12">
        <v>206</v>
      </c>
      <c r="K18" s="12">
        <v>436</v>
      </c>
      <c r="L18" s="12">
        <v>510</v>
      </c>
      <c r="M18" s="12">
        <v>604</v>
      </c>
      <c r="N18" s="12">
        <v>507</v>
      </c>
      <c r="O18" s="12">
        <v>659</v>
      </c>
      <c r="P18" s="12">
        <v>608</v>
      </c>
      <c r="Q18" s="12">
        <v>503</v>
      </c>
      <c r="R18" s="12">
        <v>267</v>
      </c>
      <c r="S18" s="12">
        <v>309</v>
      </c>
      <c r="T18" s="12">
        <v>592</v>
      </c>
      <c r="U18" s="12">
        <v>329</v>
      </c>
      <c r="V18" s="12">
        <v>682</v>
      </c>
      <c r="W18" s="12">
        <v>238</v>
      </c>
      <c r="X18" s="12">
        <v>683</v>
      </c>
      <c r="Y18" s="12">
        <v>630</v>
      </c>
      <c r="Z18" s="12">
        <v>484</v>
      </c>
      <c r="AA18" s="12">
        <v>528</v>
      </c>
      <c r="AB18" s="12">
        <v>502</v>
      </c>
      <c r="AC18" s="12">
        <v>584</v>
      </c>
      <c r="AD18" s="12">
        <v>620</v>
      </c>
      <c r="AE18" s="12">
        <v>715</v>
      </c>
      <c r="AF18" s="12">
        <v>676</v>
      </c>
    </row>
    <row r="19" spans="1:32">
      <c r="A19" s="20"/>
      <c r="B19" s="13" t="s">
        <v>1072</v>
      </c>
      <c r="C19" s="14">
        <v>0.57999999999999996</v>
      </c>
      <c r="D19" s="14">
        <v>0.6</v>
      </c>
      <c r="E19" s="14">
        <v>0.5</v>
      </c>
      <c r="F19" s="14">
        <v>0.51</v>
      </c>
      <c r="G19" s="14">
        <v>0.69000000000000006</v>
      </c>
      <c r="H19" s="14">
        <v>0.65</v>
      </c>
      <c r="I19" s="14">
        <v>0.66</v>
      </c>
      <c r="J19" s="14">
        <v>0.70000000000000007</v>
      </c>
      <c r="K19" s="14">
        <v>0.43</v>
      </c>
      <c r="L19" s="14">
        <v>0.51</v>
      </c>
      <c r="M19" s="14">
        <v>0.6</v>
      </c>
      <c r="N19" s="14">
        <v>0.51</v>
      </c>
      <c r="O19" s="14">
        <v>0.66</v>
      </c>
      <c r="P19" s="14">
        <v>0.59</v>
      </c>
      <c r="Q19" s="14">
        <v>0.49</v>
      </c>
      <c r="R19" s="14">
        <v>0.53</v>
      </c>
      <c r="S19" s="14">
        <v>0.31</v>
      </c>
      <c r="T19" s="14">
        <v>0.57999999999999996</v>
      </c>
      <c r="U19" s="14">
        <v>0.65</v>
      </c>
      <c r="V19" s="14">
        <v>0.67</v>
      </c>
      <c r="W19" s="14">
        <v>0.47</v>
      </c>
      <c r="X19" s="14">
        <v>0.67</v>
      </c>
      <c r="Y19" s="14">
        <v>0.63</v>
      </c>
      <c r="Z19" s="14">
        <v>0.48</v>
      </c>
      <c r="AA19" s="14">
        <v>0.5</v>
      </c>
      <c r="AB19" s="14">
        <v>0.48</v>
      </c>
      <c r="AC19" s="14">
        <v>0.57999999999999996</v>
      </c>
      <c r="AD19" s="14">
        <v>0.62</v>
      </c>
      <c r="AE19" s="14">
        <v>0.71</v>
      </c>
      <c r="AF19" s="14">
        <v>0.66</v>
      </c>
    </row>
    <row r="20" spans="1:32">
      <c r="A20" s="20"/>
      <c r="B20" s="11" t="s">
        <v>869</v>
      </c>
      <c r="C20" s="12">
        <v>7488</v>
      </c>
      <c r="D20" s="12">
        <v>341</v>
      </c>
      <c r="E20" s="12">
        <v>168</v>
      </c>
      <c r="F20" s="12">
        <v>243</v>
      </c>
      <c r="G20" s="12">
        <v>415</v>
      </c>
      <c r="H20" s="12">
        <v>430</v>
      </c>
      <c r="I20" s="12">
        <v>512</v>
      </c>
      <c r="J20" s="12">
        <v>82</v>
      </c>
      <c r="K20" s="12">
        <v>158</v>
      </c>
      <c r="L20" s="12">
        <v>351</v>
      </c>
      <c r="M20" s="12">
        <v>247</v>
      </c>
      <c r="N20" s="12">
        <v>217</v>
      </c>
      <c r="O20" s="12">
        <v>312</v>
      </c>
      <c r="P20" s="12">
        <v>315</v>
      </c>
      <c r="Q20" s="12">
        <v>245</v>
      </c>
      <c r="R20" s="12">
        <v>149</v>
      </c>
      <c r="S20" s="12">
        <v>213</v>
      </c>
      <c r="T20" s="12">
        <v>321</v>
      </c>
      <c r="U20" s="12">
        <v>228</v>
      </c>
      <c r="V20" s="12">
        <v>269</v>
      </c>
      <c r="W20" s="12">
        <v>200</v>
      </c>
      <c r="X20" s="12">
        <v>350</v>
      </c>
      <c r="Y20" s="12">
        <v>390</v>
      </c>
      <c r="Z20" s="12">
        <v>200</v>
      </c>
      <c r="AA20" s="12">
        <v>317</v>
      </c>
      <c r="AB20" s="12">
        <v>269</v>
      </c>
      <c r="AC20" s="12">
        <v>298</v>
      </c>
      <c r="AD20" s="12">
        <v>354</v>
      </c>
      <c r="AE20" s="12">
        <v>287</v>
      </c>
      <c r="AF20" s="12">
        <v>371</v>
      </c>
    </row>
    <row r="21" spans="1:32">
      <c r="A21" s="20"/>
      <c r="B21" s="13" t="s">
        <v>870</v>
      </c>
      <c r="C21" s="14">
        <v>0.28000000000000003</v>
      </c>
      <c r="D21" s="14">
        <v>0.34</v>
      </c>
      <c r="E21" s="14">
        <v>0.16</v>
      </c>
      <c r="F21" s="14">
        <v>0.24</v>
      </c>
      <c r="G21" s="14">
        <v>0.41</v>
      </c>
      <c r="H21" s="14">
        <v>0.35</v>
      </c>
      <c r="I21" s="14">
        <v>0.34</v>
      </c>
      <c r="J21" s="14">
        <v>0.28000000000000003</v>
      </c>
      <c r="K21" s="14">
        <v>0.16</v>
      </c>
      <c r="L21" s="14">
        <v>0.35</v>
      </c>
      <c r="M21" s="14">
        <v>0.25</v>
      </c>
      <c r="N21" s="14">
        <v>0.22</v>
      </c>
      <c r="O21" s="14">
        <v>0.31</v>
      </c>
      <c r="P21" s="14">
        <v>0.31</v>
      </c>
      <c r="Q21" s="14">
        <v>0.24</v>
      </c>
      <c r="R21" s="14">
        <v>0.3</v>
      </c>
      <c r="S21" s="14">
        <v>0.21</v>
      </c>
      <c r="T21" s="14">
        <v>0.32</v>
      </c>
      <c r="U21" s="14">
        <v>0.45</v>
      </c>
      <c r="V21" s="14">
        <v>0.26</v>
      </c>
      <c r="W21" s="14">
        <v>0.4</v>
      </c>
      <c r="X21" s="14">
        <v>0.34</v>
      </c>
      <c r="Y21" s="14">
        <v>0.39</v>
      </c>
      <c r="Z21" s="14">
        <v>0.2</v>
      </c>
      <c r="AA21" s="14">
        <v>0.3</v>
      </c>
      <c r="AB21" s="14">
        <v>0.26</v>
      </c>
      <c r="AC21" s="14">
        <v>0.28999999999999998</v>
      </c>
      <c r="AD21" s="14">
        <v>0.35</v>
      </c>
      <c r="AE21" s="14">
        <v>0.28999999999999998</v>
      </c>
      <c r="AF21" s="14">
        <v>0.36</v>
      </c>
    </row>
    <row r="22" spans="1:32" ht="24.95">
      <c r="A22" s="20"/>
      <c r="B22" s="11" t="s">
        <v>1073</v>
      </c>
      <c r="C22" s="12">
        <v>7921</v>
      </c>
      <c r="D22" s="12">
        <v>272</v>
      </c>
      <c r="E22" s="12">
        <v>353</v>
      </c>
      <c r="F22" s="12">
        <v>323</v>
      </c>
      <c r="G22" s="12">
        <v>328</v>
      </c>
      <c r="H22" s="12">
        <v>305</v>
      </c>
      <c r="I22" s="12">
        <v>373</v>
      </c>
      <c r="J22" s="12">
        <v>69</v>
      </c>
      <c r="K22" s="12">
        <v>257</v>
      </c>
      <c r="L22" s="12">
        <v>277</v>
      </c>
      <c r="M22" s="12">
        <v>384</v>
      </c>
      <c r="N22" s="12">
        <v>205</v>
      </c>
      <c r="O22" s="12">
        <v>303</v>
      </c>
      <c r="P22" s="12">
        <v>418</v>
      </c>
      <c r="Q22" s="12">
        <v>363</v>
      </c>
      <c r="R22" s="12">
        <v>187</v>
      </c>
      <c r="S22" s="12">
        <v>244</v>
      </c>
      <c r="T22" s="12">
        <v>381</v>
      </c>
      <c r="U22" s="12">
        <v>164</v>
      </c>
      <c r="V22" s="12">
        <v>435</v>
      </c>
      <c r="W22" s="12">
        <v>205</v>
      </c>
      <c r="X22" s="12">
        <v>222</v>
      </c>
      <c r="Y22" s="12">
        <v>364</v>
      </c>
      <c r="Z22" s="12">
        <v>368</v>
      </c>
      <c r="AA22" s="12">
        <v>448</v>
      </c>
      <c r="AB22" s="12">
        <v>305</v>
      </c>
      <c r="AC22" s="12">
        <v>397</v>
      </c>
      <c r="AD22" s="12">
        <v>395</v>
      </c>
      <c r="AE22" s="12">
        <v>236</v>
      </c>
      <c r="AF22" s="12">
        <v>306</v>
      </c>
    </row>
    <row r="23" spans="1:32" ht="24.95">
      <c r="A23" s="20"/>
      <c r="B23" s="13" t="s">
        <v>1074</v>
      </c>
      <c r="C23" s="14">
        <v>0.3</v>
      </c>
      <c r="D23" s="14">
        <v>0.27</v>
      </c>
      <c r="E23" s="14">
        <v>0.35</v>
      </c>
      <c r="F23" s="14">
        <v>0.32</v>
      </c>
      <c r="G23" s="14">
        <v>0.33</v>
      </c>
      <c r="H23" s="14">
        <v>0.25</v>
      </c>
      <c r="I23" s="14">
        <v>0.25</v>
      </c>
      <c r="J23" s="14">
        <v>0.23</v>
      </c>
      <c r="K23" s="14">
        <v>0.26</v>
      </c>
      <c r="L23" s="14">
        <v>0.27</v>
      </c>
      <c r="M23" s="14">
        <v>0.38</v>
      </c>
      <c r="N23" s="14">
        <v>0.2</v>
      </c>
      <c r="O23" s="14">
        <v>0.3</v>
      </c>
      <c r="P23" s="14">
        <v>0.41</v>
      </c>
      <c r="Q23" s="14">
        <v>0.36</v>
      </c>
      <c r="R23" s="14">
        <v>0.37</v>
      </c>
      <c r="S23" s="14">
        <v>0.24</v>
      </c>
      <c r="T23" s="14">
        <v>0.38</v>
      </c>
      <c r="U23" s="14">
        <v>0.32</v>
      </c>
      <c r="V23" s="14">
        <v>0.43</v>
      </c>
      <c r="W23" s="14">
        <v>0.41</v>
      </c>
      <c r="X23" s="14">
        <v>0.22</v>
      </c>
      <c r="Y23" s="14">
        <v>0.36</v>
      </c>
      <c r="Z23" s="14">
        <v>0.37</v>
      </c>
      <c r="AA23" s="14">
        <v>0.43</v>
      </c>
      <c r="AB23" s="14">
        <v>0.28999999999999998</v>
      </c>
      <c r="AC23" s="14">
        <v>0.39</v>
      </c>
      <c r="AD23" s="14">
        <v>0.39</v>
      </c>
      <c r="AE23" s="14">
        <v>0.24</v>
      </c>
      <c r="AF23" s="14">
        <v>0.3</v>
      </c>
    </row>
    <row r="24" spans="1:32">
      <c r="A24" s="20"/>
      <c r="B24" s="11" t="s">
        <v>1075</v>
      </c>
      <c r="C24" s="12">
        <v>5321</v>
      </c>
      <c r="D24" s="12">
        <v>214</v>
      </c>
      <c r="E24" s="12">
        <v>179</v>
      </c>
      <c r="F24" s="12">
        <v>211</v>
      </c>
      <c r="G24" s="12">
        <v>212</v>
      </c>
      <c r="H24" s="12">
        <v>157</v>
      </c>
      <c r="I24" s="12">
        <v>195</v>
      </c>
      <c r="J24" s="12">
        <v>38</v>
      </c>
      <c r="K24" s="12">
        <v>204</v>
      </c>
      <c r="L24" s="12">
        <v>279</v>
      </c>
      <c r="M24" s="12">
        <v>308</v>
      </c>
      <c r="N24" s="12">
        <v>193</v>
      </c>
      <c r="O24" s="12">
        <v>192</v>
      </c>
      <c r="P24" s="12">
        <v>267</v>
      </c>
      <c r="Q24" s="12">
        <v>253</v>
      </c>
      <c r="R24" s="12">
        <v>215</v>
      </c>
      <c r="S24" s="12">
        <v>140</v>
      </c>
      <c r="T24" s="12">
        <v>229</v>
      </c>
      <c r="U24" s="12">
        <v>130</v>
      </c>
      <c r="V24" s="12">
        <v>287</v>
      </c>
      <c r="W24" s="12">
        <v>178</v>
      </c>
      <c r="X24" s="12">
        <v>189</v>
      </c>
      <c r="Y24" s="12">
        <v>298</v>
      </c>
      <c r="Z24" s="12">
        <v>171</v>
      </c>
      <c r="AA24" s="12">
        <v>333</v>
      </c>
      <c r="AB24" s="12">
        <v>229</v>
      </c>
      <c r="AC24" s="12">
        <v>297</v>
      </c>
      <c r="AD24" s="12">
        <v>324</v>
      </c>
      <c r="AE24" s="12">
        <v>182</v>
      </c>
      <c r="AF24" s="12">
        <v>211</v>
      </c>
    </row>
    <row r="25" spans="1:32">
      <c r="A25" s="20"/>
      <c r="B25" s="13" t="s">
        <v>1076</v>
      </c>
      <c r="C25" s="14">
        <v>0.2</v>
      </c>
      <c r="D25" s="14">
        <v>0.21</v>
      </c>
      <c r="E25" s="14">
        <v>0.18</v>
      </c>
      <c r="F25" s="14">
        <v>0.21</v>
      </c>
      <c r="G25" s="14">
        <v>0.21</v>
      </c>
      <c r="H25" s="14">
        <v>0.13</v>
      </c>
      <c r="I25" s="14">
        <v>0.13</v>
      </c>
      <c r="J25" s="14">
        <v>0.13</v>
      </c>
      <c r="K25" s="14">
        <v>0.2</v>
      </c>
      <c r="L25" s="14">
        <v>0.28000000000000003</v>
      </c>
      <c r="M25" s="14">
        <v>0.31</v>
      </c>
      <c r="N25" s="14">
        <v>0.19</v>
      </c>
      <c r="O25" s="14">
        <v>0.19</v>
      </c>
      <c r="P25" s="14">
        <v>0.26</v>
      </c>
      <c r="Q25" s="14">
        <v>0.25</v>
      </c>
      <c r="R25" s="14">
        <v>0.43</v>
      </c>
      <c r="S25" s="14">
        <v>0.14000000000000001</v>
      </c>
      <c r="T25" s="14">
        <v>0.23</v>
      </c>
      <c r="U25" s="14">
        <v>0.26</v>
      </c>
      <c r="V25" s="14">
        <v>0.28000000000000003</v>
      </c>
      <c r="W25" s="14">
        <v>0.35</v>
      </c>
      <c r="X25" s="14">
        <v>0.18</v>
      </c>
      <c r="Y25" s="14">
        <v>0.3</v>
      </c>
      <c r="Z25" s="14">
        <v>0.17</v>
      </c>
      <c r="AA25" s="14">
        <v>0.32</v>
      </c>
      <c r="AB25" s="14">
        <v>0.22</v>
      </c>
      <c r="AC25" s="14">
        <v>0.28999999999999998</v>
      </c>
      <c r="AD25" s="14">
        <v>0.32</v>
      </c>
      <c r="AE25" s="14">
        <v>0.18</v>
      </c>
      <c r="AF25" s="14">
        <v>0.21</v>
      </c>
    </row>
    <row r="26" spans="1:32">
      <c r="A26" s="20"/>
      <c r="B26" s="11" t="s">
        <v>519</v>
      </c>
      <c r="C26" s="12">
        <v>70</v>
      </c>
      <c r="D26" s="12">
        <v>2</v>
      </c>
      <c r="E26" s="12">
        <v>2</v>
      </c>
      <c r="F26" s="12">
        <v>4</v>
      </c>
      <c r="G26" s="12">
        <v>3</v>
      </c>
      <c r="H26" s="12">
        <v>3</v>
      </c>
      <c r="I26" s="12">
        <v>3</v>
      </c>
      <c r="J26" s="12">
        <v>0</v>
      </c>
      <c r="K26" s="12">
        <v>12</v>
      </c>
      <c r="L26" s="12">
        <v>0</v>
      </c>
      <c r="M26" s="12">
        <v>3</v>
      </c>
      <c r="N26" s="12">
        <v>1</v>
      </c>
      <c r="O26" s="12">
        <v>1</v>
      </c>
      <c r="P26" s="12">
        <v>0</v>
      </c>
      <c r="Q26" s="12">
        <v>5</v>
      </c>
      <c r="R26" s="12">
        <v>1</v>
      </c>
      <c r="S26" s="12">
        <v>8</v>
      </c>
      <c r="T26" s="12">
        <v>3</v>
      </c>
      <c r="U26" s="12">
        <v>2</v>
      </c>
      <c r="V26" s="12">
        <v>0</v>
      </c>
      <c r="W26" s="12">
        <v>2</v>
      </c>
      <c r="X26" s="12">
        <v>6</v>
      </c>
      <c r="Y26" s="12">
        <v>6</v>
      </c>
      <c r="Z26" s="12">
        <v>1</v>
      </c>
      <c r="AA26" s="12">
        <v>3</v>
      </c>
      <c r="AB26" s="12">
        <v>10</v>
      </c>
      <c r="AC26" s="12">
        <v>10</v>
      </c>
      <c r="AD26" s="12">
        <v>4</v>
      </c>
      <c r="AE26" s="12">
        <v>3</v>
      </c>
      <c r="AF26" s="12">
        <v>2</v>
      </c>
    </row>
    <row r="27" spans="1:32">
      <c r="A27" s="20"/>
      <c r="B27" s="13" t="s">
        <v>520</v>
      </c>
      <c r="C27" s="15" t="s">
        <v>459</v>
      </c>
      <c r="D27" s="15" t="s">
        <v>459</v>
      </c>
      <c r="E27" s="15" t="s">
        <v>459</v>
      </c>
      <c r="F27" s="15" t="s">
        <v>459</v>
      </c>
      <c r="G27" s="15" t="s">
        <v>459</v>
      </c>
      <c r="H27" s="15" t="s">
        <v>459</v>
      </c>
      <c r="I27" s="15" t="s">
        <v>459</v>
      </c>
      <c r="J27" s="15" t="s">
        <v>459</v>
      </c>
      <c r="K27" s="14">
        <v>0.01</v>
      </c>
      <c r="L27" s="15" t="s">
        <v>459</v>
      </c>
      <c r="M27" s="15" t="s">
        <v>459</v>
      </c>
      <c r="N27" s="15" t="s">
        <v>459</v>
      </c>
      <c r="O27" s="15" t="s">
        <v>459</v>
      </c>
      <c r="P27" s="15" t="s">
        <v>459</v>
      </c>
      <c r="Q27" s="15" t="s">
        <v>459</v>
      </c>
      <c r="R27" s="15" t="s">
        <v>459</v>
      </c>
      <c r="S27" s="14">
        <v>0.01</v>
      </c>
      <c r="T27" s="15" t="s">
        <v>459</v>
      </c>
      <c r="U27" s="15" t="s">
        <v>459</v>
      </c>
      <c r="V27" s="15" t="s">
        <v>459</v>
      </c>
      <c r="W27" s="15" t="s">
        <v>459</v>
      </c>
      <c r="X27" s="14">
        <v>0.01</v>
      </c>
      <c r="Y27" s="14">
        <v>0.01</v>
      </c>
      <c r="Z27" s="15" t="s">
        <v>459</v>
      </c>
      <c r="AA27" s="15" t="s">
        <v>459</v>
      </c>
      <c r="AB27" s="14">
        <v>0.01</v>
      </c>
      <c r="AC27" s="14">
        <v>0.01</v>
      </c>
      <c r="AD27" s="15" t="s">
        <v>459</v>
      </c>
      <c r="AE27" s="15" t="s">
        <v>459</v>
      </c>
      <c r="AF27" s="15" t="s">
        <v>459</v>
      </c>
    </row>
    <row r="28" spans="1:32">
      <c r="A28" s="20"/>
      <c r="B28" s="11" t="s">
        <v>1077</v>
      </c>
      <c r="C28" s="12">
        <v>808</v>
      </c>
      <c r="D28" s="12">
        <v>28</v>
      </c>
      <c r="E28" s="12">
        <v>74</v>
      </c>
      <c r="F28" s="12">
        <v>24</v>
      </c>
      <c r="G28" s="12">
        <v>18</v>
      </c>
      <c r="H28" s="12">
        <v>71</v>
      </c>
      <c r="I28" s="12">
        <v>81</v>
      </c>
      <c r="J28" s="12">
        <v>10</v>
      </c>
      <c r="K28" s="12">
        <v>39</v>
      </c>
      <c r="L28" s="12">
        <v>38</v>
      </c>
      <c r="M28" s="12">
        <v>12</v>
      </c>
      <c r="N28" s="12">
        <v>59</v>
      </c>
      <c r="O28" s="12">
        <v>8</v>
      </c>
      <c r="P28" s="12">
        <v>24</v>
      </c>
      <c r="Q28" s="12">
        <v>28</v>
      </c>
      <c r="R28" s="12">
        <v>12</v>
      </c>
      <c r="S28" s="12">
        <v>64</v>
      </c>
      <c r="T28" s="12">
        <v>140</v>
      </c>
      <c r="U28" s="12">
        <v>11</v>
      </c>
      <c r="V28" s="12">
        <v>38</v>
      </c>
      <c r="W28" s="12">
        <v>0</v>
      </c>
      <c r="X28" s="12">
        <v>3</v>
      </c>
      <c r="Y28" s="12">
        <v>68</v>
      </c>
      <c r="Z28" s="12">
        <v>4</v>
      </c>
      <c r="AA28" s="12">
        <v>32</v>
      </c>
      <c r="AB28" s="12">
        <v>13</v>
      </c>
      <c r="AC28" s="12">
        <v>58</v>
      </c>
      <c r="AD28" s="12">
        <v>4</v>
      </c>
      <c r="AE28" s="12">
        <v>8</v>
      </c>
      <c r="AF28" s="12">
        <v>7</v>
      </c>
    </row>
    <row r="29" spans="1:32">
      <c r="A29" s="20"/>
      <c r="B29" s="13" t="s">
        <v>1078</v>
      </c>
      <c r="C29" s="14">
        <v>0.03</v>
      </c>
      <c r="D29" s="14">
        <v>0.03</v>
      </c>
      <c r="E29" s="14">
        <v>7.0000000000000007E-2</v>
      </c>
      <c r="F29" s="14">
        <v>0.02</v>
      </c>
      <c r="G29" s="14">
        <v>0.02</v>
      </c>
      <c r="H29" s="14">
        <v>0.06</v>
      </c>
      <c r="I29" s="14">
        <v>0.05</v>
      </c>
      <c r="J29" s="14">
        <v>0.03</v>
      </c>
      <c r="K29" s="14">
        <v>0.04</v>
      </c>
      <c r="L29" s="14">
        <v>0.04</v>
      </c>
      <c r="M29" s="14">
        <v>0.01</v>
      </c>
      <c r="N29" s="14">
        <v>0.06</v>
      </c>
      <c r="O29" s="14">
        <v>0.01</v>
      </c>
      <c r="P29" s="14">
        <v>0.02</v>
      </c>
      <c r="Q29" s="14">
        <v>0.03</v>
      </c>
      <c r="R29" s="14">
        <v>0.02</v>
      </c>
      <c r="S29" s="14">
        <v>0.06</v>
      </c>
      <c r="T29" s="14">
        <v>0.14000000000000001</v>
      </c>
      <c r="U29" s="14">
        <v>0.02</v>
      </c>
      <c r="V29" s="14">
        <v>0.04</v>
      </c>
      <c r="W29" s="15" t="s">
        <v>459</v>
      </c>
      <c r="X29" s="15" t="s">
        <v>459</v>
      </c>
      <c r="Y29" s="14">
        <v>7.0000000000000007E-2</v>
      </c>
      <c r="Z29" s="15" t="s">
        <v>459</v>
      </c>
      <c r="AA29" s="14">
        <v>0.03</v>
      </c>
      <c r="AB29" s="14">
        <v>0.01</v>
      </c>
      <c r="AC29" s="14">
        <v>0.06</v>
      </c>
      <c r="AD29" s="15" t="s">
        <v>459</v>
      </c>
      <c r="AE29" s="14">
        <v>0.01</v>
      </c>
      <c r="AF29" s="14">
        <v>0.01</v>
      </c>
    </row>
    <row r="30" spans="1:32" ht="24.95">
      <c r="A30" s="20"/>
      <c r="B30" s="11" t="s">
        <v>551</v>
      </c>
      <c r="C30" s="12">
        <v>446</v>
      </c>
      <c r="D30" s="12">
        <v>2</v>
      </c>
      <c r="E30" s="12">
        <v>30</v>
      </c>
      <c r="F30" s="12">
        <v>21</v>
      </c>
      <c r="G30" s="12">
        <v>4</v>
      </c>
      <c r="H30" s="12">
        <v>30</v>
      </c>
      <c r="I30" s="12">
        <v>43</v>
      </c>
      <c r="J30" s="12">
        <v>13</v>
      </c>
      <c r="K30" s="12">
        <v>70</v>
      </c>
      <c r="L30" s="12">
        <v>17</v>
      </c>
      <c r="M30" s="12">
        <v>14</v>
      </c>
      <c r="N30" s="12">
        <v>33</v>
      </c>
      <c r="O30" s="12">
        <v>3</v>
      </c>
      <c r="P30" s="12">
        <v>3</v>
      </c>
      <c r="Q30" s="12">
        <v>14</v>
      </c>
      <c r="R30" s="12">
        <v>15</v>
      </c>
      <c r="S30" s="12">
        <v>42</v>
      </c>
      <c r="T30" s="12">
        <v>37</v>
      </c>
      <c r="U30" s="12">
        <v>4</v>
      </c>
      <c r="V30" s="12">
        <v>5</v>
      </c>
      <c r="W30" s="12">
        <v>4</v>
      </c>
      <c r="X30" s="12">
        <v>22</v>
      </c>
      <c r="Y30" s="12">
        <v>63</v>
      </c>
      <c r="Z30" s="12">
        <v>2</v>
      </c>
      <c r="AA30" s="12">
        <v>6</v>
      </c>
      <c r="AB30" s="12">
        <v>10</v>
      </c>
      <c r="AC30" s="12">
        <v>15</v>
      </c>
      <c r="AD30" s="12">
        <v>19</v>
      </c>
      <c r="AE30" s="12">
        <v>9</v>
      </c>
      <c r="AF30" s="12">
        <v>4</v>
      </c>
    </row>
    <row r="31" spans="1:32">
      <c r="A31" s="20"/>
      <c r="B31" s="13" t="s">
        <v>522</v>
      </c>
      <c r="C31" s="14">
        <v>0.02</v>
      </c>
      <c r="D31" s="15" t="s">
        <v>459</v>
      </c>
      <c r="E31" s="14">
        <v>0.03</v>
      </c>
      <c r="F31" s="14">
        <v>0.02</v>
      </c>
      <c r="G31" s="15" t="s">
        <v>459</v>
      </c>
      <c r="H31" s="14">
        <v>0.02</v>
      </c>
      <c r="I31" s="14">
        <v>0.03</v>
      </c>
      <c r="J31" s="14">
        <v>0.05</v>
      </c>
      <c r="K31" s="14">
        <v>7.0000000000000007E-2</v>
      </c>
      <c r="L31" s="14">
        <v>0.02</v>
      </c>
      <c r="M31" s="14">
        <v>0.01</v>
      </c>
      <c r="N31" s="14">
        <v>0.03</v>
      </c>
      <c r="O31" s="15" t="s">
        <v>459</v>
      </c>
      <c r="P31" s="15" t="s">
        <v>459</v>
      </c>
      <c r="Q31" s="14">
        <v>0.01</v>
      </c>
      <c r="R31" s="14">
        <v>0.03</v>
      </c>
      <c r="S31" s="14">
        <v>0.04</v>
      </c>
      <c r="T31" s="14">
        <v>0.04</v>
      </c>
      <c r="U31" s="14">
        <v>0.01</v>
      </c>
      <c r="V31" s="14">
        <v>0.01</v>
      </c>
      <c r="W31" s="14">
        <v>0.01</v>
      </c>
      <c r="X31" s="14">
        <v>0.02</v>
      </c>
      <c r="Y31" s="14">
        <v>0.06</v>
      </c>
      <c r="Z31" s="15" t="s">
        <v>459</v>
      </c>
      <c r="AA31" s="14">
        <v>0.01</v>
      </c>
      <c r="AB31" s="14">
        <v>0.01</v>
      </c>
      <c r="AC31" s="14">
        <v>0.01</v>
      </c>
      <c r="AD31" s="14">
        <v>0.02</v>
      </c>
      <c r="AE31" s="14">
        <v>0.01</v>
      </c>
      <c r="AF31" s="15" t="s">
        <v>459</v>
      </c>
    </row>
    <row r="32" spans="1:32">
      <c r="A32" s="20"/>
      <c r="B32" s="11" t="s">
        <v>468</v>
      </c>
      <c r="C32" s="12">
        <v>543</v>
      </c>
      <c r="D32" s="12">
        <v>7</v>
      </c>
      <c r="E32" s="12">
        <v>68</v>
      </c>
      <c r="F32" s="12">
        <v>86</v>
      </c>
      <c r="G32" s="12">
        <v>33</v>
      </c>
      <c r="H32" s="12">
        <v>18</v>
      </c>
      <c r="I32" s="12">
        <v>22</v>
      </c>
      <c r="J32" s="12">
        <v>4</v>
      </c>
      <c r="K32" s="12">
        <v>103</v>
      </c>
      <c r="L32" s="12">
        <v>25</v>
      </c>
      <c r="M32" s="12">
        <v>5</v>
      </c>
      <c r="N32" s="12">
        <v>23</v>
      </c>
      <c r="O32" s="12">
        <v>24</v>
      </c>
      <c r="P32" s="12">
        <v>26</v>
      </c>
      <c r="Q32" s="12">
        <v>12</v>
      </c>
      <c r="R32" s="12">
        <v>20</v>
      </c>
      <c r="S32" s="12">
        <v>78</v>
      </c>
      <c r="T32" s="12">
        <v>40</v>
      </c>
      <c r="U32" s="12">
        <v>7</v>
      </c>
      <c r="V32" s="12">
        <v>16</v>
      </c>
      <c r="W32" s="12">
        <v>7</v>
      </c>
      <c r="X32" s="12">
        <v>6</v>
      </c>
      <c r="Y32" s="12">
        <v>14</v>
      </c>
      <c r="Z32" s="12">
        <v>5</v>
      </c>
      <c r="AA32" s="12">
        <v>74</v>
      </c>
      <c r="AB32" s="12">
        <v>32</v>
      </c>
      <c r="AC32" s="12">
        <v>18</v>
      </c>
      <c r="AD32" s="12">
        <v>21</v>
      </c>
      <c r="AE32" s="12">
        <v>20</v>
      </c>
      <c r="AF32" s="12">
        <v>10</v>
      </c>
    </row>
    <row r="33" spans="1:32">
      <c r="A33" s="20"/>
      <c r="B33" s="13" t="s">
        <v>469</v>
      </c>
      <c r="C33" s="14">
        <v>0.02</v>
      </c>
      <c r="D33" s="14">
        <v>0.01</v>
      </c>
      <c r="E33" s="14">
        <v>7.0000000000000007E-2</v>
      </c>
      <c r="F33" s="14">
        <v>0.09</v>
      </c>
      <c r="G33" s="14">
        <v>0.03</v>
      </c>
      <c r="H33" s="14">
        <v>0.01</v>
      </c>
      <c r="I33" s="14">
        <v>0.01</v>
      </c>
      <c r="J33" s="14">
        <v>0.01</v>
      </c>
      <c r="K33" s="14">
        <v>0.1</v>
      </c>
      <c r="L33" s="14">
        <v>0.03</v>
      </c>
      <c r="M33" s="14">
        <v>0.01</v>
      </c>
      <c r="N33" s="14">
        <v>0.02</v>
      </c>
      <c r="O33" s="14">
        <v>0.02</v>
      </c>
      <c r="P33" s="14">
        <v>0.03</v>
      </c>
      <c r="Q33" s="14">
        <v>0.01</v>
      </c>
      <c r="R33" s="14">
        <v>0.04</v>
      </c>
      <c r="S33" s="14">
        <v>0.08</v>
      </c>
      <c r="T33" s="14">
        <v>0.04</v>
      </c>
      <c r="U33" s="14">
        <v>0.01</v>
      </c>
      <c r="V33" s="14">
        <v>0.02</v>
      </c>
      <c r="W33" s="14">
        <v>0.01</v>
      </c>
      <c r="X33" s="14">
        <v>0.01</v>
      </c>
      <c r="Y33" s="14">
        <v>0.01</v>
      </c>
      <c r="Z33" s="15" t="s">
        <v>459</v>
      </c>
      <c r="AA33" s="14">
        <v>7.0000000000000007E-2</v>
      </c>
      <c r="AB33" s="14">
        <v>0.03</v>
      </c>
      <c r="AC33" s="14">
        <v>0.02</v>
      </c>
      <c r="AD33" s="14">
        <v>0.02</v>
      </c>
      <c r="AE33" s="14">
        <v>0.02</v>
      </c>
      <c r="AF33" s="14">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1081</v>
      </c>
      <c r="C3" s="18"/>
      <c r="D3" s="18"/>
      <c r="E3" s="18"/>
      <c r="F3" s="18"/>
      <c r="H3" s="18" t="s">
        <v>1082</v>
      </c>
      <c r="I3" s="18"/>
      <c r="J3" s="18"/>
      <c r="K3" s="18"/>
      <c r="L3" s="18"/>
    </row>
    <row r="4" spans="1:32" ht="27" customHeight="1">
      <c r="B4" s="18" t="s">
        <v>1083</v>
      </c>
      <c r="C4" s="18"/>
      <c r="D4" s="18"/>
      <c r="E4" s="18"/>
      <c r="F4" s="18"/>
      <c r="H4" s="18" t="s">
        <v>1084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11088</v>
      </c>
      <c r="D12" s="12">
        <v>407</v>
      </c>
      <c r="E12" s="12">
        <v>440</v>
      </c>
      <c r="F12" s="12">
        <v>246</v>
      </c>
      <c r="G12" s="12">
        <v>595</v>
      </c>
      <c r="H12" s="12">
        <v>464</v>
      </c>
      <c r="I12" s="12">
        <v>571</v>
      </c>
      <c r="J12" s="12">
        <v>107</v>
      </c>
      <c r="K12" s="12">
        <v>248</v>
      </c>
      <c r="L12" s="12">
        <v>543</v>
      </c>
      <c r="M12" s="12">
        <v>463</v>
      </c>
      <c r="N12" s="12">
        <v>564</v>
      </c>
      <c r="O12" s="12">
        <v>510</v>
      </c>
      <c r="P12" s="12">
        <v>372</v>
      </c>
      <c r="Q12" s="12">
        <v>407</v>
      </c>
      <c r="R12" s="12">
        <v>333</v>
      </c>
      <c r="S12" s="12">
        <v>297</v>
      </c>
      <c r="T12" s="12">
        <v>365</v>
      </c>
      <c r="U12" s="12">
        <v>296</v>
      </c>
      <c r="V12" s="12">
        <v>448</v>
      </c>
      <c r="W12" s="12">
        <v>313</v>
      </c>
      <c r="X12" s="12">
        <v>502</v>
      </c>
      <c r="Y12" s="12">
        <v>398</v>
      </c>
      <c r="Z12" s="12">
        <v>204</v>
      </c>
      <c r="AA12" s="12">
        <v>439</v>
      </c>
      <c r="AB12" s="12">
        <v>267</v>
      </c>
      <c r="AC12" s="12">
        <v>441</v>
      </c>
      <c r="AD12" s="12">
        <v>439</v>
      </c>
      <c r="AE12" s="12">
        <v>328</v>
      </c>
      <c r="AF12" s="12">
        <v>717</v>
      </c>
    </row>
    <row r="13" spans="1:32">
      <c r="A13" s="20"/>
      <c r="B13" s="13" t="s">
        <v>559</v>
      </c>
      <c r="C13" s="14">
        <v>0.42</v>
      </c>
      <c r="D13" s="14">
        <v>0.41</v>
      </c>
      <c r="E13" s="14">
        <v>0.43</v>
      </c>
      <c r="F13" s="14">
        <v>0.24</v>
      </c>
      <c r="G13" s="14">
        <v>0.59</v>
      </c>
      <c r="H13" s="14">
        <v>0.38</v>
      </c>
      <c r="I13" s="14">
        <v>0.38</v>
      </c>
      <c r="J13" s="14">
        <v>0.37</v>
      </c>
      <c r="K13" s="14">
        <v>0.25</v>
      </c>
      <c r="L13" s="14">
        <v>0.54</v>
      </c>
      <c r="M13" s="14">
        <v>0.46</v>
      </c>
      <c r="N13" s="14">
        <v>0.56000000000000005</v>
      </c>
      <c r="O13" s="14">
        <v>0.51</v>
      </c>
      <c r="P13" s="14">
        <v>0.36</v>
      </c>
      <c r="Q13" s="14">
        <v>0.4</v>
      </c>
      <c r="R13" s="14">
        <v>0.67</v>
      </c>
      <c r="S13" s="14">
        <v>0.28999999999999998</v>
      </c>
      <c r="T13" s="14">
        <v>0.36</v>
      </c>
      <c r="U13" s="14">
        <v>0.59</v>
      </c>
      <c r="V13" s="14">
        <v>0.44</v>
      </c>
      <c r="W13" s="14">
        <v>0.62</v>
      </c>
      <c r="X13" s="14">
        <v>0.49</v>
      </c>
      <c r="Y13" s="14">
        <v>0.39</v>
      </c>
      <c r="Z13" s="14">
        <v>0.2</v>
      </c>
      <c r="AA13" s="14">
        <v>0.42</v>
      </c>
      <c r="AB13" s="14">
        <v>0.26</v>
      </c>
      <c r="AC13" s="14">
        <v>0.44</v>
      </c>
      <c r="AD13" s="14">
        <v>0.44</v>
      </c>
      <c r="AE13" s="14">
        <v>0.33</v>
      </c>
      <c r="AF13" s="14">
        <v>0.70000000000000007</v>
      </c>
    </row>
    <row r="14" spans="1:32">
      <c r="A14" s="20"/>
      <c r="B14" s="11" t="s">
        <v>668</v>
      </c>
      <c r="C14" s="12">
        <v>11398</v>
      </c>
      <c r="D14" s="12">
        <v>446</v>
      </c>
      <c r="E14" s="12">
        <v>436</v>
      </c>
      <c r="F14" s="12">
        <v>469</v>
      </c>
      <c r="G14" s="12">
        <v>298</v>
      </c>
      <c r="H14" s="12">
        <v>575</v>
      </c>
      <c r="I14" s="12">
        <v>702</v>
      </c>
      <c r="J14" s="12">
        <v>128</v>
      </c>
      <c r="K14" s="12">
        <v>366</v>
      </c>
      <c r="L14" s="12">
        <v>337</v>
      </c>
      <c r="M14" s="12">
        <v>475</v>
      </c>
      <c r="N14" s="12">
        <v>336</v>
      </c>
      <c r="O14" s="12">
        <v>382</v>
      </c>
      <c r="P14" s="12">
        <v>543</v>
      </c>
      <c r="Q14" s="12">
        <v>494</v>
      </c>
      <c r="R14" s="12">
        <v>123</v>
      </c>
      <c r="S14" s="12">
        <v>402</v>
      </c>
      <c r="T14" s="12">
        <v>442</v>
      </c>
      <c r="U14" s="12">
        <v>156</v>
      </c>
      <c r="V14" s="12">
        <v>489</v>
      </c>
      <c r="W14" s="12">
        <v>133</v>
      </c>
      <c r="X14" s="12">
        <v>333</v>
      </c>
      <c r="Y14" s="12">
        <v>393</v>
      </c>
      <c r="Z14" s="12">
        <v>595</v>
      </c>
      <c r="AA14" s="12">
        <v>522</v>
      </c>
      <c r="AB14" s="12">
        <v>499</v>
      </c>
      <c r="AC14" s="12">
        <v>421</v>
      </c>
      <c r="AD14" s="12">
        <v>433</v>
      </c>
      <c r="AE14" s="12">
        <v>423</v>
      </c>
      <c r="AF14" s="12">
        <v>216</v>
      </c>
    </row>
    <row r="15" spans="1:32">
      <c r="A15" s="20"/>
      <c r="B15" s="13" t="s">
        <v>561</v>
      </c>
      <c r="C15" s="14">
        <v>0.43</v>
      </c>
      <c r="D15" s="14">
        <v>0.44</v>
      </c>
      <c r="E15" s="14">
        <v>0.43</v>
      </c>
      <c r="F15" s="14">
        <v>0.47</v>
      </c>
      <c r="G15" s="14">
        <v>0.3</v>
      </c>
      <c r="H15" s="14">
        <v>0.47</v>
      </c>
      <c r="I15" s="14">
        <v>0.46</v>
      </c>
      <c r="J15" s="14">
        <v>0.44</v>
      </c>
      <c r="K15" s="14">
        <v>0.36</v>
      </c>
      <c r="L15" s="14">
        <v>0.34</v>
      </c>
      <c r="M15" s="14">
        <v>0.48</v>
      </c>
      <c r="N15" s="14">
        <v>0.34</v>
      </c>
      <c r="O15" s="14">
        <v>0.38</v>
      </c>
      <c r="P15" s="14">
        <v>0.53</v>
      </c>
      <c r="Q15" s="14">
        <v>0.48</v>
      </c>
      <c r="R15" s="14">
        <v>0.25</v>
      </c>
      <c r="S15" s="14">
        <v>0.4</v>
      </c>
      <c r="T15" s="14">
        <v>0.43</v>
      </c>
      <c r="U15" s="14">
        <v>0.31</v>
      </c>
      <c r="V15" s="14">
        <v>0.48</v>
      </c>
      <c r="W15" s="14">
        <v>0.26</v>
      </c>
      <c r="X15" s="14">
        <v>0.32</v>
      </c>
      <c r="Y15" s="14">
        <v>0.39</v>
      </c>
      <c r="Z15" s="14">
        <v>0.59</v>
      </c>
      <c r="AA15" s="14">
        <v>0.49</v>
      </c>
      <c r="AB15" s="14">
        <v>0.48</v>
      </c>
      <c r="AC15" s="14">
        <v>0.42</v>
      </c>
      <c r="AD15" s="14">
        <v>0.43</v>
      </c>
      <c r="AE15" s="14">
        <v>0.42</v>
      </c>
      <c r="AF15" s="14">
        <v>0.21</v>
      </c>
    </row>
    <row r="16" spans="1:32">
      <c r="A16" s="20"/>
      <c r="B16" s="11" t="s">
        <v>669</v>
      </c>
      <c r="C16" s="12">
        <v>2483</v>
      </c>
      <c r="D16" s="12">
        <v>116</v>
      </c>
      <c r="E16" s="12">
        <v>78</v>
      </c>
      <c r="F16" s="12">
        <v>180</v>
      </c>
      <c r="G16" s="12">
        <v>56</v>
      </c>
      <c r="H16" s="12">
        <v>107</v>
      </c>
      <c r="I16" s="12">
        <v>150</v>
      </c>
      <c r="J16" s="12">
        <v>42</v>
      </c>
      <c r="K16" s="12">
        <v>221</v>
      </c>
      <c r="L16" s="12">
        <v>54</v>
      </c>
      <c r="M16" s="12">
        <v>40</v>
      </c>
      <c r="N16" s="12">
        <v>63</v>
      </c>
      <c r="O16" s="12">
        <v>64</v>
      </c>
      <c r="P16" s="12">
        <v>70</v>
      </c>
      <c r="Q16" s="12">
        <v>88</v>
      </c>
      <c r="R16" s="12">
        <v>26</v>
      </c>
      <c r="S16" s="12">
        <v>171</v>
      </c>
      <c r="T16" s="12">
        <v>118</v>
      </c>
      <c r="U16" s="12">
        <v>32</v>
      </c>
      <c r="V16" s="12">
        <v>63</v>
      </c>
      <c r="W16" s="12">
        <v>33</v>
      </c>
      <c r="X16" s="12">
        <v>130</v>
      </c>
      <c r="Y16" s="12">
        <v>138</v>
      </c>
      <c r="Z16" s="12">
        <v>148</v>
      </c>
      <c r="AA16" s="12">
        <v>39</v>
      </c>
      <c r="AB16" s="12">
        <v>187</v>
      </c>
      <c r="AC16" s="12">
        <v>97</v>
      </c>
      <c r="AD16" s="12">
        <v>62</v>
      </c>
      <c r="AE16" s="12">
        <v>181</v>
      </c>
      <c r="AF16" s="12">
        <v>56</v>
      </c>
    </row>
    <row r="17" spans="1:32">
      <c r="A17" s="20"/>
      <c r="B17" s="13" t="s">
        <v>563</v>
      </c>
      <c r="C17" s="14">
        <v>0.1</v>
      </c>
      <c r="D17" s="14">
        <v>0.11</v>
      </c>
      <c r="E17" s="14">
        <v>0.08</v>
      </c>
      <c r="F17" s="14">
        <v>0.18</v>
      </c>
      <c r="G17" s="14">
        <v>0.05</v>
      </c>
      <c r="H17" s="14">
        <v>0.09</v>
      </c>
      <c r="I17" s="14">
        <v>0.1</v>
      </c>
      <c r="J17" s="14">
        <v>0.14000000000000001</v>
      </c>
      <c r="K17" s="14">
        <v>0.22</v>
      </c>
      <c r="L17" s="14">
        <v>0.05</v>
      </c>
      <c r="M17" s="14">
        <v>0.04</v>
      </c>
      <c r="N17" s="14">
        <v>0.06</v>
      </c>
      <c r="O17" s="14">
        <v>0.06</v>
      </c>
      <c r="P17" s="14">
        <v>7.0000000000000007E-2</v>
      </c>
      <c r="Q17" s="14">
        <v>0.09</v>
      </c>
      <c r="R17" s="14">
        <v>0.05</v>
      </c>
      <c r="S17" s="14">
        <v>0.17</v>
      </c>
      <c r="T17" s="14">
        <v>0.12</v>
      </c>
      <c r="U17" s="14">
        <v>0.06</v>
      </c>
      <c r="V17" s="14">
        <v>0.06</v>
      </c>
      <c r="W17" s="14">
        <v>7.0000000000000007E-2</v>
      </c>
      <c r="X17" s="14">
        <v>0.13</v>
      </c>
      <c r="Y17" s="14">
        <v>0.14000000000000001</v>
      </c>
      <c r="Z17" s="14">
        <v>0.15</v>
      </c>
      <c r="AA17" s="14">
        <v>0.04</v>
      </c>
      <c r="AB17" s="14">
        <v>0.18</v>
      </c>
      <c r="AC17" s="14">
        <v>0.09</v>
      </c>
      <c r="AD17" s="14">
        <v>0.06</v>
      </c>
      <c r="AE17" s="14">
        <v>0.18</v>
      </c>
      <c r="AF17" s="14">
        <v>0.06</v>
      </c>
    </row>
    <row r="18" spans="1:32">
      <c r="A18" s="20"/>
      <c r="B18" s="11" t="s">
        <v>670</v>
      </c>
      <c r="C18" s="12">
        <v>764</v>
      </c>
      <c r="D18" s="12">
        <v>28</v>
      </c>
      <c r="E18" s="12">
        <v>19</v>
      </c>
      <c r="F18" s="12">
        <v>46</v>
      </c>
      <c r="G18" s="12">
        <v>17</v>
      </c>
      <c r="H18" s="12">
        <v>35</v>
      </c>
      <c r="I18" s="12">
        <v>48</v>
      </c>
      <c r="J18" s="12">
        <v>13</v>
      </c>
      <c r="K18" s="12">
        <v>96</v>
      </c>
      <c r="L18" s="12">
        <v>41</v>
      </c>
      <c r="M18" s="12">
        <v>14</v>
      </c>
      <c r="N18" s="12">
        <v>24</v>
      </c>
      <c r="O18" s="12">
        <v>28</v>
      </c>
      <c r="P18" s="12">
        <v>18</v>
      </c>
      <c r="Q18" s="12">
        <v>17</v>
      </c>
      <c r="R18" s="12">
        <v>12</v>
      </c>
      <c r="S18" s="12">
        <v>70</v>
      </c>
      <c r="T18" s="12">
        <v>20</v>
      </c>
      <c r="U18" s="12">
        <v>16</v>
      </c>
      <c r="V18" s="12">
        <v>4</v>
      </c>
      <c r="W18" s="12">
        <v>18</v>
      </c>
      <c r="X18" s="12">
        <v>48</v>
      </c>
      <c r="Y18" s="12">
        <v>63</v>
      </c>
      <c r="Z18" s="12">
        <v>34</v>
      </c>
      <c r="AA18" s="12">
        <v>9</v>
      </c>
      <c r="AB18" s="12">
        <v>53</v>
      </c>
      <c r="AC18" s="12">
        <v>41</v>
      </c>
      <c r="AD18" s="12">
        <v>30</v>
      </c>
      <c r="AE18" s="12">
        <v>43</v>
      </c>
      <c r="AF18" s="12">
        <v>29</v>
      </c>
    </row>
    <row r="19" spans="1:32">
      <c r="A19" s="20"/>
      <c r="B19" s="13" t="s">
        <v>565</v>
      </c>
      <c r="C19" s="14">
        <v>0.03</v>
      </c>
      <c r="D19" s="14">
        <v>0.03</v>
      </c>
      <c r="E19" s="14">
        <v>0.02</v>
      </c>
      <c r="F19" s="14">
        <v>0.05</v>
      </c>
      <c r="G19" s="14">
        <v>0.02</v>
      </c>
      <c r="H19" s="14">
        <v>0.03</v>
      </c>
      <c r="I19" s="14">
        <v>0.03</v>
      </c>
      <c r="J19" s="14">
        <v>0.04</v>
      </c>
      <c r="K19" s="14">
        <v>0.1</v>
      </c>
      <c r="L19" s="14">
        <v>0.04</v>
      </c>
      <c r="M19" s="14">
        <v>0.01</v>
      </c>
      <c r="N19" s="14">
        <v>0.02</v>
      </c>
      <c r="O19" s="14">
        <v>0.03</v>
      </c>
      <c r="P19" s="14">
        <v>0.02</v>
      </c>
      <c r="Q19" s="14">
        <v>0.02</v>
      </c>
      <c r="R19" s="14">
        <v>0.02</v>
      </c>
      <c r="S19" s="14">
        <v>7.0000000000000007E-2</v>
      </c>
      <c r="T19" s="14">
        <v>0.02</v>
      </c>
      <c r="U19" s="14">
        <v>0.03</v>
      </c>
      <c r="V19" s="14">
        <v>0.01</v>
      </c>
      <c r="W19" s="14">
        <v>0.04</v>
      </c>
      <c r="X19" s="14">
        <v>0.05</v>
      </c>
      <c r="Y19" s="14">
        <v>0.06</v>
      </c>
      <c r="Z19" s="14">
        <v>0.03</v>
      </c>
      <c r="AA19" s="14">
        <v>0.01</v>
      </c>
      <c r="AB19" s="14">
        <v>0.05</v>
      </c>
      <c r="AC19" s="14">
        <v>0.04</v>
      </c>
      <c r="AD19" s="14">
        <v>0.03</v>
      </c>
      <c r="AE19" s="14">
        <v>0.04</v>
      </c>
      <c r="AF19" s="14">
        <v>0.03</v>
      </c>
    </row>
    <row r="20" spans="1:32">
      <c r="A20" s="20"/>
      <c r="B20" s="11" t="s">
        <v>468</v>
      </c>
      <c r="C20" s="12">
        <v>587</v>
      </c>
      <c r="D20" s="12">
        <v>7</v>
      </c>
      <c r="E20" s="12">
        <v>45</v>
      </c>
      <c r="F20" s="12">
        <v>64</v>
      </c>
      <c r="G20" s="12">
        <v>38</v>
      </c>
      <c r="H20" s="12">
        <v>35</v>
      </c>
      <c r="I20" s="12">
        <v>39</v>
      </c>
      <c r="J20" s="12">
        <v>4</v>
      </c>
      <c r="K20" s="12">
        <v>75</v>
      </c>
      <c r="L20" s="12">
        <v>33</v>
      </c>
      <c r="M20" s="12">
        <v>11</v>
      </c>
      <c r="N20" s="12">
        <v>17</v>
      </c>
      <c r="O20" s="12">
        <v>20</v>
      </c>
      <c r="P20" s="12">
        <v>19</v>
      </c>
      <c r="Q20" s="12">
        <v>13</v>
      </c>
      <c r="R20" s="12">
        <v>6</v>
      </c>
      <c r="S20" s="12">
        <v>68</v>
      </c>
      <c r="T20" s="12">
        <v>69</v>
      </c>
      <c r="U20" s="12">
        <v>7</v>
      </c>
      <c r="V20" s="12">
        <v>13</v>
      </c>
      <c r="W20" s="12">
        <v>5</v>
      </c>
      <c r="X20" s="12">
        <v>9</v>
      </c>
      <c r="Y20" s="12">
        <v>16</v>
      </c>
      <c r="Z20" s="12">
        <v>27</v>
      </c>
      <c r="AA20" s="12">
        <v>44</v>
      </c>
      <c r="AB20" s="12">
        <v>33</v>
      </c>
      <c r="AC20" s="12">
        <v>9</v>
      </c>
      <c r="AD20" s="12">
        <v>42</v>
      </c>
      <c r="AE20" s="12">
        <v>27</v>
      </c>
      <c r="AF20" s="12">
        <v>3</v>
      </c>
    </row>
    <row r="21" spans="1:32">
      <c r="A21" s="20"/>
      <c r="B21" s="13" t="s">
        <v>469</v>
      </c>
      <c r="C21" s="14">
        <v>0.02</v>
      </c>
      <c r="D21" s="14">
        <v>0.01</v>
      </c>
      <c r="E21" s="14">
        <v>0.04</v>
      </c>
      <c r="F21" s="14">
        <v>0.06</v>
      </c>
      <c r="G21" s="14">
        <v>0.04</v>
      </c>
      <c r="H21" s="14">
        <v>0.03</v>
      </c>
      <c r="I21" s="14">
        <v>0.03</v>
      </c>
      <c r="J21" s="14">
        <v>0.01</v>
      </c>
      <c r="K21" s="14">
        <v>7.0000000000000007E-2</v>
      </c>
      <c r="L21" s="14">
        <v>0.03</v>
      </c>
      <c r="M21" s="14">
        <v>0.01</v>
      </c>
      <c r="N21" s="14">
        <v>0.02</v>
      </c>
      <c r="O21" s="14">
        <v>0.02</v>
      </c>
      <c r="P21" s="14">
        <v>0.02</v>
      </c>
      <c r="Q21" s="14">
        <v>0.01</v>
      </c>
      <c r="R21" s="14">
        <v>0.01</v>
      </c>
      <c r="S21" s="14">
        <v>7.0000000000000007E-2</v>
      </c>
      <c r="T21" s="14">
        <v>7.0000000000000007E-2</v>
      </c>
      <c r="U21" s="14">
        <v>0.01</v>
      </c>
      <c r="V21" s="14">
        <v>0.01</v>
      </c>
      <c r="W21" s="14">
        <v>0.01</v>
      </c>
      <c r="X21" s="14">
        <v>0.01</v>
      </c>
      <c r="Y21" s="14">
        <v>0.02</v>
      </c>
      <c r="Z21" s="14">
        <v>0.03</v>
      </c>
      <c r="AA21" s="14">
        <v>0.04</v>
      </c>
      <c r="AB21" s="14">
        <v>0.03</v>
      </c>
      <c r="AC21" s="14">
        <v>0.01</v>
      </c>
      <c r="AD21" s="14">
        <v>0.04</v>
      </c>
      <c r="AE21" s="14">
        <v>0.03</v>
      </c>
      <c r="AF21" s="15" t="s">
        <v>459</v>
      </c>
    </row>
    <row r="22" spans="1:32">
      <c r="A22" s="20"/>
      <c r="B22" s="11" t="s">
        <v>566</v>
      </c>
      <c r="C22" s="12">
        <v>22486</v>
      </c>
      <c r="D22" s="12">
        <v>853</v>
      </c>
      <c r="E22" s="12">
        <v>876</v>
      </c>
      <c r="F22" s="12">
        <v>715</v>
      </c>
      <c r="G22" s="12">
        <v>893</v>
      </c>
      <c r="H22" s="12">
        <v>1039</v>
      </c>
      <c r="I22" s="12">
        <v>1273</v>
      </c>
      <c r="J22" s="12">
        <v>235</v>
      </c>
      <c r="K22" s="12">
        <v>614</v>
      </c>
      <c r="L22" s="12">
        <v>880</v>
      </c>
      <c r="M22" s="12">
        <v>938</v>
      </c>
      <c r="N22" s="12">
        <v>900</v>
      </c>
      <c r="O22" s="12">
        <v>892</v>
      </c>
      <c r="P22" s="12">
        <v>915</v>
      </c>
      <c r="Q22" s="12">
        <v>901</v>
      </c>
      <c r="R22" s="12">
        <v>456</v>
      </c>
      <c r="S22" s="12">
        <v>699</v>
      </c>
      <c r="T22" s="12">
        <v>807</v>
      </c>
      <c r="U22" s="12">
        <v>452</v>
      </c>
      <c r="V22" s="12">
        <v>937</v>
      </c>
      <c r="W22" s="12">
        <v>446</v>
      </c>
      <c r="X22" s="12">
        <v>835</v>
      </c>
      <c r="Y22" s="12">
        <v>791</v>
      </c>
      <c r="Z22" s="12">
        <v>799</v>
      </c>
      <c r="AA22" s="12">
        <v>961</v>
      </c>
      <c r="AB22" s="12">
        <v>766</v>
      </c>
      <c r="AC22" s="12">
        <v>862</v>
      </c>
      <c r="AD22" s="12">
        <v>872</v>
      </c>
      <c r="AE22" s="12">
        <v>751</v>
      </c>
      <c r="AF22" s="12">
        <v>933</v>
      </c>
    </row>
    <row r="23" spans="1:32">
      <c r="A23" s="20"/>
      <c r="B23" s="13" t="s">
        <v>567</v>
      </c>
      <c r="C23" s="14">
        <v>0.85</v>
      </c>
      <c r="D23" s="14">
        <v>0.85</v>
      </c>
      <c r="E23" s="14">
        <v>0.86</v>
      </c>
      <c r="F23" s="14">
        <v>0.71</v>
      </c>
      <c r="G23" s="14">
        <v>0.89</v>
      </c>
      <c r="H23" s="14">
        <v>0.85</v>
      </c>
      <c r="I23" s="14">
        <v>0.84</v>
      </c>
      <c r="J23" s="14">
        <v>0.81</v>
      </c>
      <c r="K23" s="14">
        <v>0.61</v>
      </c>
      <c r="L23" s="14">
        <v>0.88</v>
      </c>
      <c r="M23" s="14">
        <v>0.94000000000000006</v>
      </c>
      <c r="N23" s="14">
        <v>0.9</v>
      </c>
      <c r="O23" s="14">
        <v>0.89</v>
      </c>
      <c r="P23" s="14">
        <v>0.89</v>
      </c>
      <c r="Q23" s="14">
        <v>0.88</v>
      </c>
      <c r="R23" s="14">
        <v>0.92</v>
      </c>
      <c r="S23" s="14">
        <v>0.69000000000000006</v>
      </c>
      <c r="T23" s="14">
        <v>0.79</v>
      </c>
      <c r="U23" s="14">
        <v>0.9</v>
      </c>
      <c r="V23" s="14">
        <v>0.92</v>
      </c>
      <c r="W23" s="14">
        <v>0.88</v>
      </c>
      <c r="X23" s="14">
        <v>0.81</v>
      </c>
      <c r="Y23" s="14">
        <v>0.78</v>
      </c>
      <c r="Z23" s="14">
        <v>0.79</v>
      </c>
      <c r="AA23" s="14">
        <v>0.91</v>
      </c>
      <c r="AB23" s="14">
        <v>0.74</v>
      </c>
      <c r="AC23" s="14">
        <v>0.86</v>
      </c>
      <c r="AD23" s="14">
        <v>0.87</v>
      </c>
      <c r="AE23" s="14">
        <v>0.75</v>
      </c>
      <c r="AF23" s="14">
        <v>0.91</v>
      </c>
    </row>
    <row r="24" spans="1:32">
      <c r="A24" s="20"/>
      <c r="B24" s="11" t="s">
        <v>568</v>
      </c>
      <c r="C24" s="12">
        <v>3247</v>
      </c>
      <c r="D24" s="12">
        <v>144</v>
      </c>
      <c r="E24" s="12">
        <v>97</v>
      </c>
      <c r="F24" s="12">
        <v>226</v>
      </c>
      <c r="G24" s="12">
        <v>73</v>
      </c>
      <c r="H24" s="12">
        <v>142</v>
      </c>
      <c r="I24" s="12">
        <v>198</v>
      </c>
      <c r="J24" s="12">
        <v>55</v>
      </c>
      <c r="K24" s="12">
        <v>317</v>
      </c>
      <c r="L24" s="12">
        <v>95</v>
      </c>
      <c r="M24" s="12">
        <v>54</v>
      </c>
      <c r="N24" s="12">
        <v>87</v>
      </c>
      <c r="O24" s="12">
        <v>92</v>
      </c>
      <c r="P24" s="12">
        <v>88</v>
      </c>
      <c r="Q24" s="12">
        <v>105</v>
      </c>
      <c r="R24" s="12">
        <v>38</v>
      </c>
      <c r="S24" s="12">
        <v>241</v>
      </c>
      <c r="T24" s="12">
        <v>138</v>
      </c>
      <c r="U24" s="12">
        <v>48</v>
      </c>
      <c r="V24" s="12">
        <v>67</v>
      </c>
      <c r="W24" s="12">
        <v>51</v>
      </c>
      <c r="X24" s="12">
        <v>178</v>
      </c>
      <c r="Y24" s="12">
        <v>201</v>
      </c>
      <c r="Z24" s="12">
        <v>182</v>
      </c>
      <c r="AA24" s="12">
        <v>48</v>
      </c>
      <c r="AB24" s="12">
        <v>240</v>
      </c>
      <c r="AC24" s="12">
        <v>138</v>
      </c>
      <c r="AD24" s="12">
        <v>92</v>
      </c>
      <c r="AE24" s="12">
        <v>224</v>
      </c>
      <c r="AF24" s="12">
        <v>85</v>
      </c>
    </row>
    <row r="25" spans="1:32">
      <c r="A25" s="20"/>
      <c r="B25" s="13" t="s">
        <v>569</v>
      </c>
      <c r="C25" s="14">
        <v>0.13</v>
      </c>
      <c r="D25" s="14">
        <v>0.14000000000000001</v>
      </c>
      <c r="E25" s="14">
        <v>0.1</v>
      </c>
      <c r="F25" s="14">
        <v>0.23</v>
      </c>
      <c r="G25" s="14">
        <v>7.0000000000000007E-2</v>
      </c>
      <c r="H25" s="14">
        <v>0.12</v>
      </c>
      <c r="I25" s="14">
        <v>0.13</v>
      </c>
      <c r="J25" s="14">
        <v>0.18</v>
      </c>
      <c r="K25" s="14">
        <v>0.32</v>
      </c>
      <c r="L25" s="14">
        <v>0.09</v>
      </c>
      <c r="M25" s="14">
        <v>0.05</v>
      </c>
      <c r="N25" s="14">
        <v>0.08</v>
      </c>
      <c r="O25" s="14">
        <v>0.09</v>
      </c>
      <c r="P25" s="14">
        <v>0.09</v>
      </c>
      <c r="Q25" s="14">
        <v>0.11</v>
      </c>
      <c r="R25" s="14">
        <v>7.0000000000000007E-2</v>
      </c>
      <c r="S25" s="14">
        <v>0.24</v>
      </c>
      <c r="T25" s="14">
        <v>0.14000000000000001</v>
      </c>
      <c r="U25" s="14">
        <v>0.09</v>
      </c>
      <c r="V25" s="14">
        <v>7.0000000000000007E-2</v>
      </c>
      <c r="W25" s="14">
        <v>0.11</v>
      </c>
      <c r="X25" s="14">
        <v>0.18</v>
      </c>
      <c r="Y25" s="14">
        <v>0.2</v>
      </c>
      <c r="Z25" s="14">
        <v>0.18</v>
      </c>
      <c r="AA25" s="14">
        <v>0.05</v>
      </c>
      <c r="AB25" s="14">
        <v>0.23</v>
      </c>
      <c r="AC25" s="14">
        <v>0.13</v>
      </c>
      <c r="AD25" s="14">
        <v>0.09</v>
      </c>
      <c r="AE25" s="14">
        <v>0.22</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1085</v>
      </c>
      <c r="C3" s="18"/>
      <c r="D3" s="18"/>
      <c r="E3" s="18"/>
      <c r="F3" s="18"/>
      <c r="H3" s="18" t="s">
        <v>1086</v>
      </c>
      <c r="I3" s="18"/>
      <c r="J3" s="18"/>
      <c r="K3" s="18"/>
      <c r="L3" s="18"/>
    </row>
    <row r="4" spans="1:32" ht="27" customHeight="1">
      <c r="B4" s="18" t="s">
        <v>1087</v>
      </c>
      <c r="C4" s="18"/>
      <c r="D4" s="18"/>
      <c r="E4" s="18"/>
      <c r="F4" s="18"/>
      <c r="H4" s="18" t="s">
        <v>1088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HYPERLINK("#Content!A99","&lt;&lt;Back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8778</v>
      </c>
      <c r="D12" s="12">
        <v>342</v>
      </c>
      <c r="E12" s="12">
        <v>296</v>
      </c>
      <c r="F12" s="12">
        <v>198</v>
      </c>
      <c r="G12" s="12">
        <v>441</v>
      </c>
      <c r="H12" s="12">
        <v>411</v>
      </c>
      <c r="I12" s="12">
        <v>503</v>
      </c>
      <c r="J12" s="12">
        <v>92</v>
      </c>
      <c r="K12" s="12">
        <v>155</v>
      </c>
      <c r="L12" s="12">
        <v>472</v>
      </c>
      <c r="M12" s="12">
        <v>369</v>
      </c>
      <c r="N12" s="12">
        <v>390</v>
      </c>
      <c r="O12" s="12">
        <v>358</v>
      </c>
      <c r="P12" s="12">
        <v>322</v>
      </c>
      <c r="Q12" s="12">
        <v>332</v>
      </c>
      <c r="R12" s="12">
        <v>276</v>
      </c>
      <c r="S12" s="12">
        <v>228</v>
      </c>
      <c r="T12" s="12">
        <v>309</v>
      </c>
      <c r="U12" s="12">
        <v>216</v>
      </c>
      <c r="V12" s="12">
        <v>324</v>
      </c>
      <c r="W12" s="12">
        <v>281</v>
      </c>
      <c r="X12" s="12">
        <v>430</v>
      </c>
      <c r="Y12" s="12">
        <v>361</v>
      </c>
      <c r="Z12" s="12">
        <v>187</v>
      </c>
      <c r="AA12" s="12">
        <v>345</v>
      </c>
      <c r="AB12" s="12">
        <v>232</v>
      </c>
      <c r="AC12" s="12">
        <v>408</v>
      </c>
      <c r="AD12" s="12">
        <v>343</v>
      </c>
      <c r="AE12" s="12">
        <v>375</v>
      </c>
      <c r="AF12" s="12">
        <v>530</v>
      </c>
    </row>
    <row r="13" spans="1:32">
      <c r="A13" s="20"/>
      <c r="B13" s="13" t="s">
        <v>559</v>
      </c>
      <c r="C13" s="14">
        <v>0.34</v>
      </c>
      <c r="D13" s="14">
        <v>0.34</v>
      </c>
      <c r="E13" s="14">
        <v>0.28999999999999998</v>
      </c>
      <c r="F13" s="14">
        <v>0.2</v>
      </c>
      <c r="G13" s="14">
        <v>0.44</v>
      </c>
      <c r="H13" s="14">
        <v>0.34</v>
      </c>
      <c r="I13" s="14">
        <v>0.33</v>
      </c>
      <c r="J13" s="14">
        <v>0.31</v>
      </c>
      <c r="K13" s="14">
        <v>0.15</v>
      </c>
      <c r="L13" s="14">
        <v>0.47</v>
      </c>
      <c r="M13" s="14">
        <v>0.37</v>
      </c>
      <c r="N13" s="14">
        <v>0.39</v>
      </c>
      <c r="O13" s="14">
        <v>0.36</v>
      </c>
      <c r="P13" s="14">
        <v>0.32</v>
      </c>
      <c r="Q13" s="14">
        <v>0.33</v>
      </c>
      <c r="R13" s="14">
        <v>0.55000000000000004</v>
      </c>
      <c r="S13" s="14">
        <v>0.23</v>
      </c>
      <c r="T13" s="14">
        <v>0.31</v>
      </c>
      <c r="U13" s="14">
        <v>0.43</v>
      </c>
      <c r="V13" s="14">
        <v>0.32</v>
      </c>
      <c r="W13" s="14">
        <v>0.56000000000000005</v>
      </c>
      <c r="X13" s="14">
        <v>0.42</v>
      </c>
      <c r="Y13" s="14">
        <v>0.36</v>
      </c>
      <c r="Z13" s="14">
        <v>0.19</v>
      </c>
      <c r="AA13" s="14">
        <v>0.33</v>
      </c>
      <c r="AB13" s="14">
        <v>0.22</v>
      </c>
      <c r="AC13" s="14">
        <v>0.4</v>
      </c>
      <c r="AD13" s="14">
        <v>0.34</v>
      </c>
      <c r="AE13" s="14">
        <v>0.37</v>
      </c>
      <c r="AF13" s="14">
        <v>0.52</v>
      </c>
    </row>
    <row r="14" spans="1:32">
      <c r="A14" s="20"/>
      <c r="B14" s="11" t="s">
        <v>668</v>
      </c>
      <c r="C14" s="12">
        <v>11386</v>
      </c>
      <c r="D14" s="12">
        <v>453</v>
      </c>
      <c r="E14" s="12">
        <v>383</v>
      </c>
      <c r="F14" s="12">
        <v>436</v>
      </c>
      <c r="G14" s="12">
        <v>367</v>
      </c>
      <c r="H14" s="12">
        <v>504</v>
      </c>
      <c r="I14" s="12">
        <v>632</v>
      </c>
      <c r="J14" s="12">
        <v>128</v>
      </c>
      <c r="K14" s="12">
        <v>311</v>
      </c>
      <c r="L14" s="12">
        <v>376</v>
      </c>
      <c r="M14" s="12">
        <v>449</v>
      </c>
      <c r="N14" s="12">
        <v>368</v>
      </c>
      <c r="O14" s="12">
        <v>405</v>
      </c>
      <c r="P14" s="12">
        <v>557</v>
      </c>
      <c r="Q14" s="12">
        <v>531</v>
      </c>
      <c r="R14" s="12">
        <v>153</v>
      </c>
      <c r="S14" s="12">
        <v>396</v>
      </c>
      <c r="T14" s="12">
        <v>397</v>
      </c>
      <c r="U14" s="12">
        <v>189</v>
      </c>
      <c r="V14" s="12">
        <v>464</v>
      </c>
      <c r="W14" s="12">
        <v>142</v>
      </c>
      <c r="X14" s="12">
        <v>318</v>
      </c>
      <c r="Y14" s="12">
        <v>374</v>
      </c>
      <c r="Z14" s="12">
        <v>573</v>
      </c>
      <c r="AA14" s="12">
        <v>560</v>
      </c>
      <c r="AB14" s="12">
        <v>460</v>
      </c>
      <c r="AC14" s="12">
        <v>414</v>
      </c>
      <c r="AD14" s="12">
        <v>417</v>
      </c>
      <c r="AE14" s="12">
        <v>346</v>
      </c>
      <c r="AF14" s="12">
        <v>314</v>
      </c>
    </row>
    <row r="15" spans="1:32">
      <c r="A15" s="20"/>
      <c r="B15" s="13" t="s">
        <v>561</v>
      </c>
      <c r="C15" s="14">
        <v>0.43</v>
      </c>
      <c r="D15" s="14">
        <v>0.45</v>
      </c>
      <c r="E15" s="14">
        <v>0.38</v>
      </c>
      <c r="F15" s="14">
        <v>0.43</v>
      </c>
      <c r="G15" s="14">
        <v>0.37</v>
      </c>
      <c r="H15" s="14">
        <v>0.42</v>
      </c>
      <c r="I15" s="14">
        <v>0.42</v>
      </c>
      <c r="J15" s="14">
        <v>0.44</v>
      </c>
      <c r="K15" s="14">
        <v>0.31</v>
      </c>
      <c r="L15" s="14">
        <v>0.37</v>
      </c>
      <c r="M15" s="14">
        <v>0.45</v>
      </c>
      <c r="N15" s="14">
        <v>0.37</v>
      </c>
      <c r="O15" s="14">
        <v>0.4</v>
      </c>
      <c r="P15" s="14">
        <v>0.54</v>
      </c>
      <c r="Q15" s="14">
        <v>0.52</v>
      </c>
      <c r="R15" s="14">
        <v>0.31</v>
      </c>
      <c r="S15" s="14">
        <v>0.39</v>
      </c>
      <c r="T15" s="14">
        <v>0.39</v>
      </c>
      <c r="U15" s="14">
        <v>0.37</v>
      </c>
      <c r="V15" s="14">
        <v>0.46</v>
      </c>
      <c r="W15" s="14">
        <v>0.28000000000000003</v>
      </c>
      <c r="X15" s="14">
        <v>0.31</v>
      </c>
      <c r="Y15" s="14">
        <v>0.37</v>
      </c>
      <c r="Z15" s="14">
        <v>0.57000000000000006</v>
      </c>
      <c r="AA15" s="14">
        <v>0.53</v>
      </c>
      <c r="AB15" s="14">
        <v>0.44</v>
      </c>
      <c r="AC15" s="14">
        <v>0.41</v>
      </c>
      <c r="AD15" s="14">
        <v>0.42</v>
      </c>
      <c r="AE15" s="14">
        <v>0.35</v>
      </c>
      <c r="AF15" s="14">
        <v>0.31</v>
      </c>
    </row>
    <row r="16" spans="1:32">
      <c r="A16" s="20"/>
      <c r="B16" s="11" t="s">
        <v>669</v>
      </c>
      <c r="C16" s="12">
        <v>2896</v>
      </c>
      <c r="D16" s="12">
        <v>135</v>
      </c>
      <c r="E16" s="12">
        <v>117</v>
      </c>
      <c r="F16" s="12">
        <v>190</v>
      </c>
      <c r="G16" s="12">
        <v>83</v>
      </c>
      <c r="H16" s="12">
        <v>125</v>
      </c>
      <c r="I16" s="12">
        <v>166</v>
      </c>
      <c r="J16" s="12">
        <v>41</v>
      </c>
      <c r="K16" s="12">
        <v>272</v>
      </c>
      <c r="L16" s="12">
        <v>57</v>
      </c>
      <c r="M16" s="12">
        <v>88</v>
      </c>
      <c r="N16" s="12">
        <v>90</v>
      </c>
      <c r="O16" s="12">
        <v>104</v>
      </c>
      <c r="P16" s="12">
        <v>89</v>
      </c>
      <c r="Q16" s="12">
        <v>94</v>
      </c>
      <c r="R16" s="12">
        <v>34</v>
      </c>
      <c r="S16" s="12">
        <v>153</v>
      </c>
      <c r="T16" s="12">
        <v>112</v>
      </c>
      <c r="U16" s="12">
        <v>36</v>
      </c>
      <c r="V16" s="12">
        <v>114</v>
      </c>
      <c r="W16" s="12">
        <v>46</v>
      </c>
      <c r="X16" s="12">
        <v>140</v>
      </c>
      <c r="Y16" s="12">
        <v>118</v>
      </c>
      <c r="Z16" s="12">
        <v>140</v>
      </c>
      <c r="AA16" s="12">
        <v>37</v>
      </c>
      <c r="AB16" s="12">
        <v>194</v>
      </c>
      <c r="AC16" s="12">
        <v>109</v>
      </c>
      <c r="AD16" s="12">
        <v>105</v>
      </c>
      <c r="AE16" s="12">
        <v>116</v>
      </c>
      <c r="AF16" s="12">
        <v>72</v>
      </c>
    </row>
    <row r="17" spans="1:32">
      <c r="A17" s="20"/>
      <c r="B17" s="13" t="s">
        <v>563</v>
      </c>
      <c r="C17" s="14">
        <v>0.11</v>
      </c>
      <c r="D17" s="14">
        <v>0.14000000000000001</v>
      </c>
      <c r="E17" s="14">
        <v>0.11</v>
      </c>
      <c r="F17" s="14">
        <v>0.19</v>
      </c>
      <c r="G17" s="14">
        <v>0.08</v>
      </c>
      <c r="H17" s="14">
        <v>0.1</v>
      </c>
      <c r="I17" s="14">
        <v>0.11</v>
      </c>
      <c r="J17" s="14">
        <v>0.14000000000000001</v>
      </c>
      <c r="K17" s="14">
        <v>0.27</v>
      </c>
      <c r="L17" s="14">
        <v>0.06</v>
      </c>
      <c r="M17" s="14">
        <v>0.09</v>
      </c>
      <c r="N17" s="14">
        <v>0.09</v>
      </c>
      <c r="O17" s="14">
        <v>0.1</v>
      </c>
      <c r="P17" s="14">
        <v>0.09</v>
      </c>
      <c r="Q17" s="14">
        <v>0.09</v>
      </c>
      <c r="R17" s="14">
        <v>7.0000000000000007E-2</v>
      </c>
      <c r="S17" s="14">
        <v>0.15</v>
      </c>
      <c r="T17" s="14">
        <v>0.11</v>
      </c>
      <c r="U17" s="14">
        <v>7.0000000000000007E-2</v>
      </c>
      <c r="V17" s="14">
        <v>0.11</v>
      </c>
      <c r="W17" s="14">
        <v>0.09</v>
      </c>
      <c r="X17" s="14">
        <v>0.14000000000000001</v>
      </c>
      <c r="Y17" s="14">
        <v>0.12</v>
      </c>
      <c r="Z17" s="14">
        <v>0.14000000000000001</v>
      </c>
      <c r="AA17" s="14">
        <v>0.03</v>
      </c>
      <c r="AB17" s="14">
        <v>0.19</v>
      </c>
      <c r="AC17" s="14">
        <v>0.11</v>
      </c>
      <c r="AD17" s="14">
        <v>0.1</v>
      </c>
      <c r="AE17" s="14">
        <v>0.12</v>
      </c>
      <c r="AF17" s="14">
        <v>7.0000000000000007E-2</v>
      </c>
    </row>
    <row r="18" spans="1:32">
      <c r="A18" s="20"/>
      <c r="B18" s="11" t="s">
        <v>670</v>
      </c>
      <c r="C18" s="12">
        <v>838</v>
      </c>
      <c r="D18" s="12">
        <v>34</v>
      </c>
      <c r="E18" s="12">
        <v>43</v>
      </c>
      <c r="F18" s="12">
        <v>58</v>
      </c>
      <c r="G18" s="12">
        <v>21</v>
      </c>
      <c r="H18" s="12">
        <v>41</v>
      </c>
      <c r="I18" s="12">
        <v>57</v>
      </c>
      <c r="J18" s="12">
        <v>16</v>
      </c>
      <c r="K18" s="12">
        <v>111</v>
      </c>
      <c r="L18" s="12">
        <v>31</v>
      </c>
      <c r="M18" s="12">
        <v>15</v>
      </c>
      <c r="N18" s="12">
        <v>36</v>
      </c>
      <c r="O18" s="12">
        <v>16</v>
      </c>
      <c r="P18" s="12">
        <v>21</v>
      </c>
      <c r="Q18" s="12">
        <v>24</v>
      </c>
      <c r="R18" s="12">
        <v>12</v>
      </c>
      <c r="S18" s="12">
        <v>66</v>
      </c>
      <c r="T18" s="12">
        <v>42</v>
      </c>
      <c r="U18" s="12">
        <v>23</v>
      </c>
      <c r="V18" s="12">
        <v>21</v>
      </c>
      <c r="W18" s="12">
        <v>15</v>
      </c>
      <c r="X18" s="12">
        <v>53</v>
      </c>
      <c r="Y18" s="12">
        <v>84</v>
      </c>
      <c r="Z18" s="12">
        <v>32</v>
      </c>
      <c r="AA18" s="12">
        <v>0</v>
      </c>
      <c r="AB18" s="12">
        <v>49</v>
      </c>
      <c r="AC18" s="12">
        <v>38</v>
      </c>
      <c r="AD18" s="12">
        <v>30</v>
      </c>
      <c r="AE18" s="12">
        <v>32</v>
      </c>
      <c r="AF18" s="12">
        <v>30</v>
      </c>
    </row>
    <row r="19" spans="1:32">
      <c r="A19" s="20"/>
      <c r="B19" s="13" t="s">
        <v>565</v>
      </c>
      <c r="C19" s="14">
        <v>0.03</v>
      </c>
      <c r="D19" s="14">
        <v>0.03</v>
      </c>
      <c r="E19" s="14">
        <v>0.04</v>
      </c>
      <c r="F19" s="14">
        <v>0.06</v>
      </c>
      <c r="G19" s="14">
        <v>0.02</v>
      </c>
      <c r="H19" s="14">
        <v>0.03</v>
      </c>
      <c r="I19" s="14">
        <v>0.04</v>
      </c>
      <c r="J19" s="14">
        <v>0.05</v>
      </c>
      <c r="K19" s="14">
        <v>0.11</v>
      </c>
      <c r="L19" s="14">
        <v>0.03</v>
      </c>
      <c r="M19" s="14">
        <v>0.01</v>
      </c>
      <c r="N19" s="14">
        <v>0.03</v>
      </c>
      <c r="O19" s="14">
        <v>0.02</v>
      </c>
      <c r="P19" s="14">
        <v>0.02</v>
      </c>
      <c r="Q19" s="14">
        <v>0.02</v>
      </c>
      <c r="R19" s="14">
        <v>0.02</v>
      </c>
      <c r="S19" s="14">
        <v>7.0000000000000007E-2</v>
      </c>
      <c r="T19" s="14">
        <v>0.04</v>
      </c>
      <c r="U19" s="14">
        <v>0.04</v>
      </c>
      <c r="V19" s="14">
        <v>0.02</v>
      </c>
      <c r="W19" s="14">
        <v>0.03</v>
      </c>
      <c r="X19" s="14">
        <v>0.05</v>
      </c>
      <c r="Y19" s="14">
        <v>0.08</v>
      </c>
      <c r="Z19" s="14">
        <v>0.03</v>
      </c>
      <c r="AA19" s="15" t="s">
        <v>459</v>
      </c>
      <c r="AB19" s="14">
        <v>0.05</v>
      </c>
      <c r="AC19" s="14">
        <v>0.04</v>
      </c>
      <c r="AD19" s="14">
        <v>0.03</v>
      </c>
      <c r="AE19" s="14">
        <v>0.03</v>
      </c>
      <c r="AF19" s="14">
        <v>0.03</v>
      </c>
    </row>
    <row r="20" spans="1:32">
      <c r="A20" s="20"/>
      <c r="B20" s="11" t="s">
        <v>468</v>
      </c>
      <c r="C20" s="12">
        <v>2422</v>
      </c>
      <c r="D20" s="12">
        <v>39</v>
      </c>
      <c r="E20" s="12">
        <v>180</v>
      </c>
      <c r="F20" s="12">
        <v>123</v>
      </c>
      <c r="G20" s="12">
        <v>92</v>
      </c>
      <c r="H20" s="12">
        <v>135</v>
      </c>
      <c r="I20" s="12">
        <v>152</v>
      </c>
      <c r="J20" s="12">
        <v>17</v>
      </c>
      <c r="K20" s="12">
        <v>157</v>
      </c>
      <c r="L20" s="12">
        <v>71</v>
      </c>
      <c r="M20" s="12">
        <v>81</v>
      </c>
      <c r="N20" s="12">
        <v>119</v>
      </c>
      <c r="O20" s="12">
        <v>121</v>
      </c>
      <c r="P20" s="12">
        <v>32</v>
      </c>
      <c r="Q20" s="12">
        <v>38</v>
      </c>
      <c r="R20" s="12">
        <v>26</v>
      </c>
      <c r="S20" s="12">
        <v>165</v>
      </c>
      <c r="T20" s="12">
        <v>154</v>
      </c>
      <c r="U20" s="12">
        <v>43</v>
      </c>
      <c r="V20" s="12">
        <v>94</v>
      </c>
      <c r="W20" s="12">
        <v>19</v>
      </c>
      <c r="X20" s="12">
        <v>81</v>
      </c>
      <c r="Y20" s="12">
        <v>71</v>
      </c>
      <c r="Z20" s="12">
        <v>76</v>
      </c>
      <c r="AA20" s="12">
        <v>111</v>
      </c>
      <c r="AB20" s="12">
        <v>104</v>
      </c>
      <c r="AC20" s="12">
        <v>41</v>
      </c>
      <c r="AD20" s="12">
        <v>111</v>
      </c>
      <c r="AE20" s="12">
        <v>132</v>
      </c>
      <c r="AF20" s="12">
        <v>74</v>
      </c>
    </row>
    <row r="21" spans="1:32">
      <c r="A21" s="20"/>
      <c r="B21" s="13" t="s">
        <v>469</v>
      </c>
      <c r="C21" s="14">
        <v>0.09</v>
      </c>
      <c r="D21" s="14">
        <v>0.04</v>
      </c>
      <c r="E21" s="14">
        <v>0.18</v>
      </c>
      <c r="F21" s="14">
        <v>0.12</v>
      </c>
      <c r="G21" s="14">
        <v>0.09</v>
      </c>
      <c r="H21" s="14">
        <v>0.11</v>
      </c>
      <c r="I21" s="14">
        <v>0.1</v>
      </c>
      <c r="J21" s="14">
        <v>0.06</v>
      </c>
      <c r="K21" s="14">
        <v>0.16</v>
      </c>
      <c r="L21" s="14">
        <v>7.0000000000000007E-2</v>
      </c>
      <c r="M21" s="14">
        <v>0.08</v>
      </c>
      <c r="N21" s="14">
        <v>0.12</v>
      </c>
      <c r="O21" s="14">
        <v>0.12</v>
      </c>
      <c r="P21" s="14">
        <v>0.03</v>
      </c>
      <c r="Q21" s="14">
        <v>0.04</v>
      </c>
      <c r="R21" s="14">
        <v>0.05</v>
      </c>
      <c r="S21" s="14">
        <v>0.16</v>
      </c>
      <c r="T21" s="14">
        <v>0.15</v>
      </c>
      <c r="U21" s="14">
        <v>0.09</v>
      </c>
      <c r="V21" s="14">
        <v>0.09</v>
      </c>
      <c r="W21" s="14">
        <v>0.04</v>
      </c>
      <c r="X21" s="14">
        <v>0.08</v>
      </c>
      <c r="Y21" s="14">
        <v>7.0000000000000007E-2</v>
      </c>
      <c r="Z21" s="14">
        <v>7.0000000000000007E-2</v>
      </c>
      <c r="AA21" s="14">
        <v>0.11</v>
      </c>
      <c r="AB21" s="14">
        <v>0.1</v>
      </c>
      <c r="AC21" s="14">
        <v>0.04</v>
      </c>
      <c r="AD21" s="14">
        <v>0.11</v>
      </c>
      <c r="AE21" s="14">
        <v>0.13</v>
      </c>
      <c r="AF21" s="14">
        <v>7.0000000000000007E-2</v>
      </c>
    </row>
    <row r="22" spans="1:32">
      <c r="A22" s="20"/>
      <c r="B22" s="11" t="s">
        <v>566</v>
      </c>
      <c r="C22" s="12">
        <v>20164</v>
      </c>
      <c r="D22" s="12">
        <v>795</v>
      </c>
      <c r="E22" s="12">
        <v>679</v>
      </c>
      <c r="F22" s="12">
        <v>634</v>
      </c>
      <c r="G22" s="12">
        <v>808</v>
      </c>
      <c r="H22" s="12">
        <v>915</v>
      </c>
      <c r="I22" s="12">
        <v>1135</v>
      </c>
      <c r="J22" s="12">
        <v>220</v>
      </c>
      <c r="K22" s="12">
        <v>466</v>
      </c>
      <c r="L22" s="12">
        <v>848</v>
      </c>
      <c r="M22" s="12">
        <v>818</v>
      </c>
      <c r="N22" s="12">
        <v>758</v>
      </c>
      <c r="O22" s="12">
        <v>763</v>
      </c>
      <c r="P22" s="12">
        <v>879</v>
      </c>
      <c r="Q22" s="12">
        <v>863</v>
      </c>
      <c r="R22" s="12">
        <v>429</v>
      </c>
      <c r="S22" s="12">
        <v>624</v>
      </c>
      <c r="T22" s="12">
        <v>706</v>
      </c>
      <c r="U22" s="12">
        <v>405</v>
      </c>
      <c r="V22" s="12">
        <v>788</v>
      </c>
      <c r="W22" s="12">
        <v>423</v>
      </c>
      <c r="X22" s="12">
        <v>748</v>
      </c>
      <c r="Y22" s="12">
        <v>735</v>
      </c>
      <c r="Z22" s="12">
        <v>760</v>
      </c>
      <c r="AA22" s="12">
        <v>905</v>
      </c>
      <c r="AB22" s="12">
        <v>692</v>
      </c>
      <c r="AC22" s="12">
        <v>822</v>
      </c>
      <c r="AD22" s="12">
        <v>760</v>
      </c>
      <c r="AE22" s="12">
        <v>721</v>
      </c>
      <c r="AF22" s="12">
        <v>844</v>
      </c>
    </row>
    <row r="23" spans="1:32">
      <c r="A23" s="20"/>
      <c r="B23" s="13" t="s">
        <v>567</v>
      </c>
      <c r="C23" s="14">
        <v>0.77</v>
      </c>
      <c r="D23" s="14">
        <v>0.79</v>
      </c>
      <c r="E23" s="14">
        <v>0.67</v>
      </c>
      <c r="F23" s="14">
        <v>0.63</v>
      </c>
      <c r="G23" s="14">
        <v>0.81</v>
      </c>
      <c r="H23" s="14">
        <v>0.76</v>
      </c>
      <c r="I23" s="14">
        <v>0.75</v>
      </c>
      <c r="J23" s="14">
        <v>0.75</v>
      </c>
      <c r="K23" s="14">
        <v>0.46</v>
      </c>
      <c r="L23" s="14">
        <v>0.84</v>
      </c>
      <c r="M23" s="14">
        <v>0.82000000000000006</v>
      </c>
      <c r="N23" s="14">
        <v>0.76</v>
      </c>
      <c r="O23" s="14">
        <v>0.76</v>
      </c>
      <c r="P23" s="14">
        <v>0.86</v>
      </c>
      <c r="Q23" s="14">
        <v>0.85</v>
      </c>
      <c r="R23" s="14">
        <v>0.86</v>
      </c>
      <c r="S23" s="14">
        <v>0.62</v>
      </c>
      <c r="T23" s="14">
        <v>0.70000000000000007</v>
      </c>
      <c r="U23" s="14">
        <v>0.8</v>
      </c>
      <c r="V23" s="14">
        <v>0.78</v>
      </c>
      <c r="W23" s="14">
        <v>0.84</v>
      </c>
      <c r="X23" s="14">
        <v>0.73</v>
      </c>
      <c r="Y23" s="14">
        <v>0.73</v>
      </c>
      <c r="Z23" s="14">
        <v>0.76</v>
      </c>
      <c r="AA23" s="14">
        <v>0.86</v>
      </c>
      <c r="AB23" s="14">
        <v>0.66</v>
      </c>
      <c r="AC23" s="14">
        <v>0.81</v>
      </c>
      <c r="AD23" s="14">
        <v>0.76</v>
      </c>
      <c r="AE23" s="14">
        <v>0.72</v>
      </c>
      <c r="AF23" s="14">
        <v>0.83000000000000007</v>
      </c>
    </row>
    <row r="24" spans="1:32">
      <c r="A24" s="20"/>
      <c r="B24" s="11" t="s">
        <v>568</v>
      </c>
      <c r="C24" s="12">
        <v>3734</v>
      </c>
      <c r="D24" s="12">
        <v>169</v>
      </c>
      <c r="E24" s="12">
        <v>160</v>
      </c>
      <c r="F24" s="12">
        <v>248</v>
      </c>
      <c r="G24" s="12">
        <v>104</v>
      </c>
      <c r="H24" s="12">
        <v>166</v>
      </c>
      <c r="I24" s="12">
        <v>223</v>
      </c>
      <c r="J24" s="12">
        <v>57</v>
      </c>
      <c r="K24" s="12">
        <v>383</v>
      </c>
      <c r="L24" s="12">
        <v>88</v>
      </c>
      <c r="M24" s="12">
        <v>103</v>
      </c>
      <c r="N24" s="12">
        <v>126</v>
      </c>
      <c r="O24" s="12">
        <v>120</v>
      </c>
      <c r="P24" s="12">
        <v>110</v>
      </c>
      <c r="Q24" s="12">
        <v>118</v>
      </c>
      <c r="R24" s="12">
        <v>46</v>
      </c>
      <c r="S24" s="12">
        <v>219</v>
      </c>
      <c r="T24" s="12">
        <v>154</v>
      </c>
      <c r="U24" s="12">
        <v>59</v>
      </c>
      <c r="V24" s="12">
        <v>135</v>
      </c>
      <c r="W24" s="12">
        <v>61</v>
      </c>
      <c r="X24" s="12">
        <v>193</v>
      </c>
      <c r="Y24" s="12">
        <v>202</v>
      </c>
      <c r="Z24" s="12">
        <v>172</v>
      </c>
      <c r="AA24" s="12">
        <v>37</v>
      </c>
      <c r="AB24" s="12">
        <v>243</v>
      </c>
      <c r="AC24" s="12">
        <v>147</v>
      </c>
      <c r="AD24" s="12">
        <v>135</v>
      </c>
      <c r="AE24" s="12">
        <v>148</v>
      </c>
      <c r="AF24" s="12">
        <v>102</v>
      </c>
    </row>
    <row r="25" spans="1:32">
      <c r="A25" s="20"/>
      <c r="B25" s="13" t="s">
        <v>569</v>
      </c>
      <c r="C25" s="14">
        <v>0.14000000000000001</v>
      </c>
      <c r="D25" s="14">
        <v>0.17</v>
      </c>
      <c r="E25" s="14">
        <v>0.15</v>
      </c>
      <c r="F25" s="14">
        <v>0.25</v>
      </c>
      <c r="G25" s="14">
        <v>0.1</v>
      </c>
      <c r="H25" s="14">
        <v>0.13</v>
      </c>
      <c r="I25" s="14">
        <v>0.15</v>
      </c>
      <c r="J25" s="14">
        <v>0.19</v>
      </c>
      <c r="K25" s="14">
        <v>0.38</v>
      </c>
      <c r="L25" s="14">
        <v>0.09</v>
      </c>
      <c r="M25" s="14">
        <v>0.1</v>
      </c>
      <c r="N25" s="14">
        <v>0.12</v>
      </c>
      <c r="O25" s="14">
        <v>0.12</v>
      </c>
      <c r="P25" s="14">
        <v>0.11</v>
      </c>
      <c r="Q25" s="14">
        <v>0.11</v>
      </c>
      <c r="R25" s="14">
        <v>0.09</v>
      </c>
      <c r="S25" s="14">
        <v>0.22</v>
      </c>
      <c r="T25" s="14">
        <v>0.15</v>
      </c>
      <c r="U25" s="14">
        <v>0.11</v>
      </c>
      <c r="V25" s="14">
        <v>0.13</v>
      </c>
      <c r="W25" s="14">
        <v>0.12</v>
      </c>
      <c r="X25" s="14">
        <v>0.19</v>
      </c>
      <c r="Y25" s="14">
        <v>0.2</v>
      </c>
      <c r="Z25" s="14">
        <v>0.17</v>
      </c>
      <c r="AA25" s="14">
        <v>0.03</v>
      </c>
      <c r="AB25" s="14">
        <v>0.24</v>
      </c>
      <c r="AC25" s="14">
        <v>0.15</v>
      </c>
      <c r="AD25" s="14">
        <v>0.13</v>
      </c>
      <c r="AE25" s="14">
        <v>0.15</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1089</v>
      </c>
      <c r="C3" s="18"/>
      <c r="D3" s="18"/>
      <c r="E3" s="18"/>
      <c r="F3" s="18"/>
      <c r="H3" s="18" t="s">
        <v>1090</v>
      </c>
      <c r="I3" s="18"/>
      <c r="J3" s="18"/>
      <c r="K3" s="18"/>
      <c r="L3" s="18"/>
    </row>
    <row r="4" spans="1:32" ht="27" customHeight="1">
      <c r="B4" s="18" t="s">
        <v>1091</v>
      </c>
      <c r="C4" s="18"/>
      <c r="D4" s="18"/>
      <c r="E4" s="18"/>
      <c r="F4" s="18"/>
      <c r="H4" s="18" t="s">
        <v>1092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7695</v>
      </c>
      <c r="D12" s="12">
        <v>281</v>
      </c>
      <c r="E12" s="12">
        <v>289</v>
      </c>
      <c r="F12" s="12">
        <v>163</v>
      </c>
      <c r="G12" s="12">
        <v>388</v>
      </c>
      <c r="H12" s="12">
        <v>289</v>
      </c>
      <c r="I12" s="12">
        <v>348</v>
      </c>
      <c r="J12" s="12">
        <v>59</v>
      </c>
      <c r="K12" s="12">
        <v>134</v>
      </c>
      <c r="L12" s="12">
        <v>456</v>
      </c>
      <c r="M12" s="12">
        <v>314</v>
      </c>
      <c r="N12" s="12">
        <v>407</v>
      </c>
      <c r="O12" s="12">
        <v>288</v>
      </c>
      <c r="P12" s="12">
        <v>299</v>
      </c>
      <c r="Q12" s="12">
        <v>352</v>
      </c>
      <c r="R12" s="12">
        <v>208</v>
      </c>
      <c r="S12" s="12">
        <v>205</v>
      </c>
      <c r="T12" s="12">
        <v>211</v>
      </c>
      <c r="U12" s="12">
        <v>183</v>
      </c>
      <c r="V12" s="12">
        <v>321</v>
      </c>
      <c r="W12" s="12">
        <v>254</v>
      </c>
      <c r="X12" s="12">
        <v>322</v>
      </c>
      <c r="Y12" s="12">
        <v>325</v>
      </c>
      <c r="Z12" s="12">
        <v>168</v>
      </c>
      <c r="AA12" s="12">
        <v>336</v>
      </c>
      <c r="AB12" s="12">
        <v>211</v>
      </c>
      <c r="AC12" s="12">
        <v>271</v>
      </c>
      <c r="AD12" s="12">
        <v>301</v>
      </c>
      <c r="AE12" s="12">
        <v>366</v>
      </c>
      <c r="AF12" s="12">
        <v>475</v>
      </c>
    </row>
    <row r="13" spans="1:32">
      <c r="A13" s="20"/>
      <c r="B13" s="13" t="s">
        <v>559</v>
      </c>
      <c r="C13" s="14">
        <v>0.28999999999999998</v>
      </c>
      <c r="D13" s="14">
        <v>0.28000000000000003</v>
      </c>
      <c r="E13" s="14">
        <v>0.28000000000000003</v>
      </c>
      <c r="F13" s="14">
        <v>0.16</v>
      </c>
      <c r="G13" s="14">
        <v>0.39</v>
      </c>
      <c r="H13" s="14">
        <v>0.24</v>
      </c>
      <c r="I13" s="14">
        <v>0.23</v>
      </c>
      <c r="J13" s="14">
        <v>0.2</v>
      </c>
      <c r="K13" s="14">
        <v>0.13</v>
      </c>
      <c r="L13" s="14">
        <v>0.45</v>
      </c>
      <c r="M13" s="14">
        <v>0.31</v>
      </c>
      <c r="N13" s="14">
        <v>0.4</v>
      </c>
      <c r="O13" s="14">
        <v>0.28999999999999998</v>
      </c>
      <c r="P13" s="14">
        <v>0.28999999999999998</v>
      </c>
      <c r="Q13" s="14">
        <v>0.34</v>
      </c>
      <c r="R13" s="14">
        <v>0.41</v>
      </c>
      <c r="S13" s="14">
        <v>0.2</v>
      </c>
      <c r="T13" s="14">
        <v>0.21</v>
      </c>
      <c r="U13" s="14">
        <v>0.36</v>
      </c>
      <c r="V13" s="14">
        <v>0.32</v>
      </c>
      <c r="W13" s="14">
        <v>0.5</v>
      </c>
      <c r="X13" s="14">
        <v>0.32</v>
      </c>
      <c r="Y13" s="14">
        <v>0.32</v>
      </c>
      <c r="Z13" s="14">
        <v>0.17</v>
      </c>
      <c r="AA13" s="14">
        <v>0.32</v>
      </c>
      <c r="AB13" s="14">
        <v>0.2</v>
      </c>
      <c r="AC13" s="14">
        <v>0.27</v>
      </c>
      <c r="AD13" s="14">
        <v>0.3</v>
      </c>
      <c r="AE13" s="14">
        <v>0.37</v>
      </c>
      <c r="AF13" s="14">
        <v>0.46</v>
      </c>
    </row>
    <row r="14" spans="1:32">
      <c r="A14" s="20"/>
      <c r="B14" s="11" t="s">
        <v>668</v>
      </c>
      <c r="C14" s="12">
        <v>12758</v>
      </c>
      <c r="D14" s="12">
        <v>498</v>
      </c>
      <c r="E14" s="12">
        <v>457</v>
      </c>
      <c r="F14" s="12">
        <v>465</v>
      </c>
      <c r="G14" s="12">
        <v>443</v>
      </c>
      <c r="H14" s="12">
        <v>611</v>
      </c>
      <c r="I14" s="12">
        <v>758</v>
      </c>
      <c r="J14" s="12">
        <v>147</v>
      </c>
      <c r="K14" s="12">
        <v>397</v>
      </c>
      <c r="L14" s="12">
        <v>394</v>
      </c>
      <c r="M14" s="12">
        <v>475</v>
      </c>
      <c r="N14" s="12">
        <v>388</v>
      </c>
      <c r="O14" s="12">
        <v>453</v>
      </c>
      <c r="P14" s="12">
        <v>594</v>
      </c>
      <c r="Q14" s="12">
        <v>549</v>
      </c>
      <c r="R14" s="12">
        <v>184</v>
      </c>
      <c r="S14" s="12">
        <v>443</v>
      </c>
      <c r="T14" s="12">
        <v>496</v>
      </c>
      <c r="U14" s="12">
        <v>207</v>
      </c>
      <c r="V14" s="12">
        <v>489</v>
      </c>
      <c r="W14" s="12">
        <v>173</v>
      </c>
      <c r="X14" s="12">
        <v>458</v>
      </c>
      <c r="Y14" s="12">
        <v>454</v>
      </c>
      <c r="Z14" s="12">
        <v>606</v>
      </c>
      <c r="AA14" s="12">
        <v>586</v>
      </c>
      <c r="AB14" s="12">
        <v>521</v>
      </c>
      <c r="AC14" s="12">
        <v>464</v>
      </c>
      <c r="AD14" s="12">
        <v>498</v>
      </c>
      <c r="AE14" s="12">
        <v>472</v>
      </c>
      <c r="AF14" s="12">
        <v>427</v>
      </c>
    </row>
    <row r="15" spans="1:32">
      <c r="A15" s="20"/>
      <c r="B15" s="13" t="s">
        <v>561</v>
      </c>
      <c r="C15" s="14">
        <v>0.48</v>
      </c>
      <c r="D15" s="14">
        <v>0.5</v>
      </c>
      <c r="E15" s="14">
        <v>0.45</v>
      </c>
      <c r="F15" s="14">
        <v>0.46</v>
      </c>
      <c r="G15" s="14">
        <v>0.44</v>
      </c>
      <c r="H15" s="14">
        <v>0.5</v>
      </c>
      <c r="I15" s="14">
        <v>0.5</v>
      </c>
      <c r="J15" s="14">
        <v>0.5</v>
      </c>
      <c r="K15" s="14">
        <v>0.39</v>
      </c>
      <c r="L15" s="14">
        <v>0.39</v>
      </c>
      <c r="M15" s="14">
        <v>0.47</v>
      </c>
      <c r="N15" s="14">
        <v>0.39</v>
      </c>
      <c r="O15" s="14">
        <v>0.45</v>
      </c>
      <c r="P15" s="14">
        <v>0.57999999999999996</v>
      </c>
      <c r="Q15" s="14">
        <v>0.54</v>
      </c>
      <c r="R15" s="14">
        <v>0.37</v>
      </c>
      <c r="S15" s="14">
        <v>0.44</v>
      </c>
      <c r="T15" s="14">
        <v>0.49</v>
      </c>
      <c r="U15" s="14">
        <v>0.41</v>
      </c>
      <c r="V15" s="14">
        <v>0.48</v>
      </c>
      <c r="W15" s="14">
        <v>0.34</v>
      </c>
      <c r="X15" s="14">
        <v>0.45</v>
      </c>
      <c r="Y15" s="14">
        <v>0.45</v>
      </c>
      <c r="Z15" s="14">
        <v>0.6</v>
      </c>
      <c r="AA15" s="14">
        <v>0.56000000000000005</v>
      </c>
      <c r="AB15" s="14">
        <v>0.5</v>
      </c>
      <c r="AC15" s="14">
        <v>0.46</v>
      </c>
      <c r="AD15" s="14">
        <v>0.5</v>
      </c>
      <c r="AE15" s="14">
        <v>0.47</v>
      </c>
      <c r="AF15" s="14">
        <v>0.42</v>
      </c>
    </row>
    <row r="16" spans="1:32">
      <c r="A16" s="20"/>
      <c r="B16" s="11" t="s">
        <v>669</v>
      </c>
      <c r="C16" s="12">
        <v>3170</v>
      </c>
      <c r="D16" s="12">
        <v>155</v>
      </c>
      <c r="E16" s="12">
        <v>119</v>
      </c>
      <c r="F16" s="12">
        <v>197</v>
      </c>
      <c r="G16" s="12">
        <v>89</v>
      </c>
      <c r="H16" s="12">
        <v>167</v>
      </c>
      <c r="I16" s="12">
        <v>226</v>
      </c>
      <c r="J16" s="12">
        <v>58</v>
      </c>
      <c r="K16" s="12">
        <v>219</v>
      </c>
      <c r="L16" s="12">
        <v>58</v>
      </c>
      <c r="M16" s="12">
        <v>100</v>
      </c>
      <c r="N16" s="12">
        <v>95</v>
      </c>
      <c r="O16" s="12">
        <v>132</v>
      </c>
      <c r="P16" s="12">
        <v>87</v>
      </c>
      <c r="Q16" s="12">
        <v>70</v>
      </c>
      <c r="R16" s="12">
        <v>39</v>
      </c>
      <c r="S16" s="12">
        <v>140</v>
      </c>
      <c r="T16" s="12">
        <v>112</v>
      </c>
      <c r="U16" s="12">
        <v>57</v>
      </c>
      <c r="V16" s="12">
        <v>123</v>
      </c>
      <c r="W16" s="12">
        <v>51</v>
      </c>
      <c r="X16" s="12">
        <v>168</v>
      </c>
      <c r="Y16" s="12">
        <v>117</v>
      </c>
      <c r="Z16" s="12">
        <v>143</v>
      </c>
      <c r="AA16" s="12">
        <v>35</v>
      </c>
      <c r="AB16" s="12">
        <v>180</v>
      </c>
      <c r="AC16" s="12">
        <v>171</v>
      </c>
      <c r="AD16" s="12">
        <v>103</v>
      </c>
      <c r="AE16" s="12">
        <v>82</v>
      </c>
      <c r="AF16" s="12">
        <v>70</v>
      </c>
    </row>
    <row r="17" spans="1:32">
      <c r="A17" s="20"/>
      <c r="B17" s="13" t="s">
        <v>563</v>
      </c>
      <c r="C17" s="14">
        <v>0.12</v>
      </c>
      <c r="D17" s="14">
        <v>0.15</v>
      </c>
      <c r="E17" s="14">
        <v>0.12</v>
      </c>
      <c r="F17" s="14">
        <v>0.2</v>
      </c>
      <c r="G17" s="14">
        <v>0.09</v>
      </c>
      <c r="H17" s="14">
        <v>0.14000000000000001</v>
      </c>
      <c r="I17" s="14">
        <v>0.15</v>
      </c>
      <c r="J17" s="14">
        <v>0.2</v>
      </c>
      <c r="K17" s="14">
        <v>0.22</v>
      </c>
      <c r="L17" s="14">
        <v>0.06</v>
      </c>
      <c r="M17" s="14">
        <v>0.1</v>
      </c>
      <c r="N17" s="14">
        <v>0.09</v>
      </c>
      <c r="O17" s="14">
        <v>0.13</v>
      </c>
      <c r="P17" s="14">
        <v>0.09</v>
      </c>
      <c r="Q17" s="14">
        <v>7.0000000000000007E-2</v>
      </c>
      <c r="R17" s="14">
        <v>0.08</v>
      </c>
      <c r="S17" s="14">
        <v>0.14000000000000001</v>
      </c>
      <c r="T17" s="14">
        <v>0.11</v>
      </c>
      <c r="U17" s="14">
        <v>0.11</v>
      </c>
      <c r="V17" s="14">
        <v>0.12</v>
      </c>
      <c r="W17" s="14">
        <v>0.1</v>
      </c>
      <c r="X17" s="14">
        <v>0.16</v>
      </c>
      <c r="Y17" s="14">
        <v>0.12</v>
      </c>
      <c r="Z17" s="14">
        <v>0.14000000000000001</v>
      </c>
      <c r="AA17" s="14">
        <v>0.03</v>
      </c>
      <c r="AB17" s="14">
        <v>0.17</v>
      </c>
      <c r="AC17" s="14">
        <v>0.17</v>
      </c>
      <c r="AD17" s="14">
        <v>0.1</v>
      </c>
      <c r="AE17" s="14">
        <v>0.08</v>
      </c>
      <c r="AF17" s="14">
        <v>7.0000000000000007E-2</v>
      </c>
    </row>
    <row r="18" spans="1:32">
      <c r="A18" s="20"/>
      <c r="B18" s="11" t="s">
        <v>670</v>
      </c>
      <c r="C18" s="12">
        <v>942</v>
      </c>
      <c r="D18" s="12">
        <v>32</v>
      </c>
      <c r="E18" s="12">
        <v>30</v>
      </c>
      <c r="F18" s="12">
        <v>72</v>
      </c>
      <c r="G18" s="12">
        <v>14</v>
      </c>
      <c r="H18" s="12">
        <v>53</v>
      </c>
      <c r="I18" s="12">
        <v>67</v>
      </c>
      <c r="J18" s="12">
        <v>14</v>
      </c>
      <c r="K18" s="12">
        <v>116</v>
      </c>
      <c r="L18" s="12">
        <v>29</v>
      </c>
      <c r="M18" s="12">
        <v>27</v>
      </c>
      <c r="N18" s="12">
        <v>29</v>
      </c>
      <c r="O18" s="12">
        <v>48</v>
      </c>
      <c r="P18" s="12">
        <v>11</v>
      </c>
      <c r="Q18" s="12">
        <v>19</v>
      </c>
      <c r="R18" s="12">
        <v>19</v>
      </c>
      <c r="S18" s="12">
        <v>63</v>
      </c>
      <c r="T18" s="12">
        <v>29</v>
      </c>
      <c r="U18" s="12">
        <v>26</v>
      </c>
      <c r="V18" s="12">
        <v>20</v>
      </c>
      <c r="W18" s="12">
        <v>13</v>
      </c>
      <c r="X18" s="12">
        <v>42</v>
      </c>
      <c r="Y18" s="12">
        <v>67</v>
      </c>
      <c r="Z18" s="12">
        <v>31</v>
      </c>
      <c r="AA18" s="12">
        <v>4</v>
      </c>
      <c r="AB18" s="12">
        <v>49</v>
      </c>
      <c r="AC18" s="12">
        <v>74</v>
      </c>
      <c r="AD18" s="12">
        <v>29</v>
      </c>
      <c r="AE18" s="12">
        <v>23</v>
      </c>
      <c r="AF18" s="12">
        <v>28</v>
      </c>
    </row>
    <row r="19" spans="1:32">
      <c r="A19" s="20"/>
      <c r="B19" s="13" t="s">
        <v>565</v>
      </c>
      <c r="C19" s="14">
        <v>0.04</v>
      </c>
      <c r="D19" s="14">
        <v>0.03</v>
      </c>
      <c r="E19" s="14">
        <v>0.03</v>
      </c>
      <c r="F19" s="14">
        <v>7.0000000000000007E-2</v>
      </c>
      <c r="G19" s="14">
        <v>0.01</v>
      </c>
      <c r="H19" s="14">
        <v>0.04</v>
      </c>
      <c r="I19" s="14">
        <v>0.05</v>
      </c>
      <c r="J19" s="14">
        <v>0.05</v>
      </c>
      <c r="K19" s="14">
        <v>0.12</v>
      </c>
      <c r="L19" s="14">
        <v>0.03</v>
      </c>
      <c r="M19" s="14">
        <v>0.03</v>
      </c>
      <c r="N19" s="14">
        <v>0.03</v>
      </c>
      <c r="O19" s="14">
        <v>0.05</v>
      </c>
      <c r="P19" s="14">
        <v>0.01</v>
      </c>
      <c r="Q19" s="14">
        <v>0.02</v>
      </c>
      <c r="R19" s="14">
        <v>0.04</v>
      </c>
      <c r="S19" s="14">
        <v>0.06</v>
      </c>
      <c r="T19" s="14">
        <v>0.03</v>
      </c>
      <c r="U19" s="14">
        <v>0.05</v>
      </c>
      <c r="V19" s="14">
        <v>0.02</v>
      </c>
      <c r="W19" s="14">
        <v>0.03</v>
      </c>
      <c r="X19" s="14">
        <v>0.04</v>
      </c>
      <c r="Y19" s="14">
        <v>7.0000000000000007E-2</v>
      </c>
      <c r="Z19" s="14">
        <v>0.03</v>
      </c>
      <c r="AA19" s="15" t="s">
        <v>459</v>
      </c>
      <c r="AB19" s="14">
        <v>0.05</v>
      </c>
      <c r="AC19" s="14">
        <v>7.0000000000000007E-2</v>
      </c>
      <c r="AD19" s="14">
        <v>0.03</v>
      </c>
      <c r="AE19" s="14">
        <v>0.02</v>
      </c>
      <c r="AF19" s="14">
        <v>0.03</v>
      </c>
    </row>
    <row r="20" spans="1:32">
      <c r="A20" s="20"/>
      <c r="B20" s="11" t="s">
        <v>468</v>
      </c>
      <c r="C20" s="12">
        <v>1754</v>
      </c>
      <c r="D20" s="12">
        <v>37</v>
      </c>
      <c r="E20" s="12">
        <v>123</v>
      </c>
      <c r="F20" s="12">
        <v>108</v>
      </c>
      <c r="G20" s="12">
        <v>70</v>
      </c>
      <c r="H20" s="12">
        <v>96</v>
      </c>
      <c r="I20" s="12">
        <v>112</v>
      </c>
      <c r="J20" s="12">
        <v>16</v>
      </c>
      <c r="K20" s="12">
        <v>140</v>
      </c>
      <c r="L20" s="12">
        <v>69</v>
      </c>
      <c r="M20" s="12">
        <v>88</v>
      </c>
      <c r="N20" s="12">
        <v>86</v>
      </c>
      <c r="O20" s="12">
        <v>82</v>
      </c>
      <c r="P20" s="12">
        <v>31</v>
      </c>
      <c r="Q20" s="12">
        <v>29</v>
      </c>
      <c r="R20" s="12">
        <v>51</v>
      </c>
      <c r="S20" s="12">
        <v>157</v>
      </c>
      <c r="T20" s="12">
        <v>165</v>
      </c>
      <c r="U20" s="12">
        <v>35</v>
      </c>
      <c r="V20" s="12">
        <v>64</v>
      </c>
      <c r="W20" s="12">
        <v>13</v>
      </c>
      <c r="X20" s="12">
        <v>31</v>
      </c>
      <c r="Y20" s="12">
        <v>44</v>
      </c>
      <c r="Z20" s="12">
        <v>60</v>
      </c>
      <c r="AA20" s="12">
        <v>92</v>
      </c>
      <c r="AB20" s="12">
        <v>78</v>
      </c>
      <c r="AC20" s="12">
        <v>31</v>
      </c>
      <c r="AD20" s="12">
        <v>75</v>
      </c>
      <c r="AE20" s="12">
        <v>58</v>
      </c>
      <c r="AF20" s="12">
        <v>19</v>
      </c>
    </row>
    <row r="21" spans="1:32">
      <c r="A21" s="20"/>
      <c r="B21" s="13" t="s">
        <v>469</v>
      </c>
      <c r="C21" s="14">
        <v>7.0000000000000007E-2</v>
      </c>
      <c r="D21" s="14">
        <v>0.04</v>
      </c>
      <c r="E21" s="14">
        <v>0.12</v>
      </c>
      <c r="F21" s="14">
        <v>0.11</v>
      </c>
      <c r="G21" s="14">
        <v>7.0000000000000007E-2</v>
      </c>
      <c r="H21" s="14">
        <v>0.08</v>
      </c>
      <c r="I21" s="14">
        <v>7.0000000000000007E-2</v>
      </c>
      <c r="J21" s="14">
        <v>0.05</v>
      </c>
      <c r="K21" s="14">
        <v>0.14000000000000001</v>
      </c>
      <c r="L21" s="14">
        <v>7.0000000000000007E-2</v>
      </c>
      <c r="M21" s="14">
        <v>0.09</v>
      </c>
      <c r="N21" s="14">
        <v>0.09</v>
      </c>
      <c r="O21" s="14">
        <v>0.08</v>
      </c>
      <c r="P21" s="14">
        <v>0.03</v>
      </c>
      <c r="Q21" s="14">
        <v>0.03</v>
      </c>
      <c r="R21" s="14">
        <v>0.1</v>
      </c>
      <c r="S21" s="14">
        <v>0.16</v>
      </c>
      <c r="T21" s="14">
        <v>0.16</v>
      </c>
      <c r="U21" s="14">
        <v>7.0000000000000007E-2</v>
      </c>
      <c r="V21" s="14">
        <v>0.06</v>
      </c>
      <c r="W21" s="14">
        <v>0.03</v>
      </c>
      <c r="X21" s="14">
        <v>0.03</v>
      </c>
      <c r="Y21" s="14">
        <v>0.04</v>
      </c>
      <c r="Z21" s="14">
        <v>0.06</v>
      </c>
      <c r="AA21" s="14">
        <v>0.09</v>
      </c>
      <c r="AB21" s="14">
        <v>0.08</v>
      </c>
      <c r="AC21" s="14">
        <v>0.03</v>
      </c>
      <c r="AD21" s="14">
        <v>7.0000000000000007E-2</v>
      </c>
      <c r="AE21" s="14">
        <v>0.06</v>
      </c>
      <c r="AF21" s="14">
        <v>0.02</v>
      </c>
    </row>
    <row r="22" spans="1:32">
      <c r="A22" s="20"/>
      <c r="B22" s="11" t="s">
        <v>566</v>
      </c>
      <c r="C22" s="12">
        <v>20453</v>
      </c>
      <c r="D22" s="12">
        <v>779</v>
      </c>
      <c r="E22" s="12">
        <v>746</v>
      </c>
      <c r="F22" s="12">
        <v>628</v>
      </c>
      <c r="G22" s="12">
        <v>831</v>
      </c>
      <c r="H22" s="12">
        <v>900</v>
      </c>
      <c r="I22" s="12">
        <v>1106</v>
      </c>
      <c r="J22" s="12">
        <v>206</v>
      </c>
      <c r="K22" s="12">
        <v>531</v>
      </c>
      <c r="L22" s="12">
        <v>850</v>
      </c>
      <c r="M22" s="12">
        <v>789</v>
      </c>
      <c r="N22" s="12">
        <v>795</v>
      </c>
      <c r="O22" s="12">
        <v>741</v>
      </c>
      <c r="P22" s="12">
        <v>893</v>
      </c>
      <c r="Q22" s="12">
        <v>901</v>
      </c>
      <c r="R22" s="12">
        <v>392</v>
      </c>
      <c r="S22" s="12">
        <v>648</v>
      </c>
      <c r="T22" s="12">
        <v>707</v>
      </c>
      <c r="U22" s="12">
        <v>390</v>
      </c>
      <c r="V22" s="12">
        <v>810</v>
      </c>
      <c r="W22" s="12">
        <v>427</v>
      </c>
      <c r="X22" s="12">
        <v>780</v>
      </c>
      <c r="Y22" s="12">
        <v>779</v>
      </c>
      <c r="Z22" s="12">
        <v>774</v>
      </c>
      <c r="AA22" s="12">
        <v>922</v>
      </c>
      <c r="AB22" s="12">
        <v>732</v>
      </c>
      <c r="AC22" s="12">
        <v>735</v>
      </c>
      <c r="AD22" s="12">
        <v>799</v>
      </c>
      <c r="AE22" s="12">
        <v>838</v>
      </c>
      <c r="AF22" s="12">
        <v>902</v>
      </c>
    </row>
    <row r="23" spans="1:32">
      <c r="A23" s="20"/>
      <c r="B23" s="13" t="s">
        <v>567</v>
      </c>
      <c r="C23" s="14">
        <v>0.77</v>
      </c>
      <c r="D23" s="14">
        <v>0.78</v>
      </c>
      <c r="E23" s="14">
        <v>0.73</v>
      </c>
      <c r="F23" s="14">
        <v>0.62</v>
      </c>
      <c r="G23" s="14">
        <v>0.83000000000000007</v>
      </c>
      <c r="H23" s="14">
        <v>0.74</v>
      </c>
      <c r="I23" s="14">
        <v>0.73</v>
      </c>
      <c r="J23" s="14">
        <v>0.70000000000000007</v>
      </c>
      <c r="K23" s="14">
        <v>0.52</v>
      </c>
      <c r="L23" s="14">
        <v>0.84</v>
      </c>
      <c r="M23" s="14">
        <v>0.78</v>
      </c>
      <c r="N23" s="14">
        <v>0.79</v>
      </c>
      <c r="O23" s="14">
        <v>0.74</v>
      </c>
      <c r="P23" s="14">
        <v>0.87</v>
      </c>
      <c r="Q23" s="14">
        <v>0.88</v>
      </c>
      <c r="R23" s="14">
        <v>0.78</v>
      </c>
      <c r="S23" s="14">
        <v>0.64</v>
      </c>
      <c r="T23" s="14">
        <v>0.70000000000000007</v>
      </c>
      <c r="U23" s="14">
        <v>0.77</v>
      </c>
      <c r="V23" s="14">
        <v>0.8</v>
      </c>
      <c r="W23" s="14">
        <v>0.84</v>
      </c>
      <c r="X23" s="14">
        <v>0.77</v>
      </c>
      <c r="Y23" s="14">
        <v>0.77</v>
      </c>
      <c r="Z23" s="14">
        <v>0.77</v>
      </c>
      <c r="AA23" s="14">
        <v>0.88</v>
      </c>
      <c r="AB23" s="14">
        <v>0.70000000000000007</v>
      </c>
      <c r="AC23" s="14">
        <v>0.73</v>
      </c>
      <c r="AD23" s="14">
        <v>0.8</v>
      </c>
      <c r="AE23" s="14">
        <v>0.84</v>
      </c>
      <c r="AF23" s="14">
        <v>0.88</v>
      </c>
    </row>
    <row r="24" spans="1:32">
      <c r="A24" s="20"/>
      <c r="B24" s="11" t="s">
        <v>568</v>
      </c>
      <c r="C24" s="12">
        <v>4112</v>
      </c>
      <c r="D24" s="12">
        <v>187</v>
      </c>
      <c r="E24" s="12">
        <v>149</v>
      </c>
      <c r="F24" s="12">
        <v>269</v>
      </c>
      <c r="G24" s="12">
        <v>103</v>
      </c>
      <c r="H24" s="12">
        <v>220</v>
      </c>
      <c r="I24" s="12">
        <v>293</v>
      </c>
      <c r="J24" s="12">
        <v>72</v>
      </c>
      <c r="K24" s="12">
        <v>335</v>
      </c>
      <c r="L24" s="12">
        <v>87</v>
      </c>
      <c r="M24" s="12">
        <v>127</v>
      </c>
      <c r="N24" s="12">
        <v>124</v>
      </c>
      <c r="O24" s="12">
        <v>180</v>
      </c>
      <c r="P24" s="12">
        <v>98</v>
      </c>
      <c r="Q24" s="12">
        <v>89</v>
      </c>
      <c r="R24" s="12">
        <v>58</v>
      </c>
      <c r="S24" s="12">
        <v>203</v>
      </c>
      <c r="T24" s="12">
        <v>141</v>
      </c>
      <c r="U24" s="12">
        <v>83</v>
      </c>
      <c r="V24" s="12">
        <v>143</v>
      </c>
      <c r="W24" s="12">
        <v>64</v>
      </c>
      <c r="X24" s="12">
        <v>210</v>
      </c>
      <c r="Y24" s="12">
        <v>184</v>
      </c>
      <c r="Z24" s="12">
        <v>174</v>
      </c>
      <c r="AA24" s="12">
        <v>39</v>
      </c>
      <c r="AB24" s="12">
        <v>229</v>
      </c>
      <c r="AC24" s="12">
        <v>245</v>
      </c>
      <c r="AD24" s="12">
        <v>132</v>
      </c>
      <c r="AE24" s="12">
        <v>105</v>
      </c>
      <c r="AF24" s="12">
        <v>98</v>
      </c>
    </row>
    <row r="25" spans="1:32">
      <c r="A25" s="20"/>
      <c r="B25" s="13" t="s">
        <v>569</v>
      </c>
      <c r="C25" s="14">
        <v>0.16</v>
      </c>
      <c r="D25" s="14">
        <v>0.18</v>
      </c>
      <c r="E25" s="14">
        <v>0.15</v>
      </c>
      <c r="F25" s="14">
        <v>0.27</v>
      </c>
      <c r="G25" s="14">
        <v>0.1</v>
      </c>
      <c r="H25" s="14">
        <v>0.18</v>
      </c>
      <c r="I25" s="14">
        <v>0.2</v>
      </c>
      <c r="J25" s="14">
        <v>0.25</v>
      </c>
      <c r="K25" s="14">
        <v>0.34</v>
      </c>
      <c r="L25" s="14">
        <v>0.09</v>
      </c>
      <c r="M25" s="14">
        <v>0.13</v>
      </c>
      <c r="N25" s="14">
        <v>0.12</v>
      </c>
      <c r="O25" s="14">
        <v>0.18</v>
      </c>
      <c r="P25" s="14">
        <v>0.1</v>
      </c>
      <c r="Q25" s="14">
        <v>0.09</v>
      </c>
      <c r="R25" s="14">
        <v>0.12</v>
      </c>
      <c r="S25" s="14">
        <v>0.2</v>
      </c>
      <c r="T25" s="14">
        <v>0.14000000000000001</v>
      </c>
      <c r="U25" s="14">
        <v>0.16</v>
      </c>
      <c r="V25" s="14">
        <v>0.14000000000000001</v>
      </c>
      <c r="W25" s="14">
        <v>0.13</v>
      </c>
      <c r="X25" s="14">
        <v>0.2</v>
      </c>
      <c r="Y25" s="14">
        <v>0.19</v>
      </c>
      <c r="Z25" s="14">
        <v>0.17</v>
      </c>
      <c r="AA25" s="14">
        <v>0.03</v>
      </c>
      <c r="AB25" s="14">
        <v>0.22</v>
      </c>
      <c r="AC25" s="14">
        <v>0.24</v>
      </c>
      <c r="AD25" s="14">
        <v>0.13</v>
      </c>
      <c r="AE25" s="14">
        <v>0.1</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1093</v>
      </c>
      <c r="C3" s="18"/>
      <c r="D3" s="18"/>
      <c r="E3" s="18"/>
      <c r="F3" s="18"/>
      <c r="H3" s="18" t="s">
        <v>1094</v>
      </c>
      <c r="I3" s="18"/>
      <c r="J3" s="18"/>
      <c r="K3" s="18"/>
      <c r="L3" s="18"/>
    </row>
    <row r="4" spans="1:32" ht="27" customHeight="1">
      <c r="B4" s="18" t="s">
        <v>1095</v>
      </c>
      <c r="C4" s="18"/>
      <c r="D4" s="18"/>
      <c r="E4" s="18"/>
      <c r="F4" s="18"/>
      <c r="H4" s="18" t="s">
        <v>1096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9062</v>
      </c>
      <c r="D12" s="12">
        <v>317</v>
      </c>
      <c r="E12" s="12">
        <v>369</v>
      </c>
      <c r="F12" s="12">
        <v>196</v>
      </c>
      <c r="G12" s="12">
        <v>443</v>
      </c>
      <c r="H12" s="12">
        <v>335</v>
      </c>
      <c r="I12" s="12">
        <v>409</v>
      </c>
      <c r="J12" s="12">
        <v>74</v>
      </c>
      <c r="K12" s="12">
        <v>154</v>
      </c>
      <c r="L12" s="12">
        <v>545</v>
      </c>
      <c r="M12" s="12">
        <v>420</v>
      </c>
      <c r="N12" s="12">
        <v>504</v>
      </c>
      <c r="O12" s="12">
        <v>390</v>
      </c>
      <c r="P12" s="12">
        <v>335</v>
      </c>
      <c r="Q12" s="12">
        <v>336</v>
      </c>
      <c r="R12" s="12">
        <v>282</v>
      </c>
      <c r="S12" s="12">
        <v>250</v>
      </c>
      <c r="T12" s="12">
        <v>302</v>
      </c>
      <c r="U12" s="12">
        <v>236</v>
      </c>
      <c r="V12" s="12">
        <v>312</v>
      </c>
      <c r="W12" s="12">
        <v>286</v>
      </c>
      <c r="X12" s="12">
        <v>383</v>
      </c>
      <c r="Y12" s="12">
        <v>329</v>
      </c>
      <c r="Z12" s="12">
        <v>204</v>
      </c>
      <c r="AA12" s="12">
        <v>353</v>
      </c>
      <c r="AB12" s="12">
        <v>241</v>
      </c>
      <c r="AC12" s="12">
        <v>352</v>
      </c>
      <c r="AD12" s="12">
        <v>350</v>
      </c>
      <c r="AE12" s="12">
        <v>425</v>
      </c>
      <c r="AF12" s="12">
        <v>633</v>
      </c>
    </row>
    <row r="13" spans="1:32">
      <c r="A13" s="20"/>
      <c r="B13" s="13" t="s">
        <v>559</v>
      </c>
      <c r="C13" s="14">
        <v>0.34</v>
      </c>
      <c r="D13" s="14">
        <v>0.32</v>
      </c>
      <c r="E13" s="14">
        <v>0.36</v>
      </c>
      <c r="F13" s="14">
        <v>0.19</v>
      </c>
      <c r="G13" s="14">
        <v>0.44</v>
      </c>
      <c r="H13" s="14">
        <v>0.28000000000000003</v>
      </c>
      <c r="I13" s="14">
        <v>0.27</v>
      </c>
      <c r="J13" s="14">
        <v>0.25</v>
      </c>
      <c r="K13" s="14">
        <v>0.15</v>
      </c>
      <c r="L13" s="14">
        <v>0.54</v>
      </c>
      <c r="M13" s="14">
        <v>0.42</v>
      </c>
      <c r="N13" s="14">
        <v>0.5</v>
      </c>
      <c r="O13" s="14">
        <v>0.39</v>
      </c>
      <c r="P13" s="14">
        <v>0.33</v>
      </c>
      <c r="Q13" s="14">
        <v>0.33</v>
      </c>
      <c r="R13" s="14">
        <v>0.56000000000000005</v>
      </c>
      <c r="S13" s="14">
        <v>0.25</v>
      </c>
      <c r="T13" s="14">
        <v>0.3</v>
      </c>
      <c r="U13" s="14">
        <v>0.46</v>
      </c>
      <c r="V13" s="14">
        <v>0.31</v>
      </c>
      <c r="W13" s="14">
        <v>0.57000000000000006</v>
      </c>
      <c r="X13" s="14">
        <v>0.37</v>
      </c>
      <c r="Y13" s="14">
        <v>0.33</v>
      </c>
      <c r="Z13" s="14">
        <v>0.2</v>
      </c>
      <c r="AA13" s="14">
        <v>0.34</v>
      </c>
      <c r="AB13" s="14">
        <v>0.23</v>
      </c>
      <c r="AC13" s="14">
        <v>0.35</v>
      </c>
      <c r="AD13" s="14">
        <v>0.35</v>
      </c>
      <c r="AE13" s="14">
        <v>0.43</v>
      </c>
      <c r="AF13" s="14">
        <v>0.62</v>
      </c>
    </row>
    <row r="14" spans="1:32">
      <c r="A14" s="20"/>
      <c r="B14" s="11" t="s">
        <v>668</v>
      </c>
      <c r="C14" s="12">
        <v>12771</v>
      </c>
      <c r="D14" s="12">
        <v>517</v>
      </c>
      <c r="E14" s="12">
        <v>466</v>
      </c>
      <c r="F14" s="12">
        <v>499</v>
      </c>
      <c r="G14" s="12">
        <v>420</v>
      </c>
      <c r="H14" s="12">
        <v>616</v>
      </c>
      <c r="I14" s="12">
        <v>755</v>
      </c>
      <c r="J14" s="12">
        <v>138</v>
      </c>
      <c r="K14" s="12">
        <v>438</v>
      </c>
      <c r="L14" s="12">
        <v>361</v>
      </c>
      <c r="M14" s="12">
        <v>503</v>
      </c>
      <c r="N14" s="12">
        <v>401</v>
      </c>
      <c r="O14" s="12">
        <v>459</v>
      </c>
      <c r="P14" s="12">
        <v>576</v>
      </c>
      <c r="Q14" s="12">
        <v>548</v>
      </c>
      <c r="R14" s="12">
        <v>158</v>
      </c>
      <c r="S14" s="12">
        <v>469</v>
      </c>
      <c r="T14" s="12">
        <v>461</v>
      </c>
      <c r="U14" s="12">
        <v>202</v>
      </c>
      <c r="V14" s="12">
        <v>532</v>
      </c>
      <c r="W14" s="12">
        <v>156</v>
      </c>
      <c r="X14" s="12">
        <v>471</v>
      </c>
      <c r="Y14" s="12">
        <v>466</v>
      </c>
      <c r="Z14" s="12">
        <v>602</v>
      </c>
      <c r="AA14" s="12">
        <v>606</v>
      </c>
      <c r="AB14" s="12">
        <v>509</v>
      </c>
      <c r="AC14" s="12">
        <v>476</v>
      </c>
      <c r="AD14" s="12">
        <v>515</v>
      </c>
      <c r="AE14" s="12">
        <v>425</v>
      </c>
      <c r="AF14" s="12">
        <v>280</v>
      </c>
    </row>
    <row r="15" spans="1:32">
      <c r="A15" s="20"/>
      <c r="B15" s="13" t="s">
        <v>561</v>
      </c>
      <c r="C15" s="14">
        <v>0.49</v>
      </c>
      <c r="D15" s="14">
        <v>0.51</v>
      </c>
      <c r="E15" s="14">
        <v>0.46</v>
      </c>
      <c r="F15" s="14">
        <v>0.5</v>
      </c>
      <c r="G15" s="14">
        <v>0.42</v>
      </c>
      <c r="H15" s="14">
        <v>0.51</v>
      </c>
      <c r="I15" s="14">
        <v>0.5</v>
      </c>
      <c r="J15" s="14">
        <v>0.47</v>
      </c>
      <c r="K15" s="14">
        <v>0.44</v>
      </c>
      <c r="L15" s="14">
        <v>0.36</v>
      </c>
      <c r="M15" s="14">
        <v>0.5</v>
      </c>
      <c r="N15" s="14">
        <v>0.4</v>
      </c>
      <c r="O15" s="14">
        <v>0.46</v>
      </c>
      <c r="P15" s="14">
        <v>0.56000000000000005</v>
      </c>
      <c r="Q15" s="14">
        <v>0.54</v>
      </c>
      <c r="R15" s="14">
        <v>0.32</v>
      </c>
      <c r="S15" s="14">
        <v>0.47</v>
      </c>
      <c r="T15" s="14">
        <v>0.45</v>
      </c>
      <c r="U15" s="14">
        <v>0.4</v>
      </c>
      <c r="V15" s="14">
        <v>0.52</v>
      </c>
      <c r="W15" s="14">
        <v>0.31</v>
      </c>
      <c r="X15" s="14">
        <v>0.46</v>
      </c>
      <c r="Y15" s="14">
        <v>0.46</v>
      </c>
      <c r="Z15" s="14">
        <v>0.6</v>
      </c>
      <c r="AA15" s="14">
        <v>0.57999999999999996</v>
      </c>
      <c r="AB15" s="14">
        <v>0.49</v>
      </c>
      <c r="AC15" s="14">
        <v>0.47</v>
      </c>
      <c r="AD15" s="14">
        <v>0.51</v>
      </c>
      <c r="AE15" s="14">
        <v>0.42</v>
      </c>
      <c r="AF15" s="14">
        <v>0.27</v>
      </c>
    </row>
    <row r="16" spans="1:32">
      <c r="A16" s="20"/>
      <c r="B16" s="11" t="s">
        <v>669</v>
      </c>
      <c r="C16" s="12">
        <v>2633</v>
      </c>
      <c r="D16" s="12">
        <v>117</v>
      </c>
      <c r="E16" s="12">
        <v>87</v>
      </c>
      <c r="F16" s="12">
        <v>180</v>
      </c>
      <c r="G16" s="12">
        <v>62</v>
      </c>
      <c r="H16" s="12">
        <v>151</v>
      </c>
      <c r="I16" s="12">
        <v>201</v>
      </c>
      <c r="J16" s="12">
        <v>50</v>
      </c>
      <c r="K16" s="12">
        <v>223</v>
      </c>
      <c r="L16" s="12">
        <v>38</v>
      </c>
      <c r="M16" s="12">
        <v>39</v>
      </c>
      <c r="N16" s="12">
        <v>49</v>
      </c>
      <c r="O16" s="12">
        <v>79</v>
      </c>
      <c r="P16" s="12">
        <v>75</v>
      </c>
      <c r="Q16" s="12">
        <v>93</v>
      </c>
      <c r="R16" s="12">
        <v>35</v>
      </c>
      <c r="S16" s="12">
        <v>134</v>
      </c>
      <c r="T16" s="12">
        <v>114</v>
      </c>
      <c r="U16" s="12">
        <v>36</v>
      </c>
      <c r="V16" s="12">
        <v>110</v>
      </c>
      <c r="W16" s="12">
        <v>36</v>
      </c>
      <c r="X16" s="12">
        <v>111</v>
      </c>
      <c r="Y16" s="12">
        <v>130</v>
      </c>
      <c r="Z16" s="12">
        <v>130</v>
      </c>
      <c r="AA16" s="12">
        <v>24</v>
      </c>
      <c r="AB16" s="12">
        <v>193</v>
      </c>
      <c r="AC16" s="12">
        <v>125</v>
      </c>
      <c r="AD16" s="12">
        <v>70</v>
      </c>
      <c r="AE16" s="12">
        <v>94</v>
      </c>
      <c r="AF16" s="12">
        <v>72</v>
      </c>
    </row>
    <row r="17" spans="1:32">
      <c r="A17" s="20"/>
      <c r="B17" s="13" t="s">
        <v>563</v>
      </c>
      <c r="C17" s="14">
        <v>0.1</v>
      </c>
      <c r="D17" s="14">
        <v>0.12</v>
      </c>
      <c r="E17" s="14">
        <v>0.08</v>
      </c>
      <c r="F17" s="14">
        <v>0.18</v>
      </c>
      <c r="G17" s="14">
        <v>0.06</v>
      </c>
      <c r="H17" s="14">
        <v>0.12</v>
      </c>
      <c r="I17" s="14">
        <v>0.13</v>
      </c>
      <c r="J17" s="14">
        <v>0.17</v>
      </c>
      <c r="K17" s="14">
        <v>0.22</v>
      </c>
      <c r="L17" s="14">
        <v>0.04</v>
      </c>
      <c r="M17" s="14">
        <v>0.04</v>
      </c>
      <c r="N17" s="14">
        <v>0.05</v>
      </c>
      <c r="O17" s="14">
        <v>0.08</v>
      </c>
      <c r="P17" s="14">
        <v>7.0000000000000007E-2</v>
      </c>
      <c r="Q17" s="14">
        <v>0.09</v>
      </c>
      <c r="R17" s="14">
        <v>7.0000000000000007E-2</v>
      </c>
      <c r="S17" s="14">
        <v>0.13</v>
      </c>
      <c r="T17" s="14">
        <v>0.11</v>
      </c>
      <c r="U17" s="14">
        <v>7.0000000000000007E-2</v>
      </c>
      <c r="V17" s="14">
        <v>0.11</v>
      </c>
      <c r="W17" s="14">
        <v>7.0000000000000007E-2</v>
      </c>
      <c r="X17" s="14">
        <v>0.11</v>
      </c>
      <c r="Y17" s="14">
        <v>0.13</v>
      </c>
      <c r="Z17" s="14">
        <v>0.13</v>
      </c>
      <c r="AA17" s="14">
        <v>0.02</v>
      </c>
      <c r="AB17" s="14">
        <v>0.19</v>
      </c>
      <c r="AC17" s="14">
        <v>0.13</v>
      </c>
      <c r="AD17" s="14">
        <v>7.0000000000000007E-2</v>
      </c>
      <c r="AE17" s="14">
        <v>0.09</v>
      </c>
      <c r="AF17" s="14">
        <v>7.0000000000000007E-2</v>
      </c>
    </row>
    <row r="18" spans="1:32">
      <c r="A18" s="20"/>
      <c r="B18" s="11" t="s">
        <v>670</v>
      </c>
      <c r="C18" s="12">
        <v>774</v>
      </c>
      <c r="D18" s="12">
        <v>32</v>
      </c>
      <c r="E18" s="12">
        <v>27</v>
      </c>
      <c r="F18" s="12">
        <v>47</v>
      </c>
      <c r="G18" s="12">
        <v>11</v>
      </c>
      <c r="H18" s="12">
        <v>43</v>
      </c>
      <c r="I18" s="12">
        <v>63</v>
      </c>
      <c r="J18" s="12">
        <v>20</v>
      </c>
      <c r="K18" s="12">
        <v>98</v>
      </c>
      <c r="L18" s="12">
        <v>21</v>
      </c>
      <c r="M18" s="12">
        <v>19</v>
      </c>
      <c r="N18" s="12">
        <v>15</v>
      </c>
      <c r="O18" s="12">
        <v>29</v>
      </c>
      <c r="P18" s="12">
        <v>8</v>
      </c>
      <c r="Q18" s="12">
        <v>18</v>
      </c>
      <c r="R18" s="12">
        <v>12</v>
      </c>
      <c r="S18" s="12">
        <v>63</v>
      </c>
      <c r="T18" s="12">
        <v>36</v>
      </c>
      <c r="U18" s="12">
        <v>19</v>
      </c>
      <c r="V18" s="12">
        <v>19</v>
      </c>
      <c r="W18" s="12">
        <v>16</v>
      </c>
      <c r="X18" s="12">
        <v>38</v>
      </c>
      <c r="Y18" s="12">
        <v>64</v>
      </c>
      <c r="Z18" s="12">
        <v>33</v>
      </c>
      <c r="AA18" s="12">
        <v>4</v>
      </c>
      <c r="AB18" s="12">
        <v>43</v>
      </c>
      <c r="AC18" s="12">
        <v>44</v>
      </c>
      <c r="AD18" s="12">
        <v>23</v>
      </c>
      <c r="AE18" s="12">
        <v>27</v>
      </c>
      <c r="AF18" s="12">
        <v>28</v>
      </c>
    </row>
    <row r="19" spans="1:32">
      <c r="A19" s="20"/>
      <c r="B19" s="13" t="s">
        <v>565</v>
      </c>
      <c r="C19" s="14">
        <v>0.03</v>
      </c>
      <c r="D19" s="14">
        <v>0.03</v>
      </c>
      <c r="E19" s="14">
        <v>0.03</v>
      </c>
      <c r="F19" s="14">
        <v>0.05</v>
      </c>
      <c r="G19" s="14">
        <v>0.01</v>
      </c>
      <c r="H19" s="14">
        <v>0.03</v>
      </c>
      <c r="I19" s="14">
        <v>0.04</v>
      </c>
      <c r="J19" s="14">
        <v>7.0000000000000007E-2</v>
      </c>
      <c r="K19" s="14">
        <v>0.1</v>
      </c>
      <c r="L19" s="14">
        <v>0.02</v>
      </c>
      <c r="M19" s="14">
        <v>0.02</v>
      </c>
      <c r="N19" s="14">
        <v>0.01</v>
      </c>
      <c r="O19" s="14">
        <v>0.03</v>
      </c>
      <c r="P19" s="14">
        <v>0.01</v>
      </c>
      <c r="Q19" s="14">
        <v>0.02</v>
      </c>
      <c r="R19" s="14">
        <v>0.02</v>
      </c>
      <c r="S19" s="14">
        <v>0.06</v>
      </c>
      <c r="T19" s="14">
        <v>0.04</v>
      </c>
      <c r="U19" s="14">
        <v>0.04</v>
      </c>
      <c r="V19" s="14">
        <v>0.02</v>
      </c>
      <c r="W19" s="14">
        <v>0.03</v>
      </c>
      <c r="X19" s="14">
        <v>0.04</v>
      </c>
      <c r="Y19" s="14">
        <v>0.06</v>
      </c>
      <c r="Z19" s="14">
        <v>0.03</v>
      </c>
      <c r="AA19" s="15" t="s">
        <v>459</v>
      </c>
      <c r="AB19" s="14">
        <v>0.04</v>
      </c>
      <c r="AC19" s="14">
        <v>0.04</v>
      </c>
      <c r="AD19" s="14">
        <v>0.02</v>
      </c>
      <c r="AE19" s="14">
        <v>0.03</v>
      </c>
      <c r="AF19" s="14">
        <v>0.03</v>
      </c>
    </row>
    <row r="20" spans="1:32">
      <c r="A20" s="20"/>
      <c r="B20" s="11" t="s">
        <v>468</v>
      </c>
      <c r="C20" s="12">
        <v>1079</v>
      </c>
      <c r="D20" s="12">
        <v>20</v>
      </c>
      <c r="E20" s="12">
        <v>70</v>
      </c>
      <c r="F20" s="12">
        <v>83</v>
      </c>
      <c r="G20" s="12">
        <v>68</v>
      </c>
      <c r="H20" s="12">
        <v>71</v>
      </c>
      <c r="I20" s="12">
        <v>82</v>
      </c>
      <c r="J20" s="12">
        <v>11</v>
      </c>
      <c r="K20" s="12">
        <v>93</v>
      </c>
      <c r="L20" s="12">
        <v>42</v>
      </c>
      <c r="M20" s="12">
        <v>22</v>
      </c>
      <c r="N20" s="12">
        <v>36</v>
      </c>
      <c r="O20" s="12">
        <v>47</v>
      </c>
      <c r="P20" s="12">
        <v>27</v>
      </c>
      <c r="Q20" s="12">
        <v>23</v>
      </c>
      <c r="R20" s="12">
        <v>13</v>
      </c>
      <c r="S20" s="12">
        <v>92</v>
      </c>
      <c r="T20" s="12">
        <v>102</v>
      </c>
      <c r="U20" s="12">
        <v>14</v>
      </c>
      <c r="V20" s="12">
        <v>45</v>
      </c>
      <c r="W20" s="12">
        <v>9</v>
      </c>
      <c r="X20" s="12">
        <v>18</v>
      </c>
      <c r="Y20" s="12">
        <v>19</v>
      </c>
      <c r="Z20" s="12">
        <v>39</v>
      </c>
      <c r="AA20" s="12">
        <v>66</v>
      </c>
      <c r="AB20" s="12">
        <v>52</v>
      </c>
      <c r="AC20" s="12">
        <v>12</v>
      </c>
      <c r="AD20" s="12">
        <v>49</v>
      </c>
      <c r="AE20" s="12">
        <v>30</v>
      </c>
      <c r="AF20" s="12">
        <v>7</v>
      </c>
    </row>
    <row r="21" spans="1:32">
      <c r="A21" s="20"/>
      <c r="B21" s="13" t="s">
        <v>469</v>
      </c>
      <c r="C21" s="14">
        <v>0.04</v>
      </c>
      <c r="D21" s="14">
        <v>0.02</v>
      </c>
      <c r="E21" s="14">
        <v>7.0000000000000007E-2</v>
      </c>
      <c r="F21" s="14">
        <v>0.08</v>
      </c>
      <c r="G21" s="14">
        <v>7.0000000000000007E-2</v>
      </c>
      <c r="H21" s="14">
        <v>0.06</v>
      </c>
      <c r="I21" s="14">
        <v>0.06</v>
      </c>
      <c r="J21" s="14">
        <v>0.04</v>
      </c>
      <c r="K21" s="14">
        <v>0.09</v>
      </c>
      <c r="L21" s="14">
        <v>0.04</v>
      </c>
      <c r="M21" s="14">
        <v>0.02</v>
      </c>
      <c r="N21" s="14">
        <v>0.04</v>
      </c>
      <c r="O21" s="14">
        <v>0.04</v>
      </c>
      <c r="P21" s="14">
        <v>0.03</v>
      </c>
      <c r="Q21" s="14">
        <v>0.02</v>
      </c>
      <c r="R21" s="14">
        <v>0.03</v>
      </c>
      <c r="S21" s="14">
        <v>0.09</v>
      </c>
      <c r="T21" s="14">
        <v>0.1</v>
      </c>
      <c r="U21" s="14">
        <v>0.03</v>
      </c>
      <c r="V21" s="14">
        <v>0.04</v>
      </c>
      <c r="W21" s="14">
        <v>0.02</v>
      </c>
      <c r="X21" s="14">
        <v>0.02</v>
      </c>
      <c r="Y21" s="14">
        <v>0.02</v>
      </c>
      <c r="Z21" s="14">
        <v>0.04</v>
      </c>
      <c r="AA21" s="14">
        <v>0.06</v>
      </c>
      <c r="AB21" s="14">
        <v>0.05</v>
      </c>
      <c r="AC21" s="14">
        <v>0.01</v>
      </c>
      <c r="AD21" s="14">
        <v>0.05</v>
      </c>
      <c r="AE21" s="14">
        <v>0.03</v>
      </c>
      <c r="AF21" s="14">
        <v>0.01</v>
      </c>
    </row>
    <row r="22" spans="1:32">
      <c r="A22" s="20"/>
      <c r="B22" s="11" t="s">
        <v>566</v>
      </c>
      <c r="C22" s="12">
        <v>21833</v>
      </c>
      <c r="D22" s="12">
        <v>834</v>
      </c>
      <c r="E22" s="12">
        <v>835</v>
      </c>
      <c r="F22" s="12">
        <v>695</v>
      </c>
      <c r="G22" s="12">
        <v>863</v>
      </c>
      <c r="H22" s="12">
        <v>951</v>
      </c>
      <c r="I22" s="12">
        <v>1164</v>
      </c>
      <c r="J22" s="12">
        <v>212</v>
      </c>
      <c r="K22" s="12">
        <v>592</v>
      </c>
      <c r="L22" s="12">
        <v>906</v>
      </c>
      <c r="M22" s="12">
        <v>923</v>
      </c>
      <c r="N22" s="12">
        <v>905</v>
      </c>
      <c r="O22" s="12">
        <v>849</v>
      </c>
      <c r="P22" s="12">
        <v>911</v>
      </c>
      <c r="Q22" s="12">
        <v>884</v>
      </c>
      <c r="R22" s="12">
        <v>440</v>
      </c>
      <c r="S22" s="12">
        <v>719</v>
      </c>
      <c r="T22" s="12">
        <v>763</v>
      </c>
      <c r="U22" s="12">
        <v>438</v>
      </c>
      <c r="V22" s="12">
        <v>844</v>
      </c>
      <c r="W22" s="12">
        <v>442</v>
      </c>
      <c r="X22" s="12">
        <v>854</v>
      </c>
      <c r="Y22" s="12">
        <v>795</v>
      </c>
      <c r="Z22" s="12">
        <v>806</v>
      </c>
      <c r="AA22" s="12">
        <v>959</v>
      </c>
      <c r="AB22" s="12">
        <v>750</v>
      </c>
      <c r="AC22" s="12">
        <v>828</v>
      </c>
      <c r="AD22" s="12">
        <v>865</v>
      </c>
      <c r="AE22" s="12">
        <v>850</v>
      </c>
      <c r="AF22" s="12">
        <v>913</v>
      </c>
    </row>
    <row r="23" spans="1:32">
      <c r="A23" s="20"/>
      <c r="B23" s="13" t="s">
        <v>567</v>
      </c>
      <c r="C23" s="14">
        <v>0.83000000000000007</v>
      </c>
      <c r="D23" s="14">
        <v>0.83000000000000007</v>
      </c>
      <c r="E23" s="14">
        <v>0.82000000000000006</v>
      </c>
      <c r="F23" s="14">
        <v>0.69000000000000006</v>
      </c>
      <c r="G23" s="14">
        <v>0.86</v>
      </c>
      <c r="H23" s="14">
        <v>0.79</v>
      </c>
      <c r="I23" s="14">
        <v>0.77</v>
      </c>
      <c r="J23" s="14">
        <v>0.72</v>
      </c>
      <c r="K23" s="14">
        <v>0.59</v>
      </c>
      <c r="L23" s="14">
        <v>0.9</v>
      </c>
      <c r="M23" s="14">
        <v>0.92</v>
      </c>
      <c r="N23" s="14">
        <v>0.9</v>
      </c>
      <c r="O23" s="14">
        <v>0.85</v>
      </c>
      <c r="P23" s="14">
        <v>0.89</v>
      </c>
      <c r="Q23" s="14">
        <v>0.87</v>
      </c>
      <c r="R23" s="14">
        <v>0.88</v>
      </c>
      <c r="S23" s="14">
        <v>0.72</v>
      </c>
      <c r="T23" s="14">
        <v>0.75</v>
      </c>
      <c r="U23" s="14">
        <v>0.86</v>
      </c>
      <c r="V23" s="14">
        <v>0.83000000000000007</v>
      </c>
      <c r="W23" s="14">
        <v>0.88</v>
      </c>
      <c r="X23" s="14">
        <v>0.83000000000000007</v>
      </c>
      <c r="Y23" s="14">
        <v>0.79</v>
      </c>
      <c r="Z23" s="14">
        <v>0.8</v>
      </c>
      <c r="AA23" s="14">
        <v>0.92</v>
      </c>
      <c r="AB23" s="14">
        <v>0.72</v>
      </c>
      <c r="AC23" s="14">
        <v>0.82000000000000006</v>
      </c>
      <c r="AD23" s="14">
        <v>0.86</v>
      </c>
      <c r="AE23" s="14">
        <v>0.85</v>
      </c>
      <c r="AF23" s="14">
        <v>0.89</v>
      </c>
    </row>
    <row r="24" spans="1:32">
      <c r="A24" s="20"/>
      <c r="B24" s="11" t="s">
        <v>568</v>
      </c>
      <c r="C24" s="12">
        <v>3407</v>
      </c>
      <c r="D24" s="12">
        <v>149</v>
      </c>
      <c r="E24" s="12">
        <v>114</v>
      </c>
      <c r="F24" s="12">
        <v>227</v>
      </c>
      <c r="G24" s="12">
        <v>73</v>
      </c>
      <c r="H24" s="12">
        <v>194</v>
      </c>
      <c r="I24" s="12">
        <v>264</v>
      </c>
      <c r="J24" s="12">
        <v>70</v>
      </c>
      <c r="K24" s="12">
        <v>321</v>
      </c>
      <c r="L24" s="12">
        <v>59</v>
      </c>
      <c r="M24" s="12">
        <v>58</v>
      </c>
      <c r="N24" s="12">
        <v>64</v>
      </c>
      <c r="O24" s="12">
        <v>108</v>
      </c>
      <c r="P24" s="12">
        <v>83</v>
      </c>
      <c r="Q24" s="12">
        <v>111</v>
      </c>
      <c r="R24" s="12">
        <v>47</v>
      </c>
      <c r="S24" s="12">
        <v>197</v>
      </c>
      <c r="T24" s="12">
        <v>150</v>
      </c>
      <c r="U24" s="12">
        <v>55</v>
      </c>
      <c r="V24" s="12">
        <v>129</v>
      </c>
      <c r="W24" s="12">
        <v>52</v>
      </c>
      <c r="X24" s="12">
        <v>149</v>
      </c>
      <c r="Y24" s="12">
        <v>194</v>
      </c>
      <c r="Z24" s="12">
        <v>163</v>
      </c>
      <c r="AA24" s="12">
        <v>28</v>
      </c>
      <c r="AB24" s="12">
        <v>236</v>
      </c>
      <c r="AC24" s="12">
        <v>169</v>
      </c>
      <c r="AD24" s="12">
        <v>93</v>
      </c>
      <c r="AE24" s="12">
        <v>121</v>
      </c>
      <c r="AF24" s="12">
        <v>100</v>
      </c>
    </row>
    <row r="25" spans="1:32">
      <c r="A25" s="20"/>
      <c r="B25" s="13" t="s">
        <v>569</v>
      </c>
      <c r="C25" s="14">
        <v>0.13</v>
      </c>
      <c r="D25" s="14">
        <v>0.15</v>
      </c>
      <c r="E25" s="14">
        <v>0.11</v>
      </c>
      <c r="F25" s="14">
        <v>0.23</v>
      </c>
      <c r="G25" s="14">
        <v>7.0000000000000007E-2</v>
      </c>
      <c r="H25" s="14">
        <v>0.15</v>
      </c>
      <c r="I25" s="14">
        <v>0.17</v>
      </c>
      <c r="J25" s="14">
        <v>0.24</v>
      </c>
      <c r="K25" s="14">
        <v>0.32</v>
      </c>
      <c r="L25" s="14">
        <v>0.06</v>
      </c>
      <c r="M25" s="14">
        <v>0.06</v>
      </c>
      <c r="N25" s="14">
        <v>0.06</v>
      </c>
      <c r="O25" s="14">
        <v>0.11</v>
      </c>
      <c r="P25" s="14">
        <v>0.08</v>
      </c>
      <c r="Q25" s="14">
        <v>0.11</v>
      </c>
      <c r="R25" s="14">
        <v>0.09</v>
      </c>
      <c r="S25" s="14">
        <v>0.19</v>
      </c>
      <c r="T25" s="14">
        <v>0.15</v>
      </c>
      <c r="U25" s="14">
        <v>0.11</v>
      </c>
      <c r="V25" s="14">
        <v>0.13</v>
      </c>
      <c r="W25" s="14">
        <v>0.1</v>
      </c>
      <c r="X25" s="14">
        <v>0.15</v>
      </c>
      <c r="Y25" s="14">
        <v>0.19</v>
      </c>
      <c r="Z25" s="14">
        <v>0.16</v>
      </c>
      <c r="AA25" s="14">
        <v>0.02</v>
      </c>
      <c r="AB25" s="14">
        <v>0.23</v>
      </c>
      <c r="AC25" s="14">
        <v>0.17</v>
      </c>
      <c r="AD25" s="14">
        <v>0.09</v>
      </c>
      <c r="AE25" s="14">
        <v>0.12</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1097</v>
      </c>
      <c r="C3" s="18"/>
      <c r="D3" s="18"/>
      <c r="E3" s="18"/>
      <c r="F3" s="18"/>
      <c r="H3" s="18" t="s">
        <v>1098</v>
      </c>
      <c r="I3" s="18"/>
      <c r="J3" s="18"/>
      <c r="K3" s="18"/>
      <c r="L3" s="18"/>
    </row>
    <row r="4" spans="1:32" ht="27" customHeight="1">
      <c r="B4" s="18" t="s">
        <v>1099</v>
      </c>
      <c r="C4" s="18"/>
      <c r="D4" s="18"/>
      <c r="E4" s="18"/>
      <c r="F4" s="18"/>
      <c r="H4" s="18" t="s">
        <v>1100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667</v>
      </c>
      <c r="C12" s="12">
        <v>9121</v>
      </c>
      <c r="D12" s="12">
        <v>320</v>
      </c>
      <c r="E12" s="12">
        <v>323</v>
      </c>
      <c r="F12" s="12">
        <v>257</v>
      </c>
      <c r="G12" s="12">
        <v>333</v>
      </c>
      <c r="H12" s="12">
        <v>370</v>
      </c>
      <c r="I12" s="12">
        <v>472</v>
      </c>
      <c r="J12" s="12">
        <v>102</v>
      </c>
      <c r="K12" s="12">
        <v>232</v>
      </c>
      <c r="L12" s="12">
        <v>524</v>
      </c>
      <c r="M12" s="12">
        <v>417</v>
      </c>
      <c r="N12" s="12">
        <v>491</v>
      </c>
      <c r="O12" s="12">
        <v>375</v>
      </c>
      <c r="P12" s="12">
        <v>327</v>
      </c>
      <c r="Q12" s="12">
        <v>339</v>
      </c>
      <c r="R12" s="12">
        <v>267</v>
      </c>
      <c r="S12" s="12">
        <v>323</v>
      </c>
      <c r="T12" s="12">
        <v>353</v>
      </c>
      <c r="U12" s="12">
        <v>239</v>
      </c>
      <c r="V12" s="12">
        <v>384</v>
      </c>
      <c r="W12" s="12">
        <v>310</v>
      </c>
      <c r="X12" s="12">
        <v>416</v>
      </c>
      <c r="Y12" s="12">
        <v>391</v>
      </c>
      <c r="Z12" s="12">
        <v>212</v>
      </c>
      <c r="AA12" s="12">
        <v>301</v>
      </c>
      <c r="AB12" s="12">
        <v>255</v>
      </c>
      <c r="AC12" s="12">
        <v>388</v>
      </c>
      <c r="AD12" s="12">
        <v>363</v>
      </c>
      <c r="AE12" s="12">
        <v>274</v>
      </c>
      <c r="AF12" s="12">
        <v>425</v>
      </c>
    </row>
    <row r="13" spans="1:32">
      <c r="A13" s="20"/>
      <c r="B13" s="13" t="s">
        <v>559</v>
      </c>
      <c r="C13" s="14">
        <v>0.35</v>
      </c>
      <c r="D13" s="14">
        <v>0.32</v>
      </c>
      <c r="E13" s="14">
        <v>0.32</v>
      </c>
      <c r="F13" s="14">
        <v>0.26</v>
      </c>
      <c r="G13" s="14">
        <v>0.33</v>
      </c>
      <c r="H13" s="14">
        <v>0.3</v>
      </c>
      <c r="I13" s="14">
        <v>0.31</v>
      </c>
      <c r="J13" s="14">
        <v>0.35</v>
      </c>
      <c r="K13" s="14">
        <v>0.23</v>
      </c>
      <c r="L13" s="14">
        <v>0.52</v>
      </c>
      <c r="M13" s="14">
        <v>0.42</v>
      </c>
      <c r="N13" s="14">
        <v>0.49</v>
      </c>
      <c r="O13" s="14">
        <v>0.37</v>
      </c>
      <c r="P13" s="14">
        <v>0.32</v>
      </c>
      <c r="Q13" s="14">
        <v>0.33</v>
      </c>
      <c r="R13" s="14">
        <v>0.54</v>
      </c>
      <c r="S13" s="14">
        <v>0.32</v>
      </c>
      <c r="T13" s="14">
        <v>0.35</v>
      </c>
      <c r="U13" s="14">
        <v>0.47</v>
      </c>
      <c r="V13" s="14">
        <v>0.38</v>
      </c>
      <c r="W13" s="14">
        <v>0.62</v>
      </c>
      <c r="X13" s="14">
        <v>0.41</v>
      </c>
      <c r="Y13" s="14">
        <v>0.39</v>
      </c>
      <c r="Z13" s="14">
        <v>0.21</v>
      </c>
      <c r="AA13" s="14">
        <v>0.28999999999999998</v>
      </c>
      <c r="AB13" s="14">
        <v>0.25</v>
      </c>
      <c r="AC13" s="14">
        <v>0.39</v>
      </c>
      <c r="AD13" s="14">
        <v>0.36</v>
      </c>
      <c r="AE13" s="14">
        <v>0.27</v>
      </c>
      <c r="AF13" s="14">
        <v>0.42</v>
      </c>
    </row>
    <row r="14" spans="1:32">
      <c r="A14" s="20"/>
      <c r="B14" s="11" t="s">
        <v>668</v>
      </c>
      <c r="C14" s="12">
        <v>12954</v>
      </c>
      <c r="D14" s="12">
        <v>496</v>
      </c>
      <c r="E14" s="12">
        <v>467</v>
      </c>
      <c r="F14" s="12">
        <v>513</v>
      </c>
      <c r="G14" s="12">
        <v>447</v>
      </c>
      <c r="H14" s="12">
        <v>631</v>
      </c>
      <c r="I14" s="12">
        <v>778</v>
      </c>
      <c r="J14" s="12">
        <v>146</v>
      </c>
      <c r="K14" s="12">
        <v>430</v>
      </c>
      <c r="L14" s="12">
        <v>373</v>
      </c>
      <c r="M14" s="12">
        <v>485</v>
      </c>
      <c r="N14" s="12">
        <v>357</v>
      </c>
      <c r="O14" s="12">
        <v>492</v>
      </c>
      <c r="P14" s="12">
        <v>590</v>
      </c>
      <c r="Q14" s="12">
        <v>570</v>
      </c>
      <c r="R14" s="12">
        <v>170</v>
      </c>
      <c r="S14" s="12">
        <v>442</v>
      </c>
      <c r="T14" s="12">
        <v>484</v>
      </c>
      <c r="U14" s="12">
        <v>208</v>
      </c>
      <c r="V14" s="12">
        <v>504</v>
      </c>
      <c r="W14" s="12">
        <v>142</v>
      </c>
      <c r="X14" s="12">
        <v>406</v>
      </c>
      <c r="Y14" s="12">
        <v>438</v>
      </c>
      <c r="Z14" s="12">
        <v>606</v>
      </c>
      <c r="AA14" s="12">
        <v>614</v>
      </c>
      <c r="AB14" s="12">
        <v>507</v>
      </c>
      <c r="AC14" s="12">
        <v>459</v>
      </c>
      <c r="AD14" s="12">
        <v>479</v>
      </c>
      <c r="AE14" s="12">
        <v>534</v>
      </c>
      <c r="AF14" s="12">
        <v>432</v>
      </c>
    </row>
    <row r="15" spans="1:32">
      <c r="A15" s="20"/>
      <c r="B15" s="13" t="s">
        <v>561</v>
      </c>
      <c r="C15" s="14">
        <v>0.49</v>
      </c>
      <c r="D15" s="14">
        <v>0.49</v>
      </c>
      <c r="E15" s="14">
        <v>0.46</v>
      </c>
      <c r="F15" s="14">
        <v>0.51</v>
      </c>
      <c r="G15" s="14">
        <v>0.45</v>
      </c>
      <c r="H15" s="14">
        <v>0.52</v>
      </c>
      <c r="I15" s="14">
        <v>0.52</v>
      </c>
      <c r="J15" s="14">
        <v>0.5</v>
      </c>
      <c r="K15" s="14">
        <v>0.43</v>
      </c>
      <c r="L15" s="14">
        <v>0.37</v>
      </c>
      <c r="M15" s="14">
        <v>0.48</v>
      </c>
      <c r="N15" s="14">
        <v>0.36</v>
      </c>
      <c r="O15" s="14">
        <v>0.49</v>
      </c>
      <c r="P15" s="14">
        <v>0.57999999999999996</v>
      </c>
      <c r="Q15" s="14">
        <v>0.56000000000000005</v>
      </c>
      <c r="R15" s="14">
        <v>0.34</v>
      </c>
      <c r="S15" s="14">
        <v>0.44</v>
      </c>
      <c r="T15" s="14">
        <v>0.48</v>
      </c>
      <c r="U15" s="14">
        <v>0.41</v>
      </c>
      <c r="V15" s="14">
        <v>0.5</v>
      </c>
      <c r="W15" s="14">
        <v>0.28000000000000003</v>
      </c>
      <c r="X15" s="14">
        <v>0.4</v>
      </c>
      <c r="Y15" s="14">
        <v>0.43</v>
      </c>
      <c r="Z15" s="14">
        <v>0.6</v>
      </c>
      <c r="AA15" s="14">
        <v>0.57999999999999996</v>
      </c>
      <c r="AB15" s="14">
        <v>0.49</v>
      </c>
      <c r="AC15" s="14">
        <v>0.45</v>
      </c>
      <c r="AD15" s="14">
        <v>0.48</v>
      </c>
      <c r="AE15" s="14">
        <v>0.53</v>
      </c>
      <c r="AF15" s="14">
        <v>0.42</v>
      </c>
    </row>
    <row r="16" spans="1:32">
      <c r="A16" s="20"/>
      <c r="B16" s="11" t="s">
        <v>669</v>
      </c>
      <c r="C16" s="12">
        <v>2390</v>
      </c>
      <c r="D16" s="12">
        <v>122</v>
      </c>
      <c r="E16" s="12">
        <v>103</v>
      </c>
      <c r="F16" s="12">
        <v>122</v>
      </c>
      <c r="G16" s="12">
        <v>129</v>
      </c>
      <c r="H16" s="12">
        <v>112</v>
      </c>
      <c r="I16" s="12">
        <v>145</v>
      </c>
      <c r="J16" s="12">
        <v>34</v>
      </c>
      <c r="K16" s="12">
        <v>166</v>
      </c>
      <c r="L16" s="12">
        <v>45</v>
      </c>
      <c r="M16" s="12">
        <v>39</v>
      </c>
      <c r="N16" s="12">
        <v>86</v>
      </c>
      <c r="O16" s="12">
        <v>79</v>
      </c>
      <c r="P16" s="12">
        <v>69</v>
      </c>
      <c r="Q16" s="12">
        <v>67</v>
      </c>
      <c r="R16" s="12">
        <v>25</v>
      </c>
      <c r="S16" s="12">
        <v>116</v>
      </c>
      <c r="T16" s="12">
        <v>78</v>
      </c>
      <c r="U16" s="12">
        <v>31</v>
      </c>
      <c r="V16" s="12">
        <v>87</v>
      </c>
      <c r="W16" s="12">
        <v>23</v>
      </c>
      <c r="X16" s="12">
        <v>129</v>
      </c>
      <c r="Y16" s="12">
        <v>103</v>
      </c>
      <c r="Z16" s="12">
        <v>103</v>
      </c>
      <c r="AA16" s="12">
        <v>42</v>
      </c>
      <c r="AB16" s="12">
        <v>170</v>
      </c>
      <c r="AC16" s="12">
        <v>95</v>
      </c>
      <c r="AD16" s="12">
        <v>71</v>
      </c>
      <c r="AE16" s="12">
        <v>115</v>
      </c>
      <c r="AF16" s="12">
        <v>104</v>
      </c>
    </row>
    <row r="17" spans="1:32">
      <c r="A17" s="20"/>
      <c r="B17" s="13" t="s">
        <v>563</v>
      </c>
      <c r="C17" s="14">
        <v>0.09</v>
      </c>
      <c r="D17" s="14">
        <v>0.12</v>
      </c>
      <c r="E17" s="14">
        <v>0.1</v>
      </c>
      <c r="F17" s="14">
        <v>0.12</v>
      </c>
      <c r="G17" s="14">
        <v>0.13</v>
      </c>
      <c r="H17" s="14">
        <v>0.09</v>
      </c>
      <c r="I17" s="14">
        <v>0.1</v>
      </c>
      <c r="J17" s="14">
        <v>0.11</v>
      </c>
      <c r="K17" s="14">
        <v>0.16</v>
      </c>
      <c r="L17" s="14">
        <v>0.04</v>
      </c>
      <c r="M17" s="14">
        <v>0.04</v>
      </c>
      <c r="N17" s="14">
        <v>0.08</v>
      </c>
      <c r="O17" s="14">
        <v>0.08</v>
      </c>
      <c r="P17" s="14">
        <v>7.0000000000000007E-2</v>
      </c>
      <c r="Q17" s="14">
        <v>7.0000000000000007E-2</v>
      </c>
      <c r="R17" s="14">
        <v>0.05</v>
      </c>
      <c r="S17" s="14">
        <v>0.12</v>
      </c>
      <c r="T17" s="14">
        <v>7.0000000000000007E-2</v>
      </c>
      <c r="U17" s="14">
        <v>0.06</v>
      </c>
      <c r="V17" s="14">
        <v>0.08</v>
      </c>
      <c r="W17" s="14">
        <v>0.04</v>
      </c>
      <c r="X17" s="14">
        <v>0.12</v>
      </c>
      <c r="Y17" s="14">
        <v>0.1</v>
      </c>
      <c r="Z17" s="14">
        <v>0.1</v>
      </c>
      <c r="AA17" s="14">
        <v>0.04</v>
      </c>
      <c r="AB17" s="14">
        <v>0.16</v>
      </c>
      <c r="AC17" s="14">
        <v>0.1</v>
      </c>
      <c r="AD17" s="14">
        <v>7.0000000000000007E-2</v>
      </c>
      <c r="AE17" s="14">
        <v>0.12</v>
      </c>
      <c r="AF17" s="14">
        <v>0.1</v>
      </c>
    </row>
    <row r="18" spans="1:32">
      <c r="A18" s="20"/>
      <c r="B18" s="11" t="s">
        <v>670</v>
      </c>
      <c r="C18" s="12">
        <v>678</v>
      </c>
      <c r="D18" s="12">
        <v>49</v>
      </c>
      <c r="E18" s="12">
        <v>26</v>
      </c>
      <c r="F18" s="12">
        <v>38</v>
      </c>
      <c r="G18" s="12">
        <v>33</v>
      </c>
      <c r="H18" s="12">
        <v>32</v>
      </c>
      <c r="I18" s="12">
        <v>36</v>
      </c>
      <c r="J18" s="12">
        <v>4</v>
      </c>
      <c r="K18" s="12">
        <v>78</v>
      </c>
      <c r="L18" s="12">
        <v>20</v>
      </c>
      <c r="M18" s="12">
        <v>10</v>
      </c>
      <c r="N18" s="12">
        <v>23</v>
      </c>
      <c r="O18" s="12">
        <v>19</v>
      </c>
      <c r="P18" s="12">
        <v>10</v>
      </c>
      <c r="Q18" s="12">
        <v>22</v>
      </c>
      <c r="R18" s="12">
        <v>11</v>
      </c>
      <c r="S18" s="12">
        <v>31</v>
      </c>
      <c r="T18" s="12">
        <v>10</v>
      </c>
      <c r="U18" s="12">
        <v>10</v>
      </c>
      <c r="V18" s="12">
        <v>16</v>
      </c>
      <c r="W18" s="12">
        <v>19</v>
      </c>
      <c r="X18" s="12">
        <v>40</v>
      </c>
      <c r="Y18" s="12">
        <v>47</v>
      </c>
      <c r="Z18" s="12">
        <v>23</v>
      </c>
      <c r="AA18" s="12">
        <v>24</v>
      </c>
      <c r="AB18" s="12">
        <v>42</v>
      </c>
      <c r="AC18" s="12">
        <v>44</v>
      </c>
      <c r="AD18" s="12">
        <v>40</v>
      </c>
      <c r="AE18" s="12">
        <v>40</v>
      </c>
      <c r="AF18" s="12">
        <v>45</v>
      </c>
    </row>
    <row r="19" spans="1:32">
      <c r="A19" s="20"/>
      <c r="B19" s="13" t="s">
        <v>565</v>
      </c>
      <c r="C19" s="14">
        <v>0.03</v>
      </c>
      <c r="D19" s="14">
        <v>0.05</v>
      </c>
      <c r="E19" s="14">
        <v>0.02</v>
      </c>
      <c r="F19" s="14">
        <v>0.04</v>
      </c>
      <c r="G19" s="14">
        <v>0.03</v>
      </c>
      <c r="H19" s="14">
        <v>0.03</v>
      </c>
      <c r="I19" s="14">
        <v>0.02</v>
      </c>
      <c r="J19" s="14">
        <v>0.02</v>
      </c>
      <c r="K19" s="14">
        <v>0.08</v>
      </c>
      <c r="L19" s="14">
        <v>0.02</v>
      </c>
      <c r="M19" s="14">
        <v>0.01</v>
      </c>
      <c r="N19" s="14">
        <v>0.02</v>
      </c>
      <c r="O19" s="14">
        <v>0.02</v>
      </c>
      <c r="P19" s="14">
        <v>0.01</v>
      </c>
      <c r="Q19" s="14">
        <v>0.02</v>
      </c>
      <c r="R19" s="14">
        <v>0.02</v>
      </c>
      <c r="S19" s="14">
        <v>0.03</v>
      </c>
      <c r="T19" s="14">
        <v>0.01</v>
      </c>
      <c r="U19" s="14">
        <v>0.02</v>
      </c>
      <c r="V19" s="14">
        <v>0.02</v>
      </c>
      <c r="W19" s="14">
        <v>0.04</v>
      </c>
      <c r="X19" s="14">
        <v>0.04</v>
      </c>
      <c r="Y19" s="14">
        <v>0.05</v>
      </c>
      <c r="Z19" s="14">
        <v>0.02</v>
      </c>
      <c r="AA19" s="14">
        <v>0.02</v>
      </c>
      <c r="AB19" s="14">
        <v>0.04</v>
      </c>
      <c r="AC19" s="14">
        <v>0.04</v>
      </c>
      <c r="AD19" s="14">
        <v>0.04</v>
      </c>
      <c r="AE19" s="14">
        <v>0.04</v>
      </c>
      <c r="AF19" s="14">
        <v>0.05</v>
      </c>
    </row>
    <row r="20" spans="1:32">
      <c r="A20" s="20"/>
      <c r="B20" s="11" t="s">
        <v>468</v>
      </c>
      <c r="C20" s="12">
        <v>1175</v>
      </c>
      <c r="D20" s="12">
        <v>17</v>
      </c>
      <c r="E20" s="12">
        <v>100</v>
      </c>
      <c r="F20" s="12">
        <v>75</v>
      </c>
      <c r="G20" s="12">
        <v>62</v>
      </c>
      <c r="H20" s="12">
        <v>72</v>
      </c>
      <c r="I20" s="12">
        <v>79</v>
      </c>
      <c r="J20" s="12">
        <v>7</v>
      </c>
      <c r="K20" s="12">
        <v>100</v>
      </c>
      <c r="L20" s="12">
        <v>45</v>
      </c>
      <c r="M20" s="12">
        <v>52</v>
      </c>
      <c r="N20" s="12">
        <v>47</v>
      </c>
      <c r="O20" s="12">
        <v>39</v>
      </c>
      <c r="P20" s="12">
        <v>26</v>
      </c>
      <c r="Q20" s="12">
        <v>22</v>
      </c>
      <c r="R20" s="12">
        <v>27</v>
      </c>
      <c r="S20" s="12">
        <v>95</v>
      </c>
      <c r="T20" s="12">
        <v>89</v>
      </c>
      <c r="U20" s="12">
        <v>18</v>
      </c>
      <c r="V20" s="12">
        <v>25</v>
      </c>
      <c r="W20" s="12">
        <v>9</v>
      </c>
      <c r="X20" s="12">
        <v>30</v>
      </c>
      <c r="Y20" s="12">
        <v>29</v>
      </c>
      <c r="Z20" s="12">
        <v>64</v>
      </c>
      <c r="AA20" s="12">
        <v>71</v>
      </c>
      <c r="AB20" s="12">
        <v>65</v>
      </c>
      <c r="AC20" s="12">
        <v>24</v>
      </c>
      <c r="AD20" s="12">
        <v>53</v>
      </c>
      <c r="AE20" s="12">
        <v>38</v>
      </c>
      <c r="AF20" s="12">
        <v>14</v>
      </c>
    </row>
    <row r="21" spans="1:32">
      <c r="A21" s="20"/>
      <c r="B21" s="13" t="s">
        <v>469</v>
      </c>
      <c r="C21" s="14">
        <v>0.04</v>
      </c>
      <c r="D21" s="14">
        <v>0.02</v>
      </c>
      <c r="E21" s="14">
        <v>0.1</v>
      </c>
      <c r="F21" s="14">
        <v>7.0000000000000007E-2</v>
      </c>
      <c r="G21" s="14">
        <v>0.06</v>
      </c>
      <c r="H21" s="14">
        <v>0.06</v>
      </c>
      <c r="I21" s="14">
        <v>0.05</v>
      </c>
      <c r="J21" s="14">
        <v>0.02</v>
      </c>
      <c r="K21" s="14">
        <v>0.1</v>
      </c>
      <c r="L21" s="14">
        <v>0.05</v>
      </c>
      <c r="M21" s="14">
        <v>0.05</v>
      </c>
      <c r="N21" s="14">
        <v>0.05</v>
      </c>
      <c r="O21" s="14">
        <v>0.04</v>
      </c>
      <c r="P21" s="14">
        <v>0.02</v>
      </c>
      <c r="Q21" s="14">
        <v>0.02</v>
      </c>
      <c r="R21" s="14">
        <v>0.05</v>
      </c>
      <c r="S21" s="14">
        <v>0.09</v>
      </c>
      <c r="T21" s="14">
        <v>0.09</v>
      </c>
      <c r="U21" s="14">
        <v>0.04</v>
      </c>
      <c r="V21" s="14">
        <v>0.02</v>
      </c>
      <c r="W21" s="14">
        <v>0.02</v>
      </c>
      <c r="X21" s="14">
        <v>0.03</v>
      </c>
      <c r="Y21" s="14">
        <v>0.03</v>
      </c>
      <c r="Z21" s="14">
        <v>7.0000000000000007E-2</v>
      </c>
      <c r="AA21" s="14">
        <v>7.0000000000000007E-2</v>
      </c>
      <c r="AB21" s="14">
        <v>0.06</v>
      </c>
      <c r="AC21" s="14">
        <v>0.02</v>
      </c>
      <c r="AD21" s="14">
        <v>0.05</v>
      </c>
      <c r="AE21" s="14">
        <v>0.04</v>
      </c>
      <c r="AF21" s="14">
        <v>0.01</v>
      </c>
    </row>
    <row r="22" spans="1:32">
      <c r="A22" s="20"/>
      <c r="B22" s="11" t="s">
        <v>566</v>
      </c>
      <c r="C22" s="12">
        <v>22075</v>
      </c>
      <c r="D22" s="12">
        <v>816</v>
      </c>
      <c r="E22" s="12">
        <v>790</v>
      </c>
      <c r="F22" s="12">
        <v>770</v>
      </c>
      <c r="G22" s="12">
        <v>780</v>
      </c>
      <c r="H22" s="12">
        <v>1001</v>
      </c>
      <c r="I22" s="12">
        <v>1250</v>
      </c>
      <c r="J22" s="12">
        <v>248</v>
      </c>
      <c r="K22" s="12">
        <v>662</v>
      </c>
      <c r="L22" s="12">
        <v>897</v>
      </c>
      <c r="M22" s="12">
        <v>902</v>
      </c>
      <c r="N22" s="12">
        <v>848</v>
      </c>
      <c r="O22" s="12">
        <v>867</v>
      </c>
      <c r="P22" s="12">
        <v>917</v>
      </c>
      <c r="Q22" s="12">
        <v>909</v>
      </c>
      <c r="R22" s="12">
        <v>437</v>
      </c>
      <c r="S22" s="12">
        <v>765</v>
      </c>
      <c r="T22" s="12">
        <v>837</v>
      </c>
      <c r="U22" s="12">
        <v>447</v>
      </c>
      <c r="V22" s="12">
        <v>888</v>
      </c>
      <c r="W22" s="12">
        <v>452</v>
      </c>
      <c r="X22" s="12">
        <v>822</v>
      </c>
      <c r="Y22" s="12">
        <v>829</v>
      </c>
      <c r="Z22" s="12">
        <v>818</v>
      </c>
      <c r="AA22" s="12">
        <v>915</v>
      </c>
      <c r="AB22" s="12">
        <v>762</v>
      </c>
      <c r="AC22" s="12">
        <v>847</v>
      </c>
      <c r="AD22" s="12">
        <v>842</v>
      </c>
      <c r="AE22" s="12">
        <v>808</v>
      </c>
      <c r="AF22" s="12">
        <v>857</v>
      </c>
    </row>
    <row r="23" spans="1:32">
      <c r="A23" s="20"/>
      <c r="B23" s="13" t="s">
        <v>567</v>
      </c>
      <c r="C23" s="14">
        <v>0.84</v>
      </c>
      <c r="D23" s="14">
        <v>0.81</v>
      </c>
      <c r="E23" s="14">
        <v>0.78</v>
      </c>
      <c r="F23" s="14">
        <v>0.77</v>
      </c>
      <c r="G23" s="14">
        <v>0.78</v>
      </c>
      <c r="H23" s="14">
        <v>0.82000000000000006</v>
      </c>
      <c r="I23" s="14">
        <v>0.83000000000000007</v>
      </c>
      <c r="J23" s="14">
        <v>0.85</v>
      </c>
      <c r="K23" s="14">
        <v>0.66</v>
      </c>
      <c r="L23" s="14">
        <v>0.89</v>
      </c>
      <c r="M23" s="14">
        <v>0.9</v>
      </c>
      <c r="N23" s="14">
        <v>0.85</v>
      </c>
      <c r="O23" s="14">
        <v>0.86</v>
      </c>
      <c r="P23" s="14">
        <v>0.9</v>
      </c>
      <c r="Q23" s="14">
        <v>0.89</v>
      </c>
      <c r="R23" s="14">
        <v>0.88</v>
      </c>
      <c r="S23" s="14">
        <v>0.76</v>
      </c>
      <c r="T23" s="14">
        <v>0.83000000000000007</v>
      </c>
      <c r="U23" s="14">
        <v>0.88</v>
      </c>
      <c r="V23" s="14">
        <v>0.88</v>
      </c>
      <c r="W23" s="14">
        <v>0.9</v>
      </c>
      <c r="X23" s="14">
        <v>0.81</v>
      </c>
      <c r="Y23" s="14">
        <v>0.82000000000000006</v>
      </c>
      <c r="Z23" s="14">
        <v>0.81</v>
      </c>
      <c r="AA23" s="14">
        <v>0.87</v>
      </c>
      <c r="AB23" s="14">
        <v>0.74</v>
      </c>
      <c r="AC23" s="14">
        <v>0.84</v>
      </c>
      <c r="AD23" s="14">
        <v>0.84</v>
      </c>
      <c r="AE23" s="14">
        <v>0.8</v>
      </c>
      <c r="AF23" s="14">
        <v>0.84</v>
      </c>
    </row>
    <row r="24" spans="1:32">
      <c r="A24" s="20"/>
      <c r="B24" s="11" t="s">
        <v>568</v>
      </c>
      <c r="C24" s="12">
        <v>3068</v>
      </c>
      <c r="D24" s="12">
        <v>171</v>
      </c>
      <c r="E24" s="12">
        <v>129</v>
      </c>
      <c r="F24" s="12">
        <v>160</v>
      </c>
      <c r="G24" s="12">
        <v>162</v>
      </c>
      <c r="H24" s="12">
        <v>144</v>
      </c>
      <c r="I24" s="12">
        <v>181</v>
      </c>
      <c r="J24" s="12">
        <v>38</v>
      </c>
      <c r="K24" s="12">
        <v>244</v>
      </c>
      <c r="L24" s="12">
        <v>65</v>
      </c>
      <c r="M24" s="12">
        <v>49</v>
      </c>
      <c r="N24" s="12">
        <v>109</v>
      </c>
      <c r="O24" s="12">
        <v>98</v>
      </c>
      <c r="P24" s="12">
        <v>79</v>
      </c>
      <c r="Q24" s="12">
        <v>89</v>
      </c>
      <c r="R24" s="12">
        <v>36</v>
      </c>
      <c r="S24" s="12">
        <v>147</v>
      </c>
      <c r="T24" s="12">
        <v>88</v>
      </c>
      <c r="U24" s="12">
        <v>41</v>
      </c>
      <c r="V24" s="12">
        <v>103</v>
      </c>
      <c r="W24" s="12">
        <v>42</v>
      </c>
      <c r="X24" s="12">
        <v>169</v>
      </c>
      <c r="Y24" s="12">
        <v>150</v>
      </c>
      <c r="Z24" s="12">
        <v>126</v>
      </c>
      <c r="AA24" s="12">
        <v>66</v>
      </c>
      <c r="AB24" s="12">
        <v>212</v>
      </c>
      <c r="AC24" s="12">
        <v>139</v>
      </c>
      <c r="AD24" s="12">
        <v>111</v>
      </c>
      <c r="AE24" s="12">
        <v>155</v>
      </c>
      <c r="AF24" s="12">
        <v>149</v>
      </c>
    </row>
    <row r="25" spans="1:32">
      <c r="A25" s="20"/>
      <c r="B25" s="13" t="s">
        <v>569</v>
      </c>
      <c r="C25" s="14">
        <v>0.12</v>
      </c>
      <c r="D25" s="14">
        <v>0.17</v>
      </c>
      <c r="E25" s="14">
        <v>0.12</v>
      </c>
      <c r="F25" s="14">
        <v>0.16</v>
      </c>
      <c r="G25" s="14">
        <v>0.16</v>
      </c>
      <c r="H25" s="14">
        <v>0.12</v>
      </c>
      <c r="I25" s="14">
        <v>0.12</v>
      </c>
      <c r="J25" s="14">
        <v>0.13</v>
      </c>
      <c r="K25" s="14">
        <v>0.24</v>
      </c>
      <c r="L25" s="14">
        <v>0.06</v>
      </c>
      <c r="M25" s="14">
        <v>0.05</v>
      </c>
      <c r="N25" s="14">
        <v>0.1</v>
      </c>
      <c r="O25" s="14">
        <v>0.1</v>
      </c>
      <c r="P25" s="14">
        <v>0.08</v>
      </c>
      <c r="Q25" s="14">
        <v>0.09</v>
      </c>
      <c r="R25" s="14">
        <v>7.0000000000000007E-2</v>
      </c>
      <c r="S25" s="14">
        <v>0.15</v>
      </c>
      <c r="T25" s="14">
        <v>0.08</v>
      </c>
      <c r="U25" s="14">
        <v>0.08</v>
      </c>
      <c r="V25" s="14">
        <v>0.1</v>
      </c>
      <c r="W25" s="14">
        <v>0.08</v>
      </c>
      <c r="X25" s="14">
        <v>0.16</v>
      </c>
      <c r="Y25" s="14">
        <v>0.15</v>
      </c>
      <c r="Z25" s="14">
        <v>0.12</v>
      </c>
      <c r="AA25" s="14">
        <v>0.06</v>
      </c>
      <c r="AB25" s="14">
        <v>0.2</v>
      </c>
      <c r="AC25" s="14">
        <v>0.14000000000000001</v>
      </c>
      <c r="AD25" s="14">
        <v>0.11</v>
      </c>
      <c r="AE25" s="14">
        <v>0.16</v>
      </c>
      <c r="AF25" s="14">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203</v>
      </c>
      <c r="C3" s="18"/>
      <c r="D3" s="18"/>
      <c r="E3" s="18"/>
      <c r="F3" s="18"/>
      <c r="H3" s="18" t="s">
        <v>204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1101</v>
      </c>
      <c r="C12" s="12">
        <v>15572</v>
      </c>
      <c r="D12" s="12">
        <v>588</v>
      </c>
      <c r="E12" s="12">
        <v>338</v>
      </c>
      <c r="F12" s="12">
        <v>450</v>
      </c>
      <c r="G12" s="12">
        <v>775</v>
      </c>
      <c r="H12" s="12">
        <v>899</v>
      </c>
      <c r="I12" s="12">
        <v>1079</v>
      </c>
      <c r="J12" s="12">
        <v>180</v>
      </c>
      <c r="K12" s="12">
        <v>523</v>
      </c>
      <c r="L12" s="12">
        <v>635</v>
      </c>
      <c r="M12" s="12">
        <v>483</v>
      </c>
      <c r="N12" s="12">
        <v>686</v>
      </c>
      <c r="O12" s="12">
        <v>657</v>
      </c>
      <c r="P12" s="12">
        <v>660</v>
      </c>
      <c r="Q12" s="12">
        <v>473</v>
      </c>
      <c r="R12" s="12">
        <v>337</v>
      </c>
      <c r="S12" s="12">
        <v>512</v>
      </c>
      <c r="T12" s="12">
        <v>570</v>
      </c>
      <c r="U12" s="12">
        <v>387</v>
      </c>
      <c r="V12" s="12">
        <v>628</v>
      </c>
      <c r="W12" s="12">
        <v>411</v>
      </c>
      <c r="X12" s="12">
        <v>645</v>
      </c>
      <c r="Y12" s="12">
        <v>658</v>
      </c>
      <c r="Z12" s="12">
        <v>379</v>
      </c>
      <c r="AA12" s="12">
        <v>605</v>
      </c>
      <c r="AB12" s="12">
        <v>306</v>
      </c>
      <c r="AC12" s="12">
        <v>742</v>
      </c>
      <c r="AD12" s="12">
        <v>669</v>
      </c>
      <c r="AE12" s="12">
        <v>789</v>
      </c>
      <c r="AF12" s="12">
        <v>799</v>
      </c>
    </row>
    <row r="13" spans="1:32">
      <c r="A13" s="20"/>
      <c r="B13" s="13" t="s">
        <v>1102</v>
      </c>
      <c r="C13" s="14">
        <v>0.59</v>
      </c>
      <c r="D13" s="14">
        <v>0.59</v>
      </c>
      <c r="E13" s="14">
        <v>0.33</v>
      </c>
      <c r="F13" s="14">
        <v>0.45</v>
      </c>
      <c r="G13" s="14">
        <v>0.77</v>
      </c>
      <c r="H13" s="14">
        <v>0.74</v>
      </c>
      <c r="I13" s="14">
        <v>0.72</v>
      </c>
      <c r="J13" s="14">
        <v>0.62</v>
      </c>
      <c r="K13" s="14">
        <v>0.52</v>
      </c>
      <c r="L13" s="14">
        <v>0.63</v>
      </c>
      <c r="M13" s="14">
        <v>0.48</v>
      </c>
      <c r="N13" s="14">
        <v>0.68</v>
      </c>
      <c r="O13" s="14">
        <v>0.66</v>
      </c>
      <c r="P13" s="14">
        <v>0.65</v>
      </c>
      <c r="Q13" s="14">
        <v>0.46</v>
      </c>
      <c r="R13" s="14">
        <v>0.67</v>
      </c>
      <c r="S13" s="14">
        <v>0.51</v>
      </c>
      <c r="T13" s="14">
        <v>0.56000000000000005</v>
      </c>
      <c r="U13" s="14">
        <v>0.76</v>
      </c>
      <c r="V13" s="14">
        <v>0.62</v>
      </c>
      <c r="W13" s="14">
        <v>0.82000000000000006</v>
      </c>
      <c r="X13" s="14">
        <v>0.63</v>
      </c>
      <c r="Y13" s="14">
        <v>0.65</v>
      </c>
      <c r="Z13" s="14">
        <v>0.38</v>
      </c>
      <c r="AA13" s="14">
        <v>0.57000000000000006</v>
      </c>
      <c r="AB13" s="14">
        <v>0.28999999999999998</v>
      </c>
      <c r="AC13" s="14">
        <v>0.74</v>
      </c>
      <c r="AD13" s="14">
        <v>0.66</v>
      </c>
      <c r="AE13" s="14">
        <v>0.79</v>
      </c>
      <c r="AF13" s="14">
        <v>0.78</v>
      </c>
    </row>
    <row r="14" spans="1:32">
      <c r="A14" s="20"/>
      <c r="B14" s="11" t="s">
        <v>466</v>
      </c>
      <c r="C14" s="12">
        <v>10412</v>
      </c>
      <c r="D14" s="12">
        <v>410</v>
      </c>
      <c r="E14" s="12">
        <v>637</v>
      </c>
      <c r="F14" s="12">
        <v>521</v>
      </c>
      <c r="G14" s="12">
        <v>211</v>
      </c>
      <c r="H14" s="12">
        <v>302</v>
      </c>
      <c r="I14" s="12">
        <v>412</v>
      </c>
      <c r="J14" s="12">
        <v>110</v>
      </c>
      <c r="K14" s="12">
        <v>440</v>
      </c>
      <c r="L14" s="12">
        <v>363</v>
      </c>
      <c r="M14" s="12">
        <v>519</v>
      </c>
      <c r="N14" s="12">
        <v>312</v>
      </c>
      <c r="O14" s="12">
        <v>342</v>
      </c>
      <c r="P14" s="12">
        <v>342</v>
      </c>
      <c r="Q14" s="12">
        <v>538</v>
      </c>
      <c r="R14" s="12">
        <v>159</v>
      </c>
      <c r="S14" s="12">
        <v>470</v>
      </c>
      <c r="T14" s="12">
        <v>426</v>
      </c>
      <c r="U14" s="12">
        <v>119</v>
      </c>
      <c r="V14" s="12">
        <v>380</v>
      </c>
      <c r="W14" s="12">
        <v>87</v>
      </c>
      <c r="X14" s="12">
        <v>372</v>
      </c>
      <c r="Y14" s="12">
        <v>305</v>
      </c>
      <c r="Z14" s="12">
        <v>600</v>
      </c>
      <c r="AA14" s="12">
        <v>440</v>
      </c>
      <c r="AB14" s="12">
        <v>704</v>
      </c>
      <c r="AC14" s="12">
        <v>246</v>
      </c>
      <c r="AD14" s="12">
        <v>333</v>
      </c>
      <c r="AE14" s="12">
        <v>201</v>
      </c>
      <c r="AF14" s="12">
        <v>211</v>
      </c>
    </row>
    <row r="15" spans="1:32">
      <c r="A15" s="20"/>
      <c r="B15" s="13" t="s">
        <v>467</v>
      </c>
      <c r="C15" s="14">
        <v>0.4</v>
      </c>
      <c r="D15" s="14">
        <v>0.41</v>
      </c>
      <c r="E15" s="14">
        <v>0.63</v>
      </c>
      <c r="F15" s="14">
        <v>0.52</v>
      </c>
      <c r="G15" s="14">
        <v>0.21</v>
      </c>
      <c r="H15" s="14">
        <v>0.25</v>
      </c>
      <c r="I15" s="14">
        <v>0.27</v>
      </c>
      <c r="J15" s="14">
        <v>0.37</v>
      </c>
      <c r="K15" s="14">
        <v>0.44</v>
      </c>
      <c r="L15" s="14">
        <v>0.36</v>
      </c>
      <c r="M15" s="14">
        <v>0.52</v>
      </c>
      <c r="N15" s="14">
        <v>0.31</v>
      </c>
      <c r="O15" s="14">
        <v>0.34</v>
      </c>
      <c r="P15" s="14">
        <v>0.33</v>
      </c>
      <c r="Q15" s="14">
        <v>0.53</v>
      </c>
      <c r="R15" s="14">
        <v>0.32</v>
      </c>
      <c r="S15" s="14">
        <v>0.47</v>
      </c>
      <c r="T15" s="14">
        <v>0.42</v>
      </c>
      <c r="U15" s="14">
        <v>0.24</v>
      </c>
      <c r="V15" s="14">
        <v>0.37</v>
      </c>
      <c r="W15" s="14">
        <v>0.17</v>
      </c>
      <c r="X15" s="14">
        <v>0.37</v>
      </c>
      <c r="Y15" s="14">
        <v>0.3</v>
      </c>
      <c r="Z15" s="14">
        <v>0.59</v>
      </c>
      <c r="AA15" s="14">
        <v>0.42</v>
      </c>
      <c r="AB15" s="14">
        <v>0.68</v>
      </c>
      <c r="AC15" s="14">
        <v>0.24</v>
      </c>
      <c r="AD15" s="14">
        <v>0.33</v>
      </c>
      <c r="AE15" s="14">
        <v>0.2</v>
      </c>
      <c r="AF15" s="14">
        <v>0.21</v>
      </c>
    </row>
    <row r="16" spans="1:32">
      <c r="A16" s="20"/>
      <c r="B16" s="11" t="s">
        <v>468</v>
      </c>
      <c r="C16" s="12">
        <v>335</v>
      </c>
      <c r="D16" s="12">
        <v>5</v>
      </c>
      <c r="E16" s="12">
        <v>43</v>
      </c>
      <c r="F16" s="12">
        <v>34</v>
      </c>
      <c r="G16" s="12">
        <v>19</v>
      </c>
      <c r="H16" s="12">
        <v>16</v>
      </c>
      <c r="I16" s="12">
        <v>19</v>
      </c>
      <c r="J16" s="12">
        <v>4</v>
      </c>
      <c r="K16" s="12">
        <v>42</v>
      </c>
      <c r="L16" s="12">
        <v>9</v>
      </c>
      <c r="M16" s="12">
        <v>1</v>
      </c>
      <c r="N16" s="12">
        <v>6</v>
      </c>
      <c r="O16" s="12">
        <v>4</v>
      </c>
      <c r="P16" s="12">
        <v>20</v>
      </c>
      <c r="Q16" s="12">
        <v>9</v>
      </c>
      <c r="R16" s="12">
        <v>3</v>
      </c>
      <c r="S16" s="12">
        <v>26</v>
      </c>
      <c r="T16" s="12">
        <v>19</v>
      </c>
      <c r="U16" s="12">
        <v>1</v>
      </c>
      <c r="V16" s="12">
        <v>9</v>
      </c>
      <c r="W16" s="12">
        <v>5</v>
      </c>
      <c r="X16" s="12">
        <v>4</v>
      </c>
      <c r="Y16" s="12">
        <v>44</v>
      </c>
      <c r="Z16" s="12">
        <v>29</v>
      </c>
      <c r="AA16" s="12">
        <v>8</v>
      </c>
      <c r="AB16" s="12">
        <v>30</v>
      </c>
      <c r="AC16" s="12">
        <v>22</v>
      </c>
      <c r="AD16" s="12">
        <v>5</v>
      </c>
      <c r="AE16" s="12">
        <v>11</v>
      </c>
      <c r="AF16" s="12">
        <v>9</v>
      </c>
    </row>
    <row r="17" spans="1:32">
      <c r="A17" s="20"/>
      <c r="B17" s="13" t="s">
        <v>469</v>
      </c>
      <c r="C17" s="14">
        <v>0.01</v>
      </c>
      <c r="D17" s="15" t="s">
        <v>459</v>
      </c>
      <c r="E17" s="14">
        <v>0.04</v>
      </c>
      <c r="F17" s="14">
        <v>0.03</v>
      </c>
      <c r="G17" s="14">
        <v>0.02</v>
      </c>
      <c r="H17" s="14">
        <v>0.01</v>
      </c>
      <c r="I17" s="14">
        <v>0.01</v>
      </c>
      <c r="J17" s="14">
        <v>0.01</v>
      </c>
      <c r="K17" s="14">
        <v>0.04</v>
      </c>
      <c r="L17" s="14">
        <v>0.01</v>
      </c>
      <c r="M17" s="15" t="s">
        <v>459</v>
      </c>
      <c r="N17" s="14">
        <v>0.01</v>
      </c>
      <c r="O17" s="15" t="s">
        <v>459</v>
      </c>
      <c r="P17" s="14">
        <v>0.02</v>
      </c>
      <c r="Q17" s="14">
        <v>0.01</v>
      </c>
      <c r="R17" s="14">
        <v>0.01</v>
      </c>
      <c r="S17" s="14">
        <v>0.02</v>
      </c>
      <c r="T17" s="14">
        <v>0.02</v>
      </c>
      <c r="U17" s="15" t="s">
        <v>459</v>
      </c>
      <c r="V17" s="14">
        <v>0.01</v>
      </c>
      <c r="W17" s="14">
        <v>0.01</v>
      </c>
      <c r="X17" s="15" t="s">
        <v>459</v>
      </c>
      <c r="Y17" s="14">
        <v>0.05</v>
      </c>
      <c r="Z17" s="14">
        <v>0.03</v>
      </c>
      <c r="AA17" s="14">
        <v>0.01</v>
      </c>
      <c r="AB17" s="14">
        <v>0.03</v>
      </c>
      <c r="AC17" s="14">
        <v>0.02</v>
      </c>
      <c r="AD17" s="14">
        <v>0.01</v>
      </c>
      <c r="AE17" s="14">
        <v>0.01</v>
      </c>
      <c r="AF17" s="14">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5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205</v>
      </c>
      <c r="C3" s="18"/>
      <c r="D3" s="18"/>
      <c r="E3" s="18"/>
      <c r="F3" s="18"/>
      <c r="H3" s="18" t="s">
        <v>206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95">
      <c r="A12" s="20"/>
      <c r="B12" s="11" t="s">
        <v>1103</v>
      </c>
      <c r="C12" s="12">
        <v>1549</v>
      </c>
      <c r="D12" s="12">
        <v>79</v>
      </c>
      <c r="E12" s="12">
        <v>73</v>
      </c>
      <c r="F12" s="12">
        <v>41</v>
      </c>
      <c r="G12" s="12">
        <v>79</v>
      </c>
      <c r="H12" s="12">
        <v>68</v>
      </c>
      <c r="I12" s="12">
        <v>91</v>
      </c>
      <c r="J12" s="12">
        <v>23</v>
      </c>
      <c r="K12" s="12">
        <v>88</v>
      </c>
      <c r="L12" s="12">
        <v>69</v>
      </c>
      <c r="M12" s="12">
        <v>28</v>
      </c>
      <c r="N12" s="12">
        <v>44</v>
      </c>
      <c r="O12" s="12">
        <v>44</v>
      </c>
      <c r="P12" s="12">
        <v>82</v>
      </c>
      <c r="Q12" s="12">
        <v>78</v>
      </c>
      <c r="R12" s="12">
        <v>43</v>
      </c>
      <c r="S12" s="12">
        <v>66</v>
      </c>
      <c r="T12" s="12">
        <v>49</v>
      </c>
      <c r="U12" s="12">
        <v>75</v>
      </c>
      <c r="V12" s="12">
        <v>54</v>
      </c>
      <c r="W12" s="12">
        <v>50</v>
      </c>
      <c r="X12" s="12">
        <v>108</v>
      </c>
      <c r="Y12" s="12">
        <v>77</v>
      </c>
      <c r="Z12" s="12">
        <v>26</v>
      </c>
      <c r="AA12" s="12">
        <v>39</v>
      </c>
      <c r="AB12" s="12">
        <v>31</v>
      </c>
      <c r="AC12" s="12">
        <v>79</v>
      </c>
      <c r="AD12" s="12">
        <v>72</v>
      </c>
      <c r="AE12" s="12">
        <v>98</v>
      </c>
      <c r="AF12" s="12">
        <v>161</v>
      </c>
    </row>
    <row r="13" spans="1:32" ht="36.950000000000003">
      <c r="A13" s="20"/>
      <c r="B13" s="13" t="s">
        <v>1104</v>
      </c>
      <c r="C13" s="14">
        <v>0.06</v>
      </c>
      <c r="D13" s="14">
        <v>0.08</v>
      </c>
      <c r="E13" s="14">
        <v>7.0000000000000007E-2</v>
      </c>
      <c r="F13" s="14">
        <v>0.04</v>
      </c>
      <c r="G13" s="14">
        <v>0.08</v>
      </c>
      <c r="H13" s="14">
        <v>0.06</v>
      </c>
      <c r="I13" s="14">
        <v>0.06</v>
      </c>
      <c r="J13" s="14">
        <v>0.08</v>
      </c>
      <c r="K13" s="14">
        <v>0.09</v>
      </c>
      <c r="L13" s="14">
        <v>7.0000000000000007E-2</v>
      </c>
      <c r="M13" s="14">
        <v>0.03</v>
      </c>
      <c r="N13" s="14">
        <v>0.04</v>
      </c>
      <c r="O13" s="14">
        <v>0.04</v>
      </c>
      <c r="P13" s="14">
        <v>0.08</v>
      </c>
      <c r="Q13" s="14">
        <v>0.08</v>
      </c>
      <c r="R13" s="14">
        <v>0.09</v>
      </c>
      <c r="S13" s="14">
        <v>7.0000000000000007E-2</v>
      </c>
      <c r="T13" s="14">
        <v>0.05</v>
      </c>
      <c r="U13" s="14">
        <v>0.15</v>
      </c>
      <c r="V13" s="14">
        <v>0.05</v>
      </c>
      <c r="W13" s="14">
        <v>0.1</v>
      </c>
      <c r="X13" s="14">
        <v>0.11</v>
      </c>
      <c r="Y13" s="14">
        <v>0.08</v>
      </c>
      <c r="Z13" s="14">
        <v>0.03</v>
      </c>
      <c r="AA13" s="14">
        <v>0.04</v>
      </c>
      <c r="AB13" s="14">
        <v>0.03</v>
      </c>
      <c r="AC13" s="14">
        <v>0.08</v>
      </c>
      <c r="AD13" s="14">
        <v>7.0000000000000007E-2</v>
      </c>
      <c r="AE13" s="14">
        <v>0.1</v>
      </c>
      <c r="AF13" s="14">
        <v>0.16</v>
      </c>
    </row>
    <row r="14" spans="1:32" ht="24.95">
      <c r="A14" s="20"/>
      <c r="B14" s="11" t="s">
        <v>1105</v>
      </c>
      <c r="C14" s="12">
        <v>908</v>
      </c>
      <c r="D14" s="12">
        <v>61</v>
      </c>
      <c r="E14" s="12">
        <v>14</v>
      </c>
      <c r="F14" s="12">
        <v>11</v>
      </c>
      <c r="G14" s="12">
        <v>135</v>
      </c>
      <c r="H14" s="12">
        <v>48</v>
      </c>
      <c r="I14" s="12">
        <v>52</v>
      </c>
      <c r="J14" s="12">
        <v>4</v>
      </c>
      <c r="K14" s="12">
        <v>19</v>
      </c>
      <c r="L14" s="12">
        <v>45</v>
      </c>
      <c r="M14" s="12">
        <v>5</v>
      </c>
      <c r="N14" s="12">
        <v>21</v>
      </c>
      <c r="O14" s="12">
        <v>26</v>
      </c>
      <c r="P14" s="12">
        <v>28</v>
      </c>
      <c r="Q14" s="12">
        <v>40</v>
      </c>
      <c r="R14" s="12">
        <v>8</v>
      </c>
      <c r="S14" s="12">
        <v>24</v>
      </c>
      <c r="T14" s="12">
        <v>12</v>
      </c>
      <c r="U14" s="12">
        <v>64</v>
      </c>
      <c r="V14" s="12">
        <v>15</v>
      </c>
      <c r="W14" s="12">
        <v>38</v>
      </c>
      <c r="X14" s="12">
        <v>114</v>
      </c>
      <c r="Y14" s="12">
        <v>59</v>
      </c>
      <c r="Z14" s="12">
        <v>7</v>
      </c>
      <c r="AA14" s="12">
        <v>39</v>
      </c>
      <c r="AB14" s="12">
        <v>13</v>
      </c>
      <c r="AC14" s="12">
        <v>34</v>
      </c>
      <c r="AD14" s="12">
        <v>19</v>
      </c>
      <c r="AE14" s="12">
        <v>61</v>
      </c>
      <c r="AF14" s="12">
        <v>103</v>
      </c>
    </row>
    <row r="15" spans="1:32">
      <c r="A15" s="20"/>
      <c r="B15" s="13" t="s">
        <v>1106</v>
      </c>
      <c r="C15" s="14">
        <v>0.03</v>
      </c>
      <c r="D15" s="14">
        <v>0.06</v>
      </c>
      <c r="E15" s="14">
        <v>0.01</v>
      </c>
      <c r="F15" s="14">
        <v>0.01</v>
      </c>
      <c r="G15" s="14">
        <v>0.13</v>
      </c>
      <c r="H15" s="14">
        <v>0.04</v>
      </c>
      <c r="I15" s="14">
        <v>0.03</v>
      </c>
      <c r="J15" s="14">
        <v>0.01</v>
      </c>
      <c r="K15" s="14">
        <v>0.02</v>
      </c>
      <c r="L15" s="14">
        <v>0.04</v>
      </c>
      <c r="M15" s="15" t="s">
        <v>459</v>
      </c>
      <c r="N15" s="14">
        <v>0.02</v>
      </c>
      <c r="O15" s="14">
        <v>0.03</v>
      </c>
      <c r="P15" s="14">
        <v>0.03</v>
      </c>
      <c r="Q15" s="14">
        <v>0.04</v>
      </c>
      <c r="R15" s="14">
        <v>0.02</v>
      </c>
      <c r="S15" s="14">
        <v>0.02</v>
      </c>
      <c r="T15" s="14">
        <v>0.01</v>
      </c>
      <c r="U15" s="14">
        <v>0.13</v>
      </c>
      <c r="V15" s="14">
        <v>0.02</v>
      </c>
      <c r="W15" s="14">
        <v>7.0000000000000007E-2</v>
      </c>
      <c r="X15" s="14">
        <v>0.11</v>
      </c>
      <c r="Y15" s="14">
        <v>0.06</v>
      </c>
      <c r="Z15" s="14">
        <v>0.01</v>
      </c>
      <c r="AA15" s="14">
        <v>0.04</v>
      </c>
      <c r="AB15" s="14">
        <v>0.01</v>
      </c>
      <c r="AC15" s="14">
        <v>0.03</v>
      </c>
      <c r="AD15" s="14">
        <v>0.02</v>
      </c>
      <c r="AE15" s="14">
        <v>0.06</v>
      </c>
      <c r="AF15" s="14">
        <v>0.1</v>
      </c>
    </row>
    <row r="16" spans="1:32" ht="84.95">
      <c r="A16" s="20"/>
      <c r="B16" s="11" t="s">
        <v>1107</v>
      </c>
      <c r="C16" s="12">
        <v>6728</v>
      </c>
      <c r="D16" s="12">
        <v>308</v>
      </c>
      <c r="E16" s="12">
        <v>187</v>
      </c>
      <c r="F16" s="12">
        <v>143</v>
      </c>
      <c r="G16" s="12">
        <v>409</v>
      </c>
      <c r="H16" s="12">
        <v>468</v>
      </c>
      <c r="I16" s="12">
        <v>563</v>
      </c>
      <c r="J16" s="12">
        <v>94</v>
      </c>
      <c r="K16" s="12">
        <v>281</v>
      </c>
      <c r="L16" s="12">
        <v>233</v>
      </c>
      <c r="M16" s="12">
        <v>242</v>
      </c>
      <c r="N16" s="12">
        <v>181</v>
      </c>
      <c r="O16" s="12">
        <v>225</v>
      </c>
      <c r="P16" s="12">
        <v>152</v>
      </c>
      <c r="Q16" s="12">
        <v>180</v>
      </c>
      <c r="R16" s="12">
        <v>65</v>
      </c>
      <c r="S16" s="12">
        <v>211</v>
      </c>
      <c r="T16" s="12">
        <v>194</v>
      </c>
      <c r="U16" s="12">
        <v>177</v>
      </c>
      <c r="V16" s="12">
        <v>203</v>
      </c>
      <c r="W16" s="12">
        <v>185</v>
      </c>
      <c r="X16" s="12">
        <v>504</v>
      </c>
      <c r="Y16" s="12">
        <v>380</v>
      </c>
      <c r="Z16" s="12">
        <v>132</v>
      </c>
      <c r="AA16" s="12">
        <v>102</v>
      </c>
      <c r="AB16" s="12">
        <v>174</v>
      </c>
      <c r="AC16" s="12">
        <v>370</v>
      </c>
      <c r="AD16" s="12">
        <v>293</v>
      </c>
      <c r="AE16" s="12">
        <v>383</v>
      </c>
      <c r="AF16" s="12">
        <v>641</v>
      </c>
    </row>
    <row r="17" spans="1:32" ht="60.95">
      <c r="A17" s="20"/>
      <c r="B17" s="13" t="s">
        <v>1108</v>
      </c>
      <c r="C17" s="14">
        <v>0.26</v>
      </c>
      <c r="D17" s="14">
        <v>0.31</v>
      </c>
      <c r="E17" s="14">
        <v>0.18</v>
      </c>
      <c r="F17" s="14">
        <v>0.14000000000000001</v>
      </c>
      <c r="G17" s="14">
        <v>0.41</v>
      </c>
      <c r="H17" s="14">
        <v>0.39</v>
      </c>
      <c r="I17" s="14">
        <v>0.37</v>
      </c>
      <c r="J17" s="14">
        <v>0.32</v>
      </c>
      <c r="K17" s="14">
        <v>0.28000000000000003</v>
      </c>
      <c r="L17" s="14">
        <v>0.23</v>
      </c>
      <c r="M17" s="14">
        <v>0.24</v>
      </c>
      <c r="N17" s="14">
        <v>0.18</v>
      </c>
      <c r="O17" s="14">
        <v>0.22</v>
      </c>
      <c r="P17" s="14">
        <v>0.15</v>
      </c>
      <c r="Q17" s="14">
        <v>0.18</v>
      </c>
      <c r="R17" s="14">
        <v>0.13</v>
      </c>
      <c r="S17" s="14">
        <v>0.21</v>
      </c>
      <c r="T17" s="14">
        <v>0.19</v>
      </c>
      <c r="U17" s="14">
        <v>0.35</v>
      </c>
      <c r="V17" s="14">
        <v>0.2</v>
      </c>
      <c r="W17" s="14">
        <v>0.37</v>
      </c>
      <c r="X17" s="14">
        <v>0.49</v>
      </c>
      <c r="Y17" s="14">
        <v>0.38</v>
      </c>
      <c r="Z17" s="14">
        <v>0.13</v>
      </c>
      <c r="AA17" s="14">
        <v>0.1</v>
      </c>
      <c r="AB17" s="14">
        <v>0.17</v>
      </c>
      <c r="AC17" s="14">
        <v>0.37</v>
      </c>
      <c r="AD17" s="14">
        <v>0.28999999999999998</v>
      </c>
      <c r="AE17" s="14">
        <v>0.38</v>
      </c>
      <c r="AF17" s="14">
        <v>0.63</v>
      </c>
    </row>
    <row r="18" spans="1:32" ht="36.950000000000003">
      <c r="A18" s="20"/>
      <c r="B18" s="11" t="s">
        <v>1109</v>
      </c>
      <c r="C18" s="12">
        <v>3797</v>
      </c>
      <c r="D18" s="12">
        <v>228</v>
      </c>
      <c r="E18" s="12">
        <v>346</v>
      </c>
      <c r="F18" s="12">
        <v>138</v>
      </c>
      <c r="G18" s="12">
        <v>214</v>
      </c>
      <c r="H18" s="12">
        <v>94</v>
      </c>
      <c r="I18" s="12">
        <v>116</v>
      </c>
      <c r="J18" s="12">
        <v>23</v>
      </c>
      <c r="K18" s="12">
        <v>238</v>
      </c>
      <c r="L18" s="12">
        <v>192</v>
      </c>
      <c r="M18" s="12">
        <v>163</v>
      </c>
      <c r="N18" s="12">
        <v>88</v>
      </c>
      <c r="O18" s="12">
        <v>173</v>
      </c>
      <c r="P18" s="12">
        <v>185</v>
      </c>
      <c r="Q18" s="12">
        <v>143</v>
      </c>
      <c r="R18" s="12">
        <v>134</v>
      </c>
      <c r="S18" s="12">
        <v>139</v>
      </c>
      <c r="T18" s="12">
        <v>150</v>
      </c>
      <c r="U18" s="12">
        <v>103</v>
      </c>
      <c r="V18" s="12">
        <v>194</v>
      </c>
      <c r="W18" s="12">
        <v>63</v>
      </c>
      <c r="X18" s="12">
        <v>399</v>
      </c>
      <c r="Y18" s="12">
        <v>106</v>
      </c>
      <c r="Z18" s="12">
        <v>93</v>
      </c>
      <c r="AA18" s="12">
        <v>76</v>
      </c>
      <c r="AB18" s="12">
        <v>214</v>
      </c>
      <c r="AC18" s="12">
        <v>267</v>
      </c>
      <c r="AD18" s="12">
        <v>188</v>
      </c>
      <c r="AE18" s="12">
        <v>139</v>
      </c>
      <c r="AF18" s="12">
        <v>147</v>
      </c>
    </row>
    <row r="19" spans="1:32" ht="36.950000000000003">
      <c r="A19" s="20"/>
      <c r="B19" s="13" t="s">
        <v>1110</v>
      </c>
      <c r="C19" s="14">
        <v>0.14000000000000001</v>
      </c>
      <c r="D19" s="14">
        <v>0.23</v>
      </c>
      <c r="E19" s="14">
        <v>0.34</v>
      </c>
      <c r="F19" s="14">
        <v>0.14000000000000001</v>
      </c>
      <c r="G19" s="14">
        <v>0.21</v>
      </c>
      <c r="H19" s="14">
        <v>0.08</v>
      </c>
      <c r="I19" s="14">
        <v>0.08</v>
      </c>
      <c r="J19" s="14">
        <v>0.08</v>
      </c>
      <c r="K19" s="14">
        <v>0.24</v>
      </c>
      <c r="L19" s="14">
        <v>0.19</v>
      </c>
      <c r="M19" s="14">
        <v>0.16</v>
      </c>
      <c r="N19" s="14">
        <v>0.09</v>
      </c>
      <c r="O19" s="14">
        <v>0.17</v>
      </c>
      <c r="P19" s="14">
        <v>0.18</v>
      </c>
      <c r="Q19" s="14">
        <v>0.14000000000000001</v>
      </c>
      <c r="R19" s="14">
        <v>0.27</v>
      </c>
      <c r="S19" s="14">
        <v>0.14000000000000001</v>
      </c>
      <c r="T19" s="14">
        <v>0.15</v>
      </c>
      <c r="U19" s="14">
        <v>0.2</v>
      </c>
      <c r="V19" s="14">
        <v>0.19</v>
      </c>
      <c r="W19" s="14">
        <v>0.13</v>
      </c>
      <c r="X19" s="14">
        <v>0.39</v>
      </c>
      <c r="Y19" s="14">
        <v>0.11</v>
      </c>
      <c r="Z19" s="14">
        <v>0.09</v>
      </c>
      <c r="AA19" s="14">
        <v>7.0000000000000007E-2</v>
      </c>
      <c r="AB19" s="14">
        <v>0.21</v>
      </c>
      <c r="AC19" s="14">
        <v>0.26</v>
      </c>
      <c r="AD19" s="14">
        <v>0.19</v>
      </c>
      <c r="AE19" s="14">
        <v>0.14000000000000001</v>
      </c>
      <c r="AF19" s="14">
        <v>0.14000000000000001</v>
      </c>
    </row>
    <row r="20" spans="1:32" ht="24.95">
      <c r="A20" s="20"/>
      <c r="B20" s="11" t="s">
        <v>1111</v>
      </c>
      <c r="C20" s="12">
        <v>825</v>
      </c>
      <c r="D20" s="12">
        <v>70</v>
      </c>
      <c r="E20" s="12">
        <v>35</v>
      </c>
      <c r="F20" s="12">
        <v>15</v>
      </c>
      <c r="G20" s="12">
        <v>45</v>
      </c>
      <c r="H20" s="12">
        <v>25</v>
      </c>
      <c r="I20" s="12">
        <v>30</v>
      </c>
      <c r="J20" s="12">
        <v>5</v>
      </c>
      <c r="K20" s="12">
        <v>53</v>
      </c>
      <c r="L20" s="12">
        <v>44</v>
      </c>
      <c r="M20" s="12">
        <v>14</v>
      </c>
      <c r="N20" s="12">
        <v>9</v>
      </c>
      <c r="O20" s="12">
        <v>46</v>
      </c>
      <c r="P20" s="12">
        <v>18</v>
      </c>
      <c r="Q20" s="12">
        <v>37</v>
      </c>
      <c r="R20" s="12">
        <v>23</v>
      </c>
      <c r="S20" s="12">
        <v>9</v>
      </c>
      <c r="T20" s="12">
        <v>14</v>
      </c>
      <c r="U20" s="12">
        <v>60</v>
      </c>
      <c r="V20" s="12">
        <v>45</v>
      </c>
      <c r="W20" s="12">
        <v>41</v>
      </c>
      <c r="X20" s="12">
        <v>109</v>
      </c>
      <c r="Y20" s="12">
        <v>37</v>
      </c>
      <c r="Z20" s="12">
        <v>19</v>
      </c>
      <c r="AA20" s="12">
        <v>12</v>
      </c>
      <c r="AB20" s="12">
        <v>29</v>
      </c>
      <c r="AC20" s="12">
        <v>50</v>
      </c>
      <c r="AD20" s="12">
        <v>21</v>
      </c>
      <c r="AE20" s="12">
        <v>28</v>
      </c>
      <c r="AF20" s="12">
        <v>19</v>
      </c>
    </row>
    <row r="21" spans="1:32" ht="24.95">
      <c r="A21" s="20"/>
      <c r="B21" s="13" t="s">
        <v>1112</v>
      </c>
      <c r="C21" s="14">
        <v>0.03</v>
      </c>
      <c r="D21" s="14">
        <v>7.0000000000000007E-2</v>
      </c>
      <c r="E21" s="14">
        <v>0.03</v>
      </c>
      <c r="F21" s="14">
        <v>0.02</v>
      </c>
      <c r="G21" s="14">
        <v>0.04</v>
      </c>
      <c r="H21" s="14">
        <v>0.02</v>
      </c>
      <c r="I21" s="14">
        <v>0.02</v>
      </c>
      <c r="J21" s="14">
        <v>0.02</v>
      </c>
      <c r="K21" s="14">
        <v>0.05</v>
      </c>
      <c r="L21" s="14">
        <v>0.04</v>
      </c>
      <c r="M21" s="14">
        <v>0.01</v>
      </c>
      <c r="N21" s="14">
        <v>0.01</v>
      </c>
      <c r="O21" s="14">
        <v>0.05</v>
      </c>
      <c r="P21" s="14">
        <v>0.02</v>
      </c>
      <c r="Q21" s="14">
        <v>0.04</v>
      </c>
      <c r="R21" s="14">
        <v>0.05</v>
      </c>
      <c r="S21" s="14">
        <v>0.01</v>
      </c>
      <c r="T21" s="14">
        <v>0.01</v>
      </c>
      <c r="U21" s="14">
        <v>0.12</v>
      </c>
      <c r="V21" s="14">
        <v>0.04</v>
      </c>
      <c r="W21" s="14">
        <v>0.08</v>
      </c>
      <c r="X21" s="14">
        <v>0.11</v>
      </c>
      <c r="Y21" s="14">
        <v>0.04</v>
      </c>
      <c r="Z21" s="14">
        <v>0.02</v>
      </c>
      <c r="AA21" s="14">
        <v>0.01</v>
      </c>
      <c r="AB21" s="14">
        <v>0.03</v>
      </c>
      <c r="AC21" s="14">
        <v>0.05</v>
      </c>
      <c r="AD21" s="14">
        <v>0.02</v>
      </c>
      <c r="AE21" s="14">
        <v>0.03</v>
      </c>
      <c r="AF21" s="14">
        <v>0.02</v>
      </c>
    </row>
    <row r="22" spans="1:32" ht="84.95">
      <c r="A22" s="20"/>
      <c r="B22" s="11" t="s">
        <v>1113</v>
      </c>
      <c r="C22" s="12">
        <v>8944</v>
      </c>
      <c r="D22" s="12">
        <v>378</v>
      </c>
      <c r="E22" s="12">
        <v>451</v>
      </c>
      <c r="F22" s="12">
        <v>325</v>
      </c>
      <c r="G22" s="12">
        <v>423</v>
      </c>
      <c r="H22" s="12">
        <v>451</v>
      </c>
      <c r="I22" s="12">
        <v>575</v>
      </c>
      <c r="J22" s="12">
        <v>124</v>
      </c>
      <c r="K22" s="12">
        <v>361</v>
      </c>
      <c r="L22" s="12">
        <v>290</v>
      </c>
      <c r="M22" s="12">
        <v>398</v>
      </c>
      <c r="N22" s="12">
        <v>253</v>
      </c>
      <c r="O22" s="12">
        <v>348</v>
      </c>
      <c r="P22" s="12">
        <v>307</v>
      </c>
      <c r="Q22" s="12">
        <v>361</v>
      </c>
      <c r="R22" s="12">
        <v>249</v>
      </c>
      <c r="S22" s="12">
        <v>388</v>
      </c>
      <c r="T22" s="12">
        <v>327</v>
      </c>
      <c r="U22" s="12">
        <v>189</v>
      </c>
      <c r="V22" s="12">
        <v>402</v>
      </c>
      <c r="W22" s="12">
        <v>259</v>
      </c>
      <c r="X22" s="12">
        <v>455</v>
      </c>
      <c r="Y22" s="12">
        <v>400</v>
      </c>
      <c r="Z22" s="12">
        <v>261</v>
      </c>
      <c r="AA22" s="12">
        <v>242</v>
      </c>
      <c r="AB22" s="12">
        <v>245</v>
      </c>
      <c r="AC22" s="12">
        <v>485</v>
      </c>
      <c r="AD22" s="12">
        <v>364</v>
      </c>
      <c r="AE22" s="12">
        <v>314</v>
      </c>
      <c r="AF22" s="12">
        <v>398</v>
      </c>
    </row>
    <row r="23" spans="1:32" ht="60.95">
      <c r="A23" s="20"/>
      <c r="B23" s="13" t="s">
        <v>1114</v>
      </c>
      <c r="C23" s="14">
        <v>0.34</v>
      </c>
      <c r="D23" s="14">
        <v>0.38</v>
      </c>
      <c r="E23" s="14">
        <v>0.44</v>
      </c>
      <c r="F23" s="14">
        <v>0.32</v>
      </c>
      <c r="G23" s="14">
        <v>0.42</v>
      </c>
      <c r="H23" s="14">
        <v>0.37</v>
      </c>
      <c r="I23" s="14">
        <v>0.38</v>
      </c>
      <c r="J23" s="14">
        <v>0.42</v>
      </c>
      <c r="K23" s="14">
        <v>0.36</v>
      </c>
      <c r="L23" s="14">
        <v>0.28999999999999998</v>
      </c>
      <c r="M23" s="14">
        <v>0.4</v>
      </c>
      <c r="N23" s="14">
        <v>0.25</v>
      </c>
      <c r="O23" s="14">
        <v>0.35</v>
      </c>
      <c r="P23" s="14">
        <v>0.3</v>
      </c>
      <c r="Q23" s="14">
        <v>0.35</v>
      </c>
      <c r="R23" s="14">
        <v>0.5</v>
      </c>
      <c r="S23" s="14">
        <v>0.39</v>
      </c>
      <c r="T23" s="14">
        <v>0.32</v>
      </c>
      <c r="U23" s="14">
        <v>0.37</v>
      </c>
      <c r="V23" s="14">
        <v>0.4</v>
      </c>
      <c r="W23" s="14">
        <v>0.52</v>
      </c>
      <c r="X23" s="14">
        <v>0.45</v>
      </c>
      <c r="Y23" s="14">
        <v>0.4</v>
      </c>
      <c r="Z23" s="14">
        <v>0.26</v>
      </c>
      <c r="AA23" s="14">
        <v>0.23</v>
      </c>
      <c r="AB23" s="14">
        <v>0.24</v>
      </c>
      <c r="AC23" s="14">
        <v>0.48</v>
      </c>
      <c r="AD23" s="14">
        <v>0.36</v>
      </c>
      <c r="AE23" s="14">
        <v>0.31</v>
      </c>
      <c r="AF23" s="14">
        <v>0.39</v>
      </c>
    </row>
    <row r="24" spans="1:32" ht="60.95">
      <c r="A24" s="20"/>
      <c r="B24" s="11" t="s">
        <v>1115</v>
      </c>
      <c r="C24" s="12">
        <v>2322</v>
      </c>
      <c r="D24" s="12">
        <v>140</v>
      </c>
      <c r="E24" s="12">
        <v>23</v>
      </c>
      <c r="F24" s="12">
        <v>45</v>
      </c>
      <c r="G24" s="12">
        <v>150</v>
      </c>
      <c r="H24" s="12">
        <v>148</v>
      </c>
      <c r="I24" s="12">
        <v>192</v>
      </c>
      <c r="J24" s="12">
        <v>44</v>
      </c>
      <c r="K24" s="12">
        <v>71</v>
      </c>
      <c r="L24" s="12">
        <v>112</v>
      </c>
      <c r="M24" s="12">
        <v>77</v>
      </c>
      <c r="N24" s="12">
        <v>34</v>
      </c>
      <c r="O24" s="12">
        <v>64</v>
      </c>
      <c r="P24" s="12">
        <v>62</v>
      </c>
      <c r="Q24" s="12">
        <v>107</v>
      </c>
      <c r="R24" s="12">
        <v>15</v>
      </c>
      <c r="S24" s="12">
        <v>34</v>
      </c>
      <c r="T24" s="12">
        <v>46</v>
      </c>
      <c r="U24" s="12">
        <v>60</v>
      </c>
      <c r="V24" s="12">
        <v>47</v>
      </c>
      <c r="W24" s="12">
        <v>21</v>
      </c>
      <c r="X24" s="12">
        <v>192</v>
      </c>
      <c r="Y24" s="12">
        <v>154</v>
      </c>
      <c r="Z24" s="12">
        <v>42</v>
      </c>
      <c r="AA24" s="12">
        <v>23</v>
      </c>
      <c r="AB24" s="12">
        <v>64</v>
      </c>
      <c r="AC24" s="12">
        <v>99</v>
      </c>
      <c r="AD24" s="12">
        <v>47</v>
      </c>
      <c r="AE24" s="12">
        <v>121</v>
      </c>
      <c r="AF24" s="12">
        <v>219</v>
      </c>
    </row>
    <row r="25" spans="1:32" ht="48.95">
      <c r="A25" s="20"/>
      <c r="B25" s="13" t="s">
        <v>1116</v>
      </c>
      <c r="C25" s="14">
        <v>0.09</v>
      </c>
      <c r="D25" s="14">
        <v>0.14000000000000001</v>
      </c>
      <c r="E25" s="14">
        <v>0.02</v>
      </c>
      <c r="F25" s="14">
        <v>0.04</v>
      </c>
      <c r="G25" s="14">
        <v>0.15</v>
      </c>
      <c r="H25" s="14">
        <v>0.12</v>
      </c>
      <c r="I25" s="14">
        <v>0.13</v>
      </c>
      <c r="J25" s="14">
        <v>0.15</v>
      </c>
      <c r="K25" s="14">
        <v>7.0000000000000007E-2</v>
      </c>
      <c r="L25" s="14">
        <v>0.11</v>
      </c>
      <c r="M25" s="14">
        <v>0.08</v>
      </c>
      <c r="N25" s="14">
        <v>0.03</v>
      </c>
      <c r="O25" s="14">
        <v>0.06</v>
      </c>
      <c r="P25" s="14">
        <v>0.06</v>
      </c>
      <c r="Q25" s="14">
        <v>0.11</v>
      </c>
      <c r="R25" s="14">
        <v>0.03</v>
      </c>
      <c r="S25" s="14">
        <v>0.03</v>
      </c>
      <c r="T25" s="14">
        <v>0.05</v>
      </c>
      <c r="U25" s="14">
        <v>0.12</v>
      </c>
      <c r="V25" s="14">
        <v>0.05</v>
      </c>
      <c r="W25" s="14">
        <v>0.04</v>
      </c>
      <c r="X25" s="14">
        <v>0.19</v>
      </c>
      <c r="Y25" s="14">
        <v>0.15</v>
      </c>
      <c r="Z25" s="14">
        <v>0.04</v>
      </c>
      <c r="AA25" s="14">
        <v>0.02</v>
      </c>
      <c r="AB25" s="14">
        <v>0.06</v>
      </c>
      <c r="AC25" s="14">
        <v>0.1</v>
      </c>
      <c r="AD25" s="14">
        <v>0.05</v>
      </c>
      <c r="AE25" s="14">
        <v>0.12</v>
      </c>
      <c r="AF25" s="14">
        <v>0.21</v>
      </c>
    </row>
    <row r="26" spans="1:32" ht="48.95">
      <c r="A26" s="20"/>
      <c r="B26" s="11" t="s">
        <v>1117</v>
      </c>
      <c r="C26" s="12">
        <v>1254</v>
      </c>
      <c r="D26" s="12">
        <v>59</v>
      </c>
      <c r="E26" s="12">
        <v>25</v>
      </c>
      <c r="F26" s="12">
        <v>44</v>
      </c>
      <c r="G26" s="12">
        <v>85</v>
      </c>
      <c r="H26" s="12">
        <v>34</v>
      </c>
      <c r="I26" s="12">
        <v>42</v>
      </c>
      <c r="J26" s="12">
        <v>8</v>
      </c>
      <c r="K26" s="12">
        <v>115</v>
      </c>
      <c r="L26" s="12">
        <v>57</v>
      </c>
      <c r="M26" s="12">
        <v>16</v>
      </c>
      <c r="N26" s="12">
        <v>24</v>
      </c>
      <c r="O26" s="12">
        <v>47</v>
      </c>
      <c r="P26" s="12">
        <v>32</v>
      </c>
      <c r="Q26" s="12">
        <v>52</v>
      </c>
      <c r="R26" s="12">
        <v>28</v>
      </c>
      <c r="S26" s="12">
        <v>26</v>
      </c>
      <c r="T26" s="12">
        <v>34</v>
      </c>
      <c r="U26" s="12">
        <v>55</v>
      </c>
      <c r="V26" s="12">
        <v>37</v>
      </c>
      <c r="W26" s="12">
        <v>21</v>
      </c>
      <c r="X26" s="12">
        <v>110</v>
      </c>
      <c r="Y26" s="12">
        <v>85</v>
      </c>
      <c r="Z26" s="12">
        <v>32</v>
      </c>
      <c r="AA26" s="12">
        <v>26</v>
      </c>
      <c r="AB26" s="12">
        <v>39</v>
      </c>
      <c r="AC26" s="12">
        <v>200</v>
      </c>
      <c r="AD26" s="12">
        <v>62</v>
      </c>
      <c r="AE26" s="12">
        <v>202</v>
      </c>
      <c r="AF26" s="12">
        <v>177</v>
      </c>
    </row>
    <row r="27" spans="1:32" ht="36.950000000000003">
      <c r="A27" s="20"/>
      <c r="B27" s="13" t="s">
        <v>1118</v>
      </c>
      <c r="C27" s="14">
        <v>0.05</v>
      </c>
      <c r="D27" s="14">
        <v>0.06</v>
      </c>
      <c r="E27" s="14">
        <v>0.02</v>
      </c>
      <c r="F27" s="14">
        <v>0.04</v>
      </c>
      <c r="G27" s="14">
        <v>0.09</v>
      </c>
      <c r="H27" s="14">
        <v>0.03</v>
      </c>
      <c r="I27" s="14">
        <v>0.03</v>
      </c>
      <c r="J27" s="14">
        <v>0.03</v>
      </c>
      <c r="K27" s="14">
        <v>0.11</v>
      </c>
      <c r="L27" s="14">
        <v>0.06</v>
      </c>
      <c r="M27" s="14">
        <v>0.02</v>
      </c>
      <c r="N27" s="14">
        <v>0.02</v>
      </c>
      <c r="O27" s="14">
        <v>0.05</v>
      </c>
      <c r="P27" s="14">
        <v>0.03</v>
      </c>
      <c r="Q27" s="14">
        <v>0.05</v>
      </c>
      <c r="R27" s="14">
        <v>0.06</v>
      </c>
      <c r="S27" s="14">
        <v>0.03</v>
      </c>
      <c r="T27" s="14">
        <v>0.03</v>
      </c>
      <c r="U27" s="14">
        <v>0.11</v>
      </c>
      <c r="V27" s="14">
        <v>0.04</v>
      </c>
      <c r="W27" s="14">
        <v>0.04</v>
      </c>
      <c r="X27" s="14">
        <v>0.11</v>
      </c>
      <c r="Y27" s="14">
        <v>0.08</v>
      </c>
      <c r="Z27" s="14">
        <v>0.03</v>
      </c>
      <c r="AA27" s="14">
        <v>0.02</v>
      </c>
      <c r="AB27" s="14">
        <v>0.04</v>
      </c>
      <c r="AC27" s="14">
        <v>0.2</v>
      </c>
      <c r="AD27" s="14">
        <v>0.06</v>
      </c>
      <c r="AE27" s="14">
        <v>0.2</v>
      </c>
      <c r="AF27" s="14">
        <v>0.17</v>
      </c>
    </row>
    <row r="28" spans="1:32" ht="60.95">
      <c r="A28" s="20"/>
      <c r="B28" s="11" t="s">
        <v>1119</v>
      </c>
      <c r="C28" s="12">
        <v>2183</v>
      </c>
      <c r="D28" s="12">
        <v>152</v>
      </c>
      <c r="E28" s="12">
        <v>52</v>
      </c>
      <c r="F28" s="12">
        <v>45</v>
      </c>
      <c r="G28" s="12">
        <v>131</v>
      </c>
      <c r="H28" s="12">
        <v>65</v>
      </c>
      <c r="I28" s="12">
        <v>83</v>
      </c>
      <c r="J28" s="12">
        <v>19</v>
      </c>
      <c r="K28" s="12">
        <v>92</v>
      </c>
      <c r="L28" s="12">
        <v>131</v>
      </c>
      <c r="M28" s="12">
        <v>32</v>
      </c>
      <c r="N28" s="12">
        <v>59</v>
      </c>
      <c r="O28" s="12">
        <v>97</v>
      </c>
      <c r="P28" s="12">
        <v>68</v>
      </c>
      <c r="Q28" s="12">
        <v>39</v>
      </c>
      <c r="R28" s="12">
        <v>16</v>
      </c>
      <c r="S28" s="12">
        <v>89</v>
      </c>
      <c r="T28" s="12">
        <v>97</v>
      </c>
      <c r="U28" s="12">
        <v>97</v>
      </c>
      <c r="V28" s="12">
        <v>100</v>
      </c>
      <c r="W28" s="12">
        <v>133</v>
      </c>
      <c r="X28" s="12">
        <v>363</v>
      </c>
      <c r="Y28" s="12">
        <v>221</v>
      </c>
      <c r="Z28" s="12">
        <v>61</v>
      </c>
      <c r="AA28" s="12">
        <v>39</v>
      </c>
      <c r="AB28" s="12">
        <v>60</v>
      </c>
      <c r="AC28" s="12">
        <v>146</v>
      </c>
      <c r="AD28" s="12">
        <v>66</v>
      </c>
      <c r="AE28" s="12">
        <v>88</v>
      </c>
      <c r="AF28" s="12">
        <v>134</v>
      </c>
    </row>
    <row r="29" spans="1:32" ht="48.95">
      <c r="A29" s="20"/>
      <c r="B29" s="13" t="s">
        <v>1120</v>
      </c>
      <c r="C29" s="14">
        <v>0.08</v>
      </c>
      <c r="D29" s="14">
        <v>0.15</v>
      </c>
      <c r="E29" s="14">
        <v>0.05</v>
      </c>
      <c r="F29" s="14">
        <v>0.04</v>
      </c>
      <c r="G29" s="14">
        <v>0.13</v>
      </c>
      <c r="H29" s="14">
        <v>0.05</v>
      </c>
      <c r="I29" s="14">
        <v>0.06</v>
      </c>
      <c r="J29" s="14">
        <v>0.06</v>
      </c>
      <c r="K29" s="14">
        <v>0.09</v>
      </c>
      <c r="L29" s="14">
        <v>0.13</v>
      </c>
      <c r="M29" s="14">
        <v>0.03</v>
      </c>
      <c r="N29" s="14">
        <v>0.06</v>
      </c>
      <c r="O29" s="14">
        <v>0.1</v>
      </c>
      <c r="P29" s="14">
        <v>7.0000000000000007E-2</v>
      </c>
      <c r="Q29" s="14">
        <v>0.04</v>
      </c>
      <c r="R29" s="14">
        <v>0.03</v>
      </c>
      <c r="S29" s="14">
        <v>0.09</v>
      </c>
      <c r="T29" s="14">
        <v>0.1</v>
      </c>
      <c r="U29" s="14">
        <v>0.19</v>
      </c>
      <c r="V29" s="14">
        <v>0.1</v>
      </c>
      <c r="W29" s="14">
        <v>0.26</v>
      </c>
      <c r="X29" s="14">
        <v>0.36</v>
      </c>
      <c r="Y29" s="14">
        <v>0.22</v>
      </c>
      <c r="Z29" s="14">
        <v>0.06</v>
      </c>
      <c r="AA29" s="14">
        <v>0.04</v>
      </c>
      <c r="AB29" s="14">
        <v>0.06</v>
      </c>
      <c r="AC29" s="14">
        <v>0.14000000000000001</v>
      </c>
      <c r="AD29" s="14">
        <v>7.0000000000000007E-2</v>
      </c>
      <c r="AE29" s="14">
        <v>0.09</v>
      </c>
      <c r="AF29" s="14">
        <v>0.13</v>
      </c>
    </row>
    <row r="30" spans="1:32" ht="24.95">
      <c r="A30" s="20"/>
      <c r="B30" s="11" t="s">
        <v>1121</v>
      </c>
      <c r="C30" s="12">
        <v>2076</v>
      </c>
      <c r="D30" s="12">
        <v>195</v>
      </c>
      <c r="E30" s="12">
        <v>36</v>
      </c>
      <c r="F30" s="12">
        <v>50</v>
      </c>
      <c r="G30" s="12">
        <v>68</v>
      </c>
      <c r="H30" s="12">
        <v>125</v>
      </c>
      <c r="I30" s="12">
        <v>147</v>
      </c>
      <c r="J30" s="12">
        <v>22</v>
      </c>
      <c r="K30" s="12">
        <v>33</v>
      </c>
      <c r="L30" s="12">
        <v>62</v>
      </c>
      <c r="M30" s="12">
        <v>124</v>
      </c>
      <c r="N30" s="12">
        <v>49</v>
      </c>
      <c r="O30" s="12">
        <v>38</v>
      </c>
      <c r="P30" s="12">
        <v>49</v>
      </c>
      <c r="Q30" s="12">
        <v>55</v>
      </c>
      <c r="R30" s="12">
        <v>149</v>
      </c>
      <c r="S30" s="12">
        <v>35</v>
      </c>
      <c r="T30" s="12">
        <v>40</v>
      </c>
      <c r="U30" s="12">
        <v>81</v>
      </c>
      <c r="V30" s="12">
        <v>53</v>
      </c>
      <c r="W30" s="12">
        <v>89</v>
      </c>
      <c r="X30" s="12">
        <v>420</v>
      </c>
      <c r="Y30" s="12">
        <v>104</v>
      </c>
      <c r="Z30" s="12">
        <v>29</v>
      </c>
      <c r="AA30" s="12">
        <v>64</v>
      </c>
      <c r="AB30" s="12">
        <v>44</v>
      </c>
      <c r="AC30" s="12">
        <v>114</v>
      </c>
      <c r="AD30" s="12">
        <v>54</v>
      </c>
      <c r="AE30" s="12">
        <v>47</v>
      </c>
      <c r="AF30" s="12">
        <v>99</v>
      </c>
    </row>
    <row r="31" spans="1:32" ht="24.95">
      <c r="A31" s="20"/>
      <c r="B31" s="13" t="s">
        <v>1122</v>
      </c>
      <c r="C31" s="14">
        <v>0.08</v>
      </c>
      <c r="D31" s="14">
        <v>0.19</v>
      </c>
      <c r="E31" s="14">
        <v>0.04</v>
      </c>
      <c r="F31" s="14">
        <v>0.05</v>
      </c>
      <c r="G31" s="14">
        <v>7.0000000000000007E-2</v>
      </c>
      <c r="H31" s="14">
        <v>0.1</v>
      </c>
      <c r="I31" s="14">
        <v>0.1</v>
      </c>
      <c r="J31" s="14">
        <v>0.08</v>
      </c>
      <c r="K31" s="14">
        <v>0.03</v>
      </c>
      <c r="L31" s="14">
        <v>0.06</v>
      </c>
      <c r="M31" s="14">
        <v>0.12</v>
      </c>
      <c r="N31" s="14">
        <v>0.05</v>
      </c>
      <c r="O31" s="14">
        <v>0.04</v>
      </c>
      <c r="P31" s="14">
        <v>0.05</v>
      </c>
      <c r="Q31" s="14">
        <v>0.05</v>
      </c>
      <c r="R31" s="14">
        <v>0.3</v>
      </c>
      <c r="S31" s="14">
        <v>0.04</v>
      </c>
      <c r="T31" s="14">
        <v>0.04</v>
      </c>
      <c r="U31" s="14">
        <v>0.16</v>
      </c>
      <c r="V31" s="14">
        <v>0.05</v>
      </c>
      <c r="W31" s="14">
        <v>0.18</v>
      </c>
      <c r="X31" s="14">
        <v>0.41</v>
      </c>
      <c r="Y31" s="14">
        <v>0.1</v>
      </c>
      <c r="Z31" s="14">
        <v>0.03</v>
      </c>
      <c r="AA31" s="14">
        <v>0.06</v>
      </c>
      <c r="AB31" s="14">
        <v>0.04</v>
      </c>
      <c r="AC31" s="14">
        <v>0.11</v>
      </c>
      <c r="AD31" s="14">
        <v>0.05</v>
      </c>
      <c r="AE31" s="14">
        <v>0.05</v>
      </c>
      <c r="AF31" s="14">
        <v>0.1</v>
      </c>
    </row>
    <row r="32" spans="1:32" ht="84.95">
      <c r="A32" s="20"/>
      <c r="B32" s="11" t="s">
        <v>1123</v>
      </c>
      <c r="C32" s="12">
        <v>2712</v>
      </c>
      <c r="D32" s="12">
        <v>129</v>
      </c>
      <c r="E32" s="12">
        <v>60</v>
      </c>
      <c r="F32" s="12">
        <v>44</v>
      </c>
      <c r="G32" s="12">
        <v>219</v>
      </c>
      <c r="H32" s="12">
        <v>126</v>
      </c>
      <c r="I32" s="12">
        <v>160</v>
      </c>
      <c r="J32" s="12">
        <v>34</v>
      </c>
      <c r="K32" s="12">
        <v>54</v>
      </c>
      <c r="L32" s="12">
        <v>126</v>
      </c>
      <c r="M32" s="12">
        <v>24</v>
      </c>
      <c r="N32" s="12">
        <v>50</v>
      </c>
      <c r="O32" s="12">
        <v>162</v>
      </c>
      <c r="P32" s="12">
        <v>64</v>
      </c>
      <c r="Q32" s="12">
        <v>26</v>
      </c>
      <c r="R32" s="12">
        <v>27</v>
      </c>
      <c r="S32" s="12">
        <v>32</v>
      </c>
      <c r="T32" s="12">
        <v>34</v>
      </c>
      <c r="U32" s="12">
        <v>100</v>
      </c>
      <c r="V32" s="12">
        <v>152</v>
      </c>
      <c r="W32" s="12">
        <v>52</v>
      </c>
      <c r="X32" s="12">
        <v>309</v>
      </c>
      <c r="Y32" s="12">
        <v>171</v>
      </c>
      <c r="Z32" s="12">
        <v>49</v>
      </c>
      <c r="AA32" s="12">
        <v>30</v>
      </c>
      <c r="AB32" s="12">
        <v>50</v>
      </c>
      <c r="AC32" s="12">
        <v>104</v>
      </c>
      <c r="AD32" s="12">
        <v>108</v>
      </c>
      <c r="AE32" s="12">
        <v>276</v>
      </c>
      <c r="AF32" s="12">
        <v>371</v>
      </c>
    </row>
    <row r="33" spans="1:32" ht="60.95">
      <c r="A33" s="20"/>
      <c r="B33" s="13" t="s">
        <v>1124</v>
      </c>
      <c r="C33" s="14">
        <v>0.1</v>
      </c>
      <c r="D33" s="14">
        <v>0.13</v>
      </c>
      <c r="E33" s="14">
        <v>0.06</v>
      </c>
      <c r="F33" s="14">
        <v>0.04</v>
      </c>
      <c r="G33" s="14">
        <v>0.22</v>
      </c>
      <c r="H33" s="14">
        <v>0.1</v>
      </c>
      <c r="I33" s="14">
        <v>0.11</v>
      </c>
      <c r="J33" s="14">
        <v>0.11</v>
      </c>
      <c r="K33" s="14">
        <v>0.05</v>
      </c>
      <c r="L33" s="14">
        <v>0.13</v>
      </c>
      <c r="M33" s="14">
        <v>0.02</v>
      </c>
      <c r="N33" s="14">
        <v>0.05</v>
      </c>
      <c r="O33" s="14">
        <v>0.16</v>
      </c>
      <c r="P33" s="14">
        <v>0.06</v>
      </c>
      <c r="Q33" s="14">
        <v>0.03</v>
      </c>
      <c r="R33" s="14">
        <v>0.05</v>
      </c>
      <c r="S33" s="14">
        <v>0.03</v>
      </c>
      <c r="T33" s="14">
        <v>0.03</v>
      </c>
      <c r="U33" s="14">
        <v>0.2</v>
      </c>
      <c r="V33" s="14">
        <v>0.15</v>
      </c>
      <c r="W33" s="14">
        <v>0.1</v>
      </c>
      <c r="X33" s="14">
        <v>0.3</v>
      </c>
      <c r="Y33" s="14">
        <v>0.17</v>
      </c>
      <c r="Z33" s="14">
        <v>0.05</v>
      </c>
      <c r="AA33" s="14">
        <v>0.03</v>
      </c>
      <c r="AB33" s="14">
        <v>0.05</v>
      </c>
      <c r="AC33" s="14">
        <v>0.1</v>
      </c>
      <c r="AD33" s="14">
        <v>0.11</v>
      </c>
      <c r="AE33" s="14">
        <v>0.28000000000000003</v>
      </c>
      <c r="AF33" s="14">
        <v>0.36</v>
      </c>
    </row>
    <row r="34" spans="1:32" ht="24.95">
      <c r="A34" s="20"/>
      <c r="B34" s="11" t="s">
        <v>1125</v>
      </c>
      <c r="C34" s="12">
        <v>6605</v>
      </c>
      <c r="D34" s="12">
        <v>321</v>
      </c>
      <c r="E34" s="12">
        <v>154</v>
      </c>
      <c r="F34" s="12">
        <v>132</v>
      </c>
      <c r="G34" s="12">
        <v>439</v>
      </c>
      <c r="H34" s="12">
        <v>468</v>
      </c>
      <c r="I34" s="12">
        <v>566</v>
      </c>
      <c r="J34" s="12">
        <v>98</v>
      </c>
      <c r="K34" s="12">
        <v>176</v>
      </c>
      <c r="L34" s="12">
        <v>165</v>
      </c>
      <c r="M34" s="12">
        <v>116</v>
      </c>
      <c r="N34" s="12">
        <v>78</v>
      </c>
      <c r="O34" s="12">
        <v>343</v>
      </c>
      <c r="P34" s="12">
        <v>262</v>
      </c>
      <c r="Q34" s="12">
        <v>244</v>
      </c>
      <c r="R34" s="12">
        <v>67</v>
      </c>
      <c r="S34" s="12">
        <v>108</v>
      </c>
      <c r="T34" s="12">
        <v>86</v>
      </c>
      <c r="U34" s="12">
        <v>216</v>
      </c>
      <c r="V34" s="12">
        <v>150</v>
      </c>
      <c r="W34" s="12">
        <v>59</v>
      </c>
      <c r="X34" s="12">
        <v>493</v>
      </c>
      <c r="Y34" s="12">
        <v>350</v>
      </c>
      <c r="Z34" s="12">
        <v>87</v>
      </c>
      <c r="AA34" s="12">
        <v>49</v>
      </c>
      <c r="AB34" s="12">
        <v>115</v>
      </c>
      <c r="AC34" s="12">
        <v>158</v>
      </c>
      <c r="AD34" s="12">
        <v>120</v>
      </c>
      <c r="AE34" s="12">
        <v>407</v>
      </c>
      <c r="AF34" s="12">
        <v>504</v>
      </c>
    </row>
    <row r="35" spans="1:32">
      <c r="A35" s="20"/>
      <c r="B35" s="13" t="s">
        <v>1126</v>
      </c>
      <c r="C35" s="14">
        <v>0.25</v>
      </c>
      <c r="D35" s="14">
        <v>0.32</v>
      </c>
      <c r="E35" s="14">
        <v>0.15</v>
      </c>
      <c r="F35" s="14">
        <v>0.13</v>
      </c>
      <c r="G35" s="14">
        <v>0.44</v>
      </c>
      <c r="H35" s="14">
        <v>0.38</v>
      </c>
      <c r="I35" s="14">
        <v>0.37</v>
      </c>
      <c r="J35" s="14">
        <v>0.33</v>
      </c>
      <c r="K35" s="14">
        <v>0.18</v>
      </c>
      <c r="L35" s="14">
        <v>0.16</v>
      </c>
      <c r="M35" s="14">
        <v>0.12</v>
      </c>
      <c r="N35" s="14">
        <v>0.08</v>
      </c>
      <c r="O35" s="14">
        <v>0.34</v>
      </c>
      <c r="P35" s="14">
        <v>0.26</v>
      </c>
      <c r="Q35" s="14">
        <v>0.24</v>
      </c>
      <c r="R35" s="14">
        <v>0.13</v>
      </c>
      <c r="S35" s="14">
        <v>0.11</v>
      </c>
      <c r="T35" s="14">
        <v>0.08</v>
      </c>
      <c r="U35" s="14">
        <v>0.43</v>
      </c>
      <c r="V35" s="14">
        <v>0.15</v>
      </c>
      <c r="W35" s="14">
        <v>0.12</v>
      </c>
      <c r="X35" s="14">
        <v>0.48</v>
      </c>
      <c r="Y35" s="14">
        <v>0.35</v>
      </c>
      <c r="Z35" s="14">
        <v>0.09</v>
      </c>
      <c r="AA35" s="14">
        <v>0.05</v>
      </c>
      <c r="AB35" s="14">
        <v>0.11</v>
      </c>
      <c r="AC35" s="14">
        <v>0.16</v>
      </c>
      <c r="AD35" s="14">
        <v>0.12</v>
      </c>
      <c r="AE35" s="14">
        <v>0.41</v>
      </c>
      <c r="AF35" s="14">
        <v>0.49</v>
      </c>
    </row>
    <row r="36" spans="1:32" ht="36.950000000000003">
      <c r="A36" s="20"/>
      <c r="B36" s="11" t="s">
        <v>1127</v>
      </c>
      <c r="C36" s="12">
        <v>16942</v>
      </c>
      <c r="D36" s="12">
        <v>622</v>
      </c>
      <c r="E36" s="12">
        <v>289</v>
      </c>
      <c r="F36" s="12">
        <v>615</v>
      </c>
      <c r="G36" s="12">
        <v>802</v>
      </c>
      <c r="H36" s="12">
        <v>802</v>
      </c>
      <c r="I36" s="12">
        <v>1011</v>
      </c>
      <c r="J36" s="12">
        <v>209</v>
      </c>
      <c r="K36" s="12">
        <v>653</v>
      </c>
      <c r="L36" s="12">
        <v>628</v>
      </c>
      <c r="M36" s="12">
        <v>572</v>
      </c>
      <c r="N36" s="12">
        <v>717</v>
      </c>
      <c r="O36" s="12">
        <v>756</v>
      </c>
      <c r="P36" s="12">
        <v>612</v>
      </c>
      <c r="Q36" s="12">
        <v>617</v>
      </c>
      <c r="R36" s="12">
        <v>351</v>
      </c>
      <c r="S36" s="12">
        <v>648</v>
      </c>
      <c r="T36" s="12">
        <v>729</v>
      </c>
      <c r="U36" s="12">
        <v>383</v>
      </c>
      <c r="V36" s="12">
        <v>612</v>
      </c>
      <c r="W36" s="12">
        <v>314</v>
      </c>
      <c r="X36" s="12">
        <v>723</v>
      </c>
      <c r="Y36" s="12">
        <v>642</v>
      </c>
      <c r="Z36" s="12">
        <v>488</v>
      </c>
      <c r="AA36" s="12">
        <v>661</v>
      </c>
      <c r="AB36" s="12">
        <v>334</v>
      </c>
      <c r="AC36" s="12">
        <v>775</v>
      </c>
      <c r="AD36" s="12">
        <v>717</v>
      </c>
      <c r="AE36" s="12">
        <v>759</v>
      </c>
      <c r="AF36" s="12">
        <v>876</v>
      </c>
    </row>
    <row r="37" spans="1:32" ht="36.950000000000003">
      <c r="A37" s="20"/>
      <c r="B37" s="13" t="s">
        <v>1128</v>
      </c>
      <c r="C37" s="14">
        <v>0.64</v>
      </c>
      <c r="D37" s="14">
        <v>0.62</v>
      </c>
      <c r="E37" s="14">
        <v>0.28000000000000003</v>
      </c>
      <c r="F37" s="14">
        <v>0.61</v>
      </c>
      <c r="G37" s="14">
        <v>0.8</v>
      </c>
      <c r="H37" s="14">
        <v>0.66</v>
      </c>
      <c r="I37" s="14">
        <v>0.67</v>
      </c>
      <c r="J37" s="14">
        <v>0.71</v>
      </c>
      <c r="K37" s="14">
        <v>0.65</v>
      </c>
      <c r="L37" s="14">
        <v>0.62</v>
      </c>
      <c r="M37" s="14">
        <v>0.57000000000000006</v>
      </c>
      <c r="N37" s="14">
        <v>0.71</v>
      </c>
      <c r="O37" s="14">
        <v>0.75</v>
      </c>
      <c r="P37" s="14">
        <v>0.6</v>
      </c>
      <c r="Q37" s="14">
        <v>0.61</v>
      </c>
      <c r="R37" s="14">
        <v>0.70000000000000007</v>
      </c>
      <c r="S37" s="14">
        <v>0.64</v>
      </c>
      <c r="T37" s="14">
        <v>0.72</v>
      </c>
      <c r="U37" s="14">
        <v>0.76</v>
      </c>
      <c r="V37" s="14">
        <v>0.6</v>
      </c>
      <c r="W37" s="14">
        <v>0.62</v>
      </c>
      <c r="X37" s="14">
        <v>0.71</v>
      </c>
      <c r="Y37" s="14">
        <v>0.64</v>
      </c>
      <c r="Z37" s="14">
        <v>0.48</v>
      </c>
      <c r="AA37" s="14">
        <v>0.63</v>
      </c>
      <c r="AB37" s="14">
        <v>0.32</v>
      </c>
      <c r="AC37" s="14">
        <v>0.77</v>
      </c>
      <c r="AD37" s="14">
        <v>0.71</v>
      </c>
      <c r="AE37" s="14">
        <v>0.76</v>
      </c>
      <c r="AF37" s="14">
        <v>0.86</v>
      </c>
    </row>
    <row r="38" spans="1:32" ht="84.95">
      <c r="A38" s="20"/>
      <c r="B38" s="11" t="s">
        <v>1129</v>
      </c>
      <c r="C38" s="12">
        <v>12891</v>
      </c>
      <c r="D38" s="12">
        <v>480</v>
      </c>
      <c r="E38" s="12">
        <v>344</v>
      </c>
      <c r="F38" s="12">
        <v>349</v>
      </c>
      <c r="G38" s="12">
        <v>643</v>
      </c>
      <c r="H38" s="12">
        <v>707</v>
      </c>
      <c r="I38" s="12">
        <v>887</v>
      </c>
      <c r="J38" s="12">
        <v>180</v>
      </c>
      <c r="K38" s="12">
        <v>563</v>
      </c>
      <c r="L38" s="12">
        <v>397</v>
      </c>
      <c r="M38" s="12">
        <v>554</v>
      </c>
      <c r="N38" s="12">
        <v>449</v>
      </c>
      <c r="O38" s="12">
        <v>508</v>
      </c>
      <c r="P38" s="12">
        <v>469</v>
      </c>
      <c r="Q38" s="12">
        <v>407</v>
      </c>
      <c r="R38" s="12">
        <v>247</v>
      </c>
      <c r="S38" s="12">
        <v>507</v>
      </c>
      <c r="T38" s="12">
        <v>573</v>
      </c>
      <c r="U38" s="12">
        <v>325</v>
      </c>
      <c r="V38" s="12">
        <v>542</v>
      </c>
      <c r="W38" s="12">
        <v>272</v>
      </c>
      <c r="X38" s="12">
        <v>617</v>
      </c>
      <c r="Y38" s="12">
        <v>559</v>
      </c>
      <c r="Z38" s="12">
        <v>380</v>
      </c>
      <c r="AA38" s="12">
        <v>457</v>
      </c>
      <c r="AB38" s="12">
        <v>336</v>
      </c>
      <c r="AC38" s="12">
        <v>657</v>
      </c>
      <c r="AD38" s="12">
        <v>550</v>
      </c>
      <c r="AE38" s="12">
        <v>622</v>
      </c>
      <c r="AF38" s="12">
        <v>785</v>
      </c>
    </row>
    <row r="39" spans="1:32" ht="72.95">
      <c r="A39" s="20"/>
      <c r="B39" s="13" t="s">
        <v>1130</v>
      </c>
      <c r="C39" s="14">
        <v>0.49</v>
      </c>
      <c r="D39" s="14">
        <v>0.48</v>
      </c>
      <c r="E39" s="14">
        <v>0.34</v>
      </c>
      <c r="F39" s="14">
        <v>0.35</v>
      </c>
      <c r="G39" s="14">
        <v>0.64</v>
      </c>
      <c r="H39" s="14">
        <v>0.57999999999999996</v>
      </c>
      <c r="I39" s="14">
        <v>0.59</v>
      </c>
      <c r="J39" s="14">
        <v>0.61</v>
      </c>
      <c r="K39" s="14">
        <v>0.56000000000000005</v>
      </c>
      <c r="L39" s="14">
        <v>0.39</v>
      </c>
      <c r="M39" s="14">
        <v>0.55000000000000004</v>
      </c>
      <c r="N39" s="14">
        <v>0.45</v>
      </c>
      <c r="O39" s="14">
        <v>0.51</v>
      </c>
      <c r="P39" s="14">
        <v>0.46</v>
      </c>
      <c r="Q39" s="14">
        <v>0.4</v>
      </c>
      <c r="R39" s="14">
        <v>0.49</v>
      </c>
      <c r="S39" s="14">
        <v>0.5</v>
      </c>
      <c r="T39" s="14">
        <v>0.57000000000000006</v>
      </c>
      <c r="U39" s="14">
        <v>0.64</v>
      </c>
      <c r="V39" s="14">
        <v>0.53</v>
      </c>
      <c r="W39" s="14">
        <v>0.54</v>
      </c>
      <c r="X39" s="14">
        <v>0.6</v>
      </c>
      <c r="Y39" s="14">
        <v>0.55000000000000004</v>
      </c>
      <c r="Z39" s="14">
        <v>0.38</v>
      </c>
      <c r="AA39" s="14">
        <v>0.43</v>
      </c>
      <c r="AB39" s="14">
        <v>0.32</v>
      </c>
      <c r="AC39" s="14">
        <v>0.65</v>
      </c>
      <c r="AD39" s="14">
        <v>0.55000000000000004</v>
      </c>
      <c r="AE39" s="14">
        <v>0.62</v>
      </c>
      <c r="AF39" s="14">
        <v>0.77</v>
      </c>
    </row>
    <row r="40" spans="1:32">
      <c r="A40" s="20"/>
      <c r="B40" s="11" t="s">
        <v>519</v>
      </c>
      <c r="C40" s="12">
        <v>98</v>
      </c>
      <c r="D40" s="12">
        <v>1</v>
      </c>
      <c r="E40" s="12">
        <v>3</v>
      </c>
      <c r="F40" s="12">
        <v>0</v>
      </c>
      <c r="G40" s="12">
        <v>2</v>
      </c>
      <c r="H40" s="12">
        <v>7</v>
      </c>
      <c r="I40" s="12">
        <v>9</v>
      </c>
      <c r="J40" s="12">
        <v>2</v>
      </c>
      <c r="K40" s="12">
        <v>14</v>
      </c>
      <c r="L40" s="12">
        <v>0</v>
      </c>
      <c r="M40" s="12">
        <v>2</v>
      </c>
      <c r="N40" s="12">
        <v>6</v>
      </c>
      <c r="O40" s="12">
        <v>4</v>
      </c>
      <c r="P40" s="12">
        <v>3</v>
      </c>
      <c r="Q40" s="12">
        <v>0</v>
      </c>
      <c r="R40" s="12">
        <v>2</v>
      </c>
      <c r="S40" s="12">
        <v>19</v>
      </c>
      <c r="T40" s="12">
        <v>4</v>
      </c>
      <c r="U40" s="12">
        <v>4</v>
      </c>
      <c r="V40" s="12">
        <v>3</v>
      </c>
      <c r="W40" s="12">
        <v>0</v>
      </c>
      <c r="X40" s="12">
        <v>2</v>
      </c>
      <c r="Y40" s="12">
        <v>6</v>
      </c>
      <c r="Z40" s="12">
        <v>0</v>
      </c>
      <c r="AA40" s="12">
        <v>3</v>
      </c>
      <c r="AB40" s="12">
        <v>15</v>
      </c>
      <c r="AC40" s="12">
        <v>0</v>
      </c>
      <c r="AD40" s="12">
        <v>1</v>
      </c>
      <c r="AE40" s="12">
        <v>6</v>
      </c>
      <c r="AF40" s="12">
        <v>1</v>
      </c>
    </row>
    <row r="41" spans="1:32">
      <c r="A41" s="20"/>
      <c r="B41" s="13" t="s">
        <v>520</v>
      </c>
      <c r="C41" s="15" t="s">
        <v>459</v>
      </c>
      <c r="D41" s="15" t="s">
        <v>459</v>
      </c>
      <c r="E41" s="15" t="s">
        <v>459</v>
      </c>
      <c r="F41" s="15" t="s">
        <v>459</v>
      </c>
      <c r="G41" s="15" t="s">
        <v>459</v>
      </c>
      <c r="H41" s="14">
        <v>0.01</v>
      </c>
      <c r="I41" s="14">
        <v>0.01</v>
      </c>
      <c r="J41" s="14">
        <v>0.01</v>
      </c>
      <c r="K41" s="14">
        <v>0.01</v>
      </c>
      <c r="L41" s="15" t="s">
        <v>459</v>
      </c>
      <c r="M41" s="15" t="s">
        <v>459</v>
      </c>
      <c r="N41" s="14">
        <v>0.01</v>
      </c>
      <c r="O41" s="15" t="s">
        <v>459</v>
      </c>
      <c r="P41" s="15" t="s">
        <v>459</v>
      </c>
      <c r="Q41" s="15" t="s">
        <v>459</v>
      </c>
      <c r="R41" s="15" t="s">
        <v>459</v>
      </c>
      <c r="S41" s="14">
        <v>0.02</v>
      </c>
      <c r="T41" s="15" t="s">
        <v>459</v>
      </c>
      <c r="U41" s="14">
        <v>0.01</v>
      </c>
      <c r="V41" s="15" t="s">
        <v>459</v>
      </c>
      <c r="W41" s="15" t="s">
        <v>459</v>
      </c>
      <c r="X41" s="15" t="s">
        <v>459</v>
      </c>
      <c r="Y41" s="14">
        <v>0.01</v>
      </c>
      <c r="Z41" s="15" t="s">
        <v>459</v>
      </c>
      <c r="AA41" s="15" t="s">
        <v>459</v>
      </c>
      <c r="AB41" s="14">
        <v>0.01</v>
      </c>
      <c r="AC41" s="15" t="s">
        <v>459</v>
      </c>
      <c r="AD41" s="15" t="s">
        <v>459</v>
      </c>
      <c r="AE41" s="14">
        <v>0.01</v>
      </c>
      <c r="AF41" s="15" t="s">
        <v>459</v>
      </c>
    </row>
    <row r="42" spans="1:32" ht="24.95">
      <c r="A42" s="20"/>
      <c r="B42" s="11" t="s">
        <v>551</v>
      </c>
      <c r="C42" s="12">
        <v>2091</v>
      </c>
      <c r="D42" s="12">
        <v>21</v>
      </c>
      <c r="E42" s="12">
        <v>161</v>
      </c>
      <c r="F42" s="12">
        <v>116</v>
      </c>
      <c r="G42" s="12">
        <v>44</v>
      </c>
      <c r="H42" s="12">
        <v>62</v>
      </c>
      <c r="I42" s="12">
        <v>70</v>
      </c>
      <c r="J42" s="12">
        <v>8</v>
      </c>
      <c r="K42" s="12">
        <v>64</v>
      </c>
      <c r="L42" s="12">
        <v>81</v>
      </c>
      <c r="M42" s="12">
        <v>131</v>
      </c>
      <c r="N42" s="12">
        <v>108</v>
      </c>
      <c r="O42" s="12">
        <v>72</v>
      </c>
      <c r="P42" s="12">
        <v>57</v>
      </c>
      <c r="Q42" s="12">
        <v>78</v>
      </c>
      <c r="R42" s="12">
        <v>49</v>
      </c>
      <c r="S42" s="12">
        <v>100</v>
      </c>
      <c r="T42" s="12">
        <v>101</v>
      </c>
      <c r="U42" s="12">
        <v>20</v>
      </c>
      <c r="V42" s="12">
        <v>57</v>
      </c>
      <c r="W42" s="12">
        <v>28</v>
      </c>
      <c r="X42" s="12">
        <v>20</v>
      </c>
      <c r="Y42" s="12">
        <v>88</v>
      </c>
      <c r="Z42" s="12">
        <v>81</v>
      </c>
      <c r="AA42" s="12">
        <v>161</v>
      </c>
      <c r="AB42" s="12">
        <v>241</v>
      </c>
      <c r="AC42" s="12">
        <v>25</v>
      </c>
      <c r="AD42" s="12">
        <v>41</v>
      </c>
      <c r="AE42" s="12">
        <v>65</v>
      </c>
      <c r="AF42" s="12">
        <v>23</v>
      </c>
    </row>
    <row r="43" spans="1:32">
      <c r="A43" s="20"/>
      <c r="B43" s="13" t="s">
        <v>522</v>
      </c>
      <c r="C43" s="14">
        <v>0.08</v>
      </c>
      <c r="D43" s="14">
        <v>0.02</v>
      </c>
      <c r="E43" s="14">
        <v>0.16</v>
      </c>
      <c r="F43" s="14">
        <v>0.12</v>
      </c>
      <c r="G43" s="14">
        <v>0.04</v>
      </c>
      <c r="H43" s="14">
        <v>0.05</v>
      </c>
      <c r="I43" s="14">
        <v>0.05</v>
      </c>
      <c r="J43" s="14">
        <v>0.03</v>
      </c>
      <c r="K43" s="14">
        <v>0.06</v>
      </c>
      <c r="L43" s="14">
        <v>0.08</v>
      </c>
      <c r="M43" s="14">
        <v>0.13</v>
      </c>
      <c r="N43" s="14">
        <v>0.11</v>
      </c>
      <c r="O43" s="14">
        <v>7.0000000000000007E-2</v>
      </c>
      <c r="P43" s="14">
        <v>0.06</v>
      </c>
      <c r="Q43" s="14">
        <v>0.08</v>
      </c>
      <c r="R43" s="14">
        <v>0.1</v>
      </c>
      <c r="S43" s="14">
        <v>0.1</v>
      </c>
      <c r="T43" s="14">
        <v>0.1</v>
      </c>
      <c r="U43" s="14">
        <v>0.04</v>
      </c>
      <c r="V43" s="14">
        <v>0.06</v>
      </c>
      <c r="W43" s="14">
        <v>0.06</v>
      </c>
      <c r="X43" s="14">
        <v>0.02</v>
      </c>
      <c r="Y43" s="14">
        <v>0.09</v>
      </c>
      <c r="Z43" s="14">
        <v>0.08</v>
      </c>
      <c r="AA43" s="14">
        <v>0.15</v>
      </c>
      <c r="AB43" s="14">
        <v>0.23</v>
      </c>
      <c r="AC43" s="14">
        <v>0.02</v>
      </c>
      <c r="AD43" s="14">
        <v>0.04</v>
      </c>
      <c r="AE43" s="14">
        <v>0.06</v>
      </c>
      <c r="AF43" s="14">
        <v>0.02</v>
      </c>
    </row>
    <row r="44" spans="1:32">
      <c r="A44" s="20"/>
      <c r="B44" s="11" t="s">
        <v>468</v>
      </c>
      <c r="C44" s="12">
        <v>170</v>
      </c>
      <c r="D44" s="12">
        <v>1</v>
      </c>
      <c r="E44" s="12">
        <v>3</v>
      </c>
      <c r="F44" s="12">
        <v>21</v>
      </c>
      <c r="G44" s="12">
        <v>8</v>
      </c>
      <c r="H44" s="12">
        <v>1</v>
      </c>
      <c r="I44" s="12">
        <v>1</v>
      </c>
      <c r="J44" s="12">
        <v>0</v>
      </c>
      <c r="K44" s="12">
        <v>9</v>
      </c>
      <c r="L44" s="12">
        <v>10</v>
      </c>
      <c r="M44" s="12">
        <v>5</v>
      </c>
      <c r="N44" s="12">
        <v>6</v>
      </c>
      <c r="O44" s="12">
        <v>9</v>
      </c>
      <c r="P44" s="12">
        <v>5</v>
      </c>
      <c r="Q44" s="12">
        <v>3</v>
      </c>
      <c r="R44" s="12">
        <v>12</v>
      </c>
      <c r="S44" s="12">
        <v>12</v>
      </c>
      <c r="T44" s="12">
        <v>1</v>
      </c>
      <c r="U44" s="12">
        <v>0</v>
      </c>
      <c r="V44" s="12">
        <v>5</v>
      </c>
      <c r="W44" s="12">
        <v>2</v>
      </c>
      <c r="X44" s="12">
        <v>2</v>
      </c>
      <c r="Y44" s="12">
        <v>2</v>
      </c>
      <c r="Z44" s="12">
        <v>22</v>
      </c>
      <c r="AA44" s="12">
        <v>12</v>
      </c>
      <c r="AB44" s="12">
        <v>13</v>
      </c>
      <c r="AC44" s="12">
        <v>0</v>
      </c>
      <c r="AD44" s="12">
        <v>5</v>
      </c>
      <c r="AE44" s="12">
        <v>7</v>
      </c>
      <c r="AF44" s="12">
        <v>0</v>
      </c>
    </row>
    <row r="45" spans="1:32">
      <c r="A45" s="20"/>
      <c r="B45" s="13" t="s">
        <v>469</v>
      </c>
      <c r="C45" s="14">
        <v>0.01</v>
      </c>
      <c r="D45" s="16" t="s">
        <v>459</v>
      </c>
      <c r="E45" s="16" t="s">
        <v>459</v>
      </c>
      <c r="F45" s="14">
        <v>0.02</v>
      </c>
      <c r="G45" s="14">
        <v>0.01</v>
      </c>
      <c r="H45" s="16" t="s">
        <v>459</v>
      </c>
      <c r="I45" s="16" t="s">
        <v>459</v>
      </c>
      <c r="J45" s="16" t="s">
        <v>459</v>
      </c>
      <c r="K45" s="14">
        <v>0.01</v>
      </c>
      <c r="L45" s="14">
        <v>0.01</v>
      </c>
      <c r="M45" s="16" t="s">
        <v>459</v>
      </c>
      <c r="N45" s="14" t="s">
        <v>459</v>
      </c>
      <c r="O45" s="14">
        <v>0.01</v>
      </c>
      <c r="P45" s="14" t="s">
        <v>459</v>
      </c>
      <c r="Q45" s="16" t="s">
        <v>459</v>
      </c>
      <c r="R45" s="14">
        <v>0.02</v>
      </c>
      <c r="S45" s="14">
        <v>0.01</v>
      </c>
      <c r="T45" s="16" t="s">
        <v>459</v>
      </c>
      <c r="U45" s="16" t="s">
        <v>459</v>
      </c>
      <c r="V45" s="16" t="s">
        <v>459</v>
      </c>
      <c r="W45" s="16" t="s">
        <v>459</v>
      </c>
      <c r="X45" s="16" t="s">
        <v>459</v>
      </c>
      <c r="Y45" s="16" t="s">
        <v>459</v>
      </c>
      <c r="Z45" s="14">
        <v>0.02</v>
      </c>
      <c r="AA45" s="14">
        <v>0.01</v>
      </c>
      <c r="AB45" s="14">
        <v>0.01</v>
      </c>
      <c r="AC45" s="16" t="s">
        <v>459</v>
      </c>
      <c r="AD45" s="14">
        <v>0.01</v>
      </c>
      <c r="AE45" s="14">
        <v>0.01</v>
      </c>
      <c r="AF45" s="16" t="s">
        <v>459</v>
      </c>
    </row>
    <row r="46" spans="1:32">
      <c r="A46" s="20"/>
      <c r="B46" s="11" t="s">
        <v>1131</v>
      </c>
      <c r="C46" s="12">
        <v>24058</v>
      </c>
      <c r="D46" s="12">
        <v>981</v>
      </c>
      <c r="E46" s="12">
        <v>855</v>
      </c>
      <c r="F46" s="12">
        <v>868</v>
      </c>
      <c r="G46" s="12">
        <v>953</v>
      </c>
      <c r="H46" s="12">
        <v>1153</v>
      </c>
      <c r="I46" s="12">
        <v>1439</v>
      </c>
      <c r="J46" s="12">
        <v>285</v>
      </c>
      <c r="K46" s="12">
        <v>933</v>
      </c>
      <c r="L46" s="12">
        <v>916</v>
      </c>
      <c r="M46" s="12">
        <v>867</v>
      </c>
      <c r="N46" s="12">
        <v>890</v>
      </c>
      <c r="O46" s="12">
        <v>921</v>
      </c>
      <c r="P46" s="12">
        <v>959</v>
      </c>
      <c r="Q46" s="12">
        <v>938</v>
      </c>
      <c r="R46" s="12">
        <v>439</v>
      </c>
      <c r="S46" s="12">
        <v>896</v>
      </c>
      <c r="T46" s="12">
        <v>912</v>
      </c>
      <c r="U46" s="12">
        <v>487</v>
      </c>
      <c r="V46" s="12">
        <v>955</v>
      </c>
      <c r="W46" s="12">
        <v>472</v>
      </c>
      <c r="X46" s="12">
        <v>999</v>
      </c>
      <c r="Y46" s="12">
        <v>918</v>
      </c>
      <c r="Z46" s="12">
        <v>905</v>
      </c>
      <c r="AA46" s="12">
        <v>880</v>
      </c>
      <c r="AB46" s="12">
        <v>785</v>
      </c>
      <c r="AC46" s="12">
        <v>985</v>
      </c>
      <c r="AD46" s="12">
        <v>960</v>
      </c>
      <c r="AE46" s="12">
        <v>929</v>
      </c>
      <c r="AF46" s="12">
        <v>997</v>
      </c>
    </row>
    <row r="47" spans="1:32">
      <c r="A47" s="20"/>
      <c r="B47" s="13" t="s">
        <v>1132</v>
      </c>
      <c r="C47" s="14">
        <v>0.91</v>
      </c>
      <c r="D47" s="14">
        <v>0.98</v>
      </c>
      <c r="E47" s="14">
        <v>0.84</v>
      </c>
      <c r="F47" s="14">
        <v>0.86</v>
      </c>
      <c r="G47" s="14">
        <v>0.95000000000000007</v>
      </c>
      <c r="H47" s="14">
        <v>0.95000000000000007</v>
      </c>
      <c r="I47" s="14">
        <v>0.95000000000000007</v>
      </c>
      <c r="J47" s="14">
        <v>0.97</v>
      </c>
      <c r="K47" s="14">
        <v>0.93</v>
      </c>
      <c r="L47" s="14">
        <v>0.91</v>
      </c>
      <c r="M47" s="14">
        <v>0.87</v>
      </c>
      <c r="N47" s="14">
        <v>0.89</v>
      </c>
      <c r="O47" s="14">
        <v>0.92</v>
      </c>
      <c r="P47" s="14">
        <v>0.94000000000000006</v>
      </c>
      <c r="Q47" s="14">
        <v>0.92</v>
      </c>
      <c r="R47" s="14">
        <v>0.88</v>
      </c>
      <c r="S47" s="14">
        <v>0.89</v>
      </c>
      <c r="T47" s="14">
        <v>0.9</v>
      </c>
      <c r="U47" s="14">
        <v>0.96</v>
      </c>
      <c r="V47" s="14">
        <v>0.94000000000000006</v>
      </c>
      <c r="W47" s="14">
        <v>0.94000000000000006</v>
      </c>
      <c r="X47" s="14">
        <v>0.98</v>
      </c>
      <c r="Y47" s="14">
        <v>0.91</v>
      </c>
      <c r="Z47" s="14">
        <v>0.9</v>
      </c>
      <c r="AA47" s="14">
        <v>0.84</v>
      </c>
      <c r="AB47" s="14">
        <v>0.76</v>
      </c>
      <c r="AC47" s="14">
        <v>0.98</v>
      </c>
      <c r="AD47" s="14">
        <v>0.95000000000000007</v>
      </c>
      <c r="AE47" s="14">
        <v>0.93</v>
      </c>
      <c r="AF47" s="14">
        <v>0.98</v>
      </c>
    </row>
    <row r="48" spans="1:32">
      <c r="A48" s="19"/>
    </row>
    <row r="49" spans="1:1">
      <c r="A49" s="19"/>
    </row>
    <row r="50" spans="1:1">
      <c r="A50" s="19"/>
    </row>
    <row r="51" spans="1:1">
      <c r="A51" s="19"/>
    </row>
  </sheetData>
  <mergeCells count="10">
    <mergeCell ref="B4:F4"/>
    <mergeCell ref="H3:L3"/>
    <mergeCell ref="C8:AF8"/>
    <mergeCell ref="A10:A45"/>
    <mergeCell ref="A46:A51"/>
    <mergeCell ref="B5:F5"/>
    <mergeCell ref="B3:F3"/>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207</v>
      </c>
      <c r="C3" s="18"/>
      <c r="D3" s="18"/>
      <c r="E3" s="18"/>
      <c r="F3" s="18"/>
      <c r="H3" s="18" t="s">
        <v>208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1133</v>
      </c>
      <c r="C12" s="12">
        <v>6157</v>
      </c>
      <c r="D12" s="12">
        <v>290</v>
      </c>
      <c r="E12" s="12">
        <v>133</v>
      </c>
      <c r="F12" s="12">
        <v>269</v>
      </c>
      <c r="G12" s="12">
        <v>372</v>
      </c>
      <c r="H12" s="12">
        <v>389</v>
      </c>
      <c r="I12" s="12">
        <v>470</v>
      </c>
      <c r="J12" s="12">
        <v>82</v>
      </c>
      <c r="K12" s="12">
        <v>343</v>
      </c>
      <c r="L12" s="12">
        <v>249</v>
      </c>
      <c r="M12" s="12">
        <v>132</v>
      </c>
      <c r="N12" s="12">
        <v>190</v>
      </c>
      <c r="O12" s="12">
        <v>149</v>
      </c>
      <c r="P12" s="12">
        <v>197</v>
      </c>
      <c r="Q12" s="12">
        <v>206</v>
      </c>
      <c r="R12" s="12">
        <v>102</v>
      </c>
      <c r="S12" s="12">
        <v>280</v>
      </c>
      <c r="T12" s="12">
        <v>259</v>
      </c>
      <c r="U12" s="12">
        <v>197</v>
      </c>
      <c r="V12" s="12">
        <v>242</v>
      </c>
      <c r="W12" s="12">
        <v>120</v>
      </c>
      <c r="X12" s="12">
        <v>184</v>
      </c>
      <c r="Y12" s="12">
        <v>299</v>
      </c>
      <c r="Z12" s="12">
        <v>388</v>
      </c>
      <c r="AA12" s="12">
        <v>249</v>
      </c>
      <c r="AB12" s="12">
        <v>152</v>
      </c>
      <c r="AC12" s="12">
        <v>244</v>
      </c>
      <c r="AD12" s="12">
        <v>184</v>
      </c>
      <c r="AE12" s="12">
        <v>309</v>
      </c>
      <c r="AF12" s="12">
        <v>166</v>
      </c>
    </row>
    <row r="13" spans="1:32">
      <c r="A13" s="20"/>
      <c r="B13" s="13" t="s">
        <v>1134</v>
      </c>
      <c r="C13" s="14">
        <v>0.23</v>
      </c>
      <c r="D13" s="14">
        <v>0.28999999999999998</v>
      </c>
      <c r="E13" s="14">
        <v>0.13</v>
      </c>
      <c r="F13" s="14">
        <v>0.27</v>
      </c>
      <c r="G13" s="14">
        <v>0.37</v>
      </c>
      <c r="H13" s="14">
        <v>0.32</v>
      </c>
      <c r="I13" s="14">
        <v>0.31</v>
      </c>
      <c r="J13" s="14">
        <v>0.28000000000000003</v>
      </c>
      <c r="K13" s="14">
        <v>0.34</v>
      </c>
      <c r="L13" s="14">
        <v>0.25</v>
      </c>
      <c r="M13" s="14">
        <v>0.13</v>
      </c>
      <c r="N13" s="14">
        <v>0.19</v>
      </c>
      <c r="O13" s="14">
        <v>0.15</v>
      </c>
      <c r="P13" s="14">
        <v>0.19</v>
      </c>
      <c r="Q13" s="14">
        <v>0.2</v>
      </c>
      <c r="R13" s="14">
        <v>0.21</v>
      </c>
      <c r="S13" s="14">
        <v>0.28000000000000003</v>
      </c>
      <c r="T13" s="14">
        <v>0.26</v>
      </c>
      <c r="U13" s="14">
        <v>0.39</v>
      </c>
      <c r="V13" s="14">
        <v>0.24</v>
      </c>
      <c r="W13" s="14">
        <v>0.24</v>
      </c>
      <c r="X13" s="14">
        <v>0.18</v>
      </c>
      <c r="Y13" s="14">
        <v>0.3</v>
      </c>
      <c r="Z13" s="14">
        <v>0.39</v>
      </c>
      <c r="AA13" s="14">
        <v>0.24</v>
      </c>
      <c r="AB13" s="14">
        <v>0.15</v>
      </c>
      <c r="AC13" s="14">
        <v>0.24</v>
      </c>
      <c r="AD13" s="14">
        <v>0.18</v>
      </c>
      <c r="AE13" s="14">
        <v>0.31</v>
      </c>
      <c r="AF13" s="14">
        <v>0.16</v>
      </c>
    </row>
    <row r="14" spans="1:32">
      <c r="A14" s="20"/>
      <c r="B14" s="11" t="s">
        <v>1135</v>
      </c>
      <c r="C14" s="12">
        <v>17528</v>
      </c>
      <c r="D14" s="12">
        <v>629</v>
      </c>
      <c r="E14" s="12">
        <v>731</v>
      </c>
      <c r="F14" s="12">
        <v>552</v>
      </c>
      <c r="G14" s="12">
        <v>517</v>
      </c>
      <c r="H14" s="12">
        <v>657</v>
      </c>
      <c r="I14" s="12">
        <v>834</v>
      </c>
      <c r="J14" s="12">
        <v>177</v>
      </c>
      <c r="K14" s="12">
        <v>333</v>
      </c>
      <c r="L14" s="12">
        <v>640</v>
      </c>
      <c r="M14" s="12">
        <v>761</v>
      </c>
      <c r="N14" s="12">
        <v>748</v>
      </c>
      <c r="O14" s="12">
        <v>774</v>
      </c>
      <c r="P14" s="12">
        <v>775</v>
      </c>
      <c r="Q14" s="12">
        <v>765</v>
      </c>
      <c r="R14" s="12">
        <v>335</v>
      </c>
      <c r="S14" s="12">
        <v>523</v>
      </c>
      <c r="T14" s="12">
        <v>603</v>
      </c>
      <c r="U14" s="12">
        <v>265</v>
      </c>
      <c r="V14" s="12">
        <v>746</v>
      </c>
      <c r="W14" s="12">
        <v>368</v>
      </c>
      <c r="X14" s="12">
        <v>718</v>
      </c>
      <c r="Y14" s="12">
        <v>538</v>
      </c>
      <c r="Z14" s="12">
        <v>516</v>
      </c>
      <c r="AA14" s="12">
        <v>687</v>
      </c>
      <c r="AB14" s="12">
        <v>709</v>
      </c>
      <c r="AC14" s="12">
        <v>688</v>
      </c>
      <c r="AD14" s="12">
        <v>752</v>
      </c>
      <c r="AE14" s="12">
        <v>537</v>
      </c>
      <c r="AF14" s="12">
        <v>787</v>
      </c>
    </row>
    <row r="15" spans="1:32">
      <c r="A15" s="20"/>
      <c r="B15" s="13" t="s">
        <v>1136</v>
      </c>
      <c r="C15" s="14">
        <v>0.67</v>
      </c>
      <c r="D15" s="14">
        <v>0.63</v>
      </c>
      <c r="E15" s="14">
        <v>0.72</v>
      </c>
      <c r="F15" s="14">
        <v>0.55000000000000004</v>
      </c>
      <c r="G15" s="14">
        <v>0.51</v>
      </c>
      <c r="H15" s="14">
        <v>0.54</v>
      </c>
      <c r="I15" s="14">
        <v>0.55000000000000004</v>
      </c>
      <c r="J15" s="14">
        <v>0.6</v>
      </c>
      <c r="K15" s="14">
        <v>0.33</v>
      </c>
      <c r="L15" s="14">
        <v>0.64</v>
      </c>
      <c r="M15" s="14">
        <v>0.76</v>
      </c>
      <c r="N15" s="14">
        <v>0.74</v>
      </c>
      <c r="O15" s="14">
        <v>0.77</v>
      </c>
      <c r="P15" s="14">
        <v>0.76</v>
      </c>
      <c r="Q15" s="14">
        <v>0.75</v>
      </c>
      <c r="R15" s="14">
        <v>0.67</v>
      </c>
      <c r="S15" s="14">
        <v>0.52</v>
      </c>
      <c r="T15" s="14">
        <v>0.59</v>
      </c>
      <c r="U15" s="14">
        <v>0.52</v>
      </c>
      <c r="V15" s="14">
        <v>0.73</v>
      </c>
      <c r="W15" s="14">
        <v>0.73</v>
      </c>
      <c r="X15" s="14">
        <v>0.70000000000000007</v>
      </c>
      <c r="Y15" s="14">
        <v>0.53</v>
      </c>
      <c r="Z15" s="14">
        <v>0.51</v>
      </c>
      <c r="AA15" s="14">
        <v>0.65</v>
      </c>
      <c r="AB15" s="14">
        <v>0.68</v>
      </c>
      <c r="AC15" s="14">
        <v>0.68</v>
      </c>
      <c r="AD15" s="14">
        <v>0.75</v>
      </c>
      <c r="AE15" s="14">
        <v>0.54</v>
      </c>
      <c r="AF15" s="14">
        <v>0.77</v>
      </c>
    </row>
    <row r="16" spans="1:32">
      <c r="A16" s="20"/>
      <c r="B16" s="11" t="s">
        <v>1137</v>
      </c>
      <c r="C16" s="12">
        <v>1427</v>
      </c>
      <c r="D16" s="12">
        <v>66</v>
      </c>
      <c r="E16" s="12">
        <v>24</v>
      </c>
      <c r="F16" s="12">
        <v>98</v>
      </c>
      <c r="G16" s="12">
        <v>77</v>
      </c>
      <c r="H16" s="12">
        <v>108</v>
      </c>
      <c r="I16" s="12">
        <v>134</v>
      </c>
      <c r="J16" s="12">
        <v>26</v>
      </c>
      <c r="K16" s="12">
        <v>215</v>
      </c>
      <c r="L16" s="12">
        <v>56</v>
      </c>
      <c r="M16" s="12">
        <v>28</v>
      </c>
      <c r="N16" s="12">
        <v>17</v>
      </c>
      <c r="O16" s="12">
        <v>30</v>
      </c>
      <c r="P16" s="12">
        <v>19</v>
      </c>
      <c r="Q16" s="12">
        <v>28</v>
      </c>
      <c r="R16" s="12">
        <v>31</v>
      </c>
      <c r="S16" s="12">
        <v>74</v>
      </c>
      <c r="T16" s="12">
        <v>62</v>
      </c>
      <c r="U16" s="12">
        <v>13</v>
      </c>
      <c r="V16" s="12">
        <v>4</v>
      </c>
      <c r="W16" s="12">
        <v>6</v>
      </c>
      <c r="X16" s="12">
        <v>108</v>
      </c>
      <c r="Y16" s="12">
        <v>123</v>
      </c>
      <c r="Z16" s="12">
        <v>51</v>
      </c>
      <c r="AA16" s="12">
        <v>37</v>
      </c>
      <c r="AB16" s="12">
        <v>124</v>
      </c>
      <c r="AC16" s="12">
        <v>42</v>
      </c>
      <c r="AD16" s="12">
        <v>33</v>
      </c>
      <c r="AE16" s="12">
        <v>103</v>
      </c>
      <c r="AF16" s="12">
        <v>31</v>
      </c>
    </row>
    <row r="17" spans="1:32">
      <c r="A17" s="20"/>
      <c r="B17" s="13" t="s">
        <v>1138</v>
      </c>
      <c r="C17" s="14">
        <v>0.05</v>
      </c>
      <c r="D17" s="14">
        <v>0.06</v>
      </c>
      <c r="E17" s="14">
        <v>0.02</v>
      </c>
      <c r="F17" s="14">
        <v>0.1</v>
      </c>
      <c r="G17" s="14">
        <v>0.08</v>
      </c>
      <c r="H17" s="14">
        <v>0.09</v>
      </c>
      <c r="I17" s="14">
        <v>0.09</v>
      </c>
      <c r="J17" s="14">
        <v>0.09</v>
      </c>
      <c r="K17" s="14">
        <v>0.21</v>
      </c>
      <c r="L17" s="14">
        <v>0.05</v>
      </c>
      <c r="M17" s="14">
        <v>0.03</v>
      </c>
      <c r="N17" s="14">
        <v>0.02</v>
      </c>
      <c r="O17" s="14">
        <v>0.03</v>
      </c>
      <c r="P17" s="14">
        <v>0.02</v>
      </c>
      <c r="Q17" s="14">
        <v>0.03</v>
      </c>
      <c r="R17" s="14">
        <v>0.06</v>
      </c>
      <c r="S17" s="14">
        <v>7.0000000000000007E-2</v>
      </c>
      <c r="T17" s="14">
        <v>0.06</v>
      </c>
      <c r="U17" s="14">
        <v>0.03</v>
      </c>
      <c r="V17" s="15" t="s">
        <v>459</v>
      </c>
      <c r="W17" s="14">
        <v>0.01</v>
      </c>
      <c r="X17" s="14">
        <v>0.11</v>
      </c>
      <c r="Y17" s="14">
        <v>0.12</v>
      </c>
      <c r="Z17" s="14">
        <v>0.05</v>
      </c>
      <c r="AA17" s="14">
        <v>0.03</v>
      </c>
      <c r="AB17" s="14">
        <v>0.12</v>
      </c>
      <c r="AC17" s="14">
        <v>0.04</v>
      </c>
      <c r="AD17" s="14">
        <v>0.03</v>
      </c>
      <c r="AE17" s="14">
        <v>0.1</v>
      </c>
      <c r="AF17" s="14">
        <v>0.03</v>
      </c>
    </row>
    <row r="18" spans="1:32">
      <c r="A18" s="20"/>
      <c r="B18" s="11" t="s">
        <v>468</v>
      </c>
      <c r="C18" s="12">
        <v>1207</v>
      </c>
      <c r="D18" s="12">
        <v>18</v>
      </c>
      <c r="E18" s="12">
        <v>129</v>
      </c>
      <c r="F18" s="12">
        <v>85</v>
      </c>
      <c r="G18" s="12">
        <v>38</v>
      </c>
      <c r="H18" s="12">
        <v>62</v>
      </c>
      <c r="I18" s="12">
        <v>71</v>
      </c>
      <c r="J18" s="12">
        <v>9</v>
      </c>
      <c r="K18" s="12">
        <v>115</v>
      </c>
      <c r="L18" s="12">
        <v>63</v>
      </c>
      <c r="M18" s="12">
        <v>82</v>
      </c>
      <c r="N18" s="12">
        <v>49</v>
      </c>
      <c r="O18" s="12">
        <v>50</v>
      </c>
      <c r="P18" s="12">
        <v>31</v>
      </c>
      <c r="Q18" s="12">
        <v>20</v>
      </c>
      <c r="R18" s="12">
        <v>32</v>
      </c>
      <c r="S18" s="12">
        <v>130</v>
      </c>
      <c r="T18" s="12">
        <v>90</v>
      </c>
      <c r="U18" s="12">
        <v>32</v>
      </c>
      <c r="V18" s="12">
        <v>25</v>
      </c>
      <c r="W18" s="12">
        <v>9</v>
      </c>
      <c r="X18" s="12">
        <v>11</v>
      </c>
      <c r="Y18" s="12">
        <v>47</v>
      </c>
      <c r="Z18" s="12">
        <v>53</v>
      </c>
      <c r="AA18" s="12">
        <v>80</v>
      </c>
      <c r="AB18" s="12">
        <v>53</v>
      </c>
      <c r="AC18" s="12">
        <v>35</v>
      </c>
      <c r="AD18" s="12">
        <v>37</v>
      </c>
      <c r="AE18" s="12">
        <v>51</v>
      </c>
      <c r="AF18" s="12">
        <v>36</v>
      </c>
    </row>
    <row r="19" spans="1:32">
      <c r="A19" s="20"/>
      <c r="B19" s="13" t="s">
        <v>469</v>
      </c>
      <c r="C19" s="14">
        <v>0.05</v>
      </c>
      <c r="D19" s="14">
        <v>0.02</v>
      </c>
      <c r="E19" s="14">
        <v>0.13</v>
      </c>
      <c r="F19" s="14">
        <v>0.08</v>
      </c>
      <c r="G19" s="14">
        <v>0.04</v>
      </c>
      <c r="H19" s="14">
        <v>0.05</v>
      </c>
      <c r="I19" s="14">
        <v>0.05</v>
      </c>
      <c r="J19" s="14">
        <v>0.03</v>
      </c>
      <c r="K19" s="14">
        <v>0.12</v>
      </c>
      <c r="L19" s="14">
        <v>0.06</v>
      </c>
      <c r="M19" s="14">
        <v>0.08</v>
      </c>
      <c r="N19" s="14">
        <v>0.05</v>
      </c>
      <c r="O19" s="14">
        <v>0.05</v>
      </c>
      <c r="P19" s="14">
        <v>0.03</v>
      </c>
      <c r="Q19" s="14">
        <v>0.02</v>
      </c>
      <c r="R19" s="14">
        <v>0.06</v>
      </c>
      <c r="S19" s="14">
        <v>0.13</v>
      </c>
      <c r="T19" s="14">
        <v>0.09</v>
      </c>
      <c r="U19" s="14">
        <v>0.06</v>
      </c>
      <c r="V19" s="14">
        <v>0.03</v>
      </c>
      <c r="W19" s="14">
        <v>0.02</v>
      </c>
      <c r="X19" s="14">
        <v>0.01</v>
      </c>
      <c r="Y19" s="14">
        <v>0.05</v>
      </c>
      <c r="Z19" s="14">
        <v>0.05</v>
      </c>
      <c r="AA19" s="14">
        <v>0.08</v>
      </c>
      <c r="AB19" s="14">
        <v>0.05</v>
      </c>
      <c r="AC19" s="14">
        <v>0.04</v>
      </c>
      <c r="AD19" s="14">
        <v>0.04</v>
      </c>
      <c r="AE19" s="14">
        <v>0.05</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1139</v>
      </c>
      <c r="C3" s="18"/>
      <c r="D3" s="18"/>
      <c r="E3" s="18"/>
      <c r="F3" s="18"/>
      <c r="H3" s="18" t="s">
        <v>1140</v>
      </c>
      <c r="I3" s="18"/>
      <c r="J3" s="18"/>
      <c r="K3" s="18"/>
      <c r="L3" s="18"/>
    </row>
    <row r="4" spans="1:32" ht="27" customHeight="1">
      <c r="B4" s="18" t="s">
        <v>1069</v>
      </c>
      <c r="C4" s="18"/>
      <c r="D4" s="18"/>
      <c r="E4" s="18"/>
      <c r="F4" s="18"/>
      <c r="H4" s="18" t="s">
        <v>1070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10985</v>
      </c>
      <c r="D12" s="12">
        <v>406</v>
      </c>
      <c r="E12" s="12">
        <v>437</v>
      </c>
      <c r="F12" s="12">
        <v>289</v>
      </c>
      <c r="G12" s="12">
        <v>599</v>
      </c>
      <c r="H12" s="12">
        <v>502</v>
      </c>
      <c r="I12" s="12">
        <v>602</v>
      </c>
      <c r="J12" s="12">
        <v>100</v>
      </c>
      <c r="K12" s="12">
        <v>175</v>
      </c>
      <c r="L12" s="12">
        <v>631</v>
      </c>
      <c r="M12" s="12">
        <v>466</v>
      </c>
      <c r="N12" s="12">
        <v>511</v>
      </c>
      <c r="O12" s="12">
        <v>386</v>
      </c>
      <c r="P12" s="12">
        <v>421</v>
      </c>
      <c r="Q12" s="12">
        <v>443</v>
      </c>
      <c r="R12" s="12">
        <v>327</v>
      </c>
      <c r="S12" s="12">
        <v>269</v>
      </c>
      <c r="T12" s="12">
        <v>435</v>
      </c>
      <c r="U12" s="12">
        <v>267</v>
      </c>
      <c r="V12" s="12">
        <v>511</v>
      </c>
      <c r="W12" s="12">
        <v>348</v>
      </c>
      <c r="X12" s="12">
        <v>495</v>
      </c>
      <c r="Y12" s="12">
        <v>418</v>
      </c>
      <c r="Z12" s="12">
        <v>258</v>
      </c>
      <c r="AA12" s="12">
        <v>495</v>
      </c>
      <c r="AB12" s="12">
        <v>349</v>
      </c>
      <c r="AC12" s="12">
        <v>423</v>
      </c>
      <c r="AD12" s="12">
        <v>439</v>
      </c>
      <c r="AE12" s="12">
        <v>382</v>
      </c>
      <c r="AF12" s="12">
        <v>632</v>
      </c>
    </row>
    <row r="13" spans="1:32">
      <c r="A13" s="20"/>
      <c r="B13" s="13" t="s">
        <v>493</v>
      </c>
      <c r="C13" s="14">
        <v>0.42</v>
      </c>
      <c r="D13" s="14">
        <v>0.41</v>
      </c>
      <c r="E13" s="14">
        <v>0.43</v>
      </c>
      <c r="F13" s="14">
        <v>0.28999999999999998</v>
      </c>
      <c r="G13" s="14">
        <v>0.6</v>
      </c>
      <c r="H13" s="14">
        <v>0.41</v>
      </c>
      <c r="I13" s="14">
        <v>0.4</v>
      </c>
      <c r="J13" s="14">
        <v>0.34</v>
      </c>
      <c r="K13" s="14">
        <v>0.17</v>
      </c>
      <c r="L13" s="14">
        <v>0.63</v>
      </c>
      <c r="M13" s="14">
        <v>0.47</v>
      </c>
      <c r="N13" s="14">
        <v>0.51</v>
      </c>
      <c r="O13" s="14">
        <v>0.39</v>
      </c>
      <c r="P13" s="14">
        <v>0.41</v>
      </c>
      <c r="Q13" s="14">
        <v>0.43</v>
      </c>
      <c r="R13" s="14">
        <v>0.65</v>
      </c>
      <c r="S13" s="14">
        <v>0.27</v>
      </c>
      <c r="T13" s="14">
        <v>0.43</v>
      </c>
      <c r="U13" s="14">
        <v>0.53</v>
      </c>
      <c r="V13" s="14">
        <v>0.5</v>
      </c>
      <c r="W13" s="14">
        <v>0.69000000000000006</v>
      </c>
      <c r="X13" s="14">
        <v>0.48</v>
      </c>
      <c r="Y13" s="14">
        <v>0.41</v>
      </c>
      <c r="Z13" s="14">
        <v>0.26</v>
      </c>
      <c r="AA13" s="14">
        <v>0.47</v>
      </c>
      <c r="AB13" s="14">
        <v>0.33</v>
      </c>
      <c r="AC13" s="14">
        <v>0.42</v>
      </c>
      <c r="AD13" s="14">
        <v>0.44</v>
      </c>
      <c r="AE13" s="14">
        <v>0.38</v>
      </c>
      <c r="AF13" s="14">
        <v>0.62</v>
      </c>
    </row>
    <row r="14" spans="1:32">
      <c r="A14" s="20"/>
      <c r="B14" s="11" t="s">
        <v>643</v>
      </c>
      <c r="C14" s="12">
        <v>12171</v>
      </c>
      <c r="D14" s="12">
        <v>476</v>
      </c>
      <c r="E14" s="12">
        <v>402</v>
      </c>
      <c r="F14" s="12">
        <v>439</v>
      </c>
      <c r="G14" s="12">
        <v>317</v>
      </c>
      <c r="H14" s="12">
        <v>566</v>
      </c>
      <c r="I14" s="12">
        <v>704</v>
      </c>
      <c r="J14" s="12">
        <v>138</v>
      </c>
      <c r="K14" s="12">
        <v>393</v>
      </c>
      <c r="L14" s="12">
        <v>281</v>
      </c>
      <c r="M14" s="12">
        <v>392</v>
      </c>
      <c r="N14" s="12">
        <v>428</v>
      </c>
      <c r="O14" s="12">
        <v>491</v>
      </c>
      <c r="P14" s="12">
        <v>544</v>
      </c>
      <c r="Q14" s="12">
        <v>507</v>
      </c>
      <c r="R14" s="12">
        <v>138</v>
      </c>
      <c r="S14" s="12">
        <v>465</v>
      </c>
      <c r="T14" s="12">
        <v>451</v>
      </c>
      <c r="U14" s="12">
        <v>195</v>
      </c>
      <c r="V14" s="12">
        <v>447</v>
      </c>
      <c r="W14" s="12">
        <v>121</v>
      </c>
      <c r="X14" s="12">
        <v>389</v>
      </c>
      <c r="Y14" s="12">
        <v>401</v>
      </c>
      <c r="Z14" s="12">
        <v>633</v>
      </c>
      <c r="AA14" s="12">
        <v>493</v>
      </c>
      <c r="AB14" s="12">
        <v>442</v>
      </c>
      <c r="AC14" s="12">
        <v>423</v>
      </c>
      <c r="AD14" s="12">
        <v>422</v>
      </c>
      <c r="AE14" s="12">
        <v>466</v>
      </c>
      <c r="AF14" s="12">
        <v>282</v>
      </c>
    </row>
    <row r="15" spans="1:32">
      <c r="A15" s="20"/>
      <c r="B15" s="13" t="s">
        <v>495</v>
      </c>
      <c r="C15" s="14">
        <v>0.46</v>
      </c>
      <c r="D15" s="14">
        <v>0.47</v>
      </c>
      <c r="E15" s="14">
        <v>0.4</v>
      </c>
      <c r="F15" s="14">
        <v>0.44</v>
      </c>
      <c r="G15" s="14">
        <v>0.32</v>
      </c>
      <c r="H15" s="14">
        <v>0.47</v>
      </c>
      <c r="I15" s="14">
        <v>0.47</v>
      </c>
      <c r="J15" s="14">
        <v>0.47</v>
      </c>
      <c r="K15" s="14">
        <v>0.39</v>
      </c>
      <c r="L15" s="14">
        <v>0.28000000000000003</v>
      </c>
      <c r="M15" s="14">
        <v>0.39</v>
      </c>
      <c r="N15" s="14">
        <v>0.43</v>
      </c>
      <c r="O15" s="14">
        <v>0.49</v>
      </c>
      <c r="P15" s="14">
        <v>0.53</v>
      </c>
      <c r="Q15" s="14">
        <v>0.5</v>
      </c>
      <c r="R15" s="14">
        <v>0.28000000000000003</v>
      </c>
      <c r="S15" s="14">
        <v>0.46</v>
      </c>
      <c r="T15" s="14">
        <v>0.44</v>
      </c>
      <c r="U15" s="14">
        <v>0.39</v>
      </c>
      <c r="V15" s="14">
        <v>0.44</v>
      </c>
      <c r="W15" s="14">
        <v>0.24</v>
      </c>
      <c r="X15" s="14">
        <v>0.38</v>
      </c>
      <c r="Y15" s="14">
        <v>0.4</v>
      </c>
      <c r="Z15" s="14">
        <v>0.63</v>
      </c>
      <c r="AA15" s="14">
        <v>0.47</v>
      </c>
      <c r="AB15" s="14">
        <v>0.43</v>
      </c>
      <c r="AC15" s="14">
        <v>0.42</v>
      </c>
      <c r="AD15" s="14">
        <v>0.42</v>
      </c>
      <c r="AE15" s="14">
        <v>0.47</v>
      </c>
      <c r="AF15" s="14">
        <v>0.28000000000000003</v>
      </c>
    </row>
    <row r="16" spans="1:32">
      <c r="A16" s="20"/>
      <c r="B16" s="11" t="s">
        <v>1141</v>
      </c>
      <c r="C16" s="12">
        <v>2055</v>
      </c>
      <c r="D16" s="12">
        <v>89</v>
      </c>
      <c r="E16" s="12">
        <v>95</v>
      </c>
      <c r="F16" s="12">
        <v>189</v>
      </c>
      <c r="G16" s="12">
        <v>46</v>
      </c>
      <c r="H16" s="12">
        <v>97</v>
      </c>
      <c r="I16" s="12">
        <v>135</v>
      </c>
      <c r="J16" s="12">
        <v>37</v>
      </c>
      <c r="K16" s="12">
        <v>235</v>
      </c>
      <c r="L16" s="12">
        <v>37</v>
      </c>
      <c r="M16" s="12">
        <v>95</v>
      </c>
      <c r="N16" s="12">
        <v>45</v>
      </c>
      <c r="O16" s="12">
        <v>62</v>
      </c>
      <c r="P16" s="12">
        <v>44</v>
      </c>
      <c r="Q16" s="12">
        <v>49</v>
      </c>
      <c r="R16" s="12">
        <v>18</v>
      </c>
      <c r="S16" s="12">
        <v>122</v>
      </c>
      <c r="T16" s="12">
        <v>72</v>
      </c>
      <c r="U16" s="12">
        <v>27</v>
      </c>
      <c r="V16" s="12">
        <v>52</v>
      </c>
      <c r="W16" s="12">
        <v>24</v>
      </c>
      <c r="X16" s="12">
        <v>97</v>
      </c>
      <c r="Y16" s="12">
        <v>108</v>
      </c>
      <c r="Z16" s="12">
        <v>90</v>
      </c>
      <c r="AA16" s="12">
        <v>44</v>
      </c>
      <c r="AB16" s="12">
        <v>195</v>
      </c>
      <c r="AC16" s="12">
        <v>117</v>
      </c>
      <c r="AD16" s="12">
        <v>85</v>
      </c>
      <c r="AE16" s="12">
        <v>86</v>
      </c>
      <c r="AF16" s="12">
        <v>63</v>
      </c>
    </row>
    <row r="17" spans="1:32">
      <c r="A17" s="20"/>
      <c r="B17" s="13" t="s">
        <v>497</v>
      </c>
      <c r="C17" s="14">
        <v>0.08</v>
      </c>
      <c r="D17" s="14">
        <v>0.09</v>
      </c>
      <c r="E17" s="14">
        <v>0.09</v>
      </c>
      <c r="F17" s="14">
        <v>0.19</v>
      </c>
      <c r="G17" s="14">
        <v>0.04</v>
      </c>
      <c r="H17" s="14">
        <v>0.08</v>
      </c>
      <c r="I17" s="14">
        <v>0.09</v>
      </c>
      <c r="J17" s="14">
        <v>0.13</v>
      </c>
      <c r="K17" s="14">
        <v>0.23</v>
      </c>
      <c r="L17" s="14">
        <v>0.04</v>
      </c>
      <c r="M17" s="14">
        <v>0.09</v>
      </c>
      <c r="N17" s="14">
        <v>0.04</v>
      </c>
      <c r="O17" s="14">
        <v>0.06</v>
      </c>
      <c r="P17" s="14">
        <v>0.04</v>
      </c>
      <c r="Q17" s="14">
        <v>0.05</v>
      </c>
      <c r="R17" s="14">
        <v>0.04</v>
      </c>
      <c r="S17" s="14">
        <v>0.12</v>
      </c>
      <c r="T17" s="14">
        <v>7.0000000000000007E-2</v>
      </c>
      <c r="U17" s="14">
        <v>0.05</v>
      </c>
      <c r="V17" s="14">
        <v>0.05</v>
      </c>
      <c r="W17" s="14">
        <v>0.05</v>
      </c>
      <c r="X17" s="14">
        <v>0.1</v>
      </c>
      <c r="Y17" s="14">
        <v>0.11</v>
      </c>
      <c r="Z17" s="14">
        <v>0.09</v>
      </c>
      <c r="AA17" s="14">
        <v>0.04</v>
      </c>
      <c r="AB17" s="14">
        <v>0.19</v>
      </c>
      <c r="AC17" s="14">
        <v>0.11</v>
      </c>
      <c r="AD17" s="14">
        <v>0.08</v>
      </c>
      <c r="AE17" s="14">
        <v>0.09</v>
      </c>
      <c r="AF17" s="14">
        <v>0.06</v>
      </c>
    </row>
    <row r="18" spans="1:32">
      <c r="A18" s="20"/>
      <c r="B18" s="11" t="s">
        <v>646</v>
      </c>
      <c r="C18" s="12">
        <v>665</v>
      </c>
      <c r="D18" s="12">
        <v>25</v>
      </c>
      <c r="E18" s="12">
        <v>53</v>
      </c>
      <c r="F18" s="12">
        <v>53</v>
      </c>
      <c r="G18" s="12">
        <v>17</v>
      </c>
      <c r="H18" s="12">
        <v>28</v>
      </c>
      <c r="I18" s="12">
        <v>39</v>
      </c>
      <c r="J18" s="12">
        <v>10</v>
      </c>
      <c r="K18" s="12">
        <v>147</v>
      </c>
      <c r="L18" s="12">
        <v>37</v>
      </c>
      <c r="M18" s="12">
        <v>38</v>
      </c>
      <c r="N18" s="12">
        <v>8</v>
      </c>
      <c r="O18" s="12">
        <v>40</v>
      </c>
      <c r="P18" s="12">
        <v>8</v>
      </c>
      <c r="Q18" s="12">
        <v>15</v>
      </c>
      <c r="R18" s="12">
        <v>12</v>
      </c>
      <c r="S18" s="12">
        <v>54</v>
      </c>
      <c r="T18" s="12">
        <v>9</v>
      </c>
      <c r="U18" s="12">
        <v>11</v>
      </c>
      <c r="V18" s="12">
        <v>3</v>
      </c>
      <c r="W18" s="12">
        <v>7</v>
      </c>
      <c r="X18" s="12">
        <v>34</v>
      </c>
      <c r="Y18" s="12">
        <v>67</v>
      </c>
      <c r="Z18" s="12">
        <v>12</v>
      </c>
      <c r="AA18" s="12">
        <v>9</v>
      </c>
      <c r="AB18" s="12">
        <v>20</v>
      </c>
      <c r="AC18" s="12">
        <v>40</v>
      </c>
      <c r="AD18" s="12">
        <v>31</v>
      </c>
      <c r="AE18" s="12">
        <v>45</v>
      </c>
      <c r="AF18" s="12">
        <v>38</v>
      </c>
    </row>
    <row r="19" spans="1:32">
      <c r="A19" s="20"/>
      <c r="B19" s="13" t="s">
        <v>499</v>
      </c>
      <c r="C19" s="14">
        <v>0.02</v>
      </c>
      <c r="D19" s="14">
        <v>0.02</v>
      </c>
      <c r="E19" s="14">
        <v>0.05</v>
      </c>
      <c r="F19" s="14">
        <v>0.05</v>
      </c>
      <c r="G19" s="14">
        <v>0.02</v>
      </c>
      <c r="H19" s="14">
        <v>0.02</v>
      </c>
      <c r="I19" s="14">
        <v>0.02</v>
      </c>
      <c r="J19" s="14">
        <v>0.03</v>
      </c>
      <c r="K19" s="14">
        <v>0.15</v>
      </c>
      <c r="L19" s="14">
        <v>0.03</v>
      </c>
      <c r="M19" s="14">
        <v>0.04</v>
      </c>
      <c r="N19" s="14">
        <v>0.01</v>
      </c>
      <c r="O19" s="14">
        <v>0.04</v>
      </c>
      <c r="P19" s="14">
        <v>0.01</v>
      </c>
      <c r="Q19" s="14">
        <v>0.01</v>
      </c>
      <c r="R19" s="14">
        <v>0.02</v>
      </c>
      <c r="S19" s="14">
        <v>0.05</v>
      </c>
      <c r="T19" s="14">
        <v>0.01</v>
      </c>
      <c r="U19" s="14">
        <v>0.02</v>
      </c>
      <c r="V19" s="15" t="s">
        <v>459</v>
      </c>
      <c r="W19" s="14">
        <v>0.01</v>
      </c>
      <c r="X19" s="14">
        <v>0.03</v>
      </c>
      <c r="Y19" s="14">
        <v>7.0000000000000007E-2</v>
      </c>
      <c r="Z19" s="14">
        <v>0.01</v>
      </c>
      <c r="AA19" s="14">
        <v>0.01</v>
      </c>
      <c r="AB19" s="14">
        <v>0.02</v>
      </c>
      <c r="AC19" s="14">
        <v>0.04</v>
      </c>
      <c r="AD19" s="14">
        <v>0.03</v>
      </c>
      <c r="AE19" s="14">
        <v>0.04</v>
      </c>
      <c r="AF19" s="14">
        <v>0.04</v>
      </c>
    </row>
    <row r="20" spans="1:32">
      <c r="A20" s="20"/>
      <c r="B20" s="11" t="s">
        <v>468</v>
      </c>
      <c r="C20" s="12">
        <v>442</v>
      </c>
      <c r="D20" s="12">
        <v>7</v>
      </c>
      <c r="E20" s="12">
        <v>31</v>
      </c>
      <c r="F20" s="12">
        <v>33</v>
      </c>
      <c r="G20" s="12">
        <v>25</v>
      </c>
      <c r="H20" s="12">
        <v>23</v>
      </c>
      <c r="I20" s="12">
        <v>31</v>
      </c>
      <c r="J20" s="12">
        <v>8</v>
      </c>
      <c r="K20" s="12">
        <v>56</v>
      </c>
      <c r="L20" s="12">
        <v>21</v>
      </c>
      <c r="M20" s="12">
        <v>11</v>
      </c>
      <c r="N20" s="12">
        <v>11</v>
      </c>
      <c r="O20" s="12">
        <v>24</v>
      </c>
      <c r="P20" s="12">
        <v>4</v>
      </c>
      <c r="Q20" s="12">
        <v>6</v>
      </c>
      <c r="R20" s="12">
        <v>4</v>
      </c>
      <c r="S20" s="12">
        <v>99</v>
      </c>
      <c r="T20" s="12">
        <v>47</v>
      </c>
      <c r="U20" s="12">
        <v>6</v>
      </c>
      <c r="V20" s="12">
        <v>4</v>
      </c>
      <c r="W20" s="12">
        <v>2</v>
      </c>
      <c r="X20" s="12">
        <v>5</v>
      </c>
      <c r="Y20" s="12">
        <v>14</v>
      </c>
      <c r="Z20" s="12">
        <v>15</v>
      </c>
      <c r="AA20" s="12">
        <v>12</v>
      </c>
      <c r="AB20" s="12">
        <v>34</v>
      </c>
      <c r="AC20" s="12">
        <v>7</v>
      </c>
      <c r="AD20" s="12">
        <v>30</v>
      </c>
      <c r="AE20" s="12">
        <v>22</v>
      </c>
      <c r="AF20" s="12">
        <v>6</v>
      </c>
    </row>
    <row r="21" spans="1:32">
      <c r="A21" s="20"/>
      <c r="B21" s="13" t="s">
        <v>469</v>
      </c>
      <c r="C21" s="14">
        <v>0.02</v>
      </c>
      <c r="D21" s="14">
        <v>0.01</v>
      </c>
      <c r="E21" s="14">
        <v>0.03</v>
      </c>
      <c r="F21" s="14">
        <v>0.03</v>
      </c>
      <c r="G21" s="14">
        <v>0.02</v>
      </c>
      <c r="H21" s="14">
        <v>0.02</v>
      </c>
      <c r="I21" s="14">
        <v>0.02</v>
      </c>
      <c r="J21" s="14">
        <v>0.03</v>
      </c>
      <c r="K21" s="14">
        <v>0.06</v>
      </c>
      <c r="L21" s="14">
        <v>0.02</v>
      </c>
      <c r="M21" s="14">
        <v>0.01</v>
      </c>
      <c r="N21" s="14">
        <v>0.01</v>
      </c>
      <c r="O21" s="14">
        <v>0.02</v>
      </c>
      <c r="P21" s="14">
        <v>0.01</v>
      </c>
      <c r="Q21" s="14">
        <v>0.01</v>
      </c>
      <c r="R21" s="14">
        <v>0.01</v>
      </c>
      <c r="S21" s="14">
        <v>0.1</v>
      </c>
      <c r="T21" s="14">
        <v>0.05</v>
      </c>
      <c r="U21" s="14">
        <v>0.01</v>
      </c>
      <c r="V21" s="14">
        <v>0.01</v>
      </c>
      <c r="W21" s="14">
        <v>0.01</v>
      </c>
      <c r="X21" s="14">
        <v>0.01</v>
      </c>
      <c r="Y21" s="14">
        <v>0.01</v>
      </c>
      <c r="Z21" s="14">
        <v>0.01</v>
      </c>
      <c r="AA21" s="14">
        <v>0.01</v>
      </c>
      <c r="AB21" s="14">
        <v>0.03</v>
      </c>
      <c r="AC21" s="14">
        <v>0.01</v>
      </c>
      <c r="AD21" s="14">
        <v>0.03</v>
      </c>
      <c r="AE21" s="14">
        <v>0.02</v>
      </c>
      <c r="AF21" s="15" t="s">
        <v>459</v>
      </c>
    </row>
    <row r="22" spans="1:32">
      <c r="A22" s="20"/>
      <c r="B22" s="11" t="s">
        <v>500</v>
      </c>
      <c r="C22" s="12">
        <v>23156</v>
      </c>
      <c r="D22" s="12">
        <v>882</v>
      </c>
      <c r="E22" s="12">
        <v>839</v>
      </c>
      <c r="F22" s="12">
        <v>728</v>
      </c>
      <c r="G22" s="12">
        <v>916</v>
      </c>
      <c r="H22" s="12">
        <v>1068</v>
      </c>
      <c r="I22" s="12">
        <v>1306</v>
      </c>
      <c r="J22" s="12">
        <v>238</v>
      </c>
      <c r="K22" s="12">
        <v>568</v>
      </c>
      <c r="L22" s="12">
        <v>912</v>
      </c>
      <c r="M22" s="12">
        <v>858</v>
      </c>
      <c r="N22" s="12">
        <v>939</v>
      </c>
      <c r="O22" s="12">
        <v>877</v>
      </c>
      <c r="P22" s="12">
        <v>965</v>
      </c>
      <c r="Q22" s="12">
        <v>950</v>
      </c>
      <c r="R22" s="12">
        <v>465</v>
      </c>
      <c r="S22" s="12">
        <v>734</v>
      </c>
      <c r="T22" s="12">
        <v>886</v>
      </c>
      <c r="U22" s="12">
        <v>462</v>
      </c>
      <c r="V22" s="12">
        <v>958</v>
      </c>
      <c r="W22" s="12">
        <v>469</v>
      </c>
      <c r="X22" s="12">
        <v>884</v>
      </c>
      <c r="Y22" s="12">
        <v>819</v>
      </c>
      <c r="Z22" s="12">
        <v>891</v>
      </c>
      <c r="AA22" s="12">
        <v>988</v>
      </c>
      <c r="AB22" s="12">
        <v>791</v>
      </c>
      <c r="AC22" s="12">
        <v>846</v>
      </c>
      <c r="AD22" s="12">
        <v>861</v>
      </c>
      <c r="AE22" s="12">
        <v>848</v>
      </c>
      <c r="AF22" s="12">
        <v>914</v>
      </c>
    </row>
    <row r="23" spans="1:32">
      <c r="A23" s="20"/>
      <c r="B23" s="13" t="s">
        <v>500</v>
      </c>
      <c r="C23" s="14">
        <v>0.88</v>
      </c>
      <c r="D23" s="14">
        <v>0.88</v>
      </c>
      <c r="E23" s="14">
        <v>0.83000000000000007</v>
      </c>
      <c r="F23" s="14">
        <v>0.73</v>
      </c>
      <c r="G23" s="14">
        <v>0.92</v>
      </c>
      <c r="H23" s="14">
        <v>0.88</v>
      </c>
      <c r="I23" s="14">
        <v>0.87</v>
      </c>
      <c r="J23" s="14">
        <v>0.81</v>
      </c>
      <c r="K23" s="14">
        <v>0.56000000000000005</v>
      </c>
      <c r="L23" s="14">
        <v>0.91</v>
      </c>
      <c r="M23" s="14">
        <v>0.86</v>
      </c>
      <c r="N23" s="14">
        <v>0.94000000000000006</v>
      </c>
      <c r="O23" s="14">
        <v>0.88</v>
      </c>
      <c r="P23" s="14">
        <v>0.94000000000000006</v>
      </c>
      <c r="Q23" s="14">
        <v>0.93</v>
      </c>
      <c r="R23" s="14">
        <v>0.93</v>
      </c>
      <c r="S23" s="14">
        <v>0.73</v>
      </c>
      <c r="T23" s="14">
        <v>0.87</v>
      </c>
      <c r="U23" s="14">
        <v>0.92</v>
      </c>
      <c r="V23" s="14">
        <v>0.94000000000000006</v>
      </c>
      <c r="W23" s="14">
        <v>0.93</v>
      </c>
      <c r="X23" s="14">
        <v>0.86</v>
      </c>
      <c r="Y23" s="14">
        <v>0.81</v>
      </c>
      <c r="Z23" s="14">
        <v>0.89</v>
      </c>
      <c r="AA23" s="14">
        <v>0.94000000000000006</v>
      </c>
      <c r="AB23" s="14">
        <v>0.76</v>
      </c>
      <c r="AC23" s="14">
        <v>0.84</v>
      </c>
      <c r="AD23" s="14">
        <v>0.86</v>
      </c>
      <c r="AE23" s="14">
        <v>0.85</v>
      </c>
      <c r="AF23" s="14">
        <v>0.9</v>
      </c>
    </row>
    <row r="24" spans="1:32">
      <c r="A24" s="20"/>
      <c r="B24" s="11" t="s">
        <v>501</v>
      </c>
      <c r="C24" s="12">
        <v>2720</v>
      </c>
      <c r="D24" s="12">
        <v>114</v>
      </c>
      <c r="E24" s="12">
        <v>148</v>
      </c>
      <c r="F24" s="12">
        <v>242</v>
      </c>
      <c r="G24" s="12">
        <v>63</v>
      </c>
      <c r="H24" s="12">
        <v>125</v>
      </c>
      <c r="I24" s="12">
        <v>174</v>
      </c>
      <c r="J24" s="12">
        <v>47</v>
      </c>
      <c r="K24" s="12">
        <v>382</v>
      </c>
      <c r="L24" s="12">
        <v>74</v>
      </c>
      <c r="M24" s="12">
        <v>133</v>
      </c>
      <c r="N24" s="12">
        <v>53</v>
      </c>
      <c r="O24" s="12">
        <v>102</v>
      </c>
      <c r="P24" s="12">
        <v>52</v>
      </c>
      <c r="Q24" s="12">
        <v>64</v>
      </c>
      <c r="R24" s="12">
        <v>30</v>
      </c>
      <c r="S24" s="12">
        <v>176</v>
      </c>
      <c r="T24" s="12">
        <v>81</v>
      </c>
      <c r="U24" s="12">
        <v>38</v>
      </c>
      <c r="V24" s="12">
        <v>55</v>
      </c>
      <c r="W24" s="12">
        <v>31</v>
      </c>
      <c r="X24" s="12">
        <v>131</v>
      </c>
      <c r="Y24" s="12">
        <v>175</v>
      </c>
      <c r="Z24" s="12">
        <v>102</v>
      </c>
      <c r="AA24" s="12">
        <v>53</v>
      </c>
      <c r="AB24" s="12">
        <v>215</v>
      </c>
      <c r="AC24" s="12">
        <v>157</v>
      </c>
      <c r="AD24" s="12">
        <v>116</v>
      </c>
      <c r="AE24" s="12">
        <v>131</v>
      </c>
      <c r="AF24" s="12">
        <v>101</v>
      </c>
    </row>
    <row r="25" spans="1:32">
      <c r="A25" s="20"/>
      <c r="B25" s="13" t="s">
        <v>502</v>
      </c>
      <c r="C25" s="14">
        <v>0.1</v>
      </c>
      <c r="D25" s="14">
        <v>0.11</v>
      </c>
      <c r="E25" s="14">
        <v>0.14000000000000001</v>
      </c>
      <c r="F25" s="14">
        <v>0.24</v>
      </c>
      <c r="G25" s="14">
        <v>0.06</v>
      </c>
      <c r="H25" s="14">
        <v>0.1</v>
      </c>
      <c r="I25" s="14">
        <v>0.11</v>
      </c>
      <c r="J25" s="14">
        <v>0.16</v>
      </c>
      <c r="K25" s="14">
        <v>0.38</v>
      </c>
      <c r="L25" s="14">
        <v>7.0000000000000007E-2</v>
      </c>
      <c r="M25" s="14">
        <v>0.13</v>
      </c>
      <c r="N25" s="14">
        <v>0.05</v>
      </c>
      <c r="O25" s="14">
        <v>0.1</v>
      </c>
      <c r="P25" s="14">
        <v>0.05</v>
      </c>
      <c r="Q25" s="14">
        <v>0.06</v>
      </c>
      <c r="R25" s="14">
        <v>0.06</v>
      </c>
      <c r="S25" s="14">
        <v>0.17</v>
      </c>
      <c r="T25" s="14">
        <v>0.08</v>
      </c>
      <c r="U25" s="14">
        <v>7.0000000000000007E-2</v>
      </c>
      <c r="V25" s="14">
        <v>0.05</v>
      </c>
      <c r="W25" s="14">
        <v>0.06</v>
      </c>
      <c r="X25" s="14">
        <v>0.13</v>
      </c>
      <c r="Y25" s="14">
        <v>0.18</v>
      </c>
      <c r="Z25" s="14">
        <v>0.1</v>
      </c>
      <c r="AA25" s="14">
        <v>0.05</v>
      </c>
      <c r="AB25" s="14">
        <v>0.21</v>
      </c>
      <c r="AC25" s="14">
        <v>0.15</v>
      </c>
      <c r="AD25" s="14">
        <v>0.11</v>
      </c>
      <c r="AE25" s="14">
        <v>0.13</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1142</v>
      </c>
      <c r="C3" s="18"/>
      <c r="D3" s="18"/>
      <c r="E3" s="18"/>
      <c r="F3" s="18"/>
      <c r="H3" s="18" t="s">
        <v>1143</v>
      </c>
      <c r="I3" s="18"/>
      <c r="J3" s="18"/>
      <c r="K3" s="18"/>
      <c r="L3" s="18"/>
    </row>
    <row r="4" spans="1:32" ht="27" customHeight="1">
      <c r="B4" s="18" t="s">
        <v>1144</v>
      </c>
      <c r="C4" s="18"/>
      <c r="D4" s="18"/>
      <c r="E4" s="18"/>
      <c r="F4" s="18"/>
      <c r="H4" s="18" t="s">
        <v>774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13048</v>
      </c>
      <c r="D12" s="12">
        <v>465</v>
      </c>
      <c r="E12" s="12">
        <v>542</v>
      </c>
      <c r="F12" s="12">
        <v>348</v>
      </c>
      <c r="G12" s="12">
        <v>729</v>
      </c>
      <c r="H12" s="12">
        <v>566</v>
      </c>
      <c r="I12" s="12">
        <v>702</v>
      </c>
      <c r="J12" s="12">
        <v>136</v>
      </c>
      <c r="K12" s="12">
        <v>226</v>
      </c>
      <c r="L12" s="12">
        <v>674</v>
      </c>
      <c r="M12" s="12">
        <v>546</v>
      </c>
      <c r="N12" s="12">
        <v>551</v>
      </c>
      <c r="O12" s="12">
        <v>476</v>
      </c>
      <c r="P12" s="12">
        <v>464</v>
      </c>
      <c r="Q12" s="12">
        <v>520</v>
      </c>
      <c r="R12" s="12">
        <v>365</v>
      </c>
      <c r="S12" s="12">
        <v>290</v>
      </c>
      <c r="T12" s="12">
        <v>507</v>
      </c>
      <c r="U12" s="12">
        <v>305</v>
      </c>
      <c r="V12" s="12">
        <v>631</v>
      </c>
      <c r="W12" s="12">
        <v>372</v>
      </c>
      <c r="X12" s="12">
        <v>686</v>
      </c>
      <c r="Y12" s="12">
        <v>510</v>
      </c>
      <c r="Z12" s="12">
        <v>352</v>
      </c>
      <c r="AA12" s="12">
        <v>567</v>
      </c>
      <c r="AB12" s="12">
        <v>373</v>
      </c>
      <c r="AC12" s="12">
        <v>488</v>
      </c>
      <c r="AD12" s="12">
        <v>543</v>
      </c>
      <c r="AE12" s="12">
        <v>531</v>
      </c>
      <c r="AF12" s="12">
        <v>761</v>
      </c>
    </row>
    <row r="13" spans="1:32">
      <c r="A13" s="20"/>
      <c r="B13" s="13" t="s">
        <v>493</v>
      </c>
      <c r="C13" s="14">
        <v>0.5</v>
      </c>
      <c r="D13" s="14">
        <v>0.46</v>
      </c>
      <c r="E13" s="14">
        <v>0.53</v>
      </c>
      <c r="F13" s="14">
        <v>0.35</v>
      </c>
      <c r="G13" s="14">
        <v>0.73</v>
      </c>
      <c r="H13" s="14">
        <v>0.46</v>
      </c>
      <c r="I13" s="14">
        <v>0.46</v>
      </c>
      <c r="J13" s="14">
        <v>0.46</v>
      </c>
      <c r="K13" s="14">
        <v>0.22</v>
      </c>
      <c r="L13" s="14">
        <v>0.67</v>
      </c>
      <c r="M13" s="14">
        <v>0.54</v>
      </c>
      <c r="N13" s="14">
        <v>0.55000000000000004</v>
      </c>
      <c r="O13" s="14">
        <v>0.48</v>
      </c>
      <c r="P13" s="14">
        <v>0.45</v>
      </c>
      <c r="Q13" s="14">
        <v>0.51</v>
      </c>
      <c r="R13" s="14">
        <v>0.73</v>
      </c>
      <c r="S13" s="14">
        <v>0.28999999999999998</v>
      </c>
      <c r="T13" s="14">
        <v>0.5</v>
      </c>
      <c r="U13" s="14">
        <v>0.6</v>
      </c>
      <c r="V13" s="14">
        <v>0.62</v>
      </c>
      <c r="W13" s="14">
        <v>0.74</v>
      </c>
      <c r="X13" s="14">
        <v>0.67</v>
      </c>
      <c r="Y13" s="14">
        <v>0.51</v>
      </c>
      <c r="Z13" s="14">
        <v>0.35</v>
      </c>
      <c r="AA13" s="14">
        <v>0.54</v>
      </c>
      <c r="AB13" s="14">
        <v>0.36</v>
      </c>
      <c r="AC13" s="14">
        <v>0.48</v>
      </c>
      <c r="AD13" s="14">
        <v>0.54</v>
      </c>
      <c r="AE13" s="14">
        <v>0.53</v>
      </c>
      <c r="AF13" s="14">
        <v>0.75</v>
      </c>
    </row>
    <row r="14" spans="1:32">
      <c r="A14" s="20"/>
      <c r="B14" s="11" t="s">
        <v>643</v>
      </c>
      <c r="C14" s="12">
        <v>10379</v>
      </c>
      <c r="D14" s="12">
        <v>421</v>
      </c>
      <c r="E14" s="12">
        <v>304</v>
      </c>
      <c r="F14" s="12">
        <v>407</v>
      </c>
      <c r="G14" s="12">
        <v>208</v>
      </c>
      <c r="H14" s="12">
        <v>527</v>
      </c>
      <c r="I14" s="12">
        <v>642</v>
      </c>
      <c r="J14" s="12">
        <v>115</v>
      </c>
      <c r="K14" s="12">
        <v>372</v>
      </c>
      <c r="L14" s="12">
        <v>249</v>
      </c>
      <c r="M14" s="12">
        <v>322</v>
      </c>
      <c r="N14" s="12">
        <v>392</v>
      </c>
      <c r="O14" s="12">
        <v>420</v>
      </c>
      <c r="P14" s="12">
        <v>495</v>
      </c>
      <c r="Q14" s="12">
        <v>423</v>
      </c>
      <c r="R14" s="12">
        <v>104</v>
      </c>
      <c r="S14" s="12">
        <v>462</v>
      </c>
      <c r="T14" s="12">
        <v>397</v>
      </c>
      <c r="U14" s="12">
        <v>160</v>
      </c>
      <c r="V14" s="12">
        <v>320</v>
      </c>
      <c r="W14" s="12">
        <v>101</v>
      </c>
      <c r="X14" s="12">
        <v>245</v>
      </c>
      <c r="Y14" s="12">
        <v>315</v>
      </c>
      <c r="Z14" s="12">
        <v>518</v>
      </c>
      <c r="AA14" s="12">
        <v>419</v>
      </c>
      <c r="AB14" s="12">
        <v>410</v>
      </c>
      <c r="AC14" s="12">
        <v>384</v>
      </c>
      <c r="AD14" s="12">
        <v>341</v>
      </c>
      <c r="AE14" s="12">
        <v>372</v>
      </c>
      <c r="AF14" s="12">
        <v>190</v>
      </c>
    </row>
    <row r="15" spans="1:32">
      <c r="A15" s="20"/>
      <c r="B15" s="13" t="s">
        <v>495</v>
      </c>
      <c r="C15" s="14">
        <v>0.39</v>
      </c>
      <c r="D15" s="14">
        <v>0.42</v>
      </c>
      <c r="E15" s="14">
        <v>0.3</v>
      </c>
      <c r="F15" s="14">
        <v>0.4</v>
      </c>
      <c r="G15" s="14">
        <v>0.21</v>
      </c>
      <c r="H15" s="14">
        <v>0.43</v>
      </c>
      <c r="I15" s="14">
        <v>0.43</v>
      </c>
      <c r="J15" s="14">
        <v>0.39</v>
      </c>
      <c r="K15" s="14">
        <v>0.37</v>
      </c>
      <c r="L15" s="14">
        <v>0.25</v>
      </c>
      <c r="M15" s="14">
        <v>0.32</v>
      </c>
      <c r="N15" s="14">
        <v>0.39</v>
      </c>
      <c r="O15" s="14">
        <v>0.42</v>
      </c>
      <c r="P15" s="14">
        <v>0.49</v>
      </c>
      <c r="Q15" s="14">
        <v>0.42</v>
      </c>
      <c r="R15" s="14">
        <v>0.21</v>
      </c>
      <c r="S15" s="14">
        <v>0.46</v>
      </c>
      <c r="T15" s="14">
        <v>0.39</v>
      </c>
      <c r="U15" s="14">
        <v>0.32</v>
      </c>
      <c r="V15" s="14">
        <v>0.32</v>
      </c>
      <c r="W15" s="14">
        <v>0.2</v>
      </c>
      <c r="X15" s="14">
        <v>0.24</v>
      </c>
      <c r="Y15" s="14">
        <v>0.31</v>
      </c>
      <c r="Z15" s="14">
        <v>0.51</v>
      </c>
      <c r="AA15" s="14">
        <v>0.4</v>
      </c>
      <c r="AB15" s="14">
        <v>0.4</v>
      </c>
      <c r="AC15" s="14">
        <v>0.38</v>
      </c>
      <c r="AD15" s="14">
        <v>0.34</v>
      </c>
      <c r="AE15" s="14">
        <v>0.37</v>
      </c>
      <c r="AF15" s="14">
        <v>0.18</v>
      </c>
    </row>
    <row r="16" spans="1:32">
      <c r="A16" s="20"/>
      <c r="B16" s="11" t="s">
        <v>1141</v>
      </c>
      <c r="C16" s="12">
        <v>1850</v>
      </c>
      <c r="D16" s="12">
        <v>83</v>
      </c>
      <c r="E16" s="12">
        <v>91</v>
      </c>
      <c r="F16" s="12">
        <v>168</v>
      </c>
      <c r="G16" s="12">
        <v>34</v>
      </c>
      <c r="H16" s="12">
        <v>79</v>
      </c>
      <c r="I16" s="12">
        <v>106</v>
      </c>
      <c r="J16" s="12">
        <v>27</v>
      </c>
      <c r="K16" s="12">
        <v>202</v>
      </c>
      <c r="L16" s="12">
        <v>32</v>
      </c>
      <c r="M16" s="12">
        <v>95</v>
      </c>
      <c r="N16" s="12">
        <v>42</v>
      </c>
      <c r="O16" s="12">
        <v>55</v>
      </c>
      <c r="P16" s="12">
        <v>50</v>
      </c>
      <c r="Q16" s="12">
        <v>55</v>
      </c>
      <c r="R16" s="12">
        <v>16</v>
      </c>
      <c r="S16" s="12">
        <v>108</v>
      </c>
      <c r="T16" s="12">
        <v>55</v>
      </c>
      <c r="U16" s="12">
        <v>26</v>
      </c>
      <c r="V16" s="12">
        <v>48</v>
      </c>
      <c r="W16" s="12">
        <v>20</v>
      </c>
      <c r="X16" s="12">
        <v>55</v>
      </c>
      <c r="Y16" s="12">
        <v>100</v>
      </c>
      <c r="Z16" s="12">
        <v>101</v>
      </c>
      <c r="AA16" s="12">
        <v>45</v>
      </c>
      <c r="AB16" s="12">
        <v>190</v>
      </c>
      <c r="AC16" s="12">
        <v>89</v>
      </c>
      <c r="AD16" s="12">
        <v>69</v>
      </c>
      <c r="AE16" s="12">
        <v>54</v>
      </c>
      <c r="AF16" s="12">
        <v>37</v>
      </c>
    </row>
    <row r="17" spans="1:32">
      <c r="A17" s="20"/>
      <c r="B17" s="13" t="s">
        <v>497</v>
      </c>
      <c r="C17" s="14">
        <v>7.0000000000000007E-2</v>
      </c>
      <c r="D17" s="14">
        <v>0.08</v>
      </c>
      <c r="E17" s="14">
        <v>0.09</v>
      </c>
      <c r="F17" s="14">
        <v>0.17</v>
      </c>
      <c r="G17" s="14">
        <v>0.03</v>
      </c>
      <c r="H17" s="14">
        <v>7.0000000000000007E-2</v>
      </c>
      <c r="I17" s="14">
        <v>7.0000000000000007E-2</v>
      </c>
      <c r="J17" s="14">
        <v>0.09</v>
      </c>
      <c r="K17" s="14">
        <v>0.2</v>
      </c>
      <c r="L17" s="14">
        <v>0.03</v>
      </c>
      <c r="M17" s="14">
        <v>0.1</v>
      </c>
      <c r="N17" s="14">
        <v>0.04</v>
      </c>
      <c r="O17" s="14">
        <v>0.05</v>
      </c>
      <c r="P17" s="14">
        <v>0.05</v>
      </c>
      <c r="Q17" s="14">
        <v>0.05</v>
      </c>
      <c r="R17" s="14">
        <v>0.03</v>
      </c>
      <c r="S17" s="14">
        <v>0.1</v>
      </c>
      <c r="T17" s="14">
        <v>0.05</v>
      </c>
      <c r="U17" s="14">
        <v>0.05</v>
      </c>
      <c r="V17" s="14">
        <v>0.05</v>
      </c>
      <c r="W17" s="14">
        <v>0.04</v>
      </c>
      <c r="X17" s="14">
        <v>0.05</v>
      </c>
      <c r="Y17" s="14">
        <v>0.1</v>
      </c>
      <c r="Z17" s="14">
        <v>0.1</v>
      </c>
      <c r="AA17" s="14">
        <v>0.04</v>
      </c>
      <c r="AB17" s="14">
        <v>0.18</v>
      </c>
      <c r="AC17" s="14">
        <v>0.09</v>
      </c>
      <c r="AD17" s="14">
        <v>7.0000000000000007E-2</v>
      </c>
      <c r="AE17" s="14">
        <v>0.06</v>
      </c>
      <c r="AF17" s="14">
        <v>0.04</v>
      </c>
    </row>
    <row r="18" spans="1:32">
      <c r="A18" s="20"/>
      <c r="B18" s="11" t="s">
        <v>646</v>
      </c>
      <c r="C18" s="12">
        <v>650</v>
      </c>
      <c r="D18" s="12">
        <v>26</v>
      </c>
      <c r="E18" s="12">
        <v>55</v>
      </c>
      <c r="F18" s="12">
        <v>51</v>
      </c>
      <c r="G18" s="12">
        <v>10</v>
      </c>
      <c r="H18" s="12">
        <v>25</v>
      </c>
      <c r="I18" s="12">
        <v>36</v>
      </c>
      <c r="J18" s="12">
        <v>12</v>
      </c>
      <c r="K18" s="12">
        <v>150</v>
      </c>
      <c r="L18" s="12">
        <v>34</v>
      </c>
      <c r="M18" s="12">
        <v>34</v>
      </c>
      <c r="N18" s="12">
        <v>8</v>
      </c>
      <c r="O18" s="12">
        <v>32</v>
      </c>
      <c r="P18" s="12">
        <v>9</v>
      </c>
      <c r="Q18" s="12">
        <v>15</v>
      </c>
      <c r="R18" s="12">
        <v>11</v>
      </c>
      <c r="S18" s="12">
        <v>50</v>
      </c>
      <c r="T18" s="12">
        <v>10</v>
      </c>
      <c r="U18" s="12">
        <v>10</v>
      </c>
      <c r="V18" s="12">
        <v>14</v>
      </c>
      <c r="W18" s="12">
        <v>9</v>
      </c>
      <c r="X18" s="12">
        <v>31</v>
      </c>
      <c r="Y18" s="12">
        <v>67</v>
      </c>
      <c r="Z18" s="12">
        <v>20</v>
      </c>
      <c r="AA18" s="12">
        <v>10</v>
      </c>
      <c r="AB18" s="12">
        <v>35</v>
      </c>
      <c r="AC18" s="12">
        <v>40</v>
      </c>
      <c r="AD18" s="12">
        <v>29</v>
      </c>
      <c r="AE18" s="12">
        <v>31</v>
      </c>
      <c r="AF18" s="12">
        <v>27</v>
      </c>
    </row>
    <row r="19" spans="1:32">
      <c r="A19" s="20"/>
      <c r="B19" s="13" t="s">
        <v>499</v>
      </c>
      <c r="C19" s="14">
        <v>0.02</v>
      </c>
      <c r="D19" s="14">
        <v>0.03</v>
      </c>
      <c r="E19" s="14">
        <v>0.05</v>
      </c>
      <c r="F19" s="14">
        <v>0.05</v>
      </c>
      <c r="G19" s="14">
        <v>0.01</v>
      </c>
      <c r="H19" s="14">
        <v>0.02</v>
      </c>
      <c r="I19" s="14">
        <v>0.02</v>
      </c>
      <c r="J19" s="14">
        <v>0.04</v>
      </c>
      <c r="K19" s="14">
        <v>0.15</v>
      </c>
      <c r="L19" s="14">
        <v>0.03</v>
      </c>
      <c r="M19" s="14">
        <v>0.03</v>
      </c>
      <c r="N19" s="14">
        <v>0.01</v>
      </c>
      <c r="O19" s="14">
        <v>0.03</v>
      </c>
      <c r="P19" s="14">
        <v>0.01</v>
      </c>
      <c r="Q19" s="14">
        <v>0.01</v>
      </c>
      <c r="R19" s="14">
        <v>0.02</v>
      </c>
      <c r="S19" s="14">
        <v>0.05</v>
      </c>
      <c r="T19" s="14">
        <v>0.01</v>
      </c>
      <c r="U19" s="14">
        <v>0.02</v>
      </c>
      <c r="V19" s="14">
        <v>0.01</v>
      </c>
      <c r="W19" s="14">
        <v>0.02</v>
      </c>
      <c r="X19" s="14">
        <v>0.03</v>
      </c>
      <c r="Y19" s="14">
        <v>7.0000000000000007E-2</v>
      </c>
      <c r="Z19" s="14">
        <v>0.02</v>
      </c>
      <c r="AA19" s="14">
        <v>0.01</v>
      </c>
      <c r="AB19" s="14">
        <v>0.03</v>
      </c>
      <c r="AC19" s="14">
        <v>0.04</v>
      </c>
      <c r="AD19" s="14">
        <v>0.03</v>
      </c>
      <c r="AE19" s="14">
        <v>0.03</v>
      </c>
      <c r="AF19" s="14">
        <v>0.03</v>
      </c>
    </row>
    <row r="20" spans="1:32">
      <c r="A20" s="20"/>
      <c r="B20" s="11" t="s">
        <v>468</v>
      </c>
      <c r="C20" s="12">
        <v>391</v>
      </c>
      <c r="D20" s="12">
        <v>8</v>
      </c>
      <c r="E20" s="12">
        <v>27</v>
      </c>
      <c r="F20" s="12">
        <v>31</v>
      </c>
      <c r="G20" s="12">
        <v>23</v>
      </c>
      <c r="H20" s="12">
        <v>19</v>
      </c>
      <c r="I20" s="12">
        <v>24</v>
      </c>
      <c r="J20" s="12">
        <v>4</v>
      </c>
      <c r="K20" s="12">
        <v>56</v>
      </c>
      <c r="L20" s="12">
        <v>19</v>
      </c>
      <c r="M20" s="12">
        <v>6</v>
      </c>
      <c r="N20" s="12">
        <v>11</v>
      </c>
      <c r="O20" s="12">
        <v>20</v>
      </c>
      <c r="P20" s="12">
        <v>4</v>
      </c>
      <c r="Q20" s="12">
        <v>5</v>
      </c>
      <c r="R20" s="12">
        <v>4</v>
      </c>
      <c r="S20" s="12">
        <v>98</v>
      </c>
      <c r="T20" s="12">
        <v>45</v>
      </c>
      <c r="U20" s="12">
        <v>6</v>
      </c>
      <c r="V20" s="12">
        <v>4</v>
      </c>
      <c r="W20" s="12">
        <v>1</v>
      </c>
      <c r="X20" s="12">
        <v>4</v>
      </c>
      <c r="Y20" s="12">
        <v>15</v>
      </c>
      <c r="Z20" s="12">
        <v>18</v>
      </c>
      <c r="AA20" s="12">
        <v>12</v>
      </c>
      <c r="AB20" s="12">
        <v>30</v>
      </c>
      <c r="AC20" s="12">
        <v>8</v>
      </c>
      <c r="AD20" s="12">
        <v>25</v>
      </c>
      <c r="AE20" s="12">
        <v>12</v>
      </c>
      <c r="AF20" s="12">
        <v>5</v>
      </c>
    </row>
    <row r="21" spans="1:32">
      <c r="A21" s="20"/>
      <c r="B21" s="13" t="s">
        <v>469</v>
      </c>
      <c r="C21" s="14">
        <v>0.02</v>
      </c>
      <c r="D21" s="14">
        <v>0.01</v>
      </c>
      <c r="E21" s="14">
        <v>0.03</v>
      </c>
      <c r="F21" s="14">
        <v>0.03</v>
      </c>
      <c r="G21" s="14">
        <v>0.02</v>
      </c>
      <c r="H21" s="14">
        <v>0.02</v>
      </c>
      <c r="I21" s="14">
        <v>0.02</v>
      </c>
      <c r="J21" s="14">
        <v>0.02</v>
      </c>
      <c r="K21" s="14">
        <v>0.06</v>
      </c>
      <c r="L21" s="14">
        <v>0.02</v>
      </c>
      <c r="M21" s="14">
        <v>0.01</v>
      </c>
      <c r="N21" s="14">
        <v>0.01</v>
      </c>
      <c r="O21" s="14">
        <v>0.02</v>
      </c>
      <c r="P21" s="15" t="s">
        <v>459</v>
      </c>
      <c r="Q21" s="14">
        <v>0.01</v>
      </c>
      <c r="R21" s="14">
        <v>0.01</v>
      </c>
      <c r="S21" s="14">
        <v>0.1</v>
      </c>
      <c r="T21" s="14">
        <v>0.05</v>
      </c>
      <c r="U21" s="14">
        <v>0.01</v>
      </c>
      <c r="V21" s="15" t="s">
        <v>459</v>
      </c>
      <c r="W21" s="15" t="s">
        <v>459</v>
      </c>
      <c r="X21" s="14">
        <v>0.01</v>
      </c>
      <c r="Y21" s="14">
        <v>0.01</v>
      </c>
      <c r="Z21" s="14">
        <v>0.02</v>
      </c>
      <c r="AA21" s="14">
        <v>0.01</v>
      </c>
      <c r="AB21" s="14">
        <v>0.03</v>
      </c>
      <c r="AC21" s="14">
        <v>0.01</v>
      </c>
      <c r="AD21" s="14">
        <v>0.02</v>
      </c>
      <c r="AE21" s="14">
        <v>0.01</v>
      </c>
      <c r="AF21" s="15" t="s">
        <v>459</v>
      </c>
    </row>
    <row r="22" spans="1:32">
      <c r="A22" s="20"/>
      <c r="B22" s="11" t="s">
        <v>500</v>
      </c>
      <c r="C22" s="12">
        <v>23427</v>
      </c>
      <c r="D22" s="12">
        <v>886</v>
      </c>
      <c r="E22" s="12">
        <v>846</v>
      </c>
      <c r="F22" s="12">
        <v>755</v>
      </c>
      <c r="G22" s="12">
        <v>937</v>
      </c>
      <c r="H22" s="12">
        <v>1093</v>
      </c>
      <c r="I22" s="12">
        <v>1344</v>
      </c>
      <c r="J22" s="12">
        <v>251</v>
      </c>
      <c r="K22" s="12">
        <v>598</v>
      </c>
      <c r="L22" s="12">
        <v>923</v>
      </c>
      <c r="M22" s="12">
        <v>868</v>
      </c>
      <c r="N22" s="12">
        <v>943</v>
      </c>
      <c r="O22" s="12">
        <v>896</v>
      </c>
      <c r="P22" s="12">
        <v>959</v>
      </c>
      <c r="Q22" s="12">
        <v>943</v>
      </c>
      <c r="R22" s="12">
        <v>469</v>
      </c>
      <c r="S22" s="12">
        <v>752</v>
      </c>
      <c r="T22" s="12">
        <v>904</v>
      </c>
      <c r="U22" s="12">
        <v>465</v>
      </c>
      <c r="V22" s="12">
        <v>951</v>
      </c>
      <c r="W22" s="12">
        <v>473</v>
      </c>
      <c r="X22" s="12">
        <v>931</v>
      </c>
      <c r="Y22" s="12">
        <v>825</v>
      </c>
      <c r="Z22" s="12">
        <v>870</v>
      </c>
      <c r="AA22" s="12">
        <v>986</v>
      </c>
      <c r="AB22" s="12">
        <v>783</v>
      </c>
      <c r="AC22" s="12">
        <v>872</v>
      </c>
      <c r="AD22" s="12">
        <v>884</v>
      </c>
      <c r="AE22" s="12">
        <v>903</v>
      </c>
      <c r="AF22" s="12">
        <v>951</v>
      </c>
    </row>
    <row r="23" spans="1:32">
      <c r="A23" s="20"/>
      <c r="B23" s="13" t="s">
        <v>500</v>
      </c>
      <c r="C23" s="14">
        <v>0.89</v>
      </c>
      <c r="D23" s="14">
        <v>0.88</v>
      </c>
      <c r="E23" s="14">
        <v>0.83000000000000007</v>
      </c>
      <c r="F23" s="14">
        <v>0.75</v>
      </c>
      <c r="G23" s="14">
        <v>0.94000000000000006</v>
      </c>
      <c r="H23" s="14">
        <v>0.89</v>
      </c>
      <c r="I23" s="14">
        <v>0.89</v>
      </c>
      <c r="J23" s="14">
        <v>0.85</v>
      </c>
      <c r="K23" s="14">
        <v>0.59</v>
      </c>
      <c r="L23" s="14">
        <v>0.92</v>
      </c>
      <c r="M23" s="14">
        <v>0.86</v>
      </c>
      <c r="N23" s="14">
        <v>0.94000000000000006</v>
      </c>
      <c r="O23" s="14">
        <v>0.9</v>
      </c>
      <c r="P23" s="14">
        <v>0.94000000000000006</v>
      </c>
      <c r="Q23" s="14">
        <v>0.93</v>
      </c>
      <c r="R23" s="14">
        <v>0.94000000000000006</v>
      </c>
      <c r="S23" s="14">
        <v>0.75</v>
      </c>
      <c r="T23" s="14">
        <v>0.89</v>
      </c>
      <c r="U23" s="14">
        <v>0.92</v>
      </c>
      <c r="V23" s="14">
        <v>0.94000000000000006</v>
      </c>
      <c r="W23" s="14">
        <v>0.94000000000000006</v>
      </c>
      <c r="X23" s="14">
        <v>0.91</v>
      </c>
      <c r="Y23" s="14">
        <v>0.82000000000000006</v>
      </c>
      <c r="Z23" s="14">
        <v>0.86</v>
      </c>
      <c r="AA23" s="14">
        <v>0.94000000000000006</v>
      </c>
      <c r="AB23" s="14">
        <v>0.76</v>
      </c>
      <c r="AC23" s="14">
        <v>0.86</v>
      </c>
      <c r="AD23" s="14">
        <v>0.88</v>
      </c>
      <c r="AE23" s="14">
        <v>0.9</v>
      </c>
      <c r="AF23" s="14">
        <v>0.93</v>
      </c>
    </row>
    <row r="24" spans="1:32">
      <c r="A24" s="20"/>
      <c r="B24" s="11" t="s">
        <v>501</v>
      </c>
      <c r="C24" s="12">
        <v>2500</v>
      </c>
      <c r="D24" s="12">
        <v>109</v>
      </c>
      <c r="E24" s="12">
        <v>146</v>
      </c>
      <c r="F24" s="12">
        <v>219</v>
      </c>
      <c r="G24" s="12">
        <v>44</v>
      </c>
      <c r="H24" s="12">
        <v>104</v>
      </c>
      <c r="I24" s="12">
        <v>142</v>
      </c>
      <c r="J24" s="12">
        <v>39</v>
      </c>
      <c r="K24" s="12">
        <v>352</v>
      </c>
      <c r="L24" s="12">
        <v>66</v>
      </c>
      <c r="M24" s="12">
        <v>129</v>
      </c>
      <c r="N24" s="12">
        <v>50</v>
      </c>
      <c r="O24" s="12">
        <v>87</v>
      </c>
      <c r="P24" s="12">
        <v>59</v>
      </c>
      <c r="Q24" s="12">
        <v>70</v>
      </c>
      <c r="R24" s="12">
        <v>27</v>
      </c>
      <c r="S24" s="12">
        <v>158</v>
      </c>
      <c r="T24" s="12">
        <v>65</v>
      </c>
      <c r="U24" s="12">
        <v>36</v>
      </c>
      <c r="V24" s="12">
        <v>62</v>
      </c>
      <c r="W24" s="12">
        <v>29</v>
      </c>
      <c r="X24" s="12">
        <v>86</v>
      </c>
      <c r="Y24" s="12">
        <v>167</v>
      </c>
      <c r="Z24" s="12">
        <v>121</v>
      </c>
      <c r="AA24" s="12">
        <v>55</v>
      </c>
      <c r="AB24" s="12">
        <v>225</v>
      </c>
      <c r="AC24" s="12">
        <v>129</v>
      </c>
      <c r="AD24" s="12">
        <v>98</v>
      </c>
      <c r="AE24" s="12">
        <v>85</v>
      </c>
      <c r="AF24" s="12">
        <v>64</v>
      </c>
    </row>
    <row r="25" spans="1:32">
      <c r="A25" s="20"/>
      <c r="B25" s="13" t="s">
        <v>502</v>
      </c>
      <c r="C25" s="14">
        <v>0.09</v>
      </c>
      <c r="D25" s="14">
        <v>0.11</v>
      </c>
      <c r="E25" s="14">
        <v>0.14000000000000001</v>
      </c>
      <c r="F25" s="14">
        <v>0.22</v>
      </c>
      <c r="G25" s="14">
        <v>0.04</v>
      </c>
      <c r="H25" s="14">
        <v>0.09</v>
      </c>
      <c r="I25" s="14">
        <v>0.09</v>
      </c>
      <c r="J25" s="14">
        <v>0.13</v>
      </c>
      <c r="K25" s="14">
        <v>0.35</v>
      </c>
      <c r="L25" s="14">
        <v>0.06</v>
      </c>
      <c r="M25" s="14">
        <v>0.13</v>
      </c>
      <c r="N25" s="14">
        <v>0.05</v>
      </c>
      <c r="O25" s="14">
        <v>0.08</v>
      </c>
      <c r="P25" s="14">
        <v>0.06</v>
      </c>
      <c r="Q25" s="14">
        <v>0.06</v>
      </c>
      <c r="R25" s="14">
        <v>0.05</v>
      </c>
      <c r="S25" s="14">
        <v>0.15</v>
      </c>
      <c r="T25" s="14">
        <v>0.06</v>
      </c>
      <c r="U25" s="14">
        <v>7.0000000000000007E-2</v>
      </c>
      <c r="V25" s="14">
        <v>0.06</v>
      </c>
      <c r="W25" s="14">
        <v>0.06</v>
      </c>
      <c r="X25" s="14">
        <v>0.08</v>
      </c>
      <c r="Y25" s="14">
        <v>0.17</v>
      </c>
      <c r="Z25" s="14">
        <v>0.12</v>
      </c>
      <c r="AA25" s="14">
        <v>0.05</v>
      </c>
      <c r="AB25" s="14">
        <v>0.21</v>
      </c>
      <c r="AC25" s="14">
        <v>0.13</v>
      </c>
      <c r="AD25" s="14">
        <v>0.1</v>
      </c>
      <c r="AE25" s="14">
        <v>0.09</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1145</v>
      </c>
      <c r="C3" s="18"/>
      <c r="D3" s="18"/>
      <c r="E3" s="18"/>
      <c r="F3" s="18"/>
      <c r="H3" s="18" t="s">
        <v>1146</v>
      </c>
      <c r="I3" s="18"/>
      <c r="J3" s="18"/>
      <c r="K3" s="18"/>
      <c r="L3" s="18"/>
    </row>
    <row r="4" spans="1:32" ht="27" customHeight="1">
      <c r="B4" s="18" t="s">
        <v>1147</v>
      </c>
      <c r="C4" s="18"/>
      <c r="D4" s="18"/>
      <c r="E4" s="18"/>
      <c r="F4" s="18"/>
      <c r="H4" s="18" t="s">
        <v>1066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13430</v>
      </c>
      <c r="D12" s="12">
        <v>503</v>
      </c>
      <c r="E12" s="12">
        <v>549</v>
      </c>
      <c r="F12" s="12">
        <v>369</v>
      </c>
      <c r="G12" s="12">
        <v>731</v>
      </c>
      <c r="H12" s="12">
        <v>577</v>
      </c>
      <c r="I12" s="12">
        <v>723</v>
      </c>
      <c r="J12" s="12">
        <v>146</v>
      </c>
      <c r="K12" s="12">
        <v>257</v>
      </c>
      <c r="L12" s="12">
        <v>702</v>
      </c>
      <c r="M12" s="12">
        <v>575</v>
      </c>
      <c r="N12" s="12">
        <v>579</v>
      </c>
      <c r="O12" s="12">
        <v>482</v>
      </c>
      <c r="P12" s="12">
        <v>497</v>
      </c>
      <c r="Q12" s="12">
        <v>540</v>
      </c>
      <c r="R12" s="12">
        <v>374</v>
      </c>
      <c r="S12" s="12">
        <v>337</v>
      </c>
      <c r="T12" s="12">
        <v>529</v>
      </c>
      <c r="U12" s="12">
        <v>317</v>
      </c>
      <c r="V12" s="12">
        <v>643</v>
      </c>
      <c r="W12" s="12">
        <v>354</v>
      </c>
      <c r="X12" s="12">
        <v>674</v>
      </c>
      <c r="Y12" s="12">
        <v>507</v>
      </c>
      <c r="Z12" s="12">
        <v>357</v>
      </c>
      <c r="AA12" s="12">
        <v>593</v>
      </c>
      <c r="AB12" s="12">
        <v>376</v>
      </c>
      <c r="AC12" s="12">
        <v>509</v>
      </c>
      <c r="AD12" s="12">
        <v>587</v>
      </c>
      <c r="AE12" s="12">
        <v>571</v>
      </c>
      <c r="AF12" s="12">
        <v>765</v>
      </c>
    </row>
    <row r="13" spans="1:32">
      <c r="A13" s="20"/>
      <c r="B13" s="13" t="s">
        <v>493</v>
      </c>
      <c r="C13" s="14">
        <v>0.51</v>
      </c>
      <c r="D13" s="14">
        <v>0.5</v>
      </c>
      <c r="E13" s="14">
        <v>0.54</v>
      </c>
      <c r="F13" s="14">
        <v>0.37</v>
      </c>
      <c r="G13" s="14">
        <v>0.73</v>
      </c>
      <c r="H13" s="14">
        <v>0.47</v>
      </c>
      <c r="I13" s="14">
        <v>0.48</v>
      </c>
      <c r="J13" s="14">
        <v>0.5</v>
      </c>
      <c r="K13" s="14">
        <v>0.25</v>
      </c>
      <c r="L13" s="14">
        <v>0.70000000000000007</v>
      </c>
      <c r="M13" s="14">
        <v>0.57000000000000006</v>
      </c>
      <c r="N13" s="14">
        <v>0.57999999999999996</v>
      </c>
      <c r="O13" s="14">
        <v>0.48</v>
      </c>
      <c r="P13" s="14">
        <v>0.48</v>
      </c>
      <c r="Q13" s="14">
        <v>0.53</v>
      </c>
      <c r="R13" s="14">
        <v>0.75</v>
      </c>
      <c r="S13" s="14">
        <v>0.33</v>
      </c>
      <c r="T13" s="14">
        <v>0.52</v>
      </c>
      <c r="U13" s="14">
        <v>0.62</v>
      </c>
      <c r="V13" s="14">
        <v>0.63</v>
      </c>
      <c r="W13" s="14">
        <v>0.70000000000000007</v>
      </c>
      <c r="X13" s="14">
        <v>0.66</v>
      </c>
      <c r="Y13" s="14">
        <v>0.5</v>
      </c>
      <c r="Z13" s="14">
        <v>0.36</v>
      </c>
      <c r="AA13" s="14">
        <v>0.56000000000000005</v>
      </c>
      <c r="AB13" s="14">
        <v>0.36</v>
      </c>
      <c r="AC13" s="14">
        <v>0.5</v>
      </c>
      <c r="AD13" s="14">
        <v>0.57999999999999996</v>
      </c>
      <c r="AE13" s="14">
        <v>0.57000000000000006</v>
      </c>
      <c r="AF13" s="14">
        <v>0.75</v>
      </c>
    </row>
    <row r="14" spans="1:32">
      <c r="A14" s="20"/>
      <c r="B14" s="11" t="s">
        <v>643</v>
      </c>
      <c r="C14" s="12">
        <v>9774</v>
      </c>
      <c r="D14" s="12">
        <v>375</v>
      </c>
      <c r="E14" s="12">
        <v>301</v>
      </c>
      <c r="F14" s="12">
        <v>373</v>
      </c>
      <c r="G14" s="12">
        <v>201</v>
      </c>
      <c r="H14" s="12">
        <v>485</v>
      </c>
      <c r="I14" s="12">
        <v>585</v>
      </c>
      <c r="J14" s="12">
        <v>100</v>
      </c>
      <c r="K14" s="12">
        <v>371</v>
      </c>
      <c r="L14" s="12">
        <v>221</v>
      </c>
      <c r="M14" s="12">
        <v>298</v>
      </c>
      <c r="N14" s="12">
        <v>358</v>
      </c>
      <c r="O14" s="12">
        <v>402</v>
      </c>
      <c r="P14" s="12">
        <v>456</v>
      </c>
      <c r="Q14" s="12">
        <v>404</v>
      </c>
      <c r="R14" s="12">
        <v>94</v>
      </c>
      <c r="S14" s="12">
        <v>435</v>
      </c>
      <c r="T14" s="12">
        <v>379</v>
      </c>
      <c r="U14" s="12">
        <v>168</v>
      </c>
      <c r="V14" s="12">
        <v>303</v>
      </c>
      <c r="W14" s="12">
        <v>85</v>
      </c>
      <c r="X14" s="12">
        <v>248</v>
      </c>
      <c r="Y14" s="12">
        <v>311</v>
      </c>
      <c r="Z14" s="12">
        <v>507</v>
      </c>
      <c r="AA14" s="12">
        <v>398</v>
      </c>
      <c r="AB14" s="12">
        <v>397</v>
      </c>
      <c r="AC14" s="12">
        <v>377</v>
      </c>
      <c r="AD14" s="12">
        <v>285</v>
      </c>
      <c r="AE14" s="12">
        <v>338</v>
      </c>
      <c r="AF14" s="12">
        <v>177</v>
      </c>
    </row>
    <row r="15" spans="1:32">
      <c r="A15" s="20"/>
      <c r="B15" s="13" t="s">
        <v>495</v>
      </c>
      <c r="C15" s="14">
        <v>0.37</v>
      </c>
      <c r="D15" s="14">
        <v>0.38</v>
      </c>
      <c r="E15" s="14">
        <v>0.3</v>
      </c>
      <c r="F15" s="14">
        <v>0.37</v>
      </c>
      <c r="G15" s="14">
        <v>0.2</v>
      </c>
      <c r="H15" s="14">
        <v>0.4</v>
      </c>
      <c r="I15" s="14">
        <v>0.39</v>
      </c>
      <c r="J15" s="14">
        <v>0.34</v>
      </c>
      <c r="K15" s="14">
        <v>0.37</v>
      </c>
      <c r="L15" s="14">
        <v>0.22</v>
      </c>
      <c r="M15" s="14">
        <v>0.3</v>
      </c>
      <c r="N15" s="14">
        <v>0.35</v>
      </c>
      <c r="O15" s="14">
        <v>0.4</v>
      </c>
      <c r="P15" s="14">
        <v>0.45</v>
      </c>
      <c r="Q15" s="14">
        <v>0.4</v>
      </c>
      <c r="R15" s="14">
        <v>0.19</v>
      </c>
      <c r="S15" s="14">
        <v>0.43</v>
      </c>
      <c r="T15" s="14">
        <v>0.37</v>
      </c>
      <c r="U15" s="14">
        <v>0.33</v>
      </c>
      <c r="V15" s="14">
        <v>0.3</v>
      </c>
      <c r="W15" s="14">
        <v>0.17</v>
      </c>
      <c r="X15" s="14">
        <v>0.24</v>
      </c>
      <c r="Y15" s="14">
        <v>0.31</v>
      </c>
      <c r="Z15" s="14">
        <v>0.5</v>
      </c>
      <c r="AA15" s="14">
        <v>0.38</v>
      </c>
      <c r="AB15" s="14">
        <v>0.38</v>
      </c>
      <c r="AC15" s="14">
        <v>0.37</v>
      </c>
      <c r="AD15" s="14">
        <v>0.28000000000000003</v>
      </c>
      <c r="AE15" s="14">
        <v>0.34</v>
      </c>
      <c r="AF15" s="14">
        <v>0.17</v>
      </c>
    </row>
    <row r="16" spans="1:32">
      <c r="A16" s="20"/>
      <c r="B16" s="11" t="s">
        <v>1141</v>
      </c>
      <c r="C16" s="12">
        <v>1844</v>
      </c>
      <c r="D16" s="12">
        <v>84</v>
      </c>
      <c r="E16" s="12">
        <v>83</v>
      </c>
      <c r="F16" s="12">
        <v>175</v>
      </c>
      <c r="G16" s="12">
        <v>33</v>
      </c>
      <c r="H16" s="12">
        <v>93</v>
      </c>
      <c r="I16" s="12">
        <v>121</v>
      </c>
      <c r="J16" s="12">
        <v>28</v>
      </c>
      <c r="K16" s="12">
        <v>183</v>
      </c>
      <c r="L16" s="12">
        <v>25</v>
      </c>
      <c r="M16" s="12">
        <v>83</v>
      </c>
      <c r="N16" s="12">
        <v>41</v>
      </c>
      <c r="O16" s="12">
        <v>54</v>
      </c>
      <c r="P16" s="12">
        <v>49</v>
      </c>
      <c r="Q16" s="12">
        <v>48</v>
      </c>
      <c r="R16" s="12">
        <v>17</v>
      </c>
      <c r="S16" s="12">
        <v>87</v>
      </c>
      <c r="T16" s="12">
        <v>44</v>
      </c>
      <c r="U16" s="12">
        <v>8</v>
      </c>
      <c r="V16" s="12">
        <v>57</v>
      </c>
      <c r="W16" s="12">
        <v>40</v>
      </c>
      <c r="X16" s="12">
        <v>50</v>
      </c>
      <c r="Y16" s="12">
        <v>98</v>
      </c>
      <c r="Z16" s="12">
        <v>104</v>
      </c>
      <c r="AA16" s="12">
        <v>37</v>
      </c>
      <c r="AB16" s="12">
        <v>184</v>
      </c>
      <c r="AC16" s="12">
        <v>81</v>
      </c>
      <c r="AD16" s="12">
        <v>70</v>
      </c>
      <c r="AE16" s="12">
        <v>44</v>
      </c>
      <c r="AF16" s="12">
        <v>35</v>
      </c>
    </row>
    <row r="17" spans="1:32">
      <c r="A17" s="20"/>
      <c r="B17" s="13" t="s">
        <v>497</v>
      </c>
      <c r="C17" s="14">
        <v>7.0000000000000007E-2</v>
      </c>
      <c r="D17" s="14">
        <v>0.08</v>
      </c>
      <c r="E17" s="14">
        <v>0.08</v>
      </c>
      <c r="F17" s="14">
        <v>0.17</v>
      </c>
      <c r="G17" s="14">
        <v>0.03</v>
      </c>
      <c r="H17" s="14">
        <v>0.08</v>
      </c>
      <c r="I17" s="14">
        <v>0.08</v>
      </c>
      <c r="J17" s="14">
        <v>0.09</v>
      </c>
      <c r="K17" s="14">
        <v>0.18</v>
      </c>
      <c r="L17" s="14">
        <v>0.02</v>
      </c>
      <c r="M17" s="14">
        <v>0.08</v>
      </c>
      <c r="N17" s="14">
        <v>0.04</v>
      </c>
      <c r="O17" s="14">
        <v>0.05</v>
      </c>
      <c r="P17" s="14">
        <v>0.05</v>
      </c>
      <c r="Q17" s="14">
        <v>0.05</v>
      </c>
      <c r="R17" s="14">
        <v>0.03</v>
      </c>
      <c r="S17" s="14">
        <v>0.09</v>
      </c>
      <c r="T17" s="14">
        <v>0.05</v>
      </c>
      <c r="U17" s="14">
        <v>0.02</v>
      </c>
      <c r="V17" s="14">
        <v>0.06</v>
      </c>
      <c r="W17" s="14">
        <v>0.08</v>
      </c>
      <c r="X17" s="14">
        <v>0.05</v>
      </c>
      <c r="Y17" s="14">
        <v>0.1</v>
      </c>
      <c r="Z17" s="14">
        <v>0.1</v>
      </c>
      <c r="AA17" s="14">
        <v>0.04</v>
      </c>
      <c r="AB17" s="14">
        <v>0.18</v>
      </c>
      <c r="AC17" s="14">
        <v>0.08</v>
      </c>
      <c r="AD17" s="14">
        <v>7.0000000000000007E-2</v>
      </c>
      <c r="AE17" s="14">
        <v>0.04</v>
      </c>
      <c r="AF17" s="14">
        <v>0.04</v>
      </c>
    </row>
    <row r="18" spans="1:32">
      <c r="A18" s="20"/>
      <c r="B18" s="11" t="s">
        <v>646</v>
      </c>
      <c r="C18" s="12">
        <v>794</v>
      </c>
      <c r="D18" s="12">
        <v>31</v>
      </c>
      <c r="E18" s="12">
        <v>50</v>
      </c>
      <c r="F18" s="12">
        <v>59</v>
      </c>
      <c r="G18" s="12">
        <v>14</v>
      </c>
      <c r="H18" s="12">
        <v>38</v>
      </c>
      <c r="I18" s="12">
        <v>52</v>
      </c>
      <c r="J18" s="12">
        <v>14</v>
      </c>
      <c r="K18" s="12">
        <v>126</v>
      </c>
      <c r="L18" s="12">
        <v>37</v>
      </c>
      <c r="M18" s="12">
        <v>39</v>
      </c>
      <c r="N18" s="12">
        <v>9</v>
      </c>
      <c r="O18" s="12">
        <v>41</v>
      </c>
      <c r="P18" s="12">
        <v>12</v>
      </c>
      <c r="Q18" s="12">
        <v>22</v>
      </c>
      <c r="R18" s="12">
        <v>10</v>
      </c>
      <c r="S18" s="12">
        <v>43</v>
      </c>
      <c r="T18" s="12">
        <v>13</v>
      </c>
      <c r="U18" s="12">
        <v>9</v>
      </c>
      <c r="V18" s="12">
        <v>10</v>
      </c>
      <c r="W18" s="12">
        <v>11</v>
      </c>
      <c r="X18" s="12">
        <v>44</v>
      </c>
      <c r="Y18" s="12">
        <v>72</v>
      </c>
      <c r="Z18" s="12">
        <v>19</v>
      </c>
      <c r="AA18" s="12">
        <v>14</v>
      </c>
      <c r="AB18" s="12">
        <v>44</v>
      </c>
      <c r="AC18" s="12">
        <v>35</v>
      </c>
      <c r="AD18" s="12">
        <v>38</v>
      </c>
      <c r="AE18" s="12">
        <v>29</v>
      </c>
      <c r="AF18" s="12">
        <v>31</v>
      </c>
    </row>
    <row r="19" spans="1:32">
      <c r="A19" s="20"/>
      <c r="B19" s="13" t="s">
        <v>499</v>
      </c>
      <c r="C19" s="14">
        <v>0.03</v>
      </c>
      <c r="D19" s="14">
        <v>0.03</v>
      </c>
      <c r="E19" s="14">
        <v>0.05</v>
      </c>
      <c r="F19" s="14">
        <v>0.06</v>
      </c>
      <c r="G19" s="14">
        <v>0.01</v>
      </c>
      <c r="H19" s="14">
        <v>0.03</v>
      </c>
      <c r="I19" s="14">
        <v>0.03</v>
      </c>
      <c r="J19" s="14">
        <v>0.05</v>
      </c>
      <c r="K19" s="14">
        <v>0.13</v>
      </c>
      <c r="L19" s="14">
        <v>0.04</v>
      </c>
      <c r="M19" s="14">
        <v>0.04</v>
      </c>
      <c r="N19" s="14">
        <v>0.01</v>
      </c>
      <c r="O19" s="14">
        <v>0.04</v>
      </c>
      <c r="P19" s="14">
        <v>0.01</v>
      </c>
      <c r="Q19" s="14">
        <v>0.02</v>
      </c>
      <c r="R19" s="14">
        <v>0.02</v>
      </c>
      <c r="S19" s="14">
        <v>0.04</v>
      </c>
      <c r="T19" s="14">
        <v>0.01</v>
      </c>
      <c r="U19" s="14">
        <v>0.02</v>
      </c>
      <c r="V19" s="14">
        <v>0.01</v>
      </c>
      <c r="W19" s="14">
        <v>0.02</v>
      </c>
      <c r="X19" s="14">
        <v>0.04</v>
      </c>
      <c r="Y19" s="14">
        <v>7.0000000000000007E-2</v>
      </c>
      <c r="Z19" s="14">
        <v>0.02</v>
      </c>
      <c r="AA19" s="14">
        <v>0.01</v>
      </c>
      <c r="AB19" s="14">
        <v>0.04</v>
      </c>
      <c r="AC19" s="14">
        <v>0.04</v>
      </c>
      <c r="AD19" s="14">
        <v>0.04</v>
      </c>
      <c r="AE19" s="14">
        <v>0.03</v>
      </c>
      <c r="AF19" s="14">
        <v>0.03</v>
      </c>
    </row>
    <row r="20" spans="1:32">
      <c r="A20" s="20"/>
      <c r="B20" s="11" t="s">
        <v>468</v>
      </c>
      <c r="C20" s="12">
        <v>477</v>
      </c>
      <c r="D20" s="12">
        <v>10</v>
      </c>
      <c r="E20" s="12">
        <v>35</v>
      </c>
      <c r="F20" s="12">
        <v>30</v>
      </c>
      <c r="G20" s="12">
        <v>26</v>
      </c>
      <c r="H20" s="12">
        <v>24</v>
      </c>
      <c r="I20" s="12">
        <v>29</v>
      </c>
      <c r="J20" s="12">
        <v>5</v>
      </c>
      <c r="K20" s="12">
        <v>68</v>
      </c>
      <c r="L20" s="12">
        <v>22</v>
      </c>
      <c r="M20" s="12">
        <v>8</v>
      </c>
      <c r="N20" s="12">
        <v>17</v>
      </c>
      <c r="O20" s="12">
        <v>24</v>
      </c>
      <c r="P20" s="12">
        <v>9</v>
      </c>
      <c r="Q20" s="12">
        <v>5</v>
      </c>
      <c r="R20" s="12">
        <v>5</v>
      </c>
      <c r="S20" s="12">
        <v>106</v>
      </c>
      <c r="T20" s="12">
        <v>49</v>
      </c>
      <c r="U20" s="12">
        <v>3</v>
      </c>
      <c r="V20" s="12">
        <v>4</v>
      </c>
      <c r="W20" s="12">
        <v>13</v>
      </c>
      <c r="X20" s="12">
        <v>5</v>
      </c>
      <c r="Y20" s="12">
        <v>20</v>
      </c>
      <c r="Z20" s="12">
        <v>21</v>
      </c>
      <c r="AA20" s="12">
        <v>12</v>
      </c>
      <c r="AB20" s="12">
        <v>39</v>
      </c>
      <c r="AC20" s="12">
        <v>8</v>
      </c>
      <c r="AD20" s="12">
        <v>26</v>
      </c>
      <c r="AE20" s="12">
        <v>18</v>
      </c>
      <c r="AF20" s="12">
        <v>12</v>
      </c>
    </row>
    <row r="21" spans="1:32">
      <c r="A21" s="20"/>
      <c r="B21" s="13" t="s">
        <v>469</v>
      </c>
      <c r="C21" s="14">
        <v>0.02</v>
      </c>
      <c r="D21" s="14">
        <v>0.01</v>
      </c>
      <c r="E21" s="14">
        <v>0.03</v>
      </c>
      <c r="F21" s="14">
        <v>0.03</v>
      </c>
      <c r="G21" s="14">
        <v>0.03</v>
      </c>
      <c r="H21" s="14">
        <v>0.02</v>
      </c>
      <c r="I21" s="14">
        <v>0.02</v>
      </c>
      <c r="J21" s="14">
        <v>0.02</v>
      </c>
      <c r="K21" s="14">
        <v>7.0000000000000007E-2</v>
      </c>
      <c r="L21" s="14">
        <v>0.02</v>
      </c>
      <c r="M21" s="14">
        <v>0.01</v>
      </c>
      <c r="N21" s="14">
        <v>0.02</v>
      </c>
      <c r="O21" s="14">
        <v>0.03</v>
      </c>
      <c r="P21" s="14">
        <v>0.01</v>
      </c>
      <c r="Q21" s="15" t="s">
        <v>459</v>
      </c>
      <c r="R21" s="14">
        <v>0.01</v>
      </c>
      <c r="S21" s="14">
        <v>0.11</v>
      </c>
      <c r="T21" s="14">
        <v>0.05</v>
      </c>
      <c r="U21" s="14">
        <v>0.01</v>
      </c>
      <c r="V21" s="15" t="s">
        <v>459</v>
      </c>
      <c r="W21" s="14">
        <v>0.03</v>
      </c>
      <c r="X21" s="14">
        <v>0.01</v>
      </c>
      <c r="Y21" s="14">
        <v>0.02</v>
      </c>
      <c r="Z21" s="14">
        <v>0.02</v>
      </c>
      <c r="AA21" s="14">
        <v>0.01</v>
      </c>
      <c r="AB21" s="14">
        <v>0.04</v>
      </c>
      <c r="AC21" s="14">
        <v>0.01</v>
      </c>
      <c r="AD21" s="14">
        <v>0.03</v>
      </c>
      <c r="AE21" s="14">
        <v>0.02</v>
      </c>
      <c r="AF21" s="14">
        <v>0.01</v>
      </c>
    </row>
    <row r="22" spans="1:32">
      <c r="A22" s="20"/>
      <c r="B22" s="11" t="s">
        <v>500</v>
      </c>
      <c r="C22" s="12">
        <v>23204</v>
      </c>
      <c r="D22" s="12">
        <v>878</v>
      </c>
      <c r="E22" s="12">
        <v>850</v>
      </c>
      <c r="F22" s="12">
        <v>742</v>
      </c>
      <c r="G22" s="12">
        <v>932</v>
      </c>
      <c r="H22" s="12">
        <v>1062</v>
      </c>
      <c r="I22" s="12">
        <v>1308</v>
      </c>
      <c r="J22" s="12">
        <v>246</v>
      </c>
      <c r="K22" s="12">
        <v>628</v>
      </c>
      <c r="L22" s="12">
        <v>923</v>
      </c>
      <c r="M22" s="12">
        <v>873</v>
      </c>
      <c r="N22" s="12">
        <v>937</v>
      </c>
      <c r="O22" s="12">
        <v>884</v>
      </c>
      <c r="P22" s="12">
        <v>953</v>
      </c>
      <c r="Q22" s="12">
        <v>944</v>
      </c>
      <c r="R22" s="12">
        <v>468</v>
      </c>
      <c r="S22" s="12">
        <v>772</v>
      </c>
      <c r="T22" s="12">
        <v>908</v>
      </c>
      <c r="U22" s="12">
        <v>485</v>
      </c>
      <c r="V22" s="12">
        <v>946</v>
      </c>
      <c r="W22" s="12">
        <v>439</v>
      </c>
      <c r="X22" s="12">
        <v>922</v>
      </c>
      <c r="Y22" s="12">
        <v>818</v>
      </c>
      <c r="Z22" s="12">
        <v>864</v>
      </c>
      <c r="AA22" s="12">
        <v>991</v>
      </c>
      <c r="AB22" s="12">
        <v>773</v>
      </c>
      <c r="AC22" s="12">
        <v>886</v>
      </c>
      <c r="AD22" s="12">
        <v>872</v>
      </c>
      <c r="AE22" s="12">
        <v>909</v>
      </c>
      <c r="AF22" s="12">
        <v>942</v>
      </c>
    </row>
    <row r="23" spans="1:32">
      <c r="A23" s="20"/>
      <c r="B23" s="13" t="s">
        <v>500</v>
      </c>
      <c r="C23" s="14">
        <v>0.88</v>
      </c>
      <c r="D23" s="14">
        <v>0.88</v>
      </c>
      <c r="E23" s="14">
        <v>0.84</v>
      </c>
      <c r="F23" s="14">
        <v>0.74</v>
      </c>
      <c r="G23" s="14">
        <v>0.93</v>
      </c>
      <c r="H23" s="14">
        <v>0.87</v>
      </c>
      <c r="I23" s="14">
        <v>0.87</v>
      </c>
      <c r="J23" s="14">
        <v>0.84</v>
      </c>
      <c r="K23" s="14">
        <v>0.62</v>
      </c>
      <c r="L23" s="14">
        <v>0.92</v>
      </c>
      <c r="M23" s="14">
        <v>0.87</v>
      </c>
      <c r="N23" s="14">
        <v>0.93</v>
      </c>
      <c r="O23" s="14">
        <v>0.88</v>
      </c>
      <c r="P23" s="14">
        <v>0.93</v>
      </c>
      <c r="Q23" s="14">
        <v>0.93</v>
      </c>
      <c r="R23" s="14">
        <v>0.94000000000000006</v>
      </c>
      <c r="S23" s="14">
        <v>0.76</v>
      </c>
      <c r="T23" s="14">
        <v>0.89</v>
      </c>
      <c r="U23" s="14">
        <v>0.95000000000000007</v>
      </c>
      <c r="V23" s="14">
        <v>0.93</v>
      </c>
      <c r="W23" s="14">
        <v>0.87</v>
      </c>
      <c r="X23" s="14">
        <v>0.9</v>
      </c>
      <c r="Y23" s="14">
        <v>0.81</v>
      </c>
      <c r="Z23" s="14">
        <v>0.86</v>
      </c>
      <c r="AA23" s="14">
        <v>0.94000000000000006</v>
      </c>
      <c r="AB23" s="14">
        <v>0.74</v>
      </c>
      <c r="AC23" s="14">
        <v>0.87</v>
      </c>
      <c r="AD23" s="14">
        <v>0.86</v>
      </c>
      <c r="AE23" s="14">
        <v>0.91</v>
      </c>
      <c r="AF23" s="14">
        <v>0.92</v>
      </c>
    </row>
    <row r="24" spans="1:32">
      <c r="A24" s="20"/>
      <c r="B24" s="11" t="s">
        <v>501</v>
      </c>
      <c r="C24" s="12">
        <v>2638</v>
      </c>
      <c r="D24" s="12">
        <v>115</v>
      </c>
      <c r="E24" s="12">
        <v>133</v>
      </c>
      <c r="F24" s="12">
        <v>234</v>
      </c>
      <c r="G24" s="12">
        <v>47</v>
      </c>
      <c r="H24" s="12">
        <v>131</v>
      </c>
      <c r="I24" s="12">
        <v>173</v>
      </c>
      <c r="J24" s="12">
        <v>42</v>
      </c>
      <c r="K24" s="12">
        <v>309</v>
      </c>
      <c r="L24" s="12">
        <v>62</v>
      </c>
      <c r="M24" s="12">
        <v>122</v>
      </c>
      <c r="N24" s="12">
        <v>50</v>
      </c>
      <c r="O24" s="12">
        <v>95</v>
      </c>
      <c r="P24" s="12">
        <v>61</v>
      </c>
      <c r="Q24" s="12">
        <v>70</v>
      </c>
      <c r="R24" s="12">
        <v>27</v>
      </c>
      <c r="S24" s="12">
        <v>130</v>
      </c>
      <c r="T24" s="12">
        <v>57</v>
      </c>
      <c r="U24" s="12">
        <v>17</v>
      </c>
      <c r="V24" s="12">
        <v>67</v>
      </c>
      <c r="W24" s="12">
        <v>51</v>
      </c>
      <c r="X24" s="12">
        <v>94</v>
      </c>
      <c r="Y24" s="12">
        <v>170</v>
      </c>
      <c r="Z24" s="12">
        <v>123</v>
      </c>
      <c r="AA24" s="12">
        <v>51</v>
      </c>
      <c r="AB24" s="12">
        <v>228</v>
      </c>
      <c r="AC24" s="12">
        <v>116</v>
      </c>
      <c r="AD24" s="12">
        <v>108</v>
      </c>
      <c r="AE24" s="12">
        <v>73</v>
      </c>
      <c r="AF24" s="12">
        <v>66</v>
      </c>
    </row>
    <row r="25" spans="1:32">
      <c r="A25" s="20"/>
      <c r="B25" s="13" t="s">
        <v>502</v>
      </c>
      <c r="C25" s="14">
        <v>0.1</v>
      </c>
      <c r="D25" s="14">
        <v>0.11</v>
      </c>
      <c r="E25" s="14">
        <v>0.13</v>
      </c>
      <c r="F25" s="14">
        <v>0.23</v>
      </c>
      <c r="G25" s="14">
        <v>0.04</v>
      </c>
      <c r="H25" s="14">
        <v>0.11</v>
      </c>
      <c r="I25" s="14">
        <v>0.11</v>
      </c>
      <c r="J25" s="14">
        <v>0.14000000000000001</v>
      </c>
      <c r="K25" s="14">
        <v>0.31</v>
      </c>
      <c r="L25" s="14">
        <v>0.06</v>
      </c>
      <c r="M25" s="14">
        <v>0.12</v>
      </c>
      <c r="N25" s="14">
        <v>0.05</v>
      </c>
      <c r="O25" s="14">
        <v>0.09</v>
      </c>
      <c r="P25" s="14">
        <v>0.06</v>
      </c>
      <c r="Q25" s="14">
        <v>7.0000000000000007E-2</v>
      </c>
      <c r="R25" s="14">
        <v>0.05</v>
      </c>
      <c r="S25" s="14">
        <v>0.13</v>
      </c>
      <c r="T25" s="14">
        <v>0.06</v>
      </c>
      <c r="U25" s="14">
        <v>0.04</v>
      </c>
      <c r="V25" s="14">
        <v>7.0000000000000007E-2</v>
      </c>
      <c r="W25" s="14">
        <v>0.1</v>
      </c>
      <c r="X25" s="14">
        <v>0.09</v>
      </c>
      <c r="Y25" s="14">
        <v>0.17</v>
      </c>
      <c r="Z25" s="14">
        <v>0.12</v>
      </c>
      <c r="AA25" s="14">
        <v>0.05</v>
      </c>
      <c r="AB25" s="14">
        <v>0.22</v>
      </c>
      <c r="AC25" s="14">
        <v>0.12</v>
      </c>
      <c r="AD25" s="14">
        <v>0.11</v>
      </c>
      <c r="AE25" s="14">
        <v>7.0000000000000007E-2</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1148</v>
      </c>
      <c r="C3" s="18"/>
      <c r="D3" s="18"/>
      <c r="E3" s="18"/>
      <c r="F3" s="18"/>
      <c r="H3" s="18" t="s">
        <v>1149</v>
      </c>
      <c r="I3" s="18"/>
      <c r="J3" s="18"/>
      <c r="K3" s="18"/>
      <c r="L3" s="18"/>
    </row>
    <row r="4" spans="1:32" ht="27" customHeight="1">
      <c r="B4" s="18" t="s">
        <v>1069</v>
      </c>
      <c r="C4" s="18"/>
      <c r="D4" s="18"/>
      <c r="E4" s="18"/>
      <c r="F4" s="18"/>
      <c r="H4" s="18" t="s">
        <v>1070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HYPERLINK("#Content!A109","&lt;&lt;Back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11421</v>
      </c>
      <c r="D12" s="12">
        <v>390</v>
      </c>
      <c r="E12" s="12">
        <v>550</v>
      </c>
      <c r="F12" s="12">
        <v>314</v>
      </c>
      <c r="G12" s="12">
        <v>534</v>
      </c>
      <c r="H12" s="12">
        <v>486</v>
      </c>
      <c r="I12" s="12">
        <v>605</v>
      </c>
      <c r="J12" s="12">
        <v>119</v>
      </c>
      <c r="K12" s="12">
        <v>244</v>
      </c>
      <c r="L12" s="12">
        <v>663</v>
      </c>
      <c r="M12" s="12">
        <v>534</v>
      </c>
      <c r="N12" s="12">
        <v>477</v>
      </c>
      <c r="O12" s="12">
        <v>452</v>
      </c>
      <c r="P12" s="12">
        <v>446</v>
      </c>
      <c r="Q12" s="12">
        <v>448</v>
      </c>
      <c r="R12" s="12">
        <v>351</v>
      </c>
      <c r="S12" s="12">
        <v>361</v>
      </c>
      <c r="T12" s="12">
        <v>481</v>
      </c>
      <c r="U12" s="12">
        <v>261</v>
      </c>
      <c r="V12" s="12">
        <v>558</v>
      </c>
      <c r="W12" s="12">
        <v>337</v>
      </c>
      <c r="X12" s="12">
        <v>497</v>
      </c>
      <c r="Y12" s="12">
        <v>439</v>
      </c>
      <c r="Z12" s="12">
        <v>294</v>
      </c>
      <c r="AA12" s="12">
        <v>490</v>
      </c>
      <c r="AB12" s="12">
        <v>382</v>
      </c>
      <c r="AC12" s="12">
        <v>440</v>
      </c>
      <c r="AD12" s="12">
        <v>544</v>
      </c>
      <c r="AE12" s="12">
        <v>377</v>
      </c>
      <c r="AF12" s="12">
        <v>570</v>
      </c>
    </row>
    <row r="13" spans="1:32">
      <c r="A13" s="20"/>
      <c r="B13" s="13" t="s">
        <v>493</v>
      </c>
      <c r="C13" s="14">
        <v>0.43</v>
      </c>
      <c r="D13" s="14">
        <v>0.39</v>
      </c>
      <c r="E13" s="14">
        <v>0.54</v>
      </c>
      <c r="F13" s="14">
        <v>0.31</v>
      </c>
      <c r="G13" s="14">
        <v>0.53</v>
      </c>
      <c r="H13" s="14">
        <v>0.4</v>
      </c>
      <c r="I13" s="14">
        <v>0.4</v>
      </c>
      <c r="J13" s="14">
        <v>0.41</v>
      </c>
      <c r="K13" s="14">
        <v>0.24</v>
      </c>
      <c r="L13" s="14">
        <v>0.66</v>
      </c>
      <c r="M13" s="14">
        <v>0.53</v>
      </c>
      <c r="N13" s="14">
        <v>0.47</v>
      </c>
      <c r="O13" s="14">
        <v>0.45</v>
      </c>
      <c r="P13" s="14">
        <v>0.44</v>
      </c>
      <c r="Q13" s="14">
        <v>0.44</v>
      </c>
      <c r="R13" s="14">
        <v>0.70000000000000007</v>
      </c>
      <c r="S13" s="14">
        <v>0.36</v>
      </c>
      <c r="T13" s="14">
        <v>0.48</v>
      </c>
      <c r="U13" s="14">
        <v>0.51</v>
      </c>
      <c r="V13" s="14">
        <v>0.55000000000000004</v>
      </c>
      <c r="W13" s="14">
        <v>0.67</v>
      </c>
      <c r="X13" s="14">
        <v>0.49</v>
      </c>
      <c r="Y13" s="14">
        <v>0.44</v>
      </c>
      <c r="Z13" s="14">
        <v>0.28999999999999998</v>
      </c>
      <c r="AA13" s="14">
        <v>0.47</v>
      </c>
      <c r="AB13" s="14">
        <v>0.37</v>
      </c>
      <c r="AC13" s="14">
        <v>0.43</v>
      </c>
      <c r="AD13" s="14">
        <v>0.54</v>
      </c>
      <c r="AE13" s="14">
        <v>0.38</v>
      </c>
      <c r="AF13" s="14">
        <v>0.56000000000000005</v>
      </c>
    </row>
    <row r="14" spans="1:32">
      <c r="A14" s="20"/>
      <c r="B14" s="11" t="s">
        <v>643</v>
      </c>
      <c r="C14" s="12">
        <v>12035</v>
      </c>
      <c r="D14" s="12">
        <v>481</v>
      </c>
      <c r="E14" s="12">
        <v>372</v>
      </c>
      <c r="F14" s="12">
        <v>427</v>
      </c>
      <c r="G14" s="12">
        <v>371</v>
      </c>
      <c r="H14" s="12">
        <v>584</v>
      </c>
      <c r="I14" s="12">
        <v>710</v>
      </c>
      <c r="J14" s="12">
        <v>126</v>
      </c>
      <c r="K14" s="12">
        <v>506</v>
      </c>
      <c r="L14" s="12">
        <v>262</v>
      </c>
      <c r="M14" s="12">
        <v>376</v>
      </c>
      <c r="N14" s="12">
        <v>443</v>
      </c>
      <c r="O14" s="12">
        <v>460</v>
      </c>
      <c r="P14" s="12">
        <v>516</v>
      </c>
      <c r="Q14" s="12">
        <v>498</v>
      </c>
      <c r="R14" s="12">
        <v>121</v>
      </c>
      <c r="S14" s="12">
        <v>468</v>
      </c>
      <c r="T14" s="12">
        <v>424</v>
      </c>
      <c r="U14" s="12">
        <v>211</v>
      </c>
      <c r="V14" s="12">
        <v>389</v>
      </c>
      <c r="W14" s="12">
        <v>127</v>
      </c>
      <c r="X14" s="12">
        <v>393</v>
      </c>
      <c r="Y14" s="12">
        <v>425</v>
      </c>
      <c r="Z14" s="12">
        <v>610</v>
      </c>
      <c r="AA14" s="12">
        <v>489</v>
      </c>
      <c r="AB14" s="12">
        <v>453</v>
      </c>
      <c r="AC14" s="12">
        <v>434</v>
      </c>
      <c r="AD14" s="12">
        <v>386</v>
      </c>
      <c r="AE14" s="12">
        <v>456</v>
      </c>
      <c r="AF14" s="12">
        <v>346</v>
      </c>
    </row>
    <row r="15" spans="1:32">
      <c r="A15" s="20"/>
      <c r="B15" s="13" t="s">
        <v>495</v>
      </c>
      <c r="C15" s="14">
        <v>0.46</v>
      </c>
      <c r="D15" s="14">
        <v>0.48</v>
      </c>
      <c r="E15" s="14">
        <v>0.37</v>
      </c>
      <c r="F15" s="14">
        <v>0.43</v>
      </c>
      <c r="G15" s="14">
        <v>0.37</v>
      </c>
      <c r="H15" s="14">
        <v>0.48</v>
      </c>
      <c r="I15" s="14">
        <v>0.47</v>
      </c>
      <c r="J15" s="14">
        <v>0.43</v>
      </c>
      <c r="K15" s="14">
        <v>0.5</v>
      </c>
      <c r="L15" s="14">
        <v>0.26</v>
      </c>
      <c r="M15" s="14">
        <v>0.38</v>
      </c>
      <c r="N15" s="14">
        <v>0.44</v>
      </c>
      <c r="O15" s="14">
        <v>0.46</v>
      </c>
      <c r="P15" s="14">
        <v>0.5</v>
      </c>
      <c r="Q15" s="14">
        <v>0.49</v>
      </c>
      <c r="R15" s="14">
        <v>0.24</v>
      </c>
      <c r="S15" s="14">
        <v>0.46</v>
      </c>
      <c r="T15" s="14">
        <v>0.42</v>
      </c>
      <c r="U15" s="14">
        <v>0.42</v>
      </c>
      <c r="V15" s="14">
        <v>0.38</v>
      </c>
      <c r="W15" s="14">
        <v>0.25</v>
      </c>
      <c r="X15" s="14">
        <v>0.38</v>
      </c>
      <c r="Y15" s="14">
        <v>0.42</v>
      </c>
      <c r="Z15" s="14">
        <v>0.61</v>
      </c>
      <c r="AA15" s="14">
        <v>0.46</v>
      </c>
      <c r="AB15" s="14">
        <v>0.44</v>
      </c>
      <c r="AC15" s="14">
        <v>0.43</v>
      </c>
      <c r="AD15" s="14">
        <v>0.38</v>
      </c>
      <c r="AE15" s="14">
        <v>0.46</v>
      </c>
      <c r="AF15" s="14">
        <v>0.34</v>
      </c>
    </row>
    <row r="16" spans="1:32">
      <c r="A16" s="20"/>
      <c r="B16" s="11" t="s">
        <v>1141</v>
      </c>
      <c r="C16" s="12">
        <v>1841</v>
      </c>
      <c r="D16" s="12">
        <v>88</v>
      </c>
      <c r="E16" s="12">
        <v>63</v>
      </c>
      <c r="F16" s="12">
        <v>171</v>
      </c>
      <c r="G16" s="12">
        <v>52</v>
      </c>
      <c r="H16" s="12">
        <v>87</v>
      </c>
      <c r="I16" s="12">
        <v>120</v>
      </c>
      <c r="J16" s="12">
        <v>33</v>
      </c>
      <c r="K16" s="12">
        <v>164</v>
      </c>
      <c r="L16" s="12">
        <v>30</v>
      </c>
      <c r="M16" s="12">
        <v>63</v>
      </c>
      <c r="N16" s="12">
        <v>59</v>
      </c>
      <c r="O16" s="12">
        <v>43</v>
      </c>
      <c r="P16" s="12">
        <v>44</v>
      </c>
      <c r="Q16" s="12">
        <v>44</v>
      </c>
      <c r="R16" s="12">
        <v>23</v>
      </c>
      <c r="S16" s="12">
        <v>75</v>
      </c>
      <c r="T16" s="12">
        <v>54</v>
      </c>
      <c r="U16" s="12">
        <v>25</v>
      </c>
      <c r="V16" s="12">
        <v>55</v>
      </c>
      <c r="W16" s="12">
        <v>18</v>
      </c>
      <c r="X16" s="12">
        <v>88</v>
      </c>
      <c r="Y16" s="12">
        <v>91</v>
      </c>
      <c r="Z16" s="12">
        <v>84</v>
      </c>
      <c r="AA16" s="12">
        <v>47</v>
      </c>
      <c r="AB16" s="12">
        <v>161</v>
      </c>
      <c r="AC16" s="12">
        <v>93</v>
      </c>
      <c r="AD16" s="12">
        <v>53</v>
      </c>
      <c r="AE16" s="12">
        <v>112</v>
      </c>
      <c r="AF16" s="12">
        <v>76</v>
      </c>
    </row>
    <row r="17" spans="1:32">
      <c r="A17" s="20"/>
      <c r="B17" s="13" t="s">
        <v>497</v>
      </c>
      <c r="C17" s="14">
        <v>7.0000000000000007E-2</v>
      </c>
      <c r="D17" s="14">
        <v>0.09</v>
      </c>
      <c r="E17" s="14">
        <v>0.06</v>
      </c>
      <c r="F17" s="14">
        <v>0.17</v>
      </c>
      <c r="G17" s="14">
        <v>0.05</v>
      </c>
      <c r="H17" s="14">
        <v>7.0000000000000007E-2</v>
      </c>
      <c r="I17" s="14">
        <v>0.08</v>
      </c>
      <c r="J17" s="14">
        <v>0.11</v>
      </c>
      <c r="K17" s="14">
        <v>0.16</v>
      </c>
      <c r="L17" s="14">
        <v>0.03</v>
      </c>
      <c r="M17" s="14">
        <v>0.06</v>
      </c>
      <c r="N17" s="14">
        <v>0.06</v>
      </c>
      <c r="O17" s="14">
        <v>0.04</v>
      </c>
      <c r="P17" s="14">
        <v>0.04</v>
      </c>
      <c r="Q17" s="14">
        <v>0.04</v>
      </c>
      <c r="R17" s="14">
        <v>0.05</v>
      </c>
      <c r="S17" s="14">
        <v>7.0000000000000007E-2</v>
      </c>
      <c r="T17" s="14">
        <v>0.05</v>
      </c>
      <c r="U17" s="14">
        <v>0.05</v>
      </c>
      <c r="V17" s="14">
        <v>0.06</v>
      </c>
      <c r="W17" s="14">
        <v>0.04</v>
      </c>
      <c r="X17" s="14">
        <v>0.09</v>
      </c>
      <c r="Y17" s="14">
        <v>0.09</v>
      </c>
      <c r="Z17" s="14">
        <v>0.08</v>
      </c>
      <c r="AA17" s="14">
        <v>0.04</v>
      </c>
      <c r="AB17" s="14">
        <v>0.15</v>
      </c>
      <c r="AC17" s="14">
        <v>0.09</v>
      </c>
      <c r="AD17" s="14">
        <v>0.05</v>
      </c>
      <c r="AE17" s="14">
        <v>0.11</v>
      </c>
      <c r="AF17" s="14">
        <v>7.0000000000000007E-2</v>
      </c>
    </row>
    <row r="18" spans="1:32">
      <c r="A18" s="20"/>
      <c r="B18" s="11" t="s">
        <v>646</v>
      </c>
      <c r="C18" s="12">
        <v>562</v>
      </c>
      <c r="D18" s="12">
        <v>37</v>
      </c>
      <c r="E18" s="12">
        <v>14</v>
      </c>
      <c r="F18" s="12">
        <v>54</v>
      </c>
      <c r="G18" s="12">
        <v>19</v>
      </c>
      <c r="H18" s="12">
        <v>26</v>
      </c>
      <c r="I18" s="12">
        <v>38</v>
      </c>
      <c r="J18" s="12">
        <v>13</v>
      </c>
      <c r="K18" s="12">
        <v>64</v>
      </c>
      <c r="L18" s="12">
        <v>33</v>
      </c>
      <c r="M18" s="12">
        <v>24</v>
      </c>
      <c r="N18" s="12">
        <v>10</v>
      </c>
      <c r="O18" s="12">
        <v>21</v>
      </c>
      <c r="P18" s="12">
        <v>8</v>
      </c>
      <c r="Q18" s="12">
        <v>20</v>
      </c>
      <c r="R18" s="12">
        <v>6</v>
      </c>
      <c r="S18" s="12">
        <v>27</v>
      </c>
      <c r="T18" s="12">
        <v>14</v>
      </c>
      <c r="U18" s="12">
        <v>4</v>
      </c>
      <c r="V18" s="12">
        <v>4</v>
      </c>
      <c r="W18" s="12">
        <v>20</v>
      </c>
      <c r="X18" s="12">
        <v>38</v>
      </c>
      <c r="Y18" s="12">
        <v>44</v>
      </c>
      <c r="Z18" s="12">
        <v>14</v>
      </c>
      <c r="AA18" s="12">
        <v>16</v>
      </c>
      <c r="AB18" s="12">
        <v>16</v>
      </c>
      <c r="AC18" s="12">
        <v>37</v>
      </c>
      <c r="AD18" s="12">
        <v>9</v>
      </c>
      <c r="AE18" s="12">
        <v>33</v>
      </c>
      <c r="AF18" s="12">
        <v>20</v>
      </c>
    </row>
    <row r="19" spans="1:32">
      <c r="A19" s="20"/>
      <c r="B19" s="13" t="s">
        <v>499</v>
      </c>
      <c r="C19" s="14">
        <v>0.02</v>
      </c>
      <c r="D19" s="14">
        <v>0.04</v>
      </c>
      <c r="E19" s="14">
        <v>0.01</v>
      </c>
      <c r="F19" s="14">
        <v>0.05</v>
      </c>
      <c r="G19" s="14">
        <v>0.02</v>
      </c>
      <c r="H19" s="14">
        <v>0.02</v>
      </c>
      <c r="I19" s="14">
        <v>0.03</v>
      </c>
      <c r="J19" s="14">
        <v>0.04</v>
      </c>
      <c r="K19" s="14">
        <v>7.0000000000000007E-2</v>
      </c>
      <c r="L19" s="14">
        <v>0.03</v>
      </c>
      <c r="M19" s="14">
        <v>0.02</v>
      </c>
      <c r="N19" s="14">
        <v>0.01</v>
      </c>
      <c r="O19" s="14">
        <v>0.02</v>
      </c>
      <c r="P19" s="14">
        <v>0.01</v>
      </c>
      <c r="Q19" s="14">
        <v>0.02</v>
      </c>
      <c r="R19" s="14">
        <v>0.01</v>
      </c>
      <c r="S19" s="14">
        <v>0.03</v>
      </c>
      <c r="T19" s="14">
        <v>0.01</v>
      </c>
      <c r="U19" s="14">
        <v>0.01</v>
      </c>
      <c r="V19" s="15" t="s">
        <v>459</v>
      </c>
      <c r="W19" s="14">
        <v>0.04</v>
      </c>
      <c r="X19" s="14">
        <v>0.04</v>
      </c>
      <c r="Y19" s="14">
        <v>0.04</v>
      </c>
      <c r="Z19" s="14">
        <v>0.01</v>
      </c>
      <c r="AA19" s="14">
        <v>0.02</v>
      </c>
      <c r="AB19" s="14">
        <v>0.01</v>
      </c>
      <c r="AC19" s="14">
        <v>0.04</v>
      </c>
      <c r="AD19" s="14">
        <v>0.01</v>
      </c>
      <c r="AE19" s="14">
        <v>0.03</v>
      </c>
      <c r="AF19" s="14">
        <v>0.02</v>
      </c>
    </row>
    <row r="20" spans="1:32">
      <c r="A20" s="20"/>
      <c r="B20" s="11" t="s">
        <v>468</v>
      </c>
      <c r="C20" s="12">
        <v>460</v>
      </c>
      <c r="D20" s="12">
        <v>7</v>
      </c>
      <c r="E20" s="12">
        <v>19</v>
      </c>
      <c r="F20" s="12">
        <v>39</v>
      </c>
      <c r="G20" s="12">
        <v>28</v>
      </c>
      <c r="H20" s="12">
        <v>33</v>
      </c>
      <c r="I20" s="12">
        <v>37</v>
      </c>
      <c r="J20" s="12">
        <v>3</v>
      </c>
      <c r="K20" s="12">
        <v>28</v>
      </c>
      <c r="L20" s="12">
        <v>19</v>
      </c>
      <c r="M20" s="12">
        <v>6</v>
      </c>
      <c r="N20" s="12">
        <v>16</v>
      </c>
      <c r="O20" s="12">
        <v>28</v>
      </c>
      <c r="P20" s="12">
        <v>8</v>
      </c>
      <c r="Q20" s="12">
        <v>8</v>
      </c>
      <c r="R20" s="12">
        <v>0</v>
      </c>
      <c r="S20" s="12">
        <v>78</v>
      </c>
      <c r="T20" s="12">
        <v>40</v>
      </c>
      <c r="U20" s="12">
        <v>7</v>
      </c>
      <c r="V20" s="12">
        <v>11</v>
      </c>
      <c r="W20" s="12">
        <v>1</v>
      </c>
      <c r="X20" s="12">
        <v>5</v>
      </c>
      <c r="Y20" s="12">
        <v>8</v>
      </c>
      <c r="Z20" s="12">
        <v>6</v>
      </c>
      <c r="AA20" s="12">
        <v>11</v>
      </c>
      <c r="AB20" s="12">
        <v>27</v>
      </c>
      <c r="AC20" s="12">
        <v>6</v>
      </c>
      <c r="AD20" s="12">
        <v>15</v>
      </c>
      <c r="AE20" s="12">
        <v>23</v>
      </c>
      <c r="AF20" s="12">
        <v>8</v>
      </c>
    </row>
    <row r="21" spans="1:32">
      <c r="A21" s="20"/>
      <c r="B21" s="13" t="s">
        <v>469</v>
      </c>
      <c r="C21" s="14">
        <v>0.02</v>
      </c>
      <c r="D21" s="15" t="s">
        <v>459</v>
      </c>
      <c r="E21" s="14">
        <v>0.02</v>
      </c>
      <c r="F21" s="14">
        <v>0.04</v>
      </c>
      <c r="G21" s="14">
        <v>0.03</v>
      </c>
      <c r="H21" s="14">
        <v>0.03</v>
      </c>
      <c r="I21" s="14">
        <v>0.02</v>
      </c>
      <c r="J21" s="14">
        <v>0.01</v>
      </c>
      <c r="K21" s="14">
        <v>0.03</v>
      </c>
      <c r="L21" s="14">
        <v>0.02</v>
      </c>
      <c r="M21" s="14">
        <v>0.01</v>
      </c>
      <c r="N21" s="14">
        <v>0.02</v>
      </c>
      <c r="O21" s="14">
        <v>0.03</v>
      </c>
      <c r="P21" s="14">
        <v>0.01</v>
      </c>
      <c r="Q21" s="14">
        <v>0.01</v>
      </c>
      <c r="R21" s="15" t="s">
        <v>459</v>
      </c>
      <c r="S21" s="14">
        <v>0.08</v>
      </c>
      <c r="T21" s="14">
        <v>0.04</v>
      </c>
      <c r="U21" s="14">
        <v>0.01</v>
      </c>
      <c r="V21" s="14">
        <v>0.01</v>
      </c>
      <c r="W21" s="15" t="s">
        <v>459</v>
      </c>
      <c r="X21" s="15" t="s">
        <v>459</v>
      </c>
      <c r="Y21" s="14">
        <v>0.01</v>
      </c>
      <c r="Z21" s="14">
        <v>0.01</v>
      </c>
      <c r="AA21" s="14">
        <v>0.01</v>
      </c>
      <c r="AB21" s="14">
        <v>0.03</v>
      </c>
      <c r="AC21" s="14">
        <v>0.01</v>
      </c>
      <c r="AD21" s="14">
        <v>0.02</v>
      </c>
      <c r="AE21" s="14">
        <v>0.02</v>
      </c>
      <c r="AF21" s="14">
        <v>0.01</v>
      </c>
    </row>
    <row r="22" spans="1:32">
      <c r="A22" s="20"/>
      <c r="B22" s="11" t="s">
        <v>500</v>
      </c>
      <c r="C22" s="12">
        <v>23456</v>
      </c>
      <c r="D22" s="12">
        <v>871</v>
      </c>
      <c r="E22" s="12">
        <v>922</v>
      </c>
      <c r="F22" s="12">
        <v>741</v>
      </c>
      <c r="G22" s="12">
        <v>905</v>
      </c>
      <c r="H22" s="12">
        <v>1070</v>
      </c>
      <c r="I22" s="12">
        <v>1315</v>
      </c>
      <c r="J22" s="12">
        <v>245</v>
      </c>
      <c r="K22" s="12">
        <v>750</v>
      </c>
      <c r="L22" s="12">
        <v>925</v>
      </c>
      <c r="M22" s="12">
        <v>910</v>
      </c>
      <c r="N22" s="12">
        <v>920</v>
      </c>
      <c r="O22" s="12">
        <v>912</v>
      </c>
      <c r="P22" s="12">
        <v>962</v>
      </c>
      <c r="Q22" s="12">
        <v>946</v>
      </c>
      <c r="R22" s="12">
        <v>472</v>
      </c>
      <c r="S22" s="12">
        <v>829</v>
      </c>
      <c r="T22" s="12">
        <v>905</v>
      </c>
      <c r="U22" s="12">
        <v>472</v>
      </c>
      <c r="V22" s="12">
        <v>947</v>
      </c>
      <c r="W22" s="12">
        <v>464</v>
      </c>
      <c r="X22" s="12">
        <v>890</v>
      </c>
      <c r="Y22" s="12">
        <v>864</v>
      </c>
      <c r="Z22" s="12">
        <v>904</v>
      </c>
      <c r="AA22" s="12">
        <v>979</v>
      </c>
      <c r="AB22" s="12">
        <v>835</v>
      </c>
      <c r="AC22" s="12">
        <v>874</v>
      </c>
      <c r="AD22" s="12">
        <v>930</v>
      </c>
      <c r="AE22" s="12">
        <v>833</v>
      </c>
      <c r="AF22" s="12">
        <v>916</v>
      </c>
    </row>
    <row r="23" spans="1:32">
      <c r="A23" s="20"/>
      <c r="B23" s="13" t="s">
        <v>500</v>
      </c>
      <c r="C23" s="14">
        <v>0.89</v>
      </c>
      <c r="D23" s="14">
        <v>0.87</v>
      </c>
      <c r="E23" s="14">
        <v>0.91</v>
      </c>
      <c r="F23" s="14">
        <v>0.74</v>
      </c>
      <c r="G23" s="14">
        <v>0.9</v>
      </c>
      <c r="H23" s="14">
        <v>0.88</v>
      </c>
      <c r="I23" s="14">
        <v>0.87</v>
      </c>
      <c r="J23" s="14">
        <v>0.84</v>
      </c>
      <c r="K23" s="14">
        <v>0.74</v>
      </c>
      <c r="L23" s="14">
        <v>0.92</v>
      </c>
      <c r="M23" s="14">
        <v>0.91</v>
      </c>
      <c r="N23" s="14">
        <v>0.91</v>
      </c>
      <c r="O23" s="14">
        <v>0.91</v>
      </c>
      <c r="P23" s="14">
        <v>0.94000000000000006</v>
      </c>
      <c r="Q23" s="14">
        <v>0.93</v>
      </c>
      <c r="R23" s="14">
        <v>0.94000000000000006</v>
      </c>
      <c r="S23" s="14">
        <v>0.82000000000000006</v>
      </c>
      <c r="T23" s="14">
        <v>0.9</v>
      </c>
      <c r="U23" s="14">
        <v>0.93</v>
      </c>
      <c r="V23" s="14">
        <v>0.93</v>
      </c>
      <c r="W23" s="14">
        <v>0.92</v>
      </c>
      <c r="X23" s="14">
        <v>0.87</v>
      </c>
      <c r="Y23" s="14">
        <v>0.86</v>
      </c>
      <c r="Z23" s="14">
        <v>0.9</v>
      </c>
      <c r="AA23" s="14">
        <v>0.93</v>
      </c>
      <c r="AB23" s="14">
        <v>0.81</v>
      </c>
      <c r="AC23" s="14">
        <v>0.86</v>
      </c>
      <c r="AD23" s="14">
        <v>0.92</v>
      </c>
      <c r="AE23" s="14">
        <v>0.84</v>
      </c>
      <c r="AF23" s="14">
        <v>0.9</v>
      </c>
    </row>
    <row r="24" spans="1:32">
      <c r="A24" s="20"/>
      <c r="B24" s="11" t="s">
        <v>501</v>
      </c>
      <c r="C24" s="12">
        <v>2403</v>
      </c>
      <c r="D24" s="12">
        <v>125</v>
      </c>
      <c r="E24" s="12">
        <v>77</v>
      </c>
      <c r="F24" s="12">
        <v>225</v>
      </c>
      <c r="G24" s="12">
        <v>71</v>
      </c>
      <c r="H24" s="12">
        <v>113</v>
      </c>
      <c r="I24" s="12">
        <v>158</v>
      </c>
      <c r="J24" s="12">
        <v>46</v>
      </c>
      <c r="K24" s="12">
        <v>228</v>
      </c>
      <c r="L24" s="12">
        <v>63</v>
      </c>
      <c r="M24" s="12">
        <v>87</v>
      </c>
      <c r="N24" s="12">
        <v>69</v>
      </c>
      <c r="O24" s="12">
        <v>64</v>
      </c>
      <c r="P24" s="12">
        <v>52</v>
      </c>
      <c r="Q24" s="12">
        <v>64</v>
      </c>
      <c r="R24" s="12">
        <v>29</v>
      </c>
      <c r="S24" s="12">
        <v>102</v>
      </c>
      <c r="T24" s="12">
        <v>68</v>
      </c>
      <c r="U24" s="12">
        <v>29</v>
      </c>
      <c r="V24" s="12">
        <v>59</v>
      </c>
      <c r="W24" s="12">
        <v>38</v>
      </c>
      <c r="X24" s="12">
        <v>126</v>
      </c>
      <c r="Y24" s="12">
        <v>135</v>
      </c>
      <c r="Z24" s="12">
        <v>98</v>
      </c>
      <c r="AA24" s="12">
        <v>63</v>
      </c>
      <c r="AB24" s="12">
        <v>177</v>
      </c>
      <c r="AC24" s="12">
        <v>130</v>
      </c>
      <c r="AD24" s="12">
        <v>62</v>
      </c>
      <c r="AE24" s="12">
        <v>145</v>
      </c>
      <c r="AF24" s="12">
        <v>96</v>
      </c>
    </row>
    <row r="25" spans="1:32">
      <c r="A25" s="20"/>
      <c r="B25" s="13" t="s">
        <v>502</v>
      </c>
      <c r="C25" s="14">
        <v>0.09</v>
      </c>
      <c r="D25" s="14">
        <v>0.13</v>
      </c>
      <c r="E25" s="14">
        <v>7.0000000000000007E-2</v>
      </c>
      <c r="F25" s="14">
        <v>0.22</v>
      </c>
      <c r="G25" s="14">
        <v>7.0000000000000007E-2</v>
      </c>
      <c r="H25" s="14">
        <v>0.09</v>
      </c>
      <c r="I25" s="14">
        <v>0.11</v>
      </c>
      <c r="J25" s="14">
        <v>0.15</v>
      </c>
      <c r="K25" s="14">
        <v>0.23</v>
      </c>
      <c r="L25" s="14">
        <v>0.06</v>
      </c>
      <c r="M25" s="14">
        <v>0.08</v>
      </c>
      <c r="N25" s="14">
        <v>7.0000000000000007E-2</v>
      </c>
      <c r="O25" s="14">
        <v>0.06</v>
      </c>
      <c r="P25" s="14">
        <v>0.05</v>
      </c>
      <c r="Q25" s="14">
        <v>0.06</v>
      </c>
      <c r="R25" s="14">
        <v>0.06</v>
      </c>
      <c r="S25" s="14">
        <v>0.1</v>
      </c>
      <c r="T25" s="14">
        <v>0.06</v>
      </c>
      <c r="U25" s="14">
        <v>0.06</v>
      </c>
      <c r="V25" s="14">
        <v>0.06</v>
      </c>
      <c r="W25" s="14">
        <v>0.08</v>
      </c>
      <c r="X25" s="14">
        <v>0.13</v>
      </c>
      <c r="Y25" s="14">
        <v>0.13</v>
      </c>
      <c r="Z25" s="14">
        <v>0.09</v>
      </c>
      <c r="AA25" s="14">
        <v>0.06</v>
      </c>
      <c r="AB25" s="14">
        <v>0.16</v>
      </c>
      <c r="AC25" s="14">
        <v>0.13</v>
      </c>
      <c r="AD25" s="14">
        <v>0.06</v>
      </c>
      <c r="AE25" s="14">
        <v>0.14000000000000001</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1150</v>
      </c>
      <c r="C3" s="18"/>
      <c r="D3" s="18"/>
      <c r="E3" s="18"/>
      <c r="F3" s="18"/>
      <c r="H3" s="18" t="s">
        <v>1151</v>
      </c>
      <c r="I3" s="18"/>
      <c r="J3" s="18"/>
      <c r="K3" s="18"/>
      <c r="L3" s="18"/>
    </row>
    <row r="4" spans="1:32" ht="27" customHeight="1">
      <c r="B4" s="18" t="s">
        <v>1144</v>
      </c>
      <c r="C4" s="18"/>
      <c r="D4" s="18"/>
      <c r="E4" s="18"/>
      <c r="F4" s="18"/>
      <c r="H4" s="18" t="s">
        <v>774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12640</v>
      </c>
      <c r="D12" s="12">
        <v>446</v>
      </c>
      <c r="E12" s="12">
        <v>620</v>
      </c>
      <c r="F12" s="12">
        <v>346</v>
      </c>
      <c r="G12" s="12">
        <v>629</v>
      </c>
      <c r="H12" s="12">
        <v>528</v>
      </c>
      <c r="I12" s="12">
        <v>672</v>
      </c>
      <c r="J12" s="12">
        <v>143</v>
      </c>
      <c r="K12" s="12">
        <v>279</v>
      </c>
      <c r="L12" s="12">
        <v>671</v>
      </c>
      <c r="M12" s="12">
        <v>567</v>
      </c>
      <c r="N12" s="12">
        <v>501</v>
      </c>
      <c r="O12" s="12">
        <v>508</v>
      </c>
      <c r="P12" s="12">
        <v>473</v>
      </c>
      <c r="Q12" s="12">
        <v>505</v>
      </c>
      <c r="R12" s="12">
        <v>379</v>
      </c>
      <c r="S12" s="12">
        <v>360</v>
      </c>
      <c r="T12" s="12">
        <v>517</v>
      </c>
      <c r="U12" s="12">
        <v>286</v>
      </c>
      <c r="V12" s="12">
        <v>606</v>
      </c>
      <c r="W12" s="12">
        <v>367</v>
      </c>
      <c r="X12" s="12">
        <v>605</v>
      </c>
      <c r="Y12" s="12">
        <v>500</v>
      </c>
      <c r="Z12" s="12">
        <v>334</v>
      </c>
      <c r="AA12" s="12">
        <v>534</v>
      </c>
      <c r="AB12" s="12">
        <v>382</v>
      </c>
      <c r="AC12" s="12">
        <v>498</v>
      </c>
      <c r="AD12" s="12">
        <v>618</v>
      </c>
      <c r="AE12" s="12">
        <v>406</v>
      </c>
      <c r="AF12" s="12">
        <v>630</v>
      </c>
    </row>
    <row r="13" spans="1:32">
      <c r="A13" s="20"/>
      <c r="B13" s="13" t="s">
        <v>493</v>
      </c>
      <c r="C13" s="14">
        <v>0.48</v>
      </c>
      <c r="D13" s="14">
        <v>0.45</v>
      </c>
      <c r="E13" s="14">
        <v>0.61</v>
      </c>
      <c r="F13" s="14">
        <v>0.34</v>
      </c>
      <c r="G13" s="14">
        <v>0.63</v>
      </c>
      <c r="H13" s="14">
        <v>0.43</v>
      </c>
      <c r="I13" s="14">
        <v>0.44</v>
      </c>
      <c r="J13" s="14">
        <v>0.49</v>
      </c>
      <c r="K13" s="14">
        <v>0.28000000000000003</v>
      </c>
      <c r="L13" s="14">
        <v>0.66</v>
      </c>
      <c r="M13" s="14">
        <v>0.57000000000000006</v>
      </c>
      <c r="N13" s="14">
        <v>0.5</v>
      </c>
      <c r="O13" s="14">
        <v>0.51</v>
      </c>
      <c r="P13" s="14">
        <v>0.46</v>
      </c>
      <c r="Q13" s="14">
        <v>0.5</v>
      </c>
      <c r="R13" s="14">
        <v>0.76</v>
      </c>
      <c r="S13" s="14">
        <v>0.36</v>
      </c>
      <c r="T13" s="14">
        <v>0.51</v>
      </c>
      <c r="U13" s="14">
        <v>0.56000000000000005</v>
      </c>
      <c r="V13" s="14">
        <v>0.59</v>
      </c>
      <c r="W13" s="14">
        <v>0.73</v>
      </c>
      <c r="X13" s="14">
        <v>0.59</v>
      </c>
      <c r="Y13" s="14">
        <v>0.5</v>
      </c>
      <c r="Z13" s="14">
        <v>0.33</v>
      </c>
      <c r="AA13" s="14">
        <v>0.51</v>
      </c>
      <c r="AB13" s="14">
        <v>0.37</v>
      </c>
      <c r="AC13" s="14">
        <v>0.49</v>
      </c>
      <c r="AD13" s="14">
        <v>0.62</v>
      </c>
      <c r="AE13" s="14">
        <v>0.4</v>
      </c>
      <c r="AF13" s="14">
        <v>0.62</v>
      </c>
    </row>
    <row r="14" spans="1:32">
      <c r="A14" s="20"/>
      <c r="B14" s="11" t="s">
        <v>643</v>
      </c>
      <c r="C14" s="12">
        <v>10949</v>
      </c>
      <c r="D14" s="12">
        <v>445</v>
      </c>
      <c r="E14" s="12">
        <v>310</v>
      </c>
      <c r="F14" s="12">
        <v>407</v>
      </c>
      <c r="G14" s="12">
        <v>292</v>
      </c>
      <c r="H14" s="12">
        <v>541</v>
      </c>
      <c r="I14" s="12">
        <v>658</v>
      </c>
      <c r="J14" s="12">
        <v>118</v>
      </c>
      <c r="K14" s="12">
        <v>483</v>
      </c>
      <c r="L14" s="12">
        <v>259</v>
      </c>
      <c r="M14" s="12">
        <v>364</v>
      </c>
      <c r="N14" s="12">
        <v>421</v>
      </c>
      <c r="O14" s="12">
        <v>418</v>
      </c>
      <c r="P14" s="12">
        <v>476</v>
      </c>
      <c r="Q14" s="12">
        <v>433</v>
      </c>
      <c r="R14" s="12">
        <v>95</v>
      </c>
      <c r="S14" s="12">
        <v>462</v>
      </c>
      <c r="T14" s="12">
        <v>388</v>
      </c>
      <c r="U14" s="12">
        <v>189</v>
      </c>
      <c r="V14" s="12">
        <v>332</v>
      </c>
      <c r="W14" s="12">
        <v>84</v>
      </c>
      <c r="X14" s="12">
        <v>331</v>
      </c>
      <c r="Y14" s="12">
        <v>357</v>
      </c>
      <c r="Z14" s="12">
        <v>551</v>
      </c>
      <c r="AA14" s="12">
        <v>445</v>
      </c>
      <c r="AB14" s="12">
        <v>435</v>
      </c>
      <c r="AC14" s="12">
        <v>398</v>
      </c>
      <c r="AD14" s="12">
        <v>326</v>
      </c>
      <c r="AE14" s="12">
        <v>457</v>
      </c>
      <c r="AF14" s="12">
        <v>308</v>
      </c>
    </row>
    <row r="15" spans="1:32">
      <c r="A15" s="20"/>
      <c r="B15" s="13" t="s">
        <v>495</v>
      </c>
      <c r="C15" s="14">
        <v>0.42</v>
      </c>
      <c r="D15" s="14">
        <v>0.44</v>
      </c>
      <c r="E15" s="14">
        <v>0.3</v>
      </c>
      <c r="F15" s="14">
        <v>0.41</v>
      </c>
      <c r="G15" s="14">
        <v>0.28999999999999998</v>
      </c>
      <c r="H15" s="14">
        <v>0.45</v>
      </c>
      <c r="I15" s="14">
        <v>0.44</v>
      </c>
      <c r="J15" s="14">
        <v>0.4</v>
      </c>
      <c r="K15" s="14">
        <v>0.48</v>
      </c>
      <c r="L15" s="14">
        <v>0.26</v>
      </c>
      <c r="M15" s="14">
        <v>0.36</v>
      </c>
      <c r="N15" s="14">
        <v>0.42</v>
      </c>
      <c r="O15" s="14">
        <v>0.42</v>
      </c>
      <c r="P15" s="14">
        <v>0.47</v>
      </c>
      <c r="Q15" s="14">
        <v>0.42</v>
      </c>
      <c r="R15" s="14">
        <v>0.19</v>
      </c>
      <c r="S15" s="14">
        <v>0.46</v>
      </c>
      <c r="T15" s="14">
        <v>0.38</v>
      </c>
      <c r="U15" s="14">
        <v>0.37</v>
      </c>
      <c r="V15" s="14">
        <v>0.33</v>
      </c>
      <c r="W15" s="14">
        <v>0.17</v>
      </c>
      <c r="X15" s="14">
        <v>0.33</v>
      </c>
      <c r="Y15" s="14">
        <v>0.35</v>
      </c>
      <c r="Z15" s="14">
        <v>0.55000000000000004</v>
      </c>
      <c r="AA15" s="14">
        <v>0.42</v>
      </c>
      <c r="AB15" s="14">
        <v>0.42</v>
      </c>
      <c r="AC15" s="14">
        <v>0.4</v>
      </c>
      <c r="AD15" s="14">
        <v>0.32</v>
      </c>
      <c r="AE15" s="14">
        <v>0.46</v>
      </c>
      <c r="AF15" s="14">
        <v>0.3</v>
      </c>
    </row>
    <row r="16" spans="1:32">
      <c r="A16" s="20"/>
      <c r="B16" s="11" t="s">
        <v>1141</v>
      </c>
      <c r="C16" s="12">
        <v>1733</v>
      </c>
      <c r="D16" s="12">
        <v>75</v>
      </c>
      <c r="E16" s="12">
        <v>52</v>
      </c>
      <c r="F16" s="12">
        <v>162</v>
      </c>
      <c r="G16" s="12">
        <v>43</v>
      </c>
      <c r="H16" s="12">
        <v>89</v>
      </c>
      <c r="I16" s="12">
        <v>108</v>
      </c>
      <c r="J16" s="12">
        <v>20</v>
      </c>
      <c r="K16" s="12">
        <v>159</v>
      </c>
      <c r="L16" s="12">
        <v>27</v>
      </c>
      <c r="M16" s="12">
        <v>50</v>
      </c>
      <c r="N16" s="12">
        <v>56</v>
      </c>
      <c r="O16" s="12">
        <v>36</v>
      </c>
      <c r="P16" s="12">
        <v>56</v>
      </c>
      <c r="Q16" s="12">
        <v>49</v>
      </c>
      <c r="R16" s="12">
        <v>20</v>
      </c>
      <c r="S16" s="12">
        <v>74</v>
      </c>
      <c r="T16" s="12">
        <v>57</v>
      </c>
      <c r="U16" s="12">
        <v>19</v>
      </c>
      <c r="V16" s="12">
        <v>57</v>
      </c>
      <c r="W16" s="12">
        <v>42</v>
      </c>
      <c r="X16" s="12">
        <v>51</v>
      </c>
      <c r="Y16" s="12">
        <v>102</v>
      </c>
      <c r="Z16" s="12">
        <v>94</v>
      </c>
      <c r="AA16" s="12">
        <v>52</v>
      </c>
      <c r="AB16" s="12">
        <v>165</v>
      </c>
      <c r="AC16" s="12">
        <v>72</v>
      </c>
      <c r="AD16" s="12">
        <v>43</v>
      </c>
      <c r="AE16" s="12">
        <v>94</v>
      </c>
      <c r="AF16" s="12">
        <v>58</v>
      </c>
    </row>
    <row r="17" spans="1:32">
      <c r="A17" s="20"/>
      <c r="B17" s="13" t="s">
        <v>497</v>
      </c>
      <c r="C17" s="14">
        <v>0.06</v>
      </c>
      <c r="D17" s="14">
        <v>7.0000000000000007E-2</v>
      </c>
      <c r="E17" s="14">
        <v>0.05</v>
      </c>
      <c r="F17" s="14">
        <v>0.16</v>
      </c>
      <c r="G17" s="14">
        <v>0.04</v>
      </c>
      <c r="H17" s="14">
        <v>7.0000000000000007E-2</v>
      </c>
      <c r="I17" s="14">
        <v>7.0000000000000007E-2</v>
      </c>
      <c r="J17" s="14">
        <v>7.0000000000000007E-2</v>
      </c>
      <c r="K17" s="14">
        <v>0.16</v>
      </c>
      <c r="L17" s="14">
        <v>0.03</v>
      </c>
      <c r="M17" s="14">
        <v>0.05</v>
      </c>
      <c r="N17" s="14">
        <v>0.05</v>
      </c>
      <c r="O17" s="14">
        <v>0.03</v>
      </c>
      <c r="P17" s="14">
        <v>0.05</v>
      </c>
      <c r="Q17" s="14">
        <v>0.05</v>
      </c>
      <c r="R17" s="14">
        <v>0.04</v>
      </c>
      <c r="S17" s="14">
        <v>7.0000000000000007E-2</v>
      </c>
      <c r="T17" s="14">
        <v>0.06</v>
      </c>
      <c r="U17" s="14">
        <v>0.04</v>
      </c>
      <c r="V17" s="14">
        <v>0.06</v>
      </c>
      <c r="W17" s="14">
        <v>0.08</v>
      </c>
      <c r="X17" s="14">
        <v>0.05</v>
      </c>
      <c r="Y17" s="14">
        <v>0.1</v>
      </c>
      <c r="Z17" s="14">
        <v>0.09</v>
      </c>
      <c r="AA17" s="14">
        <v>0.05</v>
      </c>
      <c r="AB17" s="14">
        <v>0.16</v>
      </c>
      <c r="AC17" s="14">
        <v>7.0000000000000007E-2</v>
      </c>
      <c r="AD17" s="14">
        <v>0.04</v>
      </c>
      <c r="AE17" s="14">
        <v>0.09</v>
      </c>
      <c r="AF17" s="14">
        <v>0.06</v>
      </c>
    </row>
    <row r="18" spans="1:32">
      <c r="A18" s="20"/>
      <c r="B18" s="11" t="s">
        <v>646</v>
      </c>
      <c r="C18" s="12">
        <v>555</v>
      </c>
      <c r="D18" s="12">
        <v>30</v>
      </c>
      <c r="E18" s="12">
        <v>16</v>
      </c>
      <c r="F18" s="12">
        <v>51</v>
      </c>
      <c r="G18" s="12">
        <v>11</v>
      </c>
      <c r="H18" s="12">
        <v>28</v>
      </c>
      <c r="I18" s="12">
        <v>38</v>
      </c>
      <c r="J18" s="12">
        <v>10</v>
      </c>
      <c r="K18" s="12">
        <v>53</v>
      </c>
      <c r="L18" s="12">
        <v>33</v>
      </c>
      <c r="M18" s="12">
        <v>15</v>
      </c>
      <c r="N18" s="12">
        <v>8</v>
      </c>
      <c r="O18" s="12">
        <v>20</v>
      </c>
      <c r="P18" s="12">
        <v>11</v>
      </c>
      <c r="Q18" s="12">
        <v>22</v>
      </c>
      <c r="R18" s="12">
        <v>5</v>
      </c>
      <c r="S18" s="12">
        <v>26</v>
      </c>
      <c r="T18" s="12">
        <v>10</v>
      </c>
      <c r="U18" s="12">
        <v>5</v>
      </c>
      <c r="V18" s="12">
        <v>11</v>
      </c>
      <c r="W18" s="12">
        <v>10</v>
      </c>
      <c r="X18" s="12">
        <v>32</v>
      </c>
      <c r="Y18" s="12">
        <v>43</v>
      </c>
      <c r="Z18" s="12">
        <v>17</v>
      </c>
      <c r="AA18" s="12">
        <v>11</v>
      </c>
      <c r="AB18" s="12">
        <v>31</v>
      </c>
      <c r="AC18" s="12">
        <v>33</v>
      </c>
      <c r="AD18" s="12">
        <v>8</v>
      </c>
      <c r="AE18" s="12">
        <v>27</v>
      </c>
      <c r="AF18" s="12">
        <v>16</v>
      </c>
    </row>
    <row r="19" spans="1:32">
      <c r="A19" s="20"/>
      <c r="B19" s="13" t="s">
        <v>499</v>
      </c>
      <c r="C19" s="14">
        <v>0.02</v>
      </c>
      <c r="D19" s="14">
        <v>0.03</v>
      </c>
      <c r="E19" s="14">
        <v>0.02</v>
      </c>
      <c r="F19" s="14">
        <v>0.05</v>
      </c>
      <c r="G19" s="14">
        <v>0.01</v>
      </c>
      <c r="H19" s="14">
        <v>0.02</v>
      </c>
      <c r="I19" s="14">
        <v>0.03</v>
      </c>
      <c r="J19" s="14">
        <v>0.03</v>
      </c>
      <c r="K19" s="14">
        <v>0.05</v>
      </c>
      <c r="L19" s="14">
        <v>0.03</v>
      </c>
      <c r="M19" s="14">
        <v>0.01</v>
      </c>
      <c r="N19" s="14">
        <v>0.01</v>
      </c>
      <c r="O19" s="14">
        <v>0.02</v>
      </c>
      <c r="P19" s="14">
        <v>0.01</v>
      </c>
      <c r="Q19" s="14">
        <v>0.02</v>
      </c>
      <c r="R19" s="14">
        <v>0.01</v>
      </c>
      <c r="S19" s="14">
        <v>0.03</v>
      </c>
      <c r="T19" s="14">
        <v>0.01</v>
      </c>
      <c r="U19" s="14">
        <v>0.01</v>
      </c>
      <c r="V19" s="14">
        <v>0.01</v>
      </c>
      <c r="W19" s="14">
        <v>0.02</v>
      </c>
      <c r="X19" s="14">
        <v>0.03</v>
      </c>
      <c r="Y19" s="14">
        <v>0.04</v>
      </c>
      <c r="Z19" s="14">
        <v>0.02</v>
      </c>
      <c r="AA19" s="14">
        <v>0.01</v>
      </c>
      <c r="AB19" s="14">
        <v>0.03</v>
      </c>
      <c r="AC19" s="14">
        <v>0.03</v>
      </c>
      <c r="AD19" s="14">
        <v>0.01</v>
      </c>
      <c r="AE19" s="14">
        <v>0.03</v>
      </c>
      <c r="AF19" s="14">
        <v>0.01</v>
      </c>
    </row>
    <row r="20" spans="1:32">
      <c r="A20" s="20"/>
      <c r="B20" s="11" t="s">
        <v>468</v>
      </c>
      <c r="C20" s="12">
        <v>442</v>
      </c>
      <c r="D20" s="12">
        <v>7</v>
      </c>
      <c r="E20" s="12">
        <v>20</v>
      </c>
      <c r="F20" s="12">
        <v>40</v>
      </c>
      <c r="G20" s="12">
        <v>29</v>
      </c>
      <c r="H20" s="12">
        <v>31</v>
      </c>
      <c r="I20" s="12">
        <v>33</v>
      </c>
      <c r="J20" s="12">
        <v>3</v>
      </c>
      <c r="K20" s="12">
        <v>32</v>
      </c>
      <c r="L20" s="12">
        <v>17</v>
      </c>
      <c r="M20" s="12">
        <v>7</v>
      </c>
      <c r="N20" s="12">
        <v>18</v>
      </c>
      <c r="O20" s="12">
        <v>21</v>
      </c>
      <c r="P20" s="12">
        <v>6</v>
      </c>
      <c r="Q20" s="12">
        <v>11</v>
      </c>
      <c r="R20" s="12">
        <v>1</v>
      </c>
      <c r="S20" s="12">
        <v>85</v>
      </c>
      <c r="T20" s="12">
        <v>41</v>
      </c>
      <c r="U20" s="12">
        <v>8</v>
      </c>
      <c r="V20" s="12">
        <v>11</v>
      </c>
      <c r="W20" s="12">
        <v>1</v>
      </c>
      <c r="X20" s="12">
        <v>2</v>
      </c>
      <c r="Y20" s="12">
        <v>6</v>
      </c>
      <c r="Z20" s="12">
        <v>11</v>
      </c>
      <c r="AA20" s="12">
        <v>10</v>
      </c>
      <c r="AB20" s="12">
        <v>26</v>
      </c>
      <c r="AC20" s="12">
        <v>9</v>
      </c>
      <c r="AD20" s="12">
        <v>11</v>
      </c>
      <c r="AE20" s="12">
        <v>17</v>
      </c>
      <c r="AF20" s="12">
        <v>8</v>
      </c>
    </row>
    <row r="21" spans="1:32">
      <c r="A21" s="20"/>
      <c r="B21" s="13" t="s">
        <v>469</v>
      </c>
      <c r="C21" s="14">
        <v>0.02</v>
      </c>
      <c r="D21" s="14">
        <v>0.01</v>
      </c>
      <c r="E21" s="14">
        <v>0.02</v>
      </c>
      <c r="F21" s="14">
        <v>0.04</v>
      </c>
      <c r="G21" s="14">
        <v>0.03</v>
      </c>
      <c r="H21" s="14">
        <v>0.03</v>
      </c>
      <c r="I21" s="14">
        <v>0.02</v>
      </c>
      <c r="J21" s="14">
        <v>0.01</v>
      </c>
      <c r="K21" s="14">
        <v>0.03</v>
      </c>
      <c r="L21" s="14">
        <v>0.02</v>
      </c>
      <c r="M21" s="14">
        <v>0.01</v>
      </c>
      <c r="N21" s="14">
        <v>0.02</v>
      </c>
      <c r="O21" s="14">
        <v>0.02</v>
      </c>
      <c r="P21" s="14">
        <v>0.01</v>
      </c>
      <c r="Q21" s="14">
        <v>0.01</v>
      </c>
      <c r="R21" s="15" t="s">
        <v>459</v>
      </c>
      <c r="S21" s="14">
        <v>0.08</v>
      </c>
      <c r="T21" s="14">
        <v>0.04</v>
      </c>
      <c r="U21" s="14">
        <v>0.02</v>
      </c>
      <c r="V21" s="14">
        <v>0.01</v>
      </c>
      <c r="W21" s="15" t="s">
        <v>459</v>
      </c>
      <c r="X21" s="15" t="s">
        <v>459</v>
      </c>
      <c r="Y21" s="14">
        <v>0.01</v>
      </c>
      <c r="Z21" s="14">
        <v>0.01</v>
      </c>
      <c r="AA21" s="14">
        <v>0.01</v>
      </c>
      <c r="AB21" s="14">
        <v>0.02</v>
      </c>
      <c r="AC21" s="14">
        <v>0.01</v>
      </c>
      <c r="AD21" s="14">
        <v>0.01</v>
      </c>
      <c r="AE21" s="14">
        <v>0.02</v>
      </c>
      <c r="AF21" s="14">
        <v>0.01</v>
      </c>
    </row>
    <row r="22" spans="1:32">
      <c r="A22" s="20"/>
      <c r="B22" s="11" t="s">
        <v>500</v>
      </c>
      <c r="C22" s="12">
        <v>23589</v>
      </c>
      <c r="D22" s="12">
        <v>891</v>
      </c>
      <c r="E22" s="12">
        <v>930</v>
      </c>
      <c r="F22" s="12">
        <v>753</v>
      </c>
      <c r="G22" s="12">
        <v>921</v>
      </c>
      <c r="H22" s="12">
        <v>1069</v>
      </c>
      <c r="I22" s="12">
        <v>1330</v>
      </c>
      <c r="J22" s="12">
        <v>261</v>
      </c>
      <c r="K22" s="12">
        <v>762</v>
      </c>
      <c r="L22" s="12">
        <v>930</v>
      </c>
      <c r="M22" s="12">
        <v>931</v>
      </c>
      <c r="N22" s="12">
        <v>922</v>
      </c>
      <c r="O22" s="12">
        <v>926</v>
      </c>
      <c r="P22" s="12">
        <v>949</v>
      </c>
      <c r="Q22" s="12">
        <v>938</v>
      </c>
      <c r="R22" s="12">
        <v>474</v>
      </c>
      <c r="S22" s="12">
        <v>822</v>
      </c>
      <c r="T22" s="12">
        <v>905</v>
      </c>
      <c r="U22" s="12">
        <v>475</v>
      </c>
      <c r="V22" s="12">
        <v>938</v>
      </c>
      <c r="W22" s="12">
        <v>451</v>
      </c>
      <c r="X22" s="12">
        <v>936</v>
      </c>
      <c r="Y22" s="12">
        <v>857</v>
      </c>
      <c r="Z22" s="12">
        <v>885</v>
      </c>
      <c r="AA22" s="12">
        <v>979</v>
      </c>
      <c r="AB22" s="12">
        <v>817</v>
      </c>
      <c r="AC22" s="12">
        <v>896</v>
      </c>
      <c r="AD22" s="12">
        <v>944</v>
      </c>
      <c r="AE22" s="12">
        <v>863</v>
      </c>
      <c r="AF22" s="12">
        <v>938</v>
      </c>
    </row>
    <row r="23" spans="1:32">
      <c r="A23" s="20"/>
      <c r="B23" s="13" t="s">
        <v>500</v>
      </c>
      <c r="C23" s="14">
        <v>0.9</v>
      </c>
      <c r="D23" s="14">
        <v>0.89</v>
      </c>
      <c r="E23" s="14">
        <v>0.91</v>
      </c>
      <c r="F23" s="14">
        <v>0.75</v>
      </c>
      <c r="G23" s="14">
        <v>0.92</v>
      </c>
      <c r="H23" s="14">
        <v>0.88</v>
      </c>
      <c r="I23" s="14">
        <v>0.88</v>
      </c>
      <c r="J23" s="14">
        <v>0.89</v>
      </c>
      <c r="K23" s="14">
        <v>0.76</v>
      </c>
      <c r="L23" s="14">
        <v>0.92</v>
      </c>
      <c r="M23" s="14">
        <v>0.93</v>
      </c>
      <c r="N23" s="14">
        <v>0.92</v>
      </c>
      <c r="O23" s="14">
        <v>0.93</v>
      </c>
      <c r="P23" s="14">
        <v>0.93</v>
      </c>
      <c r="Q23" s="14">
        <v>0.92</v>
      </c>
      <c r="R23" s="14">
        <v>0.95000000000000007</v>
      </c>
      <c r="S23" s="14">
        <v>0.82000000000000006</v>
      </c>
      <c r="T23" s="14">
        <v>0.89</v>
      </c>
      <c r="U23" s="14">
        <v>0.93</v>
      </c>
      <c r="V23" s="14">
        <v>0.92</v>
      </c>
      <c r="W23" s="14">
        <v>0.9</v>
      </c>
      <c r="X23" s="14">
        <v>0.92</v>
      </c>
      <c r="Y23" s="14">
        <v>0.85</v>
      </c>
      <c r="Z23" s="14">
        <v>0.88</v>
      </c>
      <c r="AA23" s="14">
        <v>0.93</v>
      </c>
      <c r="AB23" s="14">
        <v>0.79</v>
      </c>
      <c r="AC23" s="14">
        <v>0.89</v>
      </c>
      <c r="AD23" s="14">
        <v>0.94000000000000006</v>
      </c>
      <c r="AE23" s="14">
        <v>0.86</v>
      </c>
      <c r="AF23" s="14">
        <v>0.92</v>
      </c>
    </row>
    <row r="24" spans="1:32">
      <c r="A24" s="20"/>
      <c r="B24" s="11" t="s">
        <v>501</v>
      </c>
      <c r="C24" s="12">
        <v>2288</v>
      </c>
      <c r="D24" s="12">
        <v>105</v>
      </c>
      <c r="E24" s="12">
        <v>68</v>
      </c>
      <c r="F24" s="12">
        <v>213</v>
      </c>
      <c r="G24" s="12">
        <v>54</v>
      </c>
      <c r="H24" s="12">
        <v>117</v>
      </c>
      <c r="I24" s="12">
        <v>146</v>
      </c>
      <c r="J24" s="12">
        <v>30</v>
      </c>
      <c r="K24" s="12">
        <v>212</v>
      </c>
      <c r="L24" s="12">
        <v>60</v>
      </c>
      <c r="M24" s="12">
        <v>65</v>
      </c>
      <c r="N24" s="12">
        <v>64</v>
      </c>
      <c r="O24" s="12">
        <v>56</v>
      </c>
      <c r="P24" s="12">
        <v>67</v>
      </c>
      <c r="Q24" s="12">
        <v>71</v>
      </c>
      <c r="R24" s="12">
        <v>25</v>
      </c>
      <c r="S24" s="12">
        <v>100</v>
      </c>
      <c r="T24" s="12">
        <v>67</v>
      </c>
      <c r="U24" s="12">
        <v>24</v>
      </c>
      <c r="V24" s="12">
        <v>68</v>
      </c>
      <c r="W24" s="12">
        <v>52</v>
      </c>
      <c r="X24" s="12">
        <v>83</v>
      </c>
      <c r="Y24" s="12">
        <v>145</v>
      </c>
      <c r="Z24" s="12">
        <v>111</v>
      </c>
      <c r="AA24" s="12">
        <v>63</v>
      </c>
      <c r="AB24" s="12">
        <v>196</v>
      </c>
      <c r="AC24" s="12">
        <v>105</v>
      </c>
      <c r="AD24" s="12">
        <v>51</v>
      </c>
      <c r="AE24" s="12">
        <v>121</v>
      </c>
      <c r="AF24" s="12">
        <v>74</v>
      </c>
    </row>
    <row r="25" spans="1:32">
      <c r="A25" s="20"/>
      <c r="B25" s="13" t="s">
        <v>502</v>
      </c>
      <c r="C25" s="14">
        <v>0.08</v>
      </c>
      <c r="D25" s="14">
        <v>0.1</v>
      </c>
      <c r="E25" s="14">
        <v>7.0000000000000007E-2</v>
      </c>
      <c r="F25" s="14">
        <v>0.21</v>
      </c>
      <c r="G25" s="14">
        <v>0.05</v>
      </c>
      <c r="H25" s="14">
        <v>0.09</v>
      </c>
      <c r="I25" s="14">
        <v>0.1</v>
      </c>
      <c r="J25" s="14">
        <v>0.1</v>
      </c>
      <c r="K25" s="14">
        <v>0.21</v>
      </c>
      <c r="L25" s="14">
        <v>0.06</v>
      </c>
      <c r="M25" s="14">
        <v>0.06</v>
      </c>
      <c r="N25" s="14">
        <v>0.06</v>
      </c>
      <c r="O25" s="14">
        <v>0.05</v>
      </c>
      <c r="P25" s="14">
        <v>0.06</v>
      </c>
      <c r="Q25" s="14">
        <v>7.0000000000000007E-2</v>
      </c>
      <c r="R25" s="14">
        <v>0.05</v>
      </c>
      <c r="S25" s="14">
        <v>0.1</v>
      </c>
      <c r="T25" s="14">
        <v>7.0000000000000007E-2</v>
      </c>
      <c r="U25" s="14">
        <v>0.05</v>
      </c>
      <c r="V25" s="14">
        <v>7.0000000000000007E-2</v>
      </c>
      <c r="W25" s="14">
        <v>0.1</v>
      </c>
      <c r="X25" s="14">
        <v>0.08</v>
      </c>
      <c r="Y25" s="14">
        <v>0.14000000000000001</v>
      </c>
      <c r="Z25" s="14">
        <v>0.11</v>
      </c>
      <c r="AA25" s="14">
        <v>0.06</v>
      </c>
      <c r="AB25" s="14">
        <v>0.19</v>
      </c>
      <c r="AC25" s="14">
        <v>0.1</v>
      </c>
      <c r="AD25" s="14">
        <v>0.05</v>
      </c>
      <c r="AE25" s="14">
        <v>0.12</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1152</v>
      </c>
      <c r="C3" s="18"/>
      <c r="D3" s="18"/>
      <c r="E3" s="18"/>
      <c r="F3" s="18"/>
      <c r="H3" s="18" t="s">
        <v>1153</v>
      </c>
      <c r="I3" s="18"/>
      <c r="J3" s="18"/>
      <c r="K3" s="18"/>
      <c r="L3" s="18"/>
    </row>
    <row r="4" spans="1:32" ht="27" customHeight="1">
      <c r="B4" s="18" t="s">
        <v>1147</v>
      </c>
      <c r="C4" s="18"/>
      <c r="D4" s="18"/>
      <c r="E4" s="18"/>
      <c r="F4" s="18"/>
      <c r="H4" s="18" t="s">
        <v>1066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12565</v>
      </c>
      <c r="D12" s="12">
        <v>436</v>
      </c>
      <c r="E12" s="12">
        <v>605</v>
      </c>
      <c r="F12" s="12">
        <v>336</v>
      </c>
      <c r="G12" s="12">
        <v>595</v>
      </c>
      <c r="H12" s="12">
        <v>552</v>
      </c>
      <c r="I12" s="12">
        <v>684</v>
      </c>
      <c r="J12" s="12">
        <v>132</v>
      </c>
      <c r="K12" s="12">
        <v>303</v>
      </c>
      <c r="L12" s="12">
        <v>700</v>
      </c>
      <c r="M12" s="12">
        <v>596</v>
      </c>
      <c r="N12" s="12">
        <v>521</v>
      </c>
      <c r="O12" s="12">
        <v>476</v>
      </c>
      <c r="P12" s="12">
        <v>498</v>
      </c>
      <c r="Q12" s="12">
        <v>509</v>
      </c>
      <c r="R12" s="12">
        <v>378</v>
      </c>
      <c r="S12" s="12">
        <v>359</v>
      </c>
      <c r="T12" s="12">
        <v>521</v>
      </c>
      <c r="U12" s="12">
        <v>294</v>
      </c>
      <c r="V12" s="12">
        <v>605</v>
      </c>
      <c r="W12" s="12">
        <v>348</v>
      </c>
      <c r="X12" s="12">
        <v>528</v>
      </c>
      <c r="Y12" s="12">
        <v>508</v>
      </c>
      <c r="Z12" s="12">
        <v>348</v>
      </c>
      <c r="AA12" s="12">
        <v>569</v>
      </c>
      <c r="AB12" s="12">
        <v>362</v>
      </c>
      <c r="AC12" s="12">
        <v>508</v>
      </c>
      <c r="AD12" s="12">
        <v>624</v>
      </c>
      <c r="AE12" s="12">
        <v>406</v>
      </c>
      <c r="AF12" s="12">
        <v>589</v>
      </c>
    </row>
    <row r="13" spans="1:32">
      <c r="A13" s="20"/>
      <c r="B13" s="13" t="s">
        <v>493</v>
      </c>
      <c r="C13" s="14">
        <v>0.48</v>
      </c>
      <c r="D13" s="14">
        <v>0.43</v>
      </c>
      <c r="E13" s="14">
        <v>0.59</v>
      </c>
      <c r="F13" s="14">
        <v>0.34</v>
      </c>
      <c r="G13" s="14">
        <v>0.59</v>
      </c>
      <c r="H13" s="14">
        <v>0.45</v>
      </c>
      <c r="I13" s="14">
        <v>0.45</v>
      </c>
      <c r="J13" s="14">
        <v>0.45</v>
      </c>
      <c r="K13" s="14">
        <v>0.3</v>
      </c>
      <c r="L13" s="14">
        <v>0.70000000000000007</v>
      </c>
      <c r="M13" s="14">
        <v>0.59</v>
      </c>
      <c r="N13" s="14">
        <v>0.52</v>
      </c>
      <c r="O13" s="14">
        <v>0.47</v>
      </c>
      <c r="P13" s="14">
        <v>0.49</v>
      </c>
      <c r="Q13" s="14">
        <v>0.5</v>
      </c>
      <c r="R13" s="14">
        <v>0.76</v>
      </c>
      <c r="S13" s="14">
        <v>0.36</v>
      </c>
      <c r="T13" s="14">
        <v>0.52</v>
      </c>
      <c r="U13" s="14">
        <v>0.57999999999999996</v>
      </c>
      <c r="V13" s="14">
        <v>0.6</v>
      </c>
      <c r="W13" s="14">
        <v>0.69000000000000006</v>
      </c>
      <c r="X13" s="14">
        <v>0.52</v>
      </c>
      <c r="Y13" s="14">
        <v>0.5</v>
      </c>
      <c r="Z13" s="14">
        <v>0.35</v>
      </c>
      <c r="AA13" s="14">
        <v>0.54</v>
      </c>
      <c r="AB13" s="14">
        <v>0.35</v>
      </c>
      <c r="AC13" s="14">
        <v>0.5</v>
      </c>
      <c r="AD13" s="14">
        <v>0.62</v>
      </c>
      <c r="AE13" s="14">
        <v>0.41</v>
      </c>
      <c r="AF13" s="14">
        <v>0.57999999999999996</v>
      </c>
    </row>
    <row r="14" spans="1:32">
      <c r="A14" s="20"/>
      <c r="B14" s="11" t="s">
        <v>643</v>
      </c>
      <c r="C14" s="12">
        <v>10589</v>
      </c>
      <c r="D14" s="12">
        <v>431</v>
      </c>
      <c r="E14" s="12">
        <v>312</v>
      </c>
      <c r="F14" s="12">
        <v>403</v>
      </c>
      <c r="G14" s="12">
        <v>288</v>
      </c>
      <c r="H14" s="12">
        <v>503</v>
      </c>
      <c r="I14" s="12">
        <v>619</v>
      </c>
      <c r="J14" s="12">
        <v>116</v>
      </c>
      <c r="K14" s="12">
        <v>444</v>
      </c>
      <c r="L14" s="12">
        <v>226</v>
      </c>
      <c r="M14" s="12">
        <v>346</v>
      </c>
      <c r="N14" s="12">
        <v>397</v>
      </c>
      <c r="O14" s="12">
        <v>419</v>
      </c>
      <c r="P14" s="12">
        <v>455</v>
      </c>
      <c r="Q14" s="12">
        <v>413</v>
      </c>
      <c r="R14" s="12">
        <v>93</v>
      </c>
      <c r="S14" s="12">
        <v>477</v>
      </c>
      <c r="T14" s="12">
        <v>389</v>
      </c>
      <c r="U14" s="12">
        <v>180</v>
      </c>
      <c r="V14" s="12">
        <v>337</v>
      </c>
      <c r="W14" s="12">
        <v>99</v>
      </c>
      <c r="X14" s="12">
        <v>335</v>
      </c>
      <c r="Y14" s="12">
        <v>349</v>
      </c>
      <c r="Z14" s="12">
        <v>534</v>
      </c>
      <c r="AA14" s="12">
        <v>418</v>
      </c>
      <c r="AB14" s="12">
        <v>444</v>
      </c>
      <c r="AC14" s="12">
        <v>389</v>
      </c>
      <c r="AD14" s="12">
        <v>299</v>
      </c>
      <c r="AE14" s="12">
        <v>438</v>
      </c>
      <c r="AF14" s="12">
        <v>307</v>
      </c>
    </row>
    <row r="15" spans="1:32">
      <c r="A15" s="20"/>
      <c r="B15" s="13" t="s">
        <v>495</v>
      </c>
      <c r="C15" s="14">
        <v>0.4</v>
      </c>
      <c r="D15" s="14">
        <v>0.43</v>
      </c>
      <c r="E15" s="14">
        <v>0.31</v>
      </c>
      <c r="F15" s="14">
        <v>0.4</v>
      </c>
      <c r="G15" s="14">
        <v>0.28999999999999998</v>
      </c>
      <c r="H15" s="14">
        <v>0.41</v>
      </c>
      <c r="I15" s="14">
        <v>0.41</v>
      </c>
      <c r="J15" s="14">
        <v>0.4</v>
      </c>
      <c r="K15" s="14">
        <v>0.44</v>
      </c>
      <c r="L15" s="14">
        <v>0.22</v>
      </c>
      <c r="M15" s="14">
        <v>0.35</v>
      </c>
      <c r="N15" s="14">
        <v>0.39</v>
      </c>
      <c r="O15" s="14">
        <v>0.42</v>
      </c>
      <c r="P15" s="14">
        <v>0.45</v>
      </c>
      <c r="Q15" s="14">
        <v>0.4</v>
      </c>
      <c r="R15" s="14">
        <v>0.18</v>
      </c>
      <c r="S15" s="14">
        <v>0.47</v>
      </c>
      <c r="T15" s="14">
        <v>0.38</v>
      </c>
      <c r="U15" s="14">
        <v>0.35</v>
      </c>
      <c r="V15" s="14">
        <v>0.33</v>
      </c>
      <c r="W15" s="14">
        <v>0.2</v>
      </c>
      <c r="X15" s="14">
        <v>0.33</v>
      </c>
      <c r="Y15" s="14">
        <v>0.35</v>
      </c>
      <c r="Z15" s="14">
        <v>0.53</v>
      </c>
      <c r="AA15" s="14">
        <v>0.4</v>
      </c>
      <c r="AB15" s="14">
        <v>0.43</v>
      </c>
      <c r="AC15" s="14">
        <v>0.39</v>
      </c>
      <c r="AD15" s="14">
        <v>0.3</v>
      </c>
      <c r="AE15" s="14">
        <v>0.44</v>
      </c>
      <c r="AF15" s="14">
        <v>0.3</v>
      </c>
    </row>
    <row r="16" spans="1:32">
      <c r="A16" s="20"/>
      <c r="B16" s="11" t="s">
        <v>1141</v>
      </c>
      <c r="C16" s="12">
        <v>1928</v>
      </c>
      <c r="D16" s="12">
        <v>87</v>
      </c>
      <c r="E16" s="12">
        <v>52</v>
      </c>
      <c r="F16" s="12">
        <v>172</v>
      </c>
      <c r="G16" s="12">
        <v>72</v>
      </c>
      <c r="H16" s="12">
        <v>95</v>
      </c>
      <c r="I16" s="12">
        <v>125</v>
      </c>
      <c r="J16" s="12">
        <v>30</v>
      </c>
      <c r="K16" s="12">
        <v>135</v>
      </c>
      <c r="L16" s="12">
        <v>28</v>
      </c>
      <c r="M16" s="12">
        <v>35</v>
      </c>
      <c r="N16" s="12">
        <v>59</v>
      </c>
      <c r="O16" s="12">
        <v>48</v>
      </c>
      <c r="P16" s="12">
        <v>45</v>
      </c>
      <c r="Q16" s="12">
        <v>57</v>
      </c>
      <c r="R16" s="12">
        <v>23</v>
      </c>
      <c r="S16" s="12">
        <v>59</v>
      </c>
      <c r="T16" s="12">
        <v>42</v>
      </c>
      <c r="U16" s="12">
        <v>20</v>
      </c>
      <c r="V16" s="12">
        <v>53</v>
      </c>
      <c r="W16" s="12">
        <v>27</v>
      </c>
      <c r="X16" s="12">
        <v>113</v>
      </c>
      <c r="Y16" s="12">
        <v>97</v>
      </c>
      <c r="Z16" s="12">
        <v>89</v>
      </c>
      <c r="AA16" s="12">
        <v>44</v>
      </c>
      <c r="AB16" s="12">
        <v>161</v>
      </c>
      <c r="AC16" s="12">
        <v>71</v>
      </c>
      <c r="AD16" s="12">
        <v>45</v>
      </c>
      <c r="AE16" s="12">
        <v>102</v>
      </c>
      <c r="AF16" s="12">
        <v>80</v>
      </c>
    </row>
    <row r="17" spans="1:32">
      <c r="A17" s="20"/>
      <c r="B17" s="13" t="s">
        <v>497</v>
      </c>
      <c r="C17" s="14">
        <v>7.0000000000000007E-2</v>
      </c>
      <c r="D17" s="14">
        <v>0.09</v>
      </c>
      <c r="E17" s="14">
        <v>0.05</v>
      </c>
      <c r="F17" s="14">
        <v>0.17</v>
      </c>
      <c r="G17" s="14">
        <v>7.0000000000000007E-2</v>
      </c>
      <c r="H17" s="14">
        <v>0.08</v>
      </c>
      <c r="I17" s="14">
        <v>0.08</v>
      </c>
      <c r="J17" s="14">
        <v>0.1</v>
      </c>
      <c r="K17" s="14">
        <v>0.13</v>
      </c>
      <c r="L17" s="14">
        <v>0.03</v>
      </c>
      <c r="M17" s="14">
        <v>0.03</v>
      </c>
      <c r="N17" s="14">
        <v>0.06</v>
      </c>
      <c r="O17" s="14">
        <v>0.05</v>
      </c>
      <c r="P17" s="14">
        <v>0.04</v>
      </c>
      <c r="Q17" s="14">
        <v>0.06</v>
      </c>
      <c r="R17" s="14">
        <v>0.05</v>
      </c>
      <c r="S17" s="14">
        <v>0.06</v>
      </c>
      <c r="T17" s="14">
        <v>0.04</v>
      </c>
      <c r="U17" s="14">
        <v>0.04</v>
      </c>
      <c r="V17" s="14">
        <v>0.05</v>
      </c>
      <c r="W17" s="14">
        <v>0.05</v>
      </c>
      <c r="X17" s="14">
        <v>0.11</v>
      </c>
      <c r="Y17" s="14">
        <v>0.1</v>
      </c>
      <c r="Z17" s="14">
        <v>0.09</v>
      </c>
      <c r="AA17" s="14">
        <v>0.04</v>
      </c>
      <c r="AB17" s="14">
        <v>0.16</v>
      </c>
      <c r="AC17" s="14">
        <v>7.0000000000000007E-2</v>
      </c>
      <c r="AD17" s="14">
        <v>0.04</v>
      </c>
      <c r="AE17" s="14">
        <v>0.1</v>
      </c>
      <c r="AF17" s="14">
        <v>0.08</v>
      </c>
    </row>
    <row r="18" spans="1:32">
      <c r="A18" s="20"/>
      <c r="B18" s="11" t="s">
        <v>646</v>
      </c>
      <c r="C18" s="12">
        <v>725</v>
      </c>
      <c r="D18" s="12">
        <v>41</v>
      </c>
      <c r="E18" s="12">
        <v>24</v>
      </c>
      <c r="F18" s="12">
        <v>53</v>
      </c>
      <c r="G18" s="12">
        <v>18</v>
      </c>
      <c r="H18" s="12">
        <v>34</v>
      </c>
      <c r="I18" s="12">
        <v>44</v>
      </c>
      <c r="J18" s="12">
        <v>10</v>
      </c>
      <c r="K18" s="12">
        <v>78</v>
      </c>
      <c r="L18" s="12">
        <v>31</v>
      </c>
      <c r="M18" s="12">
        <v>17</v>
      </c>
      <c r="N18" s="12">
        <v>11</v>
      </c>
      <c r="O18" s="12">
        <v>32</v>
      </c>
      <c r="P18" s="12">
        <v>12</v>
      </c>
      <c r="Q18" s="12">
        <v>30</v>
      </c>
      <c r="R18" s="12">
        <v>5</v>
      </c>
      <c r="S18" s="12">
        <v>22</v>
      </c>
      <c r="T18" s="12">
        <v>13</v>
      </c>
      <c r="U18" s="12">
        <v>7</v>
      </c>
      <c r="V18" s="12">
        <v>10</v>
      </c>
      <c r="W18" s="12">
        <v>14</v>
      </c>
      <c r="X18" s="12">
        <v>42</v>
      </c>
      <c r="Y18" s="12">
        <v>46</v>
      </c>
      <c r="Z18" s="12">
        <v>24</v>
      </c>
      <c r="AA18" s="12">
        <v>11</v>
      </c>
      <c r="AB18" s="12">
        <v>36</v>
      </c>
      <c r="AC18" s="12">
        <v>32</v>
      </c>
      <c r="AD18" s="12">
        <v>21</v>
      </c>
      <c r="AE18" s="12">
        <v>33</v>
      </c>
      <c r="AF18" s="12">
        <v>29</v>
      </c>
    </row>
    <row r="19" spans="1:32">
      <c r="A19" s="20"/>
      <c r="B19" s="13" t="s">
        <v>499</v>
      </c>
      <c r="C19" s="14">
        <v>0.03</v>
      </c>
      <c r="D19" s="14">
        <v>0.04</v>
      </c>
      <c r="E19" s="14">
        <v>0.02</v>
      </c>
      <c r="F19" s="14">
        <v>0.05</v>
      </c>
      <c r="G19" s="14">
        <v>0.02</v>
      </c>
      <c r="H19" s="14">
        <v>0.03</v>
      </c>
      <c r="I19" s="14">
        <v>0.03</v>
      </c>
      <c r="J19" s="14">
        <v>0.03</v>
      </c>
      <c r="K19" s="14">
        <v>0.08</v>
      </c>
      <c r="L19" s="14">
        <v>0.03</v>
      </c>
      <c r="M19" s="14">
        <v>0.02</v>
      </c>
      <c r="N19" s="14">
        <v>0.01</v>
      </c>
      <c r="O19" s="14">
        <v>0.03</v>
      </c>
      <c r="P19" s="14">
        <v>0.01</v>
      </c>
      <c r="Q19" s="14">
        <v>0.03</v>
      </c>
      <c r="R19" s="14">
        <v>0.01</v>
      </c>
      <c r="S19" s="14">
        <v>0.02</v>
      </c>
      <c r="T19" s="14">
        <v>0.01</v>
      </c>
      <c r="U19" s="14">
        <v>0.01</v>
      </c>
      <c r="V19" s="14">
        <v>0.01</v>
      </c>
      <c r="W19" s="14">
        <v>0.03</v>
      </c>
      <c r="X19" s="14">
        <v>0.04</v>
      </c>
      <c r="Y19" s="14">
        <v>0.04</v>
      </c>
      <c r="Z19" s="14">
        <v>0.02</v>
      </c>
      <c r="AA19" s="14">
        <v>0.01</v>
      </c>
      <c r="AB19" s="14">
        <v>0.03</v>
      </c>
      <c r="AC19" s="14">
        <v>0.03</v>
      </c>
      <c r="AD19" s="14">
        <v>0.02</v>
      </c>
      <c r="AE19" s="14">
        <v>0.03</v>
      </c>
      <c r="AF19" s="14">
        <v>0.03</v>
      </c>
    </row>
    <row r="20" spans="1:32">
      <c r="A20" s="20"/>
      <c r="B20" s="11" t="s">
        <v>468</v>
      </c>
      <c r="C20" s="12">
        <v>513</v>
      </c>
      <c r="D20" s="12">
        <v>8</v>
      </c>
      <c r="E20" s="12">
        <v>26</v>
      </c>
      <c r="F20" s="12">
        <v>41</v>
      </c>
      <c r="G20" s="12">
        <v>31</v>
      </c>
      <c r="H20" s="12">
        <v>32</v>
      </c>
      <c r="I20" s="12">
        <v>38</v>
      </c>
      <c r="J20" s="12">
        <v>6</v>
      </c>
      <c r="K20" s="12">
        <v>46</v>
      </c>
      <c r="L20" s="12">
        <v>22</v>
      </c>
      <c r="M20" s="12">
        <v>9</v>
      </c>
      <c r="N20" s="12">
        <v>16</v>
      </c>
      <c r="O20" s="12">
        <v>28</v>
      </c>
      <c r="P20" s="12">
        <v>13</v>
      </c>
      <c r="Q20" s="12">
        <v>10</v>
      </c>
      <c r="R20" s="12">
        <v>1</v>
      </c>
      <c r="S20" s="12">
        <v>90</v>
      </c>
      <c r="T20" s="12">
        <v>49</v>
      </c>
      <c r="U20" s="12">
        <v>7</v>
      </c>
      <c r="V20" s="12">
        <v>12</v>
      </c>
      <c r="W20" s="12">
        <v>15</v>
      </c>
      <c r="X20" s="12">
        <v>2</v>
      </c>
      <c r="Y20" s="12">
        <v>8</v>
      </c>
      <c r="Z20" s="12">
        <v>13</v>
      </c>
      <c r="AA20" s="12">
        <v>11</v>
      </c>
      <c r="AB20" s="12">
        <v>36</v>
      </c>
      <c r="AC20" s="12">
        <v>10</v>
      </c>
      <c r="AD20" s="12">
        <v>17</v>
      </c>
      <c r="AE20" s="12">
        <v>23</v>
      </c>
      <c r="AF20" s="12">
        <v>16</v>
      </c>
    </row>
    <row r="21" spans="1:32">
      <c r="A21" s="20"/>
      <c r="B21" s="13" t="s">
        <v>469</v>
      </c>
      <c r="C21" s="14">
        <v>0.02</v>
      </c>
      <c r="D21" s="14">
        <v>0.01</v>
      </c>
      <c r="E21" s="14">
        <v>0.03</v>
      </c>
      <c r="F21" s="14">
        <v>0.04</v>
      </c>
      <c r="G21" s="14">
        <v>0.03</v>
      </c>
      <c r="H21" s="14">
        <v>0.03</v>
      </c>
      <c r="I21" s="14">
        <v>0.03</v>
      </c>
      <c r="J21" s="14">
        <v>0.02</v>
      </c>
      <c r="K21" s="14">
        <v>0.05</v>
      </c>
      <c r="L21" s="14">
        <v>0.02</v>
      </c>
      <c r="M21" s="14">
        <v>0.01</v>
      </c>
      <c r="N21" s="14">
        <v>0.02</v>
      </c>
      <c r="O21" s="14">
        <v>0.03</v>
      </c>
      <c r="P21" s="14">
        <v>0.01</v>
      </c>
      <c r="Q21" s="14">
        <v>0.01</v>
      </c>
      <c r="R21" s="15" t="s">
        <v>459</v>
      </c>
      <c r="S21" s="14">
        <v>0.09</v>
      </c>
      <c r="T21" s="14">
        <v>0.05</v>
      </c>
      <c r="U21" s="14">
        <v>0.02</v>
      </c>
      <c r="V21" s="14">
        <v>0.01</v>
      </c>
      <c r="W21" s="14">
        <v>0.03</v>
      </c>
      <c r="X21" s="15" t="s">
        <v>459</v>
      </c>
      <c r="Y21" s="14">
        <v>0.01</v>
      </c>
      <c r="Z21" s="14">
        <v>0.01</v>
      </c>
      <c r="AA21" s="14">
        <v>0.01</v>
      </c>
      <c r="AB21" s="14">
        <v>0.03</v>
      </c>
      <c r="AC21" s="14">
        <v>0.01</v>
      </c>
      <c r="AD21" s="14">
        <v>0.02</v>
      </c>
      <c r="AE21" s="14">
        <v>0.02</v>
      </c>
      <c r="AF21" s="14">
        <v>0.01</v>
      </c>
    </row>
    <row r="22" spans="1:32">
      <c r="A22" s="20"/>
      <c r="B22" s="11" t="s">
        <v>500</v>
      </c>
      <c r="C22" s="12">
        <v>23154</v>
      </c>
      <c r="D22" s="12">
        <v>867</v>
      </c>
      <c r="E22" s="12">
        <v>917</v>
      </c>
      <c r="F22" s="12">
        <v>739</v>
      </c>
      <c r="G22" s="12">
        <v>883</v>
      </c>
      <c r="H22" s="12">
        <v>1055</v>
      </c>
      <c r="I22" s="12">
        <v>1303</v>
      </c>
      <c r="J22" s="12">
        <v>248</v>
      </c>
      <c r="K22" s="12">
        <v>747</v>
      </c>
      <c r="L22" s="12">
        <v>926</v>
      </c>
      <c r="M22" s="12">
        <v>942</v>
      </c>
      <c r="N22" s="12">
        <v>918</v>
      </c>
      <c r="O22" s="12">
        <v>895</v>
      </c>
      <c r="P22" s="12">
        <v>953</v>
      </c>
      <c r="Q22" s="12">
        <v>922</v>
      </c>
      <c r="R22" s="12">
        <v>471</v>
      </c>
      <c r="S22" s="12">
        <v>836</v>
      </c>
      <c r="T22" s="12">
        <v>910</v>
      </c>
      <c r="U22" s="12">
        <v>474</v>
      </c>
      <c r="V22" s="12">
        <v>942</v>
      </c>
      <c r="W22" s="12">
        <v>447</v>
      </c>
      <c r="X22" s="12">
        <v>863</v>
      </c>
      <c r="Y22" s="12">
        <v>857</v>
      </c>
      <c r="Z22" s="12">
        <v>882</v>
      </c>
      <c r="AA22" s="12">
        <v>987</v>
      </c>
      <c r="AB22" s="12">
        <v>806</v>
      </c>
      <c r="AC22" s="12">
        <v>897</v>
      </c>
      <c r="AD22" s="12">
        <v>923</v>
      </c>
      <c r="AE22" s="12">
        <v>844</v>
      </c>
      <c r="AF22" s="12">
        <v>896</v>
      </c>
    </row>
    <row r="23" spans="1:32">
      <c r="A23" s="20"/>
      <c r="B23" s="13" t="s">
        <v>500</v>
      </c>
      <c r="C23" s="14">
        <v>0.88</v>
      </c>
      <c r="D23" s="14">
        <v>0.86</v>
      </c>
      <c r="E23" s="14">
        <v>0.9</v>
      </c>
      <c r="F23" s="14">
        <v>0.74</v>
      </c>
      <c r="G23" s="14">
        <v>0.88</v>
      </c>
      <c r="H23" s="14">
        <v>0.86</v>
      </c>
      <c r="I23" s="14">
        <v>0.86</v>
      </c>
      <c r="J23" s="14">
        <v>0.85</v>
      </c>
      <c r="K23" s="14">
        <v>0.74</v>
      </c>
      <c r="L23" s="14">
        <v>0.92</v>
      </c>
      <c r="M23" s="14">
        <v>0.94000000000000006</v>
      </c>
      <c r="N23" s="14">
        <v>0.91</v>
      </c>
      <c r="O23" s="14">
        <v>0.89</v>
      </c>
      <c r="P23" s="14">
        <v>0.94000000000000006</v>
      </c>
      <c r="Q23" s="14">
        <v>0.9</v>
      </c>
      <c r="R23" s="14">
        <v>0.94000000000000006</v>
      </c>
      <c r="S23" s="14">
        <v>0.83000000000000007</v>
      </c>
      <c r="T23" s="14">
        <v>0.9</v>
      </c>
      <c r="U23" s="14">
        <v>0.93</v>
      </c>
      <c r="V23" s="14">
        <v>0.93</v>
      </c>
      <c r="W23" s="14">
        <v>0.89</v>
      </c>
      <c r="X23" s="14">
        <v>0.85</v>
      </c>
      <c r="Y23" s="14">
        <v>0.85</v>
      </c>
      <c r="Z23" s="14">
        <v>0.88</v>
      </c>
      <c r="AA23" s="14">
        <v>0.94000000000000006</v>
      </c>
      <c r="AB23" s="14">
        <v>0.78</v>
      </c>
      <c r="AC23" s="14">
        <v>0.89</v>
      </c>
      <c r="AD23" s="14">
        <v>0.92</v>
      </c>
      <c r="AE23" s="14">
        <v>0.85</v>
      </c>
      <c r="AF23" s="14">
        <v>0.88</v>
      </c>
    </row>
    <row r="24" spans="1:32">
      <c r="A24" s="20"/>
      <c r="B24" s="11" t="s">
        <v>501</v>
      </c>
      <c r="C24" s="12">
        <v>2653</v>
      </c>
      <c r="D24" s="12">
        <v>128</v>
      </c>
      <c r="E24" s="12">
        <v>76</v>
      </c>
      <c r="F24" s="12">
        <v>225</v>
      </c>
      <c r="G24" s="12">
        <v>90</v>
      </c>
      <c r="H24" s="12">
        <v>129</v>
      </c>
      <c r="I24" s="12">
        <v>169</v>
      </c>
      <c r="J24" s="12">
        <v>40</v>
      </c>
      <c r="K24" s="12">
        <v>213</v>
      </c>
      <c r="L24" s="12">
        <v>59</v>
      </c>
      <c r="M24" s="12">
        <v>52</v>
      </c>
      <c r="N24" s="12">
        <v>70</v>
      </c>
      <c r="O24" s="12">
        <v>80</v>
      </c>
      <c r="P24" s="12">
        <v>57</v>
      </c>
      <c r="Q24" s="12">
        <v>87</v>
      </c>
      <c r="R24" s="12">
        <v>28</v>
      </c>
      <c r="S24" s="12">
        <v>81</v>
      </c>
      <c r="T24" s="12">
        <v>55</v>
      </c>
      <c r="U24" s="12">
        <v>27</v>
      </c>
      <c r="V24" s="12">
        <v>63</v>
      </c>
      <c r="W24" s="12">
        <v>41</v>
      </c>
      <c r="X24" s="12">
        <v>155</v>
      </c>
      <c r="Y24" s="12">
        <v>143</v>
      </c>
      <c r="Z24" s="12">
        <v>113</v>
      </c>
      <c r="AA24" s="12">
        <v>55</v>
      </c>
      <c r="AB24" s="12">
        <v>197</v>
      </c>
      <c r="AC24" s="12">
        <v>103</v>
      </c>
      <c r="AD24" s="12">
        <v>66</v>
      </c>
      <c r="AE24" s="12">
        <v>135</v>
      </c>
      <c r="AF24" s="12">
        <v>109</v>
      </c>
    </row>
    <row r="25" spans="1:32">
      <c r="A25" s="20"/>
      <c r="B25" s="13" t="s">
        <v>502</v>
      </c>
      <c r="C25" s="14">
        <v>0.1</v>
      </c>
      <c r="D25" s="14">
        <v>0.13</v>
      </c>
      <c r="E25" s="14">
        <v>7.0000000000000007E-2</v>
      </c>
      <c r="F25" s="14">
        <v>0.22</v>
      </c>
      <c r="G25" s="14">
        <v>0.09</v>
      </c>
      <c r="H25" s="14">
        <v>0.11</v>
      </c>
      <c r="I25" s="14">
        <v>0.11</v>
      </c>
      <c r="J25" s="14">
        <v>0.13</v>
      </c>
      <c r="K25" s="14">
        <v>0.21</v>
      </c>
      <c r="L25" s="14">
        <v>0.06</v>
      </c>
      <c r="M25" s="14">
        <v>0.05</v>
      </c>
      <c r="N25" s="14">
        <v>7.0000000000000007E-2</v>
      </c>
      <c r="O25" s="14">
        <v>0.08</v>
      </c>
      <c r="P25" s="14">
        <v>0.05</v>
      </c>
      <c r="Q25" s="14">
        <v>0.09</v>
      </c>
      <c r="R25" s="14">
        <v>0.06</v>
      </c>
      <c r="S25" s="14">
        <v>0.08</v>
      </c>
      <c r="T25" s="14">
        <v>0.05</v>
      </c>
      <c r="U25" s="14">
        <v>0.05</v>
      </c>
      <c r="V25" s="14">
        <v>0.06</v>
      </c>
      <c r="W25" s="14">
        <v>0.08</v>
      </c>
      <c r="X25" s="14">
        <v>0.15</v>
      </c>
      <c r="Y25" s="14">
        <v>0.14000000000000001</v>
      </c>
      <c r="Z25" s="14">
        <v>0.11</v>
      </c>
      <c r="AA25" s="14">
        <v>0.05</v>
      </c>
      <c r="AB25" s="14">
        <v>0.19</v>
      </c>
      <c r="AC25" s="14">
        <v>0.1</v>
      </c>
      <c r="AD25" s="14">
        <v>0.06</v>
      </c>
      <c r="AE25" s="14">
        <v>0.13</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60" customHeight="1">
      <c r="B3" s="18" t="s">
        <v>221</v>
      </c>
      <c r="C3" s="18"/>
      <c r="D3" s="18"/>
      <c r="E3" s="18"/>
      <c r="F3" s="18"/>
      <c r="H3" s="18" t="s">
        <v>222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1154</v>
      </c>
      <c r="C12" s="12">
        <v>8784</v>
      </c>
      <c r="D12" s="12">
        <v>320</v>
      </c>
      <c r="E12" s="12">
        <v>278</v>
      </c>
      <c r="F12" s="12">
        <v>152</v>
      </c>
      <c r="G12" s="12">
        <v>605</v>
      </c>
      <c r="H12" s="12">
        <v>453</v>
      </c>
      <c r="I12" s="12">
        <v>541</v>
      </c>
      <c r="J12" s="12">
        <v>88</v>
      </c>
      <c r="K12" s="12">
        <v>122</v>
      </c>
      <c r="L12" s="12">
        <v>489</v>
      </c>
      <c r="M12" s="12">
        <v>414</v>
      </c>
      <c r="N12" s="12">
        <v>373</v>
      </c>
      <c r="O12" s="12">
        <v>415</v>
      </c>
      <c r="P12" s="12">
        <v>365</v>
      </c>
      <c r="Q12" s="12">
        <v>226</v>
      </c>
      <c r="R12" s="12">
        <v>278</v>
      </c>
      <c r="S12" s="12">
        <v>194</v>
      </c>
      <c r="T12" s="12">
        <v>238</v>
      </c>
      <c r="U12" s="12">
        <v>197</v>
      </c>
      <c r="V12" s="12">
        <v>353</v>
      </c>
      <c r="W12" s="12">
        <v>311</v>
      </c>
      <c r="X12" s="12">
        <v>564</v>
      </c>
      <c r="Y12" s="12">
        <v>396</v>
      </c>
      <c r="Z12" s="12">
        <v>120</v>
      </c>
      <c r="AA12" s="12">
        <v>298</v>
      </c>
      <c r="AB12" s="12">
        <v>183</v>
      </c>
      <c r="AC12" s="12">
        <v>366</v>
      </c>
      <c r="AD12" s="12">
        <v>285</v>
      </c>
      <c r="AE12" s="12">
        <v>427</v>
      </c>
      <c r="AF12" s="12">
        <v>709</v>
      </c>
    </row>
    <row r="13" spans="1:32">
      <c r="A13" s="20"/>
      <c r="B13" s="13" t="s">
        <v>1155</v>
      </c>
      <c r="C13" s="14">
        <v>0.33</v>
      </c>
      <c r="D13" s="14">
        <v>0.32</v>
      </c>
      <c r="E13" s="14">
        <v>0.27</v>
      </c>
      <c r="F13" s="14">
        <v>0.15</v>
      </c>
      <c r="G13" s="14">
        <v>0.6</v>
      </c>
      <c r="H13" s="14">
        <v>0.37</v>
      </c>
      <c r="I13" s="14">
        <v>0.36</v>
      </c>
      <c r="J13" s="14">
        <v>0.3</v>
      </c>
      <c r="K13" s="14">
        <v>0.12</v>
      </c>
      <c r="L13" s="14">
        <v>0.49</v>
      </c>
      <c r="M13" s="14">
        <v>0.41</v>
      </c>
      <c r="N13" s="14">
        <v>0.37</v>
      </c>
      <c r="O13" s="14">
        <v>0.41</v>
      </c>
      <c r="P13" s="14">
        <v>0.36</v>
      </c>
      <c r="Q13" s="14">
        <v>0.22</v>
      </c>
      <c r="R13" s="14">
        <v>0.56000000000000005</v>
      </c>
      <c r="S13" s="14">
        <v>0.19</v>
      </c>
      <c r="T13" s="14">
        <v>0.23</v>
      </c>
      <c r="U13" s="14">
        <v>0.39</v>
      </c>
      <c r="V13" s="14">
        <v>0.35</v>
      </c>
      <c r="W13" s="14">
        <v>0.62</v>
      </c>
      <c r="X13" s="14">
        <v>0.55000000000000004</v>
      </c>
      <c r="Y13" s="14">
        <v>0.39</v>
      </c>
      <c r="Z13" s="14">
        <v>0.12</v>
      </c>
      <c r="AA13" s="14">
        <v>0.28000000000000003</v>
      </c>
      <c r="AB13" s="14">
        <v>0.18</v>
      </c>
      <c r="AC13" s="14">
        <v>0.36</v>
      </c>
      <c r="AD13" s="14">
        <v>0.28000000000000003</v>
      </c>
      <c r="AE13" s="14">
        <v>0.43</v>
      </c>
      <c r="AF13" s="14">
        <v>0.69000000000000006</v>
      </c>
    </row>
    <row r="14" spans="1:32">
      <c r="A14" s="20"/>
      <c r="B14" s="11" t="s">
        <v>1156</v>
      </c>
      <c r="C14" s="12">
        <v>12678</v>
      </c>
      <c r="D14" s="12">
        <v>495</v>
      </c>
      <c r="E14" s="12">
        <v>468</v>
      </c>
      <c r="F14" s="12">
        <v>360</v>
      </c>
      <c r="G14" s="12">
        <v>287</v>
      </c>
      <c r="H14" s="12">
        <v>542</v>
      </c>
      <c r="I14" s="12">
        <v>665</v>
      </c>
      <c r="J14" s="12">
        <v>123</v>
      </c>
      <c r="K14" s="12">
        <v>348</v>
      </c>
      <c r="L14" s="12">
        <v>366</v>
      </c>
      <c r="M14" s="12">
        <v>433</v>
      </c>
      <c r="N14" s="12">
        <v>461</v>
      </c>
      <c r="O14" s="12">
        <v>473</v>
      </c>
      <c r="P14" s="12">
        <v>550</v>
      </c>
      <c r="Q14" s="12">
        <v>634</v>
      </c>
      <c r="R14" s="12">
        <v>165</v>
      </c>
      <c r="S14" s="12">
        <v>448</v>
      </c>
      <c r="T14" s="12">
        <v>481</v>
      </c>
      <c r="U14" s="12">
        <v>228</v>
      </c>
      <c r="V14" s="12">
        <v>563</v>
      </c>
      <c r="W14" s="12">
        <v>160</v>
      </c>
      <c r="X14" s="12">
        <v>290</v>
      </c>
      <c r="Y14" s="12">
        <v>399</v>
      </c>
      <c r="Z14" s="12">
        <v>630</v>
      </c>
      <c r="AA14" s="12">
        <v>640</v>
      </c>
      <c r="AB14" s="12">
        <v>555</v>
      </c>
      <c r="AC14" s="12">
        <v>444</v>
      </c>
      <c r="AD14" s="12">
        <v>470</v>
      </c>
      <c r="AE14" s="12">
        <v>414</v>
      </c>
      <c r="AF14" s="12">
        <v>221</v>
      </c>
    </row>
    <row r="15" spans="1:32">
      <c r="A15" s="20"/>
      <c r="B15" s="13" t="s">
        <v>1157</v>
      </c>
      <c r="C15" s="14">
        <v>0.48</v>
      </c>
      <c r="D15" s="14">
        <v>0.49</v>
      </c>
      <c r="E15" s="14">
        <v>0.46</v>
      </c>
      <c r="F15" s="14">
        <v>0.36</v>
      </c>
      <c r="G15" s="14">
        <v>0.28999999999999998</v>
      </c>
      <c r="H15" s="14">
        <v>0.45</v>
      </c>
      <c r="I15" s="14">
        <v>0.44</v>
      </c>
      <c r="J15" s="14">
        <v>0.42</v>
      </c>
      <c r="K15" s="14">
        <v>0.34</v>
      </c>
      <c r="L15" s="14">
        <v>0.36</v>
      </c>
      <c r="M15" s="14">
        <v>0.43</v>
      </c>
      <c r="N15" s="14">
        <v>0.46</v>
      </c>
      <c r="O15" s="14">
        <v>0.47</v>
      </c>
      <c r="P15" s="14">
        <v>0.54</v>
      </c>
      <c r="Q15" s="14">
        <v>0.62</v>
      </c>
      <c r="R15" s="14">
        <v>0.33</v>
      </c>
      <c r="S15" s="14">
        <v>0.44</v>
      </c>
      <c r="T15" s="14">
        <v>0.48</v>
      </c>
      <c r="U15" s="14">
        <v>0.45</v>
      </c>
      <c r="V15" s="14">
        <v>0.55000000000000004</v>
      </c>
      <c r="W15" s="14">
        <v>0.32</v>
      </c>
      <c r="X15" s="14">
        <v>0.28000000000000003</v>
      </c>
      <c r="Y15" s="14">
        <v>0.4</v>
      </c>
      <c r="Z15" s="14">
        <v>0.62</v>
      </c>
      <c r="AA15" s="14">
        <v>0.61</v>
      </c>
      <c r="AB15" s="14">
        <v>0.53</v>
      </c>
      <c r="AC15" s="14">
        <v>0.44</v>
      </c>
      <c r="AD15" s="14">
        <v>0.47</v>
      </c>
      <c r="AE15" s="14">
        <v>0.41</v>
      </c>
      <c r="AF15" s="14">
        <v>0.22</v>
      </c>
    </row>
    <row r="16" spans="1:32">
      <c r="A16" s="20"/>
      <c r="B16" s="11" t="s">
        <v>1158</v>
      </c>
      <c r="C16" s="12">
        <v>2644</v>
      </c>
      <c r="D16" s="12">
        <v>129</v>
      </c>
      <c r="E16" s="12">
        <v>101</v>
      </c>
      <c r="F16" s="12">
        <v>302</v>
      </c>
      <c r="G16" s="12">
        <v>45</v>
      </c>
      <c r="H16" s="12">
        <v>119</v>
      </c>
      <c r="I16" s="12">
        <v>169</v>
      </c>
      <c r="J16" s="12">
        <v>50</v>
      </c>
      <c r="K16" s="12">
        <v>250</v>
      </c>
      <c r="L16" s="12">
        <v>60</v>
      </c>
      <c r="M16" s="12">
        <v>77</v>
      </c>
      <c r="N16" s="12">
        <v>74</v>
      </c>
      <c r="O16" s="12">
        <v>57</v>
      </c>
      <c r="P16" s="12">
        <v>60</v>
      </c>
      <c r="Q16" s="12">
        <v>91</v>
      </c>
      <c r="R16" s="12">
        <v>32</v>
      </c>
      <c r="S16" s="12">
        <v>139</v>
      </c>
      <c r="T16" s="12">
        <v>126</v>
      </c>
      <c r="U16" s="12">
        <v>38</v>
      </c>
      <c r="V16" s="12">
        <v>64</v>
      </c>
      <c r="W16" s="12">
        <v>12</v>
      </c>
      <c r="X16" s="12">
        <v>112</v>
      </c>
      <c r="Y16" s="12">
        <v>123</v>
      </c>
      <c r="Z16" s="12">
        <v>141</v>
      </c>
      <c r="AA16" s="12">
        <v>44</v>
      </c>
      <c r="AB16" s="12">
        <v>200</v>
      </c>
      <c r="AC16" s="12">
        <v>112</v>
      </c>
      <c r="AD16" s="12">
        <v>124</v>
      </c>
      <c r="AE16" s="12">
        <v>94</v>
      </c>
      <c r="AF16" s="12">
        <v>54</v>
      </c>
    </row>
    <row r="17" spans="1:32">
      <c r="A17" s="20"/>
      <c r="B17" s="13" t="s">
        <v>1159</v>
      </c>
      <c r="C17" s="14">
        <v>0.1</v>
      </c>
      <c r="D17" s="14">
        <v>0.13</v>
      </c>
      <c r="E17" s="14">
        <v>0.1</v>
      </c>
      <c r="F17" s="14">
        <v>0.3</v>
      </c>
      <c r="G17" s="14">
        <v>0.05</v>
      </c>
      <c r="H17" s="14">
        <v>0.1</v>
      </c>
      <c r="I17" s="14">
        <v>0.11</v>
      </c>
      <c r="J17" s="14">
        <v>0.17</v>
      </c>
      <c r="K17" s="14">
        <v>0.25</v>
      </c>
      <c r="L17" s="14">
        <v>0.06</v>
      </c>
      <c r="M17" s="14">
        <v>0.08</v>
      </c>
      <c r="N17" s="14">
        <v>0.08</v>
      </c>
      <c r="O17" s="14">
        <v>0.06</v>
      </c>
      <c r="P17" s="14">
        <v>0.06</v>
      </c>
      <c r="Q17" s="14">
        <v>0.09</v>
      </c>
      <c r="R17" s="14">
        <v>0.06</v>
      </c>
      <c r="S17" s="14">
        <v>0.14000000000000001</v>
      </c>
      <c r="T17" s="14">
        <v>0.12</v>
      </c>
      <c r="U17" s="14">
        <v>0.08</v>
      </c>
      <c r="V17" s="14">
        <v>0.06</v>
      </c>
      <c r="W17" s="14">
        <v>0.02</v>
      </c>
      <c r="X17" s="14">
        <v>0.11</v>
      </c>
      <c r="Y17" s="14">
        <v>0.12</v>
      </c>
      <c r="Z17" s="14">
        <v>0.14000000000000001</v>
      </c>
      <c r="AA17" s="14">
        <v>0.04</v>
      </c>
      <c r="AB17" s="14">
        <v>0.19</v>
      </c>
      <c r="AC17" s="14">
        <v>0.11</v>
      </c>
      <c r="AD17" s="14">
        <v>0.12</v>
      </c>
      <c r="AE17" s="14">
        <v>0.09</v>
      </c>
      <c r="AF17" s="14">
        <v>0.05</v>
      </c>
    </row>
    <row r="18" spans="1:32">
      <c r="A18" s="20"/>
      <c r="B18" s="11" t="s">
        <v>1160</v>
      </c>
      <c r="C18" s="12">
        <v>1012</v>
      </c>
      <c r="D18" s="12">
        <v>43</v>
      </c>
      <c r="E18" s="12">
        <v>43</v>
      </c>
      <c r="F18" s="12">
        <v>135</v>
      </c>
      <c r="G18" s="12">
        <v>24</v>
      </c>
      <c r="H18" s="12">
        <v>63</v>
      </c>
      <c r="I18" s="12">
        <v>81</v>
      </c>
      <c r="J18" s="12">
        <v>18</v>
      </c>
      <c r="K18" s="12">
        <v>157</v>
      </c>
      <c r="L18" s="12">
        <v>54</v>
      </c>
      <c r="M18" s="12">
        <v>30</v>
      </c>
      <c r="N18" s="12">
        <v>42</v>
      </c>
      <c r="O18" s="12">
        <v>16</v>
      </c>
      <c r="P18" s="12">
        <v>12</v>
      </c>
      <c r="Q18" s="12">
        <v>19</v>
      </c>
      <c r="R18" s="12">
        <v>6</v>
      </c>
      <c r="S18" s="12">
        <v>111</v>
      </c>
      <c r="T18" s="12">
        <v>60</v>
      </c>
      <c r="U18" s="12">
        <v>22</v>
      </c>
      <c r="V18" s="12">
        <v>7</v>
      </c>
      <c r="W18" s="12">
        <v>10</v>
      </c>
      <c r="X18" s="12">
        <v>46</v>
      </c>
      <c r="Y18" s="12">
        <v>72</v>
      </c>
      <c r="Z18" s="12">
        <v>35</v>
      </c>
      <c r="AA18" s="12">
        <v>8</v>
      </c>
      <c r="AB18" s="12">
        <v>51</v>
      </c>
      <c r="AC18" s="12">
        <v>65</v>
      </c>
      <c r="AD18" s="12">
        <v>65</v>
      </c>
      <c r="AE18" s="12">
        <v>44</v>
      </c>
      <c r="AF18" s="12">
        <v>29</v>
      </c>
    </row>
    <row r="19" spans="1:32">
      <c r="A19" s="20"/>
      <c r="B19" s="13" t="s">
        <v>1161</v>
      </c>
      <c r="C19" s="14">
        <v>0.04</v>
      </c>
      <c r="D19" s="14">
        <v>0.04</v>
      </c>
      <c r="E19" s="14">
        <v>0.04</v>
      </c>
      <c r="F19" s="14">
        <v>0.13</v>
      </c>
      <c r="G19" s="14">
        <v>0.02</v>
      </c>
      <c r="H19" s="14">
        <v>0.05</v>
      </c>
      <c r="I19" s="14">
        <v>0.05</v>
      </c>
      <c r="J19" s="14">
        <v>0.06</v>
      </c>
      <c r="K19" s="14">
        <v>0.16</v>
      </c>
      <c r="L19" s="14">
        <v>0.05</v>
      </c>
      <c r="M19" s="14">
        <v>0.03</v>
      </c>
      <c r="N19" s="14">
        <v>0.04</v>
      </c>
      <c r="O19" s="14">
        <v>0.02</v>
      </c>
      <c r="P19" s="14">
        <v>0.01</v>
      </c>
      <c r="Q19" s="14">
        <v>0.02</v>
      </c>
      <c r="R19" s="14">
        <v>0.01</v>
      </c>
      <c r="S19" s="14">
        <v>0.11</v>
      </c>
      <c r="T19" s="14">
        <v>0.06</v>
      </c>
      <c r="U19" s="14">
        <v>0.04</v>
      </c>
      <c r="V19" s="14">
        <v>0.01</v>
      </c>
      <c r="W19" s="14">
        <v>0.02</v>
      </c>
      <c r="X19" s="14">
        <v>0.05</v>
      </c>
      <c r="Y19" s="14">
        <v>7.0000000000000007E-2</v>
      </c>
      <c r="Z19" s="14">
        <v>0.04</v>
      </c>
      <c r="AA19" s="14">
        <v>0.01</v>
      </c>
      <c r="AB19" s="14">
        <v>0.05</v>
      </c>
      <c r="AC19" s="14">
        <v>7.0000000000000007E-2</v>
      </c>
      <c r="AD19" s="14">
        <v>7.0000000000000007E-2</v>
      </c>
      <c r="AE19" s="14">
        <v>0.05</v>
      </c>
      <c r="AF19" s="14">
        <v>0.03</v>
      </c>
    </row>
    <row r="20" spans="1:32">
      <c r="A20" s="20"/>
      <c r="B20" s="11" t="s">
        <v>468</v>
      </c>
      <c r="C20" s="12">
        <v>1201</v>
      </c>
      <c r="D20" s="12">
        <v>17</v>
      </c>
      <c r="E20" s="12">
        <v>128</v>
      </c>
      <c r="F20" s="12">
        <v>55</v>
      </c>
      <c r="G20" s="12">
        <v>43</v>
      </c>
      <c r="H20" s="12">
        <v>40</v>
      </c>
      <c r="I20" s="12">
        <v>54</v>
      </c>
      <c r="J20" s="12">
        <v>15</v>
      </c>
      <c r="K20" s="12">
        <v>129</v>
      </c>
      <c r="L20" s="12">
        <v>38</v>
      </c>
      <c r="M20" s="12">
        <v>49</v>
      </c>
      <c r="N20" s="12">
        <v>54</v>
      </c>
      <c r="O20" s="12">
        <v>42</v>
      </c>
      <c r="P20" s="12">
        <v>33</v>
      </c>
      <c r="Q20" s="12">
        <v>49</v>
      </c>
      <c r="R20" s="12">
        <v>18</v>
      </c>
      <c r="S20" s="12">
        <v>117</v>
      </c>
      <c r="T20" s="12">
        <v>109</v>
      </c>
      <c r="U20" s="12">
        <v>22</v>
      </c>
      <c r="V20" s="12">
        <v>30</v>
      </c>
      <c r="W20" s="12">
        <v>10</v>
      </c>
      <c r="X20" s="12">
        <v>9</v>
      </c>
      <c r="Y20" s="12">
        <v>16</v>
      </c>
      <c r="Z20" s="12">
        <v>82</v>
      </c>
      <c r="AA20" s="12">
        <v>63</v>
      </c>
      <c r="AB20" s="12">
        <v>49</v>
      </c>
      <c r="AC20" s="12">
        <v>23</v>
      </c>
      <c r="AD20" s="12">
        <v>63</v>
      </c>
      <c r="AE20" s="12">
        <v>22</v>
      </c>
      <c r="AF20" s="12">
        <v>7</v>
      </c>
    </row>
    <row r="21" spans="1:32">
      <c r="A21" s="20"/>
      <c r="B21" s="13" t="s">
        <v>770</v>
      </c>
      <c r="C21" s="14">
        <v>0.05</v>
      </c>
      <c r="D21" s="14">
        <v>0.02</v>
      </c>
      <c r="E21" s="14">
        <v>0.13</v>
      </c>
      <c r="F21" s="14">
        <v>0.06</v>
      </c>
      <c r="G21" s="14">
        <v>0.04</v>
      </c>
      <c r="H21" s="14">
        <v>0.03</v>
      </c>
      <c r="I21" s="14">
        <v>0.04</v>
      </c>
      <c r="J21" s="14">
        <v>0.05</v>
      </c>
      <c r="K21" s="14">
        <v>0.13</v>
      </c>
      <c r="L21" s="14">
        <v>0.04</v>
      </c>
      <c r="M21" s="14">
        <v>0.05</v>
      </c>
      <c r="N21" s="14">
        <v>0.05</v>
      </c>
      <c r="O21" s="14">
        <v>0.04</v>
      </c>
      <c r="P21" s="14">
        <v>0.03</v>
      </c>
      <c r="Q21" s="14">
        <v>0.05</v>
      </c>
      <c r="R21" s="14">
        <v>0.04</v>
      </c>
      <c r="S21" s="14">
        <v>0.12</v>
      </c>
      <c r="T21" s="14">
        <v>0.11</v>
      </c>
      <c r="U21" s="14">
        <v>0.04</v>
      </c>
      <c r="V21" s="14">
        <v>0.03</v>
      </c>
      <c r="W21" s="14">
        <v>0.02</v>
      </c>
      <c r="X21" s="14">
        <v>0.01</v>
      </c>
      <c r="Y21" s="14">
        <v>0.02</v>
      </c>
      <c r="Z21" s="14">
        <v>0.08</v>
      </c>
      <c r="AA21" s="14">
        <v>0.06</v>
      </c>
      <c r="AB21" s="14">
        <v>0.05</v>
      </c>
      <c r="AC21" s="14">
        <v>0.02</v>
      </c>
      <c r="AD21" s="14">
        <v>0.06</v>
      </c>
      <c r="AE21" s="14">
        <v>0.02</v>
      </c>
      <c r="AF21" s="14">
        <v>0.01</v>
      </c>
    </row>
    <row r="22" spans="1:32">
      <c r="A22" s="20"/>
      <c r="B22" s="11" t="s">
        <v>851</v>
      </c>
      <c r="C22" s="12">
        <v>21462</v>
      </c>
      <c r="D22" s="12">
        <v>815</v>
      </c>
      <c r="E22" s="12">
        <v>746</v>
      </c>
      <c r="F22" s="12">
        <v>512</v>
      </c>
      <c r="G22" s="12">
        <v>892</v>
      </c>
      <c r="H22" s="12">
        <v>995</v>
      </c>
      <c r="I22" s="12">
        <v>1206</v>
      </c>
      <c r="J22" s="12">
        <v>211</v>
      </c>
      <c r="K22" s="12">
        <v>470</v>
      </c>
      <c r="L22" s="12">
        <v>855</v>
      </c>
      <c r="M22" s="12">
        <v>847</v>
      </c>
      <c r="N22" s="12">
        <v>834</v>
      </c>
      <c r="O22" s="12">
        <v>888</v>
      </c>
      <c r="P22" s="12">
        <v>915</v>
      </c>
      <c r="Q22" s="12">
        <v>860</v>
      </c>
      <c r="R22" s="12">
        <v>443</v>
      </c>
      <c r="S22" s="12">
        <v>642</v>
      </c>
      <c r="T22" s="12">
        <v>719</v>
      </c>
      <c r="U22" s="12">
        <v>425</v>
      </c>
      <c r="V22" s="12">
        <v>916</v>
      </c>
      <c r="W22" s="12">
        <v>471</v>
      </c>
      <c r="X22" s="12">
        <v>854</v>
      </c>
      <c r="Y22" s="12">
        <v>795</v>
      </c>
      <c r="Z22" s="12">
        <v>750</v>
      </c>
      <c r="AA22" s="12">
        <v>938</v>
      </c>
      <c r="AB22" s="12">
        <v>738</v>
      </c>
      <c r="AC22" s="12">
        <v>810</v>
      </c>
      <c r="AD22" s="12">
        <v>755</v>
      </c>
      <c r="AE22" s="12">
        <v>841</v>
      </c>
      <c r="AF22" s="12">
        <v>930</v>
      </c>
    </row>
    <row r="23" spans="1:32">
      <c r="A23" s="20"/>
      <c r="B23" s="13" t="s">
        <v>1162</v>
      </c>
      <c r="C23" s="14">
        <v>0.81</v>
      </c>
      <c r="D23" s="14">
        <v>0.81</v>
      </c>
      <c r="E23" s="14">
        <v>0.73</v>
      </c>
      <c r="F23" s="14">
        <v>0.51</v>
      </c>
      <c r="G23" s="14">
        <v>0.89</v>
      </c>
      <c r="H23" s="14">
        <v>0.82000000000000006</v>
      </c>
      <c r="I23" s="14">
        <v>0.8</v>
      </c>
      <c r="J23" s="14">
        <v>0.72</v>
      </c>
      <c r="K23" s="14">
        <v>0.46</v>
      </c>
      <c r="L23" s="14">
        <v>0.85</v>
      </c>
      <c r="M23" s="14">
        <v>0.84</v>
      </c>
      <c r="N23" s="14">
        <v>0.83000000000000007</v>
      </c>
      <c r="O23" s="14">
        <v>0.88</v>
      </c>
      <c r="P23" s="14">
        <v>0.9</v>
      </c>
      <c r="Q23" s="14">
        <v>0.84</v>
      </c>
      <c r="R23" s="14">
        <v>0.89</v>
      </c>
      <c r="S23" s="14">
        <v>0.63</v>
      </c>
      <c r="T23" s="14">
        <v>0.71</v>
      </c>
      <c r="U23" s="14">
        <v>0.84</v>
      </c>
      <c r="V23" s="14">
        <v>0.9</v>
      </c>
      <c r="W23" s="14">
        <v>0.94000000000000006</v>
      </c>
      <c r="X23" s="14">
        <v>0.83000000000000007</v>
      </c>
      <c r="Y23" s="14">
        <v>0.79</v>
      </c>
      <c r="Z23" s="14">
        <v>0.74</v>
      </c>
      <c r="AA23" s="14">
        <v>0.89</v>
      </c>
      <c r="AB23" s="14">
        <v>0.71</v>
      </c>
      <c r="AC23" s="14">
        <v>0.8</v>
      </c>
      <c r="AD23" s="14">
        <v>0.75</v>
      </c>
      <c r="AE23" s="14">
        <v>0.84</v>
      </c>
      <c r="AF23" s="14">
        <v>0.91</v>
      </c>
    </row>
    <row r="24" spans="1:32">
      <c r="A24" s="20"/>
      <c r="B24" s="11" t="s">
        <v>1163</v>
      </c>
      <c r="C24" s="12">
        <v>3656</v>
      </c>
      <c r="D24" s="12">
        <v>172</v>
      </c>
      <c r="E24" s="12">
        <v>144</v>
      </c>
      <c r="F24" s="12">
        <v>437</v>
      </c>
      <c r="G24" s="12">
        <v>69</v>
      </c>
      <c r="H24" s="12">
        <v>182</v>
      </c>
      <c r="I24" s="12">
        <v>250</v>
      </c>
      <c r="J24" s="12">
        <v>68</v>
      </c>
      <c r="K24" s="12">
        <v>407</v>
      </c>
      <c r="L24" s="12">
        <v>114</v>
      </c>
      <c r="M24" s="12">
        <v>107</v>
      </c>
      <c r="N24" s="12">
        <v>116</v>
      </c>
      <c r="O24" s="12">
        <v>73</v>
      </c>
      <c r="P24" s="12">
        <v>72</v>
      </c>
      <c r="Q24" s="12">
        <v>110</v>
      </c>
      <c r="R24" s="12">
        <v>38</v>
      </c>
      <c r="S24" s="12">
        <v>250</v>
      </c>
      <c r="T24" s="12">
        <v>186</v>
      </c>
      <c r="U24" s="12">
        <v>60</v>
      </c>
      <c r="V24" s="12">
        <v>71</v>
      </c>
      <c r="W24" s="12">
        <v>22</v>
      </c>
      <c r="X24" s="12">
        <v>158</v>
      </c>
      <c r="Y24" s="12">
        <v>195</v>
      </c>
      <c r="Z24" s="12">
        <v>176</v>
      </c>
      <c r="AA24" s="12">
        <v>52</v>
      </c>
      <c r="AB24" s="12">
        <v>251</v>
      </c>
      <c r="AC24" s="12">
        <v>177</v>
      </c>
      <c r="AD24" s="12">
        <v>189</v>
      </c>
      <c r="AE24" s="12">
        <v>138</v>
      </c>
      <c r="AF24" s="12">
        <v>83</v>
      </c>
    </row>
    <row r="25" spans="1:32">
      <c r="A25" s="20"/>
      <c r="B25" s="13" t="s">
        <v>1164</v>
      </c>
      <c r="C25" s="14">
        <v>0.14000000000000001</v>
      </c>
      <c r="D25" s="14">
        <v>0.17</v>
      </c>
      <c r="E25" s="14">
        <v>0.14000000000000001</v>
      </c>
      <c r="F25" s="14">
        <v>0.43</v>
      </c>
      <c r="G25" s="14">
        <v>7.0000000000000007E-2</v>
      </c>
      <c r="H25" s="14">
        <v>0.15</v>
      </c>
      <c r="I25" s="14">
        <v>0.16</v>
      </c>
      <c r="J25" s="14">
        <v>0.23</v>
      </c>
      <c r="K25" s="14">
        <v>0.41</v>
      </c>
      <c r="L25" s="14">
        <v>0.11</v>
      </c>
      <c r="M25" s="14">
        <v>0.11</v>
      </c>
      <c r="N25" s="14">
        <v>0.12</v>
      </c>
      <c r="O25" s="14">
        <v>0.08</v>
      </c>
      <c r="P25" s="14">
        <v>7.0000000000000007E-2</v>
      </c>
      <c r="Q25" s="14">
        <v>0.11</v>
      </c>
      <c r="R25" s="14">
        <v>7.0000000000000007E-2</v>
      </c>
      <c r="S25" s="14">
        <v>0.25</v>
      </c>
      <c r="T25" s="14">
        <v>0.18</v>
      </c>
      <c r="U25" s="14">
        <v>0.12</v>
      </c>
      <c r="V25" s="14">
        <v>7.0000000000000007E-2</v>
      </c>
      <c r="W25" s="14">
        <v>0.04</v>
      </c>
      <c r="X25" s="14">
        <v>0.16</v>
      </c>
      <c r="Y25" s="14">
        <v>0.19</v>
      </c>
      <c r="Z25" s="14">
        <v>0.18</v>
      </c>
      <c r="AA25" s="14">
        <v>0.05</v>
      </c>
      <c r="AB25" s="14">
        <v>0.24</v>
      </c>
      <c r="AC25" s="14">
        <v>0.18</v>
      </c>
      <c r="AD25" s="14">
        <v>0.19</v>
      </c>
      <c r="AE25" s="14">
        <v>0.14000000000000001</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1165</v>
      </c>
      <c r="C3" s="18"/>
      <c r="D3" s="18"/>
      <c r="E3" s="18"/>
      <c r="F3" s="18"/>
      <c r="H3" s="18" t="s">
        <v>1166</v>
      </c>
      <c r="I3" s="18"/>
      <c r="J3" s="18"/>
      <c r="K3" s="18"/>
      <c r="L3" s="18"/>
    </row>
    <row r="4" spans="1:32" ht="27" customHeight="1">
      <c r="B4" s="18" t="s">
        <v>1167</v>
      </c>
      <c r="C4" s="18"/>
      <c r="D4" s="18"/>
      <c r="E4" s="18"/>
      <c r="F4" s="18"/>
      <c r="H4" s="18" t="s">
        <v>1168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7276</v>
      </c>
      <c r="D12" s="12">
        <v>213</v>
      </c>
      <c r="E12" s="12">
        <v>224</v>
      </c>
      <c r="F12" s="12">
        <v>137</v>
      </c>
      <c r="G12" s="12">
        <v>586</v>
      </c>
      <c r="H12" s="12">
        <v>308</v>
      </c>
      <c r="I12" s="12">
        <v>371</v>
      </c>
      <c r="J12" s="12">
        <v>62</v>
      </c>
      <c r="K12" s="12">
        <v>137</v>
      </c>
      <c r="L12" s="12">
        <v>422</v>
      </c>
      <c r="M12" s="12">
        <v>264</v>
      </c>
      <c r="N12" s="12">
        <v>349</v>
      </c>
      <c r="O12" s="12">
        <v>326</v>
      </c>
      <c r="P12" s="12">
        <v>345</v>
      </c>
      <c r="Q12" s="12">
        <v>264</v>
      </c>
      <c r="R12" s="12">
        <v>197</v>
      </c>
      <c r="S12" s="12">
        <v>144</v>
      </c>
      <c r="T12" s="12">
        <v>221</v>
      </c>
      <c r="U12" s="12">
        <v>133</v>
      </c>
      <c r="V12" s="12">
        <v>305</v>
      </c>
      <c r="W12" s="12">
        <v>232</v>
      </c>
      <c r="X12" s="12">
        <v>253</v>
      </c>
      <c r="Y12" s="12">
        <v>305</v>
      </c>
      <c r="Z12" s="12">
        <v>189</v>
      </c>
      <c r="AA12" s="12">
        <v>357</v>
      </c>
      <c r="AB12" s="12">
        <v>220</v>
      </c>
      <c r="AC12" s="12">
        <v>244</v>
      </c>
      <c r="AD12" s="12">
        <v>269</v>
      </c>
      <c r="AE12" s="12">
        <v>309</v>
      </c>
      <c r="AF12" s="12">
        <v>384</v>
      </c>
    </row>
    <row r="13" spans="1:32">
      <c r="A13" s="20"/>
      <c r="B13" s="13" t="s">
        <v>559</v>
      </c>
      <c r="C13" s="14">
        <v>0.28000000000000003</v>
      </c>
      <c r="D13" s="14">
        <v>0.21</v>
      </c>
      <c r="E13" s="14">
        <v>0.22</v>
      </c>
      <c r="F13" s="14">
        <v>0.14000000000000001</v>
      </c>
      <c r="G13" s="14">
        <v>0.57999999999999996</v>
      </c>
      <c r="H13" s="14">
        <v>0.25</v>
      </c>
      <c r="I13" s="14">
        <v>0.25</v>
      </c>
      <c r="J13" s="14">
        <v>0.21</v>
      </c>
      <c r="K13" s="14">
        <v>0.14000000000000001</v>
      </c>
      <c r="L13" s="14">
        <v>0.42</v>
      </c>
      <c r="M13" s="14">
        <v>0.26</v>
      </c>
      <c r="N13" s="14">
        <v>0.35</v>
      </c>
      <c r="O13" s="14">
        <v>0.32</v>
      </c>
      <c r="P13" s="14">
        <v>0.34</v>
      </c>
      <c r="Q13" s="14">
        <v>0.26</v>
      </c>
      <c r="R13" s="14">
        <v>0.39</v>
      </c>
      <c r="S13" s="14">
        <v>0.14000000000000001</v>
      </c>
      <c r="T13" s="14">
        <v>0.22</v>
      </c>
      <c r="U13" s="14">
        <v>0.26</v>
      </c>
      <c r="V13" s="14">
        <v>0.3</v>
      </c>
      <c r="W13" s="14">
        <v>0.46</v>
      </c>
      <c r="X13" s="14">
        <v>0.25</v>
      </c>
      <c r="Y13" s="14">
        <v>0.3</v>
      </c>
      <c r="Z13" s="14">
        <v>0.19</v>
      </c>
      <c r="AA13" s="14">
        <v>0.34</v>
      </c>
      <c r="AB13" s="14">
        <v>0.21</v>
      </c>
      <c r="AC13" s="14">
        <v>0.24</v>
      </c>
      <c r="AD13" s="14">
        <v>0.27</v>
      </c>
      <c r="AE13" s="14">
        <v>0.31</v>
      </c>
      <c r="AF13" s="14">
        <v>0.38</v>
      </c>
    </row>
    <row r="14" spans="1:32">
      <c r="A14" s="20"/>
      <c r="B14" s="11" t="s">
        <v>560</v>
      </c>
      <c r="C14" s="12">
        <v>12251</v>
      </c>
      <c r="D14" s="12">
        <v>499</v>
      </c>
      <c r="E14" s="12">
        <v>417</v>
      </c>
      <c r="F14" s="12">
        <v>383</v>
      </c>
      <c r="G14" s="12">
        <v>264</v>
      </c>
      <c r="H14" s="12">
        <v>531</v>
      </c>
      <c r="I14" s="12">
        <v>650</v>
      </c>
      <c r="J14" s="12">
        <v>119</v>
      </c>
      <c r="K14" s="12">
        <v>354</v>
      </c>
      <c r="L14" s="12">
        <v>403</v>
      </c>
      <c r="M14" s="12">
        <v>485</v>
      </c>
      <c r="N14" s="12">
        <v>427</v>
      </c>
      <c r="O14" s="12">
        <v>428</v>
      </c>
      <c r="P14" s="12">
        <v>538</v>
      </c>
      <c r="Q14" s="12">
        <v>612</v>
      </c>
      <c r="R14" s="12">
        <v>190</v>
      </c>
      <c r="S14" s="12">
        <v>402</v>
      </c>
      <c r="T14" s="12">
        <v>449</v>
      </c>
      <c r="U14" s="12">
        <v>237</v>
      </c>
      <c r="V14" s="12">
        <v>504</v>
      </c>
      <c r="W14" s="12">
        <v>207</v>
      </c>
      <c r="X14" s="12">
        <v>407</v>
      </c>
      <c r="Y14" s="12">
        <v>428</v>
      </c>
      <c r="Z14" s="12">
        <v>572</v>
      </c>
      <c r="AA14" s="12">
        <v>565</v>
      </c>
      <c r="AB14" s="12">
        <v>514</v>
      </c>
      <c r="AC14" s="12">
        <v>385</v>
      </c>
      <c r="AD14" s="12">
        <v>418</v>
      </c>
      <c r="AE14" s="12">
        <v>372</v>
      </c>
      <c r="AF14" s="12">
        <v>376</v>
      </c>
    </row>
    <row r="15" spans="1:32">
      <c r="A15" s="20"/>
      <c r="B15" s="13" t="s">
        <v>561</v>
      </c>
      <c r="C15" s="14">
        <v>0.47</v>
      </c>
      <c r="D15" s="14">
        <v>0.5</v>
      </c>
      <c r="E15" s="14">
        <v>0.41</v>
      </c>
      <c r="F15" s="14">
        <v>0.38</v>
      </c>
      <c r="G15" s="14">
        <v>0.26</v>
      </c>
      <c r="H15" s="14">
        <v>0.44</v>
      </c>
      <c r="I15" s="14">
        <v>0.43</v>
      </c>
      <c r="J15" s="14">
        <v>0.41</v>
      </c>
      <c r="K15" s="14">
        <v>0.35</v>
      </c>
      <c r="L15" s="14">
        <v>0.4</v>
      </c>
      <c r="M15" s="14">
        <v>0.48</v>
      </c>
      <c r="N15" s="14">
        <v>0.42</v>
      </c>
      <c r="O15" s="14">
        <v>0.43</v>
      </c>
      <c r="P15" s="14">
        <v>0.53</v>
      </c>
      <c r="Q15" s="14">
        <v>0.6</v>
      </c>
      <c r="R15" s="14">
        <v>0.38</v>
      </c>
      <c r="S15" s="14">
        <v>0.4</v>
      </c>
      <c r="T15" s="14">
        <v>0.44</v>
      </c>
      <c r="U15" s="14">
        <v>0.47</v>
      </c>
      <c r="V15" s="14">
        <v>0.49</v>
      </c>
      <c r="W15" s="14">
        <v>0.41</v>
      </c>
      <c r="X15" s="14">
        <v>0.4</v>
      </c>
      <c r="Y15" s="14">
        <v>0.42</v>
      </c>
      <c r="Z15" s="14">
        <v>0.57000000000000006</v>
      </c>
      <c r="AA15" s="14">
        <v>0.54</v>
      </c>
      <c r="AB15" s="14">
        <v>0.49</v>
      </c>
      <c r="AC15" s="14">
        <v>0.38</v>
      </c>
      <c r="AD15" s="14">
        <v>0.41</v>
      </c>
      <c r="AE15" s="14">
        <v>0.37</v>
      </c>
      <c r="AF15" s="14">
        <v>0.37</v>
      </c>
    </row>
    <row r="16" spans="1:32">
      <c r="A16" s="20"/>
      <c r="B16" s="11" t="s">
        <v>562</v>
      </c>
      <c r="C16" s="12">
        <v>3554</v>
      </c>
      <c r="D16" s="12">
        <v>194</v>
      </c>
      <c r="E16" s="12">
        <v>163</v>
      </c>
      <c r="F16" s="12">
        <v>286</v>
      </c>
      <c r="G16" s="12">
        <v>76</v>
      </c>
      <c r="H16" s="12">
        <v>185</v>
      </c>
      <c r="I16" s="12">
        <v>258</v>
      </c>
      <c r="J16" s="12">
        <v>73</v>
      </c>
      <c r="K16" s="12">
        <v>251</v>
      </c>
      <c r="L16" s="12">
        <v>78</v>
      </c>
      <c r="M16" s="12">
        <v>107</v>
      </c>
      <c r="N16" s="12">
        <v>98</v>
      </c>
      <c r="O16" s="12">
        <v>116</v>
      </c>
      <c r="P16" s="12">
        <v>89</v>
      </c>
      <c r="Q16" s="12">
        <v>85</v>
      </c>
      <c r="R16" s="12">
        <v>48</v>
      </c>
      <c r="S16" s="12">
        <v>187</v>
      </c>
      <c r="T16" s="12">
        <v>147</v>
      </c>
      <c r="U16" s="12">
        <v>55</v>
      </c>
      <c r="V16" s="12">
        <v>129</v>
      </c>
      <c r="W16" s="12">
        <v>38</v>
      </c>
      <c r="X16" s="12">
        <v>216</v>
      </c>
      <c r="Y16" s="12">
        <v>133</v>
      </c>
      <c r="Z16" s="12">
        <v>158</v>
      </c>
      <c r="AA16" s="12">
        <v>12</v>
      </c>
      <c r="AB16" s="12">
        <v>177</v>
      </c>
      <c r="AC16" s="12">
        <v>246</v>
      </c>
      <c r="AD16" s="12">
        <v>138</v>
      </c>
      <c r="AE16" s="12">
        <v>177</v>
      </c>
      <c r="AF16" s="12">
        <v>127</v>
      </c>
    </row>
    <row r="17" spans="1:32">
      <c r="A17" s="20"/>
      <c r="B17" s="13" t="s">
        <v>563</v>
      </c>
      <c r="C17" s="14">
        <v>0.13</v>
      </c>
      <c r="D17" s="14">
        <v>0.19</v>
      </c>
      <c r="E17" s="14">
        <v>0.16</v>
      </c>
      <c r="F17" s="14">
        <v>0.28999999999999998</v>
      </c>
      <c r="G17" s="14">
        <v>0.08</v>
      </c>
      <c r="H17" s="14">
        <v>0.15</v>
      </c>
      <c r="I17" s="14">
        <v>0.17</v>
      </c>
      <c r="J17" s="14">
        <v>0.25</v>
      </c>
      <c r="K17" s="14">
        <v>0.25</v>
      </c>
      <c r="L17" s="14">
        <v>0.08</v>
      </c>
      <c r="M17" s="14">
        <v>0.11</v>
      </c>
      <c r="N17" s="14">
        <v>0.1</v>
      </c>
      <c r="O17" s="14">
        <v>0.12</v>
      </c>
      <c r="P17" s="14">
        <v>0.09</v>
      </c>
      <c r="Q17" s="14">
        <v>0.08</v>
      </c>
      <c r="R17" s="14">
        <v>0.1</v>
      </c>
      <c r="S17" s="14">
        <v>0.19</v>
      </c>
      <c r="T17" s="14">
        <v>0.15</v>
      </c>
      <c r="U17" s="14">
        <v>0.11</v>
      </c>
      <c r="V17" s="14">
        <v>0.13</v>
      </c>
      <c r="W17" s="14">
        <v>0.08</v>
      </c>
      <c r="X17" s="14">
        <v>0.21</v>
      </c>
      <c r="Y17" s="14">
        <v>0.13</v>
      </c>
      <c r="Z17" s="14">
        <v>0.15</v>
      </c>
      <c r="AA17" s="14">
        <v>0.01</v>
      </c>
      <c r="AB17" s="14">
        <v>0.17</v>
      </c>
      <c r="AC17" s="14">
        <v>0.25</v>
      </c>
      <c r="AD17" s="14">
        <v>0.14000000000000001</v>
      </c>
      <c r="AE17" s="14">
        <v>0.18</v>
      </c>
      <c r="AF17" s="14">
        <v>0.12</v>
      </c>
    </row>
    <row r="18" spans="1:32">
      <c r="A18" s="20"/>
      <c r="B18" s="11" t="s">
        <v>564</v>
      </c>
      <c r="C18" s="12">
        <v>1259</v>
      </c>
      <c r="D18" s="12">
        <v>60</v>
      </c>
      <c r="E18" s="12">
        <v>67</v>
      </c>
      <c r="F18" s="12">
        <v>113</v>
      </c>
      <c r="G18" s="12">
        <v>27</v>
      </c>
      <c r="H18" s="12">
        <v>80</v>
      </c>
      <c r="I18" s="12">
        <v>103</v>
      </c>
      <c r="J18" s="12">
        <v>23</v>
      </c>
      <c r="K18" s="12">
        <v>140</v>
      </c>
      <c r="L18" s="12">
        <v>40</v>
      </c>
      <c r="M18" s="12">
        <v>18</v>
      </c>
      <c r="N18" s="12">
        <v>35</v>
      </c>
      <c r="O18" s="12">
        <v>37</v>
      </c>
      <c r="P18" s="12">
        <v>15</v>
      </c>
      <c r="Q18" s="12">
        <v>24</v>
      </c>
      <c r="R18" s="12">
        <v>9</v>
      </c>
      <c r="S18" s="12">
        <v>82</v>
      </c>
      <c r="T18" s="12">
        <v>54</v>
      </c>
      <c r="U18" s="12">
        <v>19</v>
      </c>
      <c r="V18" s="12">
        <v>21</v>
      </c>
      <c r="W18" s="12">
        <v>16</v>
      </c>
      <c r="X18" s="12">
        <v>91</v>
      </c>
      <c r="Y18" s="12">
        <v>106</v>
      </c>
      <c r="Z18" s="12">
        <v>40</v>
      </c>
      <c r="AA18" s="12">
        <v>1</v>
      </c>
      <c r="AB18" s="12">
        <v>48</v>
      </c>
      <c r="AC18" s="12">
        <v>93</v>
      </c>
      <c r="AD18" s="12">
        <v>77</v>
      </c>
      <c r="AE18" s="12">
        <v>53</v>
      </c>
      <c r="AF18" s="12">
        <v>66</v>
      </c>
    </row>
    <row r="19" spans="1:32">
      <c r="A19" s="20"/>
      <c r="B19" s="13" t="s">
        <v>565</v>
      </c>
      <c r="C19" s="14">
        <v>0.05</v>
      </c>
      <c r="D19" s="14">
        <v>0.06</v>
      </c>
      <c r="E19" s="14">
        <v>7.0000000000000007E-2</v>
      </c>
      <c r="F19" s="14">
        <v>0.11</v>
      </c>
      <c r="G19" s="14">
        <v>0.03</v>
      </c>
      <c r="H19" s="14">
        <v>7.0000000000000007E-2</v>
      </c>
      <c r="I19" s="14">
        <v>7.0000000000000007E-2</v>
      </c>
      <c r="J19" s="14">
        <v>0.08</v>
      </c>
      <c r="K19" s="14">
        <v>0.14000000000000001</v>
      </c>
      <c r="L19" s="14">
        <v>0.04</v>
      </c>
      <c r="M19" s="14">
        <v>0.02</v>
      </c>
      <c r="N19" s="14">
        <v>0.03</v>
      </c>
      <c r="O19" s="14">
        <v>0.04</v>
      </c>
      <c r="P19" s="14">
        <v>0.01</v>
      </c>
      <c r="Q19" s="14">
        <v>0.03</v>
      </c>
      <c r="R19" s="14">
        <v>0.02</v>
      </c>
      <c r="S19" s="14">
        <v>0.08</v>
      </c>
      <c r="T19" s="14">
        <v>0.05</v>
      </c>
      <c r="U19" s="14">
        <v>0.04</v>
      </c>
      <c r="V19" s="14">
        <v>0.02</v>
      </c>
      <c r="W19" s="14">
        <v>0.03</v>
      </c>
      <c r="X19" s="14">
        <v>0.09</v>
      </c>
      <c r="Y19" s="14">
        <v>0.11</v>
      </c>
      <c r="Z19" s="14">
        <v>0.04</v>
      </c>
      <c r="AA19" s="15" t="s">
        <v>459</v>
      </c>
      <c r="AB19" s="14">
        <v>0.05</v>
      </c>
      <c r="AC19" s="14">
        <v>0.09</v>
      </c>
      <c r="AD19" s="14">
        <v>0.08</v>
      </c>
      <c r="AE19" s="14">
        <v>0.05</v>
      </c>
      <c r="AF19" s="14">
        <v>0.06</v>
      </c>
    </row>
    <row r="20" spans="1:32">
      <c r="A20" s="20"/>
      <c r="B20" s="11" t="s">
        <v>468</v>
      </c>
      <c r="C20" s="12">
        <v>1979</v>
      </c>
      <c r="D20" s="12">
        <v>37</v>
      </c>
      <c r="E20" s="12">
        <v>147</v>
      </c>
      <c r="F20" s="12">
        <v>85</v>
      </c>
      <c r="G20" s="12">
        <v>52</v>
      </c>
      <c r="H20" s="12">
        <v>112</v>
      </c>
      <c r="I20" s="12">
        <v>127</v>
      </c>
      <c r="J20" s="12">
        <v>16</v>
      </c>
      <c r="K20" s="12">
        <v>125</v>
      </c>
      <c r="L20" s="12">
        <v>65</v>
      </c>
      <c r="M20" s="12">
        <v>129</v>
      </c>
      <c r="N20" s="12">
        <v>95</v>
      </c>
      <c r="O20" s="12">
        <v>96</v>
      </c>
      <c r="P20" s="12">
        <v>35</v>
      </c>
      <c r="Q20" s="12">
        <v>34</v>
      </c>
      <c r="R20" s="12">
        <v>56</v>
      </c>
      <c r="S20" s="12">
        <v>193</v>
      </c>
      <c r="T20" s="12">
        <v>143</v>
      </c>
      <c r="U20" s="12">
        <v>63</v>
      </c>
      <c r="V20" s="12">
        <v>58</v>
      </c>
      <c r="W20" s="12">
        <v>10</v>
      </c>
      <c r="X20" s="12">
        <v>54</v>
      </c>
      <c r="Y20" s="12">
        <v>36</v>
      </c>
      <c r="Z20" s="12">
        <v>50</v>
      </c>
      <c r="AA20" s="12">
        <v>117</v>
      </c>
      <c r="AB20" s="12">
        <v>80</v>
      </c>
      <c r="AC20" s="12">
        <v>42</v>
      </c>
      <c r="AD20" s="12">
        <v>104</v>
      </c>
      <c r="AE20" s="12">
        <v>89</v>
      </c>
      <c r="AF20" s="12">
        <v>68</v>
      </c>
    </row>
    <row r="21" spans="1:32">
      <c r="A21" s="20"/>
      <c r="B21" s="13" t="s">
        <v>469</v>
      </c>
      <c r="C21" s="14">
        <v>7.0000000000000007E-2</v>
      </c>
      <c r="D21" s="14">
        <v>0.04</v>
      </c>
      <c r="E21" s="14">
        <v>0.14000000000000001</v>
      </c>
      <c r="F21" s="14">
        <v>0.08</v>
      </c>
      <c r="G21" s="14">
        <v>0.05</v>
      </c>
      <c r="H21" s="14">
        <v>0.09</v>
      </c>
      <c r="I21" s="14">
        <v>0.08</v>
      </c>
      <c r="J21" s="14">
        <v>0.05</v>
      </c>
      <c r="K21" s="14">
        <v>0.12</v>
      </c>
      <c r="L21" s="14">
        <v>0.06</v>
      </c>
      <c r="M21" s="14">
        <v>0.13</v>
      </c>
      <c r="N21" s="14">
        <v>0.1</v>
      </c>
      <c r="O21" s="14">
        <v>0.09</v>
      </c>
      <c r="P21" s="14">
        <v>0.03</v>
      </c>
      <c r="Q21" s="14">
        <v>0.03</v>
      </c>
      <c r="R21" s="14">
        <v>0.11</v>
      </c>
      <c r="S21" s="14">
        <v>0.19</v>
      </c>
      <c r="T21" s="14">
        <v>0.14000000000000001</v>
      </c>
      <c r="U21" s="14">
        <v>0.12</v>
      </c>
      <c r="V21" s="14">
        <v>0.06</v>
      </c>
      <c r="W21" s="14">
        <v>0.02</v>
      </c>
      <c r="X21" s="14">
        <v>0.05</v>
      </c>
      <c r="Y21" s="14">
        <v>0.04</v>
      </c>
      <c r="Z21" s="14">
        <v>0.05</v>
      </c>
      <c r="AA21" s="14">
        <v>0.11</v>
      </c>
      <c r="AB21" s="14">
        <v>0.08</v>
      </c>
      <c r="AC21" s="14">
        <v>0.04</v>
      </c>
      <c r="AD21" s="14">
        <v>0.1</v>
      </c>
      <c r="AE21" s="14">
        <v>0.09</v>
      </c>
      <c r="AF21" s="14">
        <v>7.0000000000000007E-2</v>
      </c>
    </row>
    <row r="22" spans="1:32">
      <c r="A22" s="20"/>
      <c r="B22" s="11" t="s">
        <v>566</v>
      </c>
      <c r="C22" s="12">
        <v>19527</v>
      </c>
      <c r="D22" s="12">
        <v>712</v>
      </c>
      <c r="E22" s="12">
        <v>641</v>
      </c>
      <c r="F22" s="12">
        <v>520</v>
      </c>
      <c r="G22" s="12">
        <v>850</v>
      </c>
      <c r="H22" s="12">
        <v>839</v>
      </c>
      <c r="I22" s="12">
        <v>1021</v>
      </c>
      <c r="J22" s="12">
        <v>181</v>
      </c>
      <c r="K22" s="12">
        <v>491</v>
      </c>
      <c r="L22" s="12">
        <v>825</v>
      </c>
      <c r="M22" s="12">
        <v>749</v>
      </c>
      <c r="N22" s="12">
        <v>776</v>
      </c>
      <c r="O22" s="12">
        <v>754</v>
      </c>
      <c r="P22" s="12">
        <v>883</v>
      </c>
      <c r="Q22" s="12">
        <v>876</v>
      </c>
      <c r="R22" s="12">
        <v>387</v>
      </c>
      <c r="S22" s="12">
        <v>546</v>
      </c>
      <c r="T22" s="12">
        <v>670</v>
      </c>
      <c r="U22" s="12">
        <v>370</v>
      </c>
      <c r="V22" s="12">
        <v>809</v>
      </c>
      <c r="W22" s="12">
        <v>439</v>
      </c>
      <c r="X22" s="12">
        <v>660</v>
      </c>
      <c r="Y22" s="12">
        <v>733</v>
      </c>
      <c r="Z22" s="12">
        <v>761</v>
      </c>
      <c r="AA22" s="12">
        <v>922</v>
      </c>
      <c r="AB22" s="12">
        <v>734</v>
      </c>
      <c r="AC22" s="12">
        <v>629</v>
      </c>
      <c r="AD22" s="12">
        <v>687</v>
      </c>
      <c r="AE22" s="12">
        <v>681</v>
      </c>
      <c r="AF22" s="12">
        <v>760</v>
      </c>
    </row>
    <row r="23" spans="1:32">
      <c r="A23" s="20"/>
      <c r="B23" s="13" t="s">
        <v>567</v>
      </c>
      <c r="C23" s="14">
        <v>0.75</v>
      </c>
      <c r="D23" s="14">
        <v>0.71</v>
      </c>
      <c r="E23" s="14">
        <v>0.63</v>
      </c>
      <c r="F23" s="14">
        <v>0.52</v>
      </c>
      <c r="G23" s="14">
        <v>0.84</v>
      </c>
      <c r="H23" s="14">
        <v>0.69000000000000006</v>
      </c>
      <c r="I23" s="14">
        <v>0.68</v>
      </c>
      <c r="J23" s="14">
        <v>0.62</v>
      </c>
      <c r="K23" s="14">
        <v>0.49</v>
      </c>
      <c r="L23" s="14">
        <v>0.82000000000000006</v>
      </c>
      <c r="M23" s="14">
        <v>0.74</v>
      </c>
      <c r="N23" s="14">
        <v>0.77</v>
      </c>
      <c r="O23" s="14">
        <v>0.75</v>
      </c>
      <c r="P23" s="14">
        <v>0.87</v>
      </c>
      <c r="Q23" s="14">
        <v>0.86</v>
      </c>
      <c r="R23" s="14">
        <v>0.77</v>
      </c>
      <c r="S23" s="14">
        <v>0.54</v>
      </c>
      <c r="T23" s="14">
        <v>0.66</v>
      </c>
      <c r="U23" s="14">
        <v>0.73</v>
      </c>
      <c r="V23" s="14">
        <v>0.79</v>
      </c>
      <c r="W23" s="14">
        <v>0.87</v>
      </c>
      <c r="X23" s="14">
        <v>0.65</v>
      </c>
      <c r="Y23" s="14">
        <v>0.72</v>
      </c>
      <c r="Z23" s="14">
        <v>0.76</v>
      </c>
      <c r="AA23" s="14">
        <v>0.88</v>
      </c>
      <c r="AB23" s="14">
        <v>0.70000000000000007</v>
      </c>
      <c r="AC23" s="14">
        <v>0.62</v>
      </c>
      <c r="AD23" s="14">
        <v>0.68</v>
      </c>
      <c r="AE23" s="14">
        <v>0.68</v>
      </c>
      <c r="AF23" s="14">
        <v>0.75</v>
      </c>
    </row>
    <row r="24" spans="1:32">
      <c r="A24" s="20"/>
      <c r="B24" s="11" t="s">
        <v>568</v>
      </c>
      <c r="C24" s="12">
        <v>4813</v>
      </c>
      <c r="D24" s="12">
        <v>254</v>
      </c>
      <c r="E24" s="12">
        <v>230</v>
      </c>
      <c r="F24" s="12">
        <v>399</v>
      </c>
      <c r="G24" s="12">
        <v>103</v>
      </c>
      <c r="H24" s="12">
        <v>265</v>
      </c>
      <c r="I24" s="12">
        <v>361</v>
      </c>
      <c r="J24" s="12">
        <v>96</v>
      </c>
      <c r="K24" s="12">
        <v>391</v>
      </c>
      <c r="L24" s="12">
        <v>118</v>
      </c>
      <c r="M24" s="12">
        <v>125</v>
      </c>
      <c r="N24" s="12">
        <v>133</v>
      </c>
      <c r="O24" s="12">
        <v>153</v>
      </c>
      <c r="P24" s="12">
        <v>104</v>
      </c>
      <c r="Q24" s="12">
        <v>109</v>
      </c>
      <c r="R24" s="12">
        <v>57</v>
      </c>
      <c r="S24" s="12">
        <v>269</v>
      </c>
      <c r="T24" s="12">
        <v>201</v>
      </c>
      <c r="U24" s="12">
        <v>74</v>
      </c>
      <c r="V24" s="12">
        <v>150</v>
      </c>
      <c r="W24" s="12">
        <v>54</v>
      </c>
      <c r="X24" s="12">
        <v>307</v>
      </c>
      <c r="Y24" s="12">
        <v>239</v>
      </c>
      <c r="Z24" s="12">
        <v>198</v>
      </c>
      <c r="AA24" s="12">
        <v>13</v>
      </c>
      <c r="AB24" s="12">
        <v>225</v>
      </c>
      <c r="AC24" s="12">
        <v>339</v>
      </c>
      <c r="AD24" s="12">
        <v>215</v>
      </c>
      <c r="AE24" s="12">
        <v>230</v>
      </c>
      <c r="AF24" s="12">
        <v>193</v>
      </c>
    </row>
    <row r="25" spans="1:32">
      <c r="A25" s="20"/>
      <c r="B25" s="13" t="s">
        <v>569</v>
      </c>
      <c r="C25" s="14">
        <v>0.18</v>
      </c>
      <c r="D25" s="14">
        <v>0.25</v>
      </c>
      <c r="E25" s="14">
        <v>0.23</v>
      </c>
      <c r="F25" s="14">
        <v>0.4</v>
      </c>
      <c r="G25" s="14">
        <v>0.11</v>
      </c>
      <c r="H25" s="14">
        <v>0.22</v>
      </c>
      <c r="I25" s="14">
        <v>0.24</v>
      </c>
      <c r="J25" s="14">
        <v>0.33</v>
      </c>
      <c r="K25" s="14">
        <v>0.39</v>
      </c>
      <c r="L25" s="14">
        <v>0.12</v>
      </c>
      <c r="M25" s="14">
        <v>0.13</v>
      </c>
      <c r="N25" s="14">
        <v>0.13</v>
      </c>
      <c r="O25" s="14">
        <v>0.16</v>
      </c>
      <c r="P25" s="14">
        <v>0.1</v>
      </c>
      <c r="Q25" s="14">
        <v>0.11</v>
      </c>
      <c r="R25" s="14">
        <v>0.12</v>
      </c>
      <c r="S25" s="14">
        <v>0.27</v>
      </c>
      <c r="T25" s="14">
        <v>0.2</v>
      </c>
      <c r="U25" s="14">
        <v>0.15</v>
      </c>
      <c r="V25" s="14">
        <v>0.15</v>
      </c>
      <c r="W25" s="14">
        <v>0.11</v>
      </c>
      <c r="X25" s="14">
        <v>0.3</v>
      </c>
      <c r="Y25" s="14">
        <v>0.24</v>
      </c>
      <c r="Z25" s="14">
        <v>0.19</v>
      </c>
      <c r="AA25" s="14">
        <v>0.01</v>
      </c>
      <c r="AB25" s="14">
        <v>0.22</v>
      </c>
      <c r="AC25" s="14">
        <v>0.34</v>
      </c>
      <c r="AD25" s="14">
        <v>0.22</v>
      </c>
      <c r="AE25" s="14">
        <v>0.23</v>
      </c>
      <c r="AF25" s="14">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1169</v>
      </c>
      <c r="C3" s="18"/>
      <c r="D3" s="18"/>
      <c r="E3" s="18"/>
      <c r="F3" s="18"/>
      <c r="H3" s="18" t="s">
        <v>1170</v>
      </c>
      <c r="I3" s="18"/>
      <c r="J3" s="18"/>
      <c r="K3" s="18"/>
      <c r="L3" s="18"/>
    </row>
    <row r="4" spans="1:32" ht="27" customHeight="1">
      <c r="B4" s="18" t="s">
        <v>1171</v>
      </c>
      <c r="C4" s="18"/>
      <c r="D4" s="18"/>
      <c r="E4" s="18"/>
      <c r="F4" s="18"/>
      <c r="H4" s="18" t="s">
        <v>1172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8693</v>
      </c>
      <c r="D12" s="12">
        <v>266</v>
      </c>
      <c r="E12" s="12">
        <v>284</v>
      </c>
      <c r="F12" s="12">
        <v>144</v>
      </c>
      <c r="G12" s="12">
        <v>467</v>
      </c>
      <c r="H12" s="12">
        <v>396</v>
      </c>
      <c r="I12" s="12">
        <v>491</v>
      </c>
      <c r="J12" s="12">
        <v>95</v>
      </c>
      <c r="K12" s="12">
        <v>165</v>
      </c>
      <c r="L12" s="12">
        <v>479</v>
      </c>
      <c r="M12" s="12">
        <v>388</v>
      </c>
      <c r="N12" s="12">
        <v>401</v>
      </c>
      <c r="O12" s="12">
        <v>337</v>
      </c>
      <c r="P12" s="12">
        <v>329</v>
      </c>
      <c r="Q12" s="12">
        <v>320</v>
      </c>
      <c r="R12" s="12">
        <v>283</v>
      </c>
      <c r="S12" s="12">
        <v>174</v>
      </c>
      <c r="T12" s="12">
        <v>282</v>
      </c>
      <c r="U12" s="12">
        <v>158</v>
      </c>
      <c r="V12" s="12">
        <v>404</v>
      </c>
      <c r="W12" s="12">
        <v>303</v>
      </c>
      <c r="X12" s="12">
        <v>464</v>
      </c>
      <c r="Y12" s="12">
        <v>391</v>
      </c>
      <c r="Z12" s="12">
        <v>206</v>
      </c>
      <c r="AA12" s="12">
        <v>345</v>
      </c>
      <c r="AB12" s="12">
        <v>260</v>
      </c>
      <c r="AC12" s="12">
        <v>318</v>
      </c>
      <c r="AD12" s="12">
        <v>289</v>
      </c>
      <c r="AE12" s="12">
        <v>338</v>
      </c>
      <c r="AF12" s="12">
        <v>517</v>
      </c>
    </row>
    <row r="13" spans="1:32">
      <c r="A13" s="20"/>
      <c r="B13" s="13" t="s">
        <v>559</v>
      </c>
      <c r="C13" s="14">
        <v>0.33</v>
      </c>
      <c r="D13" s="14">
        <v>0.27</v>
      </c>
      <c r="E13" s="14">
        <v>0.28000000000000003</v>
      </c>
      <c r="F13" s="14">
        <v>0.15</v>
      </c>
      <c r="G13" s="14">
        <v>0.47</v>
      </c>
      <c r="H13" s="14">
        <v>0.33</v>
      </c>
      <c r="I13" s="14">
        <v>0.32</v>
      </c>
      <c r="J13" s="14">
        <v>0.32</v>
      </c>
      <c r="K13" s="14">
        <v>0.16</v>
      </c>
      <c r="L13" s="14">
        <v>0.48</v>
      </c>
      <c r="M13" s="14">
        <v>0.39</v>
      </c>
      <c r="N13" s="14">
        <v>0.4</v>
      </c>
      <c r="O13" s="14">
        <v>0.34</v>
      </c>
      <c r="P13" s="14">
        <v>0.32</v>
      </c>
      <c r="Q13" s="14">
        <v>0.31</v>
      </c>
      <c r="R13" s="14">
        <v>0.57000000000000006</v>
      </c>
      <c r="S13" s="14">
        <v>0.17</v>
      </c>
      <c r="T13" s="14">
        <v>0.28000000000000003</v>
      </c>
      <c r="U13" s="14">
        <v>0.31</v>
      </c>
      <c r="V13" s="14">
        <v>0.4</v>
      </c>
      <c r="W13" s="14">
        <v>0.6</v>
      </c>
      <c r="X13" s="14">
        <v>0.45</v>
      </c>
      <c r="Y13" s="14">
        <v>0.39</v>
      </c>
      <c r="Z13" s="14">
        <v>0.21</v>
      </c>
      <c r="AA13" s="14">
        <v>0.33</v>
      </c>
      <c r="AB13" s="14">
        <v>0.25</v>
      </c>
      <c r="AC13" s="14">
        <v>0.31</v>
      </c>
      <c r="AD13" s="14">
        <v>0.28999999999999998</v>
      </c>
      <c r="AE13" s="14">
        <v>0.34</v>
      </c>
      <c r="AF13" s="14">
        <v>0.51</v>
      </c>
    </row>
    <row r="14" spans="1:32">
      <c r="A14" s="20"/>
      <c r="B14" s="11" t="s">
        <v>560</v>
      </c>
      <c r="C14" s="12">
        <v>12170</v>
      </c>
      <c r="D14" s="12">
        <v>495</v>
      </c>
      <c r="E14" s="12">
        <v>409</v>
      </c>
      <c r="F14" s="12">
        <v>405</v>
      </c>
      <c r="G14" s="12">
        <v>374</v>
      </c>
      <c r="H14" s="12">
        <v>553</v>
      </c>
      <c r="I14" s="12">
        <v>682</v>
      </c>
      <c r="J14" s="12">
        <v>129</v>
      </c>
      <c r="K14" s="12">
        <v>317</v>
      </c>
      <c r="L14" s="12">
        <v>353</v>
      </c>
      <c r="M14" s="12">
        <v>394</v>
      </c>
      <c r="N14" s="12">
        <v>421</v>
      </c>
      <c r="O14" s="12">
        <v>464</v>
      </c>
      <c r="P14" s="12">
        <v>565</v>
      </c>
      <c r="Q14" s="12">
        <v>560</v>
      </c>
      <c r="R14" s="12">
        <v>153</v>
      </c>
      <c r="S14" s="12">
        <v>397</v>
      </c>
      <c r="T14" s="12">
        <v>468</v>
      </c>
      <c r="U14" s="12">
        <v>230</v>
      </c>
      <c r="V14" s="12">
        <v>456</v>
      </c>
      <c r="W14" s="12">
        <v>151</v>
      </c>
      <c r="X14" s="12">
        <v>374</v>
      </c>
      <c r="Y14" s="12">
        <v>430</v>
      </c>
      <c r="Z14" s="12">
        <v>558</v>
      </c>
      <c r="AA14" s="12">
        <v>545</v>
      </c>
      <c r="AB14" s="12">
        <v>523</v>
      </c>
      <c r="AC14" s="12">
        <v>409</v>
      </c>
      <c r="AD14" s="12">
        <v>392</v>
      </c>
      <c r="AE14" s="12">
        <v>419</v>
      </c>
      <c r="AF14" s="12">
        <v>345</v>
      </c>
    </row>
    <row r="15" spans="1:32">
      <c r="A15" s="20"/>
      <c r="B15" s="13" t="s">
        <v>561</v>
      </c>
      <c r="C15" s="14">
        <v>0.46</v>
      </c>
      <c r="D15" s="14">
        <v>0.49</v>
      </c>
      <c r="E15" s="14">
        <v>0.4</v>
      </c>
      <c r="F15" s="14">
        <v>0.4</v>
      </c>
      <c r="G15" s="14">
        <v>0.37</v>
      </c>
      <c r="H15" s="14">
        <v>0.46</v>
      </c>
      <c r="I15" s="14">
        <v>0.45</v>
      </c>
      <c r="J15" s="14">
        <v>0.44</v>
      </c>
      <c r="K15" s="14">
        <v>0.32</v>
      </c>
      <c r="L15" s="14">
        <v>0.35</v>
      </c>
      <c r="M15" s="14">
        <v>0.39</v>
      </c>
      <c r="N15" s="14">
        <v>0.42</v>
      </c>
      <c r="O15" s="14">
        <v>0.46</v>
      </c>
      <c r="P15" s="14">
        <v>0.55000000000000004</v>
      </c>
      <c r="Q15" s="14">
        <v>0.55000000000000004</v>
      </c>
      <c r="R15" s="14">
        <v>0.31</v>
      </c>
      <c r="S15" s="14">
        <v>0.4</v>
      </c>
      <c r="T15" s="14">
        <v>0.46</v>
      </c>
      <c r="U15" s="14">
        <v>0.45</v>
      </c>
      <c r="V15" s="14">
        <v>0.45</v>
      </c>
      <c r="W15" s="14">
        <v>0.3</v>
      </c>
      <c r="X15" s="14">
        <v>0.37</v>
      </c>
      <c r="Y15" s="14">
        <v>0.42</v>
      </c>
      <c r="Z15" s="14">
        <v>0.55000000000000004</v>
      </c>
      <c r="AA15" s="14">
        <v>0.52</v>
      </c>
      <c r="AB15" s="14">
        <v>0.51</v>
      </c>
      <c r="AC15" s="14">
        <v>0.41</v>
      </c>
      <c r="AD15" s="14">
        <v>0.39</v>
      </c>
      <c r="AE15" s="14">
        <v>0.42</v>
      </c>
      <c r="AF15" s="14">
        <v>0.34</v>
      </c>
    </row>
    <row r="16" spans="1:32">
      <c r="A16" s="20"/>
      <c r="B16" s="11" t="s">
        <v>562</v>
      </c>
      <c r="C16" s="12">
        <v>3082</v>
      </c>
      <c r="D16" s="12">
        <v>162</v>
      </c>
      <c r="E16" s="12">
        <v>155</v>
      </c>
      <c r="F16" s="12">
        <v>273</v>
      </c>
      <c r="G16" s="12">
        <v>88</v>
      </c>
      <c r="H16" s="12">
        <v>150</v>
      </c>
      <c r="I16" s="12">
        <v>194</v>
      </c>
      <c r="J16" s="12">
        <v>43</v>
      </c>
      <c r="K16" s="12">
        <v>264</v>
      </c>
      <c r="L16" s="12">
        <v>75</v>
      </c>
      <c r="M16" s="12">
        <v>120</v>
      </c>
      <c r="N16" s="12">
        <v>83</v>
      </c>
      <c r="O16" s="12">
        <v>100</v>
      </c>
      <c r="P16" s="12">
        <v>82</v>
      </c>
      <c r="Q16" s="12">
        <v>92</v>
      </c>
      <c r="R16" s="12">
        <v>31</v>
      </c>
      <c r="S16" s="12">
        <v>164</v>
      </c>
      <c r="T16" s="12">
        <v>105</v>
      </c>
      <c r="U16" s="12">
        <v>51</v>
      </c>
      <c r="V16" s="12">
        <v>104</v>
      </c>
      <c r="W16" s="12">
        <v>35</v>
      </c>
      <c r="X16" s="12">
        <v>122</v>
      </c>
      <c r="Y16" s="12">
        <v>112</v>
      </c>
      <c r="Z16" s="12">
        <v>163</v>
      </c>
      <c r="AA16" s="12">
        <v>39</v>
      </c>
      <c r="AB16" s="12">
        <v>157</v>
      </c>
      <c r="AC16" s="12">
        <v>195</v>
      </c>
      <c r="AD16" s="12">
        <v>169</v>
      </c>
      <c r="AE16" s="12">
        <v>141</v>
      </c>
      <c r="AF16" s="12">
        <v>86</v>
      </c>
    </row>
    <row r="17" spans="1:32">
      <c r="A17" s="20"/>
      <c r="B17" s="13" t="s">
        <v>563</v>
      </c>
      <c r="C17" s="14">
        <v>0.12</v>
      </c>
      <c r="D17" s="14">
        <v>0.16</v>
      </c>
      <c r="E17" s="14">
        <v>0.15</v>
      </c>
      <c r="F17" s="14">
        <v>0.27</v>
      </c>
      <c r="G17" s="14">
        <v>0.09</v>
      </c>
      <c r="H17" s="14">
        <v>0.12</v>
      </c>
      <c r="I17" s="14">
        <v>0.13</v>
      </c>
      <c r="J17" s="14">
        <v>0.15</v>
      </c>
      <c r="K17" s="14">
        <v>0.26</v>
      </c>
      <c r="L17" s="14">
        <v>7.0000000000000007E-2</v>
      </c>
      <c r="M17" s="14">
        <v>0.12</v>
      </c>
      <c r="N17" s="14">
        <v>0.08</v>
      </c>
      <c r="O17" s="14">
        <v>0.1</v>
      </c>
      <c r="P17" s="14">
        <v>0.08</v>
      </c>
      <c r="Q17" s="14">
        <v>0.09</v>
      </c>
      <c r="R17" s="14">
        <v>0.06</v>
      </c>
      <c r="S17" s="14">
        <v>0.16</v>
      </c>
      <c r="T17" s="14">
        <v>0.1</v>
      </c>
      <c r="U17" s="14">
        <v>0.1</v>
      </c>
      <c r="V17" s="14">
        <v>0.1</v>
      </c>
      <c r="W17" s="14">
        <v>7.0000000000000007E-2</v>
      </c>
      <c r="X17" s="14">
        <v>0.12</v>
      </c>
      <c r="Y17" s="14">
        <v>0.11</v>
      </c>
      <c r="Z17" s="14">
        <v>0.16</v>
      </c>
      <c r="AA17" s="14">
        <v>0.04</v>
      </c>
      <c r="AB17" s="14">
        <v>0.15</v>
      </c>
      <c r="AC17" s="14">
        <v>0.19</v>
      </c>
      <c r="AD17" s="14">
        <v>0.17</v>
      </c>
      <c r="AE17" s="14">
        <v>0.14000000000000001</v>
      </c>
      <c r="AF17" s="14">
        <v>0.08</v>
      </c>
    </row>
    <row r="18" spans="1:32">
      <c r="A18" s="20"/>
      <c r="B18" s="11" t="s">
        <v>564</v>
      </c>
      <c r="C18" s="12">
        <v>1038</v>
      </c>
      <c r="D18" s="12">
        <v>61</v>
      </c>
      <c r="E18" s="12">
        <v>61</v>
      </c>
      <c r="F18" s="12">
        <v>118</v>
      </c>
      <c r="G18" s="12">
        <v>31</v>
      </c>
      <c r="H18" s="12">
        <v>54</v>
      </c>
      <c r="I18" s="12">
        <v>71</v>
      </c>
      <c r="J18" s="12">
        <v>18</v>
      </c>
      <c r="K18" s="12">
        <v>146</v>
      </c>
      <c r="L18" s="12">
        <v>53</v>
      </c>
      <c r="M18" s="12">
        <v>24</v>
      </c>
      <c r="N18" s="12">
        <v>40</v>
      </c>
      <c r="O18" s="12">
        <v>30</v>
      </c>
      <c r="P18" s="12">
        <v>9</v>
      </c>
      <c r="Q18" s="12">
        <v>20</v>
      </c>
      <c r="R18" s="12">
        <v>4</v>
      </c>
      <c r="S18" s="12">
        <v>89</v>
      </c>
      <c r="T18" s="12">
        <v>45</v>
      </c>
      <c r="U18" s="12">
        <v>24</v>
      </c>
      <c r="V18" s="12">
        <v>13</v>
      </c>
      <c r="W18" s="12">
        <v>9</v>
      </c>
      <c r="X18" s="12">
        <v>53</v>
      </c>
      <c r="Y18" s="12">
        <v>57</v>
      </c>
      <c r="Z18" s="12">
        <v>33</v>
      </c>
      <c r="AA18" s="12">
        <v>25</v>
      </c>
      <c r="AB18" s="12">
        <v>43</v>
      </c>
      <c r="AC18" s="12">
        <v>59</v>
      </c>
      <c r="AD18" s="12">
        <v>64</v>
      </c>
      <c r="AE18" s="12">
        <v>48</v>
      </c>
      <c r="AF18" s="12">
        <v>44</v>
      </c>
    </row>
    <row r="19" spans="1:32">
      <c r="A19" s="20"/>
      <c r="B19" s="13" t="s">
        <v>565</v>
      </c>
      <c r="C19" s="14">
        <v>0.04</v>
      </c>
      <c r="D19" s="14">
        <v>0.06</v>
      </c>
      <c r="E19" s="14">
        <v>0.06</v>
      </c>
      <c r="F19" s="14">
        <v>0.12</v>
      </c>
      <c r="G19" s="14">
        <v>0.03</v>
      </c>
      <c r="H19" s="14">
        <v>0.04</v>
      </c>
      <c r="I19" s="14">
        <v>0.05</v>
      </c>
      <c r="J19" s="14">
        <v>0.06</v>
      </c>
      <c r="K19" s="14">
        <v>0.15</v>
      </c>
      <c r="L19" s="14">
        <v>0.05</v>
      </c>
      <c r="M19" s="14">
        <v>0.02</v>
      </c>
      <c r="N19" s="14">
        <v>0.04</v>
      </c>
      <c r="O19" s="14">
        <v>0.03</v>
      </c>
      <c r="P19" s="14">
        <v>0.01</v>
      </c>
      <c r="Q19" s="14">
        <v>0.02</v>
      </c>
      <c r="R19" s="14">
        <v>0.01</v>
      </c>
      <c r="S19" s="14">
        <v>0.09</v>
      </c>
      <c r="T19" s="14">
        <v>0.05</v>
      </c>
      <c r="U19" s="14">
        <v>0.05</v>
      </c>
      <c r="V19" s="14">
        <v>0.01</v>
      </c>
      <c r="W19" s="14">
        <v>0.02</v>
      </c>
      <c r="X19" s="14">
        <v>0.05</v>
      </c>
      <c r="Y19" s="14">
        <v>0.06</v>
      </c>
      <c r="Z19" s="14">
        <v>0.03</v>
      </c>
      <c r="AA19" s="14">
        <v>0.02</v>
      </c>
      <c r="AB19" s="14">
        <v>0.04</v>
      </c>
      <c r="AC19" s="14">
        <v>0.06</v>
      </c>
      <c r="AD19" s="14">
        <v>0.06</v>
      </c>
      <c r="AE19" s="14">
        <v>0.05</v>
      </c>
      <c r="AF19" s="14">
        <v>0.04</v>
      </c>
    </row>
    <row r="20" spans="1:32">
      <c r="A20" s="20"/>
      <c r="B20" s="11" t="s">
        <v>468</v>
      </c>
      <c r="C20" s="12">
        <v>1335</v>
      </c>
      <c r="D20" s="12">
        <v>19</v>
      </c>
      <c r="E20" s="12">
        <v>110</v>
      </c>
      <c r="F20" s="12">
        <v>64</v>
      </c>
      <c r="G20" s="12">
        <v>45</v>
      </c>
      <c r="H20" s="12">
        <v>63</v>
      </c>
      <c r="I20" s="12">
        <v>72</v>
      </c>
      <c r="J20" s="12">
        <v>9</v>
      </c>
      <c r="K20" s="12">
        <v>113</v>
      </c>
      <c r="L20" s="12">
        <v>47</v>
      </c>
      <c r="M20" s="12">
        <v>77</v>
      </c>
      <c r="N20" s="12">
        <v>60</v>
      </c>
      <c r="O20" s="12">
        <v>71</v>
      </c>
      <c r="P20" s="12">
        <v>37</v>
      </c>
      <c r="Q20" s="12">
        <v>27</v>
      </c>
      <c r="R20" s="12">
        <v>28</v>
      </c>
      <c r="S20" s="12">
        <v>184</v>
      </c>
      <c r="T20" s="12">
        <v>114</v>
      </c>
      <c r="U20" s="12">
        <v>44</v>
      </c>
      <c r="V20" s="12">
        <v>39</v>
      </c>
      <c r="W20" s="12">
        <v>5</v>
      </c>
      <c r="X20" s="12">
        <v>8</v>
      </c>
      <c r="Y20" s="12">
        <v>18</v>
      </c>
      <c r="Z20" s="12">
        <v>48</v>
      </c>
      <c r="AA20" s="12">
        <v>98</v>
      </c>
      <c r="AB20" s="12">
        <v>55</v>
      </c>
      <c r="AC20" s="12">
        <v>30</v>
      </c>
      <c r="AD20" s="12">
        <v>92</v>
      </c>
      <c r="AE20" s="12">
        <v>54</v>
      </c>
      <c r="AF20" s="12">
        <v>28</v>
      </c>
    </row>
    <row r="21" spans="1:32">
      <c r="A21" s="20"/>
      <c r="B21" s="13" t="s">
        <v>469</v>
      </c>
      <c r="C21" s="14">
        <v>0.05</v>
      </c>
      <c r="D21" s="14">
        <v>0.02</v>
      </c>
      <c r="E21" s="14">
        <v>0.11</v>
      </c>
      <c r="F21" s="14">
        <v>0.06</v>
      </c>
      <c r="G21" s="14">
        <v>0.04</v>
      </c>
      <c r="H21" s="14">
        <v>0.05</v>
      </c>
      <c r="I21" s="14">
        <v>0.05</v>
      </c>
      <c r="J21" s="14">
        <v>0.03</v>
      </c>
      <c r="K21" s="14">
        <v>0.11</v>
      </c>
      <c r="L21" s="14">
        <v>0.05</v>
      </c>
      <c r="M21" s="14">
        <v>0.08</v>
      </c>
      <c r="N21" s="14">
        <v>0.06</v>
      </c>
      <c r="O21" s="14">
        <v>7.0000000000000007E-2</v>
      </c>
      <c r="P21" s="14">
        <v>0.04</v>
      </c>
      <c r="Q21" s="14">
        <v>0.03</v>
      </c>
      <c r="R21" s="14">
        <v>0.05</v>
      </c>
      <c r="S21" s="14">
        <v>0.18</v>
      </c>
      <c r="T21" s="14">
        <v>0.11</v>
      </c>
      <c r="U21" s="14">
        <v>0.09</v>
      </c>
      <c r="V21" s="14">
        <v>0.04</v>
      </c>
      <c r="W21" s="14">
        <v>0.01</v>
      </c>
      <c r="X21" s="14">
        <v>0.01</v>
      </c>
      <c r="Y21" s="14">
        <v>0.02</v>
      </c>
      <c r="Z21" s="14">
        <v>0.05</v>
      </c>
      <c r="AA21" s="14">
        <v>0.09</v>
      </c>
      <c r="AB21" s="14">
        <v>0.05</v>
      </c>
      <c r="AC21" s="14">
        <v>0.03</v>
      </c>
      <c r="AD21" s="14">
        <v>0.09</v>
      </c>
      <c r="AE21" s="14">
        <v>0.05</v>
      </c>
      <c r="AF21" s="14">
        <v>0.03</v>
      </c>
    </row>
    <row r="22" spans="1:32">
      <c r="A22" s="20"/>
      <c r="B22" s="11" t="s">
        <v>566</v>
      </c>
      <c r="C22" s="12">
        <v>20863</v>
      </c>
      <c r="D22" s="12">
        <v>761</v>
      </c>
      <c r="E22" s="12">
        <v>693</v>
      </c>
      <c r="F22" s="12">
        <v>549</v>
      </c>
      <c r="G22" s="12">
        <v>841</v>
      </c>
      <c r="H22" s="12">
        <v>949</v>
      </c>
      <c r="I22" s="12">
        <v>1173</v>
      </c>
      <c r="J22" s="12">
        <v>224</v>
      </c>
      <c r="K22" s="12">
        <v>482</v>
      </c>
      <c r="L22" s="12">
        <v>832</v>
      </c>
      <c r="M22" s="12">
        <v>782</v>
      </c>
      <c r="N22" s="12">
        <v>822</v>
      </c>
      <c r="O22" s="12">
        <v>801</v>
      </c>
      <c r="P22" s="12">
        <v>894</v>
      </c>
      <c r="Q22" s="12">
        <v>880</v>
      </c>
      <c r="R22" s="12">
        <v>436</v>
      </c>
      <c r="S22" s="12">
        <v>571</v>
      </c>
      <c r="T22" s="12">
        <v>750</v>
      </c>
      <c r="U22" s="12">
        <v>388</v>
      </c>
      <c r="V22" s="12">
        <v>860</v>
      </c>
      <c r="W22" s="12">
        <v>454</v>
      </c>
      <c r="X22" s="12">
        <v>838</v>
      </c>
      <c r="Y22" s="12">
        <v>821</v>
      </c>
      <c r="Z22" s="12">
        <v>764</v>
      </c>
      <c r="AA22" s="12">
        <v>890</v>
      </c>
      <c r="AB22" s="12">
        <v>783</v>
      </c>
      <c r="AC22" s="12">
        <v>727</v>
      </c>
      <c r="AD22" s="12">
        <v>681</v>
      </c>
      <c r="AE22" s="12">
        <v>757</v>
      </c>
      <c r="AF22" s="12">
        <v>862</v>
      </c>
    </row>
    <row r="23" spans="1:32">
      <c r="A23" s="20"/>
      <c r="B23" s="13" t="s">
        <v>567</v>
      </c>
      <c r="C23" s="14">
        <v>0.79</v>
      </c>
      <c r="D23" s="14">
        <v>0.76</v>
      </c>
      <c r="E23" s="14">
        <v>0.68</v>
      </c>
      <c r="F23" s="14">
        <v>0.55000000000000004</v>
      </c>
      <c r="G23" s="14">
        <v>0.84</v>
      </c>
      <c r="H23" s="14">
        <v>0.79</v>
      </c>
      <c r="I23" s="14">
        <v>0.77</v>
      </c>
      <c r="J23" s="14">
        <v>0.76</v>
      </c>
      <c r="K23" s="14">
        <v>0.48</v>
      </c>
      <c r="L23" s="14">
        <v>0.83000000000000007</v>
      </c>
      <c r="M23" s="14">
        <v>0.78</v>
      </c>
      <c r="N23" s="14">
        <v>0.82000000000000006</v>
      </c>
      <c r="O23" s="14">
        <v>0.8</v>
      </c>
      <c r="P23" s="14">
        <v>0.87</v>
      </c>
      <c r="Q23" s="14">
        <v>0.86</v>
      </c>
      <c r="R23" s="14">
        <v>0.88</v>
      </c>
      <c r="S23" s="14">
        <v>0.57000000000000006</v>
      </c>
      <c r="T23" s="14">
        <v>0.74</v>
      </c>
      <c r="U23" s="14">
        <v>0.76</v>
      </c>
      <c r="V23" s="14">
        <v>0.85</v>
      </c>
      <c r="W23" s="14">
        <v>0.9</v>
      </c>
      <c r="X23" s="14">
        <v>0.82000000000000006</v>
      </c>
      <c r="Y23" s="14">
        <v>0.81</v>
      </c>
      <c r="Z23" s="14">
        <v>0.76</v>
      </c>
      <c r="AA23" s="14">
        <v>0.85</v>
      </c>
      <c r="AB23" s="14">
        <v>0.76</v>
      </c>
      <c r="AC23" s="14">
        <v>0.72</v>
      </c>
      <c r="AD23" s="14">
        <v>0.68</v>
      </c>
      <c r="AE23" s="14">
        <v>0.76</v>
      </c>
      <c r="AF23" s="14">
        <v>0.85</v>
      </c>
    </row>
    <row r="24" spans="1:32">
      <c r="A24" s="20"/>
      <c r="B24" s="11" t="s">
        <v>568</v>
      </c>
      <c r="C24" s="12">
        <v>4120</v>
      </c>
      <c r="D24" s="12">
        <v>223</v>
      </c>
      <c r="E24" s="12">
        <v>216</v>
      </c>
      <c r="F24" s="12">
        <v>391</v>
      </c>
      <c r="G24" s="12">
        <v>119</v>
      </c>
      <c r="H24" s="12">
        <v>204</v>
      </c>
      <c r="I24" s="12">
        <v>265</v>
      </c>
      <c r="J24" s="12">
        <v>61</v>
      </c>
      <c r="K24" s="12">
        <v>410</v>
      </c>
      <c r="L24" s="12">
        <v>128</v>
      </c>
      <c r="M24" s="12">
        <v>144</v>
      </c>
      <c r="N24" s="12">
        <v>123</v>
      </c>
      <c r="O24" s="12">
        <v>130</v>
      </c>
      <c r="P24" s="12">
        <v>91</v>
      </c>
      <c r="Q24" s="12">
        <v>112</v>
      </c>
      <c r="R24" s="12">
        <v>35</v>
      </c>
      <c r="S24" s="12">
        <v>253</v>
      </c>
      <c r="T24" s="12">
        <v>150</v>
      </c>
      <c r="U24" s="12">
        <v>75</v>
      </c>
      <c r="V24" s="12">
        <v>117</v>
      </c>
      <c r="W24" s="12">
        <v>44</v>
      </c>
      <c r="X24" s="12">
        <v>175</v>
      </c>
      <c r="Y24" s="12">
        <v>169</v>
      </c>
      <c r="Z24" s="12">
        <v>196</v>
      </c>
      <c r="AA24" s="12">
        <v>64</v>
      </c>
      <c r="AB24" s="12">
        <v>200</v>
      </c>
      <c r="AC24" s="12">
        <v>254</v>
      </c>
      <c r="AD24" s="12">
        <v>233</v>
      </c>
      <c r="AE24" s="12">
        <v>189</v>
      </c>
      <c r="AF24" s="12">
        <v>130</v>
      </c>
    </row>
    <row r="25" spans="1:32">
      <c r="A25" s="20"/>
      <c r="B25" s="13" t="s">
        <v>569</v>
      </c>
      <c r="C25" s="14">
        <v>0.16</v>
      </c>
      <c r="D25" s="14">
        <v>0.22</v>
      </c>
      <c r="E25" s="14">
        <v>0.21</v>
      </c>
      <c r="F25" s="14">
        <v>0.39</v>
      </c>
      <c r="G25" s="14">
        <v>0.12</v>
      </c>
      <c r="H25" s="14">
        <v>0.16</v>
      </c>
      <c r="I25" s="14">
        <v>0.18</v>
      </c>
      <c r="J25" s="14">
        <v>0.21</v>
      </c>
      <c r="K25" s="14">
        <v>0.41</v>
      </c>
      <c r="L25" s="14">
        <v>0.12</v>
      </c>
      <c r="M25" s="14">
        <v>0.14000000000000001</v>
      </c>
      <c r="N25" s="14">
        <v>0.12</v>
      </c>
      <c r="O25" s="14">
        <v>0.13</v>
      </c>
      <c r="P25" s="14">
        <v>0.09</v>
      </c>
      <c r="Q25" s="14">
        <v>0.11</v>
      </c>
      <c r="R25" s="14">
        <v>7.0000000000000007E-2</v>
      </c>
      <c r="S25" s="14">
        <v>0.25</v>
      </c>
      <c r="T25" s="14">
        <v>0.15</v>
      </c>
      <c r="U25" s="14">
        <v>0.15</v>
      </c>
      <c r="V25" s="14">
        <v>0.11</v>
      </c>
      <c r="W25" s="14">
        <v>0.09</v>
      </c>
      <c r="X25" s="14">
        <v>0.17</v>
      </c>
      <c r="Y25" s="14">
        <v>0.17</v>
      </c>
      <c r="Z25" s="14">
        <v>0.19</v>
      </c>
      <c r="AA25" s="14">
        <v>0.06</v>
      </c>
      <c r="AB25" s="14">
        <v>0.19</v>
      </c>
      <c r="AC25" s="14">
        <v>0.25</v>
      </c>
      <c r="AD25" s="14">
        <v>0.23</v>
      </c>
      <c r="AE25" s="14">
        <v>0.19</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227</v>
      </c>
      <c r="C3" s="18"/>
      <c r="D3" s="18"/>
      <c r="E3" s="18"/>
      <c r="F3" s="18"/>
      <c r="H3" s="18" t="s">
        <v>228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1173</v>
      </c>
      <c r="C12" s="12">
        <v>1608</v>
      </c>
      <c r="D12" s="12">
        <v>44</v>
      </c>
      <c r="E12" s="12">
        <v>66</v>
      </c>
      <c r="F12" s="12">
        <v>29</v>
      </c>
      <c r="G12" s="12">
        <v>14</v>
      </c>
      <c r="H12" s="12">
        <v>31</v>
      </c>
      <c r="I12" s="12">
        <v>40</v>
      </c>
      <c r="J12" s="12">
        <v>8</v>
      </c>
      <c r="K12" s="12">
        <v>31</v>
      </c>
      <c r="L12" s="12">
        <v>77</v>
      </c>
      <c r="M12" s="12">
        <v>149</v>
      </c>
      <c r="N12" s="12">
        <v>122</v>
      </c>
      <c r="O12" s="12">
        <v>58</v>
      </c>
      <c r="P12" s="12">
        <v>84</v>
      </c>
      <c r="Q12" s="12">
        <v>44</v>
      </c>
      <c r="R12" s="12">
        <v>118</v>
      </c>
      <c r="S12" s="12">
        <v>45</v>
      </c>
      <c r="T12" s="12">
        <v>54</v>
      </c>
      <c r="U12" s="12">
        <v>34</v>
      </c>
      <c r="V12" s="12">
        <v>132</v>
      </c>
      <c r="W12" s="12">
        <v>179</v>
      </c>
      <c r="X12" s="12">
        <v>45</v>
      </c>
      <c r="Y12" s="12">
        <v>111</v>
      </c>
      <c r="Z12" s="12">
        <v>63</v>
      </c>
      <c r="AA12" s="12">
        <v>122</v>
      </c>
      <c r="AB12" s="12">
        <v>59</v>
      </c>
      <c r="AC12" s="12">
        <v>82</v>
      </c>
      <c r="AD12" s="12">
        <v>26</v>
      </c>
      <c r="AE12" s="12">
        <v>18</v>
      </c>
      <c r="AF12" s="12">
        <v>37</v>
      </c>
    </row>
    <row r="13" spans="1:32">
      <c r="A13" s="20"/>
      <c r="B13" s="13" t="s">
        <v>1174</v>
      </c>
      <c r="C13" s="14">
        <v>0.06</v>
      </c>
      <c r="D13" s="14">
        <v>0.05</v>
      </c>
      <c r="E13" s="14">
        <v>7.0000000000000007E-2</v>
      </c>
      <c r="F13" s="14">
        <v>0.03</v>
      </c>
      <c r="G13" s="14">
        <v>0.01</v>
      </c>
      <c r="H13" s="14">
        <v>0.03</v>
      </c>
      <c r="I13" s="14">
        <v>0.03</v>
      </c>
      <c r="J13" s="14">
        <v>0.03</v>
      </c>
      <c r="K13" s="14">
        <v>0.03</v>
      </c>
      <c r="L13" s="14">
        <v>0.08</v>
      </c>
      <c r="M13" s="14">
        <v>0.15</v>
      </c>
      <c r="N13" s="14">
        <v>0.12</v>
      </c>
      <c r="O13" s="14">
        <v>0.06</v>
      </c>
      <c r="P13" s="14">
        <v>0.08</v>
      </c>
      <c r="Q13" s="14">
        <v>0.04</v>
      </c>
      <c r="R13" s="14">
        <v>0.24</v>
      </c>
      <c r="S13" s="14">
        <v>0.05</v>
      </c>
      <c r="T13" s="14">
        <v>0.05</v>
      </c>
      <c r="U13" s="14">
        <v>7.0000000000000007E-2</v>
      </c>
      <c r="V13" s="14">
        <v>0.13</v>
      </c>
      <c r="W13" s="14">
        <v>0.36</v>
      </c>
      <c r="X13" s="14">
        <v>0.04</v>
      </c>
      <c r="Y13" s="14">
        <v>0.11</v>
      </c>
      <c r="Z13" s="14">
        <v>0.06</v>
      </c>
      <c r="AA13" s="14">
        <v>0.12</v>
      </c>
      <c r="AB13" s="14">
        <v>0.06</v>
      </c>
      <c r="AC13" s="14">
        <v>0.08</v>
      </c>
      <c r="AD13" s="14">
        <v>0.02</v>
      </c>
      <c r="AE13" s="14">
        <v>0.02</v>
      </c>
      <c r="AF13" s="14">
        <v>0.04</v>
      </c>
    </row>
    <row r="14" spans="1:32">
      <c r="A14" s="20"/>
      <c r="B14" s="11" t="s">
        <v>1175</v>
      </c>
      <c r="C14" s="12">
        <v>8485</v>
      </c>
      <c r="D14" s="12">
        <v>293</v>
      </c>
      <c r="E14" s="12">
        <v>462</v>
      </c>
      <c r="F14" s="12">
        <v>204</v>
      </c>
      <c r="G14" s="12">
        <v>150</v>
      </c>
      <c r="H14" s="12">
        <v>211</v>
      </c>
      <c r="I14" s="12">
        <v>261</v>
      </c>
      <c r="J14" s="12">
        <v>49</v>
      </c>
      <c r="K14" s="12">
        <v>184</v>
      </c>
      <c r="L14" s="12">
        <v>335</v>
      </c>
      <c r="M14" s="12">
        <v>497</v>
      </c>
      <c r="N14" s="12">
        <v>341</v>
      </c>
      <c r="O14" s="12">
        <v>242</v>
      </c>
      <c r="P14" s="12">
        <v>477</v>
      </c>
      <c r="Q14" s="12">
        <v>445</v>
      </c>
      <c r="R14" s="12">
        <v>175</v>
      </c>
      <c r="S14" s="12">
        <v>344</v>
      </c>
      <c r="T14" s="12">
        <v>274</v>
      </c>
      <c r="U14" s="12">
        <v>121</v>
      </c>
      <c r="V14" s="12">
        <v>516</v>
      </c>
      <c r="W14" s="12">
        <v>163</v>
      </c>
      <c r="X14" s="12">
        <v>324</v>
      </c>
      <c r="Y14" s="12">
        <v>301</v>
      </c>
      <c r="Z14" s="12">
        <v>547</v>
      </c>
      <c r="AA14" s="12">
        <v>489</v>
      </c>
      <c r="AB14" s="12">
        <v>390</v>
      </c>
      <c r="AC14" s="12">
        <v>310</v>
      </c>
      <c r="AD14" s="12">
        <v>473</v>
      </c>
      <c r="AE14" s="12">
        <v>118</v>
      </c>
      <c r="AF14" s="12">
        <v>156</v>
      </c>
    </row>
    <row r="15" spans="1:32">
      <c r="A15" s="20"/>
      <c r="B15" s="13" t="s">
        <v>1176</v>
      </c>
      <c r="C15" s="14">
        <v>0.32</v>
      </c>
      <c r="D15" s="14">
        <v>0.28999999999999998</v>
      </c>
      <c r="E15" s="14">
        <v>0.45</v>
      </c>
      <c r="F15" s="14">
        <v>0.2</v>
      </c>
      <c r="G15" s="14">
        <v>0.15</v>
      </c>
      <c r="H15" s="14">
        <v>0.17</v>
      </c>
      <c r="I15" s="14">
        <v>0.17</v>
      </c>
      <c r="J15" s="14">
        <v>0.17</v>
      </c>
      <c r="K15" s="14">
        <v>0.19</v>
      </c>
      <c r="L15" s="14">
        <v>0.33</v>
      </c>
      <c r="M15" s="14">
        <v>0.5</v>
      </c>
      <c r="N15" s="14">
        <v>0.34</v>
      </c>
      <c r="O15" s="14">
        <v>0.24</v>
      </c>
      <c r="P15" s="14">
        <v>0.47</v>
      </c>
      <c r="Q15" s="14">
        <v>0.44</v>
      </c>
      <c r="R15" s="14">
        <v>0.35</v>
      </c>
      <c r="S15" s="14">
        <v>0.34</v>
      </c>
      <c r="T15" s="14">
        <v>0.27</v>
      </c>
      <c r="U15" s="14">
        <v>0.24</v>
      </c>
      <c r="V15" s="14">
        <v>0.51</v>
      </c>
      <c r="W15" s="14">
        <v>0.32</v>
      </c>
      <c r="X15" s="14">
        <v>0.32</v>
      </c>
      <c r="Y15" s="14">
        <v>0.3</v>
      </c>
      <c r="Z15" s="14">
        <v>0.54</v>
      </c>
      <c r="AA15" s="14">
        <v>0.47</v>
      </c>
      <c r="AB15" s="14">
        <v>0.37</v>
      </c>
      <c r="AC15" s="14">
        <v>0.31</v>
      </c>
      <c r="AD15" s="14">
        <v>0.47</v>
      </c>
      <c r="AE15" s="14">
        <v>0.12</v>
      </c>
      <c r="AF15" s="14">
        <v>0.15</v>
      </c>
    </row>
    <row r="16" spans="1:32">
      <c r="A16" s="20"/>
      <c r="B16" s="11" t="s">
        <v>1177</v>
      </c>
      <c r="C16" s="12">
        <v>11105</v>
      </c>
      <c r="D16" s="12">
        <v>463</v>
      </c>
      <c r="E16" s="12">
        <v>320</v>
      </c>
      <c r="F16" s="12">
        <v>472</v>
      </c>
      <c r="G16" s="12">
        <v>530</v>
      </c>
      <c r="H16" s="12">
        <v>617</v>
      </c>
      <c r="I16" s="12">
        <v>798</v>
      </c>
      <c r="J16" s="12">
        <v>181</v>
      </c>
      <c r="K16" s="12">
        <v>475</v>
      </c>
      <c r="L16" s="12">
        <v>341</v>
      </c>
      <c r="M16" s="12">
        <v>304</v>
      </c>
      <c r="N16" s="12">
        <v>367</v>
      </c>
      <c r="O16" s="12">
        <v>493</v>
      </c>
      <c r="P16" s="12">
        <v>328</v>
      </c>
      <c r="Q16" s="12">
        <v>374</v>
      </c>
      <c r="R16" s="12">
        <v>156</v>
      </c>
      <c r="S16" s="12">
        <v>445</v>
      </c>
      <c r="T16" s="12">
        <v>299</v>
      </c>
      <c r="U16" s="12">
        <v>243</v>
      </c>
      <c r="V16" s="12">
        <v>253</v>
      </c>
      <c r="W16" s="12">
        <v>122</v>
      </c>
      <c r="X16" s="12">
        <v>417</v>
      </c>
      <c r="Y16" s="12">
        <v>339</v>
      </c>
      <c r="Z16" s="12">
        <v>341</v>
      </c>
      <c r="AA16" s="12">
        <v>236</v>
      </c>
      <c r="AB16" s="12">
        <v>433</v>
      </c>
      <c r="AC16" s="12">
        <v>441</v>
      </c>
      <c r="AD16" s="12">
        <v>381</v>
      </c>
      <c r="AE16" s="12">
        <v>581</v>
      </c>
      <c r="AF16" s="12">
        <v>573</v>
      </c>
    </row>
    <row r="17" spans="1:32">
      <c r="A17" s="20"/>
      <c r="B17" s="13" t="s">
        <v>1178</v>
      </c>
      <c r="C17" s="14">
        <v>0.42</v>
      </c>
      <c r="D17" s="14">
        <v>0.46</v>
      </c>
      <c r="E17" s="14">
        <v>0.32</v>
      </c>
      <c r="F17" s="14">
        <v>0.47</v>
      </c>
      <c r="G17" s="14">
        <v>0.53</v>
      </c>
      <c r="H17" s="14">
        <v>0.51</v>
      </c>
      <c r="I17" s="14">
        <v>0.53</v>
      </c>
      <c r="J17" s="14">
        <v>0.61</v>
      </c>
      <c r="K17" s="14">
        <v>0.47</v>
      </c>
      <c r="L17" s="14">
        <v>0.34</v>
      </c>
      <c r="M17" s="14">
        <v>0.3</v>
      </c>
      <c r="N17" s="14">
        <v>0.36</v>
      </c>
      <c r="O17" s="14">
        <v>0.49</v>
      </c>
      <c r="P17" s="14">
        <v>0.32</v>
      </c>
      <c r="Q17" s="14">
        <v>0.37</v>
      </c>
      <c r="R17" s="14">
        <v>0.31</v>
      </c>
      <c r="S17" s="14">
        <v>0.44</v>
      </c>
      <c r="T17" s="14">
        <v>0.3</v>
      </c>
      <c r="U17" s="14">
        <v>0.48</v>
      </c>
      <c r="V17" s="14">
        <v>0.25</v>
      </c>
      <c r="W17" s="14">
        <v>0.24</v>
      </c>
      <c r="X17" s="14">
        <v>0.41</v>
      </c>
      <c r="Y17" s="14">
        <v>0.33</v>
      </c>
      <c r="Z17" s="14">
        <v>0.34</v>
      </c>
      <c r="AA17" s="14">
        <v>0.22</v>
      </c>
      <c r="AB17" s="14">
        <v>0.42</v>
      </c>
      <c r="AC17" s="14">
        <v>0.44</v>
      </c>
      <c r="AD17" s="14">
        <v>0.38</v>
      </c>
      <c r="AE17" s="14">
        <v>0.57999999999999996</v>
      </c>
      <c r="AF17" s="14">
        <v>0.56000000000000005</v>
      </c>
    </row>
    <row r="18" spans="1:32">
      <c r="A18" s="20"/>
      <c r="B18" s="11" t="s">
        <v>1179</v>
      </c>
      <c r="C18" s="12">
        <v>4931</v>
      </c>
      <c r="D18" s="12">
        <v>202</v>
      </c>
      <c r="E18" s="12">
        <v>144</v>
      </c>
      <c r="F18" s="12">
        <v>276</v>
      </c>
      <c r="G18" s="12">
        <v>283</v>
      </c>
      <c r="H18" s="12">
        <v>351</v>
      </c>
      <c r="I18" s="12">
        <v>405</v>
      </c>
      <c r="J18" s="12">
        <v>55</v>
      </c>
      <c r="K18" s="12">
        <v>315</v>
      </c>
      <c r="L18" s="12">
        <v>244</v>
      </c>
      <c r="M18" s="12">
        <v>54</v>
      </c>
      <c r="N18" s="12">
        <v>168</v>
      </c>
      <c r="O18" s="12">
        <v>196</v>
      </c>
      <c r="P18" s="12">
        <v>127</v>
      </c>
      <c r="Q18" s="12">
        <v>153</v>
      </c>
      <c r="R18" s="12">
        <v>45</v>
      </c>
      <c r="S18" s="12">
        <v>165</v>
      </c>
      <c r="T18" s="12">
        <v>385</v>
      </c>
      <c r="U18" s="12">
        <v>108</v>
      </c>
      <c r="V18" s="12">
        <v>113</v>
      </c>
      <c r="W18" s="12">
        <v>34</v>
      </c>
      <c r="X18" s="12">
        <v>233</v>
      </c>
      <c r="Y18" s="12">
        <v>250</v>
      </c>
      <c r="Z18" s="12">
        <v>50</v>
      </c>
      <c r="AA18" s="12">
        <v>192</v>
      </c>
      <c r="AB18" s="12">
        <v>146</v>
      </c>
      <c r="AC18" s="12">
        <v>176</v>
      </c>
      <c r="AD18" s="12">
        <v>127</v>
      </c>
      <c r="AE18" s="12">
        <v>280</v>
      </c>
      <c r="AF18" s="12">
        <v>253</v>
      </c>
    </row>
    <row r="19" spans="1:32">
      <c r="A19" s="20"/>
      <c r="B19" s="13" t="s">
        <v>1180</v>
      </c>
      <c r="C19" s="14">
        <v>0.19</v>
      </c>
      <c r="D19" s="14">
        <v>0.2</v>
      </c>
      <c r="E19" s="14">
        <v>0.14000000000000001</v>
      </c>
      <c r="F19" s="14">
        <v>0.28000000000000003</v>
      </c>
      <c r="G19" s="14">
        <v>0.28000000000000003</v>
      </c>
      <c r="H19" s="14">
        <v>0.28999999999999998</v>
      </c>
      <c r="I19" s="14">
        <v>0.27</v>
      </c>
      <c r="J19" s="14">
        <v>0.19</v>
      </c>
      <c r="K19" s="14">
        <v>0.31</v>
      </c>
      <c r="L19" s="14">
        <v>0.24</v>
      </c>
      <c r="M19" s="14">
        <v>0.05</v>
      </c>
      <c r="N19" s="14">
        <v>0.17</v>
      </c>
      <c r="O19" s="14">
        <v>0.2</v>
      </c>
      <c r="P19" s="14">
        <v>0.12</v>
      </c>
      <c r="Q19" s="14">
        <v>0.15</v>
      </c>
      <c r="R19" s="14">
        <v>0.09</v>
      </c>
      <c r="S19" s="14">
        <v>0.16</v>
      </c>
      <c r="T19" s="14">
        <v>0.38</v>
      </c>
      <c r="U19" s="14">
        <v>0.21</v>
      </c>
      <c r="V19" s="14">
        <v>0.11</v>
      </c>
      <c r="W19" s="14">
        <v>7.0000000000000007E-2</v>
      </c>
      <c r="X19" s="14">
        <v>0.23</v>
      </c>
      <c r="Y19" s="14">
        <v>0.25</v>
      </c>
      <c r="Z19" s="14">
        <v>0.05</v>
      </c>
      <c r="AA19" s="14">
        <v>0.18</v>
      </c>
      <c r="AB19" s="14">
        <v>0.14000000000000001</v>
      </c>
      <c r="AC19" s="14">
        <v>0.17</v>
      </c>
      <c r="AD19" s="14">
        <v>0.13</v>
      </c>
      <c r="AE19" s="14">
        <v>0.28000000000000003</v>
      </c>
      <c r="AF19" s="14">
        <v>0.25</v>
      </c>
    </row>
    <row r="20" spans="1:32">
      <c r="A20" s="20"/>
      <c r="B20" s="11" t="s">
        <v>468</v>
      </c>
      <c r="C20" s="12">
        <v>190</v>
      </c>
      <c r="D20" s="12">
        <v>2</v>
      </c>
      <c r="E20" s="12">
        <v>25</v>
      </c>
      <c r="F20" s="12">
        <v>24</v>
      </c>
      <c r="G20" s="12">
        <v>27</v>
      </c>
      <c r="H20" s="12">
        <v>6</v>
      </c>
      <c r="I20" s="12">
        <v>6</v>
      </c>
      <c r="J20" s="12">
        <v>0</v>
      </c>
      <c r="K20" s="12">
        <v>1</v>
      </c>
      <c r="L20" s="12">
        <v>9</v>
      </c>
      <c r="M20" s="12">
        <v>0</v>
      </c>
      <c r="N20" s="12">
        <v>7</v>
      </c>
      <c r="O20" s="12">
        <v>14</v>
      </c>
      <c r="P20" s="12">
        <v>6</v>
      </c>
      <c r="Q20" s="12">
        <v>3</v>
      </c>
      <c r="R20" s="12">
        <v>7</v>
      </c>
      <c r="S20" s="12">
        <v>9</v>
      </c>
      <c r="T20" s="12">
        <v>2</v>
      </c>
      <c r="U20" s="12">
        <v>1</v>
      </c>
      <c r="V20" s="12">
        <v>4</v>
      </c>
      <c r="W20" s="12">
        <v>6</v>
      </c>
      <c r="X20" s="12">
        <v>3</v>
      </c>
      <c r="Y20" s="12">
        <v>7</v>
      </c>
      <c r="Z20" s="12">
        <v>7</v>
      </c>
      <c r="AA20" s="12">
        <v>15</v>
      </c>
      <c r="AB20" s="12">
        <v>10</v>
      </c>
      <c r="AC20" s="12">
        <v>1</v>
      </c>
      <c r="AD20" s="12">
        <v>0</v>
      </c>
      <c r="AE20" s="12">
        <v>4</v>
      </c>
      <c r="AF20" s="12">
        <v>2</v>
      </c>
    </row>
    <row r="21" spans="1:32">
      <c r="A21" s="20"/>
      <c r="B21" s="13" t="s">
        <v>469</v>
      </c>
      <c r="C21" s="14">
        <v>0.01</v>
      </c>
      <c r="D21" s="15" t="s">
        <v>459</v>
      </c>
      <c r="E21" s="14">
        <v>0.02</v>
      </c>
      <c r="F21" s="14">
        <v>0.02</v>
      </c>
      <c r="G21" s="14">
        <v>0.03</v>
      </c>
      <c r="H21" s="15" t="s">
        <v>459</v>
      </c>
      <c r="I21" s="15" t="s">
        <v>459</v>
      </c>
      <c r="J21" s="15" t="s">
        <v>459</v>
      </c>
      <c r="K21" s="15" t="s">
        <v>459</v>
      </c>
      <c r="L21" s="14">
        <v>0.01</v>
      </c>
      <c r="M21" s="15" t="s">
        <v>459</v>
      </c>
      <c r="N21" s="14">
        <v>0.01</v>
      </c>
      <c r="O21" s="14">
        <v>0.01</v>
      </c>
      <c r="P21" s="14">
        <v>0.01</v>
      </c>
      <c r="Q21" s="15" t="s">
        <v>459</v>
      </c>
      <c r="R21" s="14">
        <v>0.01</v>
      </c>
      <c r="S21" s="14">
        <v>0.01</v>
      </c>
      <c r="T21" s="15" t="s">
        <v>459</v>
      </c>
      <c r="U21" s="15" t="s">
        <v>459</v>
      </c>
      <c r="V21" s="15" t="s">
        <v>459</v>
      </c>
      <c r="W21" s="14">
        <v>0.01</v>
      </c>
      <c r="X21" s="15" t="s">
        <v>459</v>
      </c>
      <c r="Y21" s="14">
        <v>0.01</v>
      </c>
      <c r="Z21" s="14">
        <v>0.01</v>
      </c>
      <c r="AA21" s="14">
        <v>0.01</v>
      </c>
      <c r="AB21" s="14">
        <v>0.01</v>
      </c>
      <c r="AC21" s="15" t="s">
        <v>459</v>
      </c>
      <c r="AD21" s="15" t="s">
        <v>459</v>
      </c>
      <c r="AE21" s="15" t="s">
        <v>459</v>
      </c>
      <c r="AF21" s="15" t="s">
        <v>459</v>
      </c>
    </row>
    <row r="22" spans="1:32">
      <c r="A22" s="20"/>
      <c r="B22" s="11" t="s">
        <v>1181</v>
      </c>
      <c r="C22" s="12">
        <v>10093</v>
      </c>
      <c r="D22" s="12">
        <v>337</v>
      </c>
      <c r="E22" s="12">
        <v>528</v>
      </c>
      <c r="F22" s="12">
        <v>233</v>
      </c>
      <c r="G22" s="12">
        <v>164</v>
      </c>
      <c r="H22" s="12">
        <v>242</v>
      </c>
      <c r="I22" s="12">
        <v>301</v>
      </c>
      <c r="J22" s="12">
        <v>57</v>
      </c>
      <c r="K22" s="12">
        <v>215</v>
      </c>
      <c r="L22" s="12">
        <v>412</v>
      </c>
      <c r="M22" s="12">
        <v>646</v>
      </c>
      <c r="N22" s="12">
        <v>463</v>
      </c>
      <c r="O22" s="12">
        <v>300</v>
      </c>
      <c r="P22" s="12">
        <v>561</v>
      </c>
      <c r="Q22" s="12">
        <v>489</v>
      </c>
      <c r="R22" s="12">
        <v>293</v>
      </c>
      <c r="S22" s="12">
        <v>389</v>
      </c>
      <c r="T22" s="12">
        <v>328</v>
      </c>
      <c r="U22" s="12">
        <v>155</v>
      </c>
      <c r="V22" s="12">
        <v>648</v>
      </c>
      <c r="W22" s="12">
        <v>342</v>
      </c>
      <c r="X22" s="12">
        <v>369</v>
      </c>
      <c r="Y22" s="12">
        <v>412</v>
      </c>
      <c r="Z22" s="12">
        <v>610</v>
      </c>
      <c r="AA22" s="12">
        <v>611</v>
      </c>
      <c r="AB22" s="12">
        <v>449</v>
      </c>
      <c r="AC22" s="12">
        <v>392</v>
      </c>
      <c r="AD22" s="12">
        <v>499</v>
      </c>
      <c r="AE22" s="12">
        <v>136</v>
      </c>
      <c r="AF22" s="12">
        <v>193</v>
      </c>
    </row>
    <row r="23" spans="1:32">
      <c r="A23" s="20"/>
      <c r="B23" s="13" t="s">
        <v>1182</v>
      </c>
      <c r="C23" s="14">
        <v>0.38</v>
      </c>
      <c r="D23" s="14">
        <v>0.34</v>
      </c>
      <c r="E23" s="14">
        <v>0.52</v>
      </c>
      <c r="F23" s="14">
        <v>0.23</v>
      </c>
      <c r="G23" s="14">
        <v>0.16</v>
      </c>
      <c r="H23" s="14">
        <v>0.2</v>
      </c>
      <c r="I23" s="14">
        <v>0.2</v>
      </c>
      <c r="J23" s="14">
        <v>0.2</v>
      </c>
      <c r="K23" s="14">
        <v>0.22</v>
      </c>
      <c r="L23" s="14">
        <v>0.41</v>
      </c>
      <c r="M23" s="14">
        <v>0.65</v>
      </c>
      <c r="N23" s="14">
        <v>0.46</v>
      </c>
      <c r="O23" s="14">
        <v>0.3</v>
      </c>
      <c r="P23" s="14">
        <v>0.55000000000000004</v>
      </c>
      <c r="Q23" s="14">
        <v>0.48</v>
      </c>
      <c r="R23" s="14">
        <v>0.59</v>
      </c>
      <c r="S23" s="14">
        <v>0.39</v>
      </c>
      <c r="T23" s="14">
        <v>0.32</v>
      </c>
      <c r="U23" s="14">
        <v>0.31</v>
      </c>
      <c r="V23" s="14">
        <v>0.64</v>
      </c>
      <c r="W23" s="14">
        <v>0.68</v>
      </c>
      <c r="X23" s="14">
        <v>0.36</v>
      </c>
      <c r="Y23" s="14">
        <v>0.41</v>
      </c>
      <c r="Z23" s="14">
        <v>0.6</v>
      </c>
      <c r="AA23" s="14">
        <v>0.59</v>
      </c>
      <c r="AB23" s="14">
        <v>0.43</v>
      </c>
      <c r="AC23" s="14">
        <v>0.39</v>
      </c>
      <c r="AD23" s="14">
        <v>0.49</v>
      </c>
      <c r="AE23" s="14">
        <v>0.14000000000000001</v>
      </c>
      <c r="AF23" s="14">
        <v>0.19</v>
      </c>
    </row>
    <row r="24" spans="1:32">
      <c r="A24" s="20"/>
      <c r="B24" s="11" t="s">
        <v>1183</v>
      </c>
      <c r="C24" s="12">
        <v>16036</v>
      </c>
      <c r="D24" s="12">
        <v>665</v>
      </c>
      <c r="E24" s="12">
        <v>464</v>
      </c>
      <c r="F24" s="12">
        <v>748</v>
      </c>
      <c r="G24" s="12">
        <v>813</v>
      </c>
      <c r="H24" s="12">
        <v>968</v>
      </c>
      <c r="I24" s="12">
        <v>1203</v>
      </c>
      <c r="J24" s="12">
        <v>236</v>
      </c>
      <c r="K24" s="12">
        <v>790</v>
      </c>
      <c r="L24" s="12">
        <v>585</v>
      </c>
      <c r="M24" s="12">
        <v>358</v>
      </c>
      <c r="N24" s="12">
        <v>535</v>
      </c>
      <c r="O24" s="12">
        <v>689</v>
      </c>
      <c r="P24" s="12">
        <v>455</v>
      </c>
      <c r="Q24" s="12">
        <v>527</v>
      </c>
      <c r="R24" s="12">
        <v>201</v>
      </c>
      <c r="S24" s="12">
        <v>610</v>
      </c>
      <c r="T24" s="12">
        <v>684</v>
      </c>
      <c r="U24" s="12">
        <v>351</v>
      </c>
      <c r="V24" s="12">
        <v>366</v>
      </c>
      <c r="W24" s="12">
        <v>156</v>
      </c>
      <c r="X24" s="12">
        <v>650</v>
      </c>
      <c r="Y24" s="12">
        <v>589</v>
      </c>
      <c r="Z24" s="12">
        <v>391</v>
      </c>
      <c r="AA24" s="12">
        <v>428</v>
      </c>
      <c r="AB24" s="12">
        <v>579</v>
      </c>
      <c r="AC24" s="12">
        <v>617</v>
      </c>
      <c r="AD24" s="12">
        <v>508</v>
      </c>
      <c r="AE24" s="12">
        <v>861</v>
      </c>
      <c r="AF24" s="12">
        <v>826</v>
      </c>
    </row>
    <row r="25" spans="1:32">
      <c r="A25" s="20"/>
      <c r="B25" s="13" t="s">
        <v>1184</v>
      </c>
      <c r="C25" s="14">
        <v>0.61</v>
      </c>
      <c r="D25" s="14">
        <v>0.66</v>
      </c>
      <c r="E25" s="14">
        <v>0.46</v>
      </c>
      <c r="F25" s="14">
        <v>0.75</v>
      </c>
      <c r="G25" s="14">
        <v>0.81</v>
      </c>
      <c r="H25" s="14">
        <v>0.8</v>
      </c>
      <c r="I25" s="14">
        <v>0.8</v>
      </c>
      <c r="J25" s="14">
        <v>0.8</v>
      </c>
      <c r="K25" s="14">
        <v>0.78</v>
      </c>
      <c r="L25" s="14">
        <v>0.57999999999999996</v>
      </c>
      <c r="M25" s="14">
        <v>0.35</v>
      </c>
      <c r="N25" s="14">
        <v>0.53</v>
      </c>
      <c r="O25" s="14">
        <v>0.69000000000000006</v>
      </c>
      <c r="P25" s="14">
        <v>0.44</v>
      </c>
      <c r="Q25" s="14">
        <v>0.52</v>
      </c>
      <c r="R25" s="14">
        <v>0.4</v>
      </c>
      <c r="S25" s="14">
        <v>0.6</v>
      </c>
      <c r="T25" s="14">
        <v>0.68</v>
      </c>
      <c r="U25" s="14">
        <v>0.69000000000000006</v>
      </c>
      <c r="V25" s="14">
        <v>0.36</v>
      </c>
      <c r="W25" s="14">
        <v>0.31</v>
      </c>
      <c r="X25" s="14">
        <v>0.64</v>
      </c>
      <c r="Y25" s="14">
        <v>0.57999999999999996</v>
      </c>
      <c r="Z25" s="14">
        <v>0.39</v>
      </c>
      <c r="AA25" s="14">
        <v>0.4</v>
      </c>
      <c r="AB25" s="14">
        <v>0.56000000000000005</v>
      </c>
      <c r="AC25" s="14">
        <v>0.61</v>
      </c>
      <c r="AD25" s="14">
        <v>0.51</v>
      </c>
      <c r="AE25" s="14">
        <v>0.86</v>
      </c>
      <c r="AF25" s="14">
        <v>0.81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60" customHeight="1">
      <c r="B3" s="18" t="s">
        <v>1185</v>
      </c>
      <c r="C3" s="18"/>
      <c r="D3" s="18"/>
      <c r="E3" s="18"/>
      <c r="F3" s="18"/>
      <c r="H3" s="18" t="s">
        <v>1186</v>
      </c>
      <c r="I3" s="18"/>
      <c r="J3" s="18"/>
      <c r="K3" s="18"/>
      <c r="L3" s="18"/>
    </row>
    <row r="4" spans="1:32" ht="27" customHeight="1">
      <c r="B4" s="18" t="s">
        <v>1069</v>
      </c>
      <c r="C4" s="18"/>
      <c r="D4" s="18"/>
      <c r="E4" s="18"/>
      <c r="F4" s="18"/>
      <c r="H4" s="18" t="s">
        <v>1187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9905</v>
      </c>
      <c r="D12" s="12">
        <v>343</v>
      </c>
      <c r="E12" s="12">
        <v>493</v>
      </c>
      <c r="F12" s="12">
        <v>268</v>
      </c>
      <c r="G12" s="12">
        <v>453</v>
      </c>
      <c r="H12" s="12">
        <v>429</v>
      </c>
      <c r="I12" s="12">
        <v>533</v>
      </c>
      <c r="J12" s="12">
        <v>104</v>
      </c>
      <c r="K12" s="12">
        <v>158</v>
      </c>
      <c r="L12" s="12">
        <v>533</v>
      </c>
      <c r="M12" s="12">
        <v>453</v>
      </c>
      <c r="N12" s="12">
        <v>424</v>
      </c>
      <c r="O12" s="12">
        <v>450</v>
      </c>
      <c r="P12" s="12">
        <v>310</v>
      </c>
      <c r="Q12" s="12">
        <v>390</v>
      </c>
      <c r="R12" s="12">
        <v>319</v>
      </c>
      <c r="S12" s="12">
        <v>253</v>
      </c>
      <c r="T12" s="12">
        <v>386</v>
      </c>
      <c r="U12" s="12">
        <v>241</v>
      </c>
      <c r="V12" s="12">
        <v>459</v>
      </c>
      <c r="W12" s="12">
        <v>289</v>
      </c>
      <c r="X12" s="12">
        <v>338</v>
      </c>
      <c r="Y12" s="12">
        <v>353</v>
      </c>
      <c r="Z12" s="12">
        <v>190</v>
      </c>
      <c r="AA12" s="12">
        <v>501</v>
      </c>
      <c r="AB12" s="12">
        <v>280</v>
      </c>
      <c r="AC12" s="12">
        <v>468</v>
      </c>
      <c r="AD12" s="12">
        <v>344</v>
      </c>
      <c r="AE12" s="12">
        <v>204</v>
      </c>
      <c r="AF12" s="12">
        <v>659</v>
      </c>
    </row>
    <row r="13" spans="1:32">
      <c r="A13" s="20"/>
      <c r="B13" s="13" t="s">
        <v>1189</v>
      </c>
      <c r="C13" s="14">
        <v>0.38</v>
      </c>
      <c r="D13" s="14">
        <v>0.34</v>
      </c>
      <c r="E13" s="14">
        <v>0.48</v>
      </c>
      <c r="F13" s="14">
        <v>0.27</v>
      </c>
      <c r="G13" s="14">
        <v>0.45</v>
      </c>
      <c r="H13" s="14">
        <v>0.35</v>
      </c>
      <c r="I13" s="14">
        <v>0.35</v>
      </c>
      <c r="J13" s="14">
        <v>0.35</v>
      </c>
      <c r="K13" s="14">
        <v>0.16</v>
      </c>
      <c r="L13" s="14">
        <v>0.53</v>
      </c>
      <c r="M13" s="14">
        <v>0.45</v>
      </c>
      <c r="N13" s="14">
        <v>0.42</v>
      </c>
      <c r="O13" s="14">
        <v>0.45</v>
      </c>
      <c r="P13" s="14">
        <v>0.3</v>
      </c>
      <c r="Q13" s="14">
        <v>0.38</v>
      </c>
      <c r="R13" s="14">
        <v>0.64</v>
      </c>
      <c r="S13" s="14">
        <v>0.25</v>
      </c>
      <c r="T13" s="14">
        <v>0.38</v>
      </c>
      <c r="U13" s="14">
        <v>0.48</v>
      </c>
      <c r="V13" s="14">
        <v>0.45</v>
      </c>
      <c r="W13" s="14">
        <v>0.57000000000000006</v>
      </c>
      <c r="X13" s="14">
        <v>0.33</v>
      </c>
      <c r="Y13" s="14">
        <v>0.35</v>
      </c>
      <c r="Z13" s="14">
        <v>0.19</v>
      </c>
      <c r="AA13" s="14">
        <v>0.48</v>
      </c>
      <c r="AB13" s="14">
        <v>0.27</v>
      </c>
      <c r="AC13" s="14">
        <v>0.46</v>
      </c>
      <c r="AD13" s="14">
        <v>0.34</v>
      </c>
      <c r="AE13" s="14">
        <v>0.2</v>
      </c>
      <c r="AF13" s="14">
        <v>0.65</v>
      </c>
    </row>
    <row r="14" spans="1:32">
      <c r="A14" s="20"/>
      <c r="B14" s="11" t="s">
        <v>1190</v>
      </c>
      <c r="C14" s="12">
        <v>12486</v>
      </c>
      <c r="D14" s="12">
        <v>463</v>
      </c>
      <c r="E14" s="12">
        <v>404</v>
      </c>
      <c r="F14" s="12">
        <v>490</v>
      </c>
      <c r="G14" s="12">
        <v>422</v>
      </c>
      <c r="H14" s="12">
        <v>587</v>
      </c>
      <c r="I14" s="12">
        <v>718</v>
      </c>
      <c r="J14" s="12">
        <v>131</v>
      </c>
      <c r="K14" s="12">
        <v>427</v>
      </c>
      <c r="L14" s="12">
        <v>349</v>
      </c>
      <c r="M14" s="12">
        <v>464</v>
      </c>
      <c r="N14" s="12">
        <v>457</v>
      </c>
      <c r="O14" s="12">
        <v>442</v>
      </c>
      <c r="P14" s="12">
        <v>549</v>
      </c>
      <c r="Q14" s="12">
        <v>530</v>
      </c>
      <c r="R14" s="12">
        <v>145</v>
      </c>
      <c r="S14" s="12">
        <v>461</v>
      </c>
      <c r="T14" s="12">
        <v>512</v>
      </c>
      <c r="U14" s="12">
        <v>218</v>
      </c>
      <c r="V14" s="12">
        <v>473</v>
      </c>
      <c r="W14" s="12">
        <v>155</v>
      </c>
      <c r="X14" s="12">
        <v>479</v>
      </c>
      <c r="Y14" s="12">
        <v>440</v>
      </c>
      <c r="Z14" s="12">
        <v>609</v>
      </c>
      <c r="AA14" s="12">
        <v>485</v>
      </c>
      <c r="AB14" s="12">
        <v>504</v>
      </c>
      <c r="AC14" s="12">
        <v>418</v>
      </c>
      <c r="AD14" s="12">
        <v>515</v>
      </c>
      <c r="AE14" s="12">
        <v>426</v>
      </c>
      <c r="AF14" s="12">
        <v>280</v>
      </c>
    </row>
    <row r="15" spans="1:32">
      <c r="A15" s="20"/>
      <c r="B15" s="13" t="s">
        <v>1191</v>
      </c>
      <c r="C15" s="14">
        <v>0.47</v>
      </c>
      <c r="D15" s="14">
        <v>0.46</v>
      </c>
      <c r="E15" s="14">
        <v>0.4</v>
      </c>
      <c r="F15" s="14">
        <v>0.49</v>
      </c>
      <c r="G15" s="14">
        <v>0.42</v>
      </c>
      <c r="H15" s="14">
        <v>0.48</v>
      </c>
      <c r="I15" s="14">
        <v>0.48</v>
      </c>
      <c r="J15" s="14">
        <v>0.44</v>
      </c>
      <c r="K15" s="14">
        <v>0.43</v>
      </c>
      <c r="L15" s="14">
        <v>0.35</v>
      </c>
      <c r="M15" s="14">
        <v>0.47</v>
      </c>
      <c r="N15" s="14">
        <v>0.46</v>
      </c>
      <c r="O15" s="14">
        <v>0.44</v>
      </c>
      <c r="P15" s="14">
        <v>0.54</v>
      </c>
      <c r="Q15" s="14">
        <v>0.52</v>
      </c>
      <c r="R15" s="14">
        <v>0.28999999999999998</v>
      </c>
      <c r="S15" s="14">
        <v>0.46</v>
      </c>
      <c r="T15" s="14">
        <v>0.51</v>
      </c>
      <c r="U15" s="14">
        <v>0.43</v>
      </c>
      <c r="V15" s="14">
        <v>0.46</v>
      </c>
      <c r="W15" s="14">
        <v>0.31</v>
      </c>
      <c r="X15" s="14">
        <v>0.47</v>
      </c>
      <c r="Y15" s="14">
        <v>0.44</v>
      </c>
      <c r="Z15" s="14">
        <v>0.6</v>
      </c>
      <c r="AA15" s="14">
        <v>0.46</v>
      </c>
      <c r="AB15" s="14">
        <v>0.49</v>
      </c>
      <c r="AC15" s="14">
        <v>0.42</v>
      </c>
      <c r="AD15" s="14">
        <v>0.51</v>
      </c>
      <c r="AE15" s="14">
        <v>0.43</v>
      </c>
      <c r="AF15" s="14">
        <v>0.27</v>
      </c>
    </row>
    <row r="16" spans="1:32">
      <c r="A16" s="20"/>
      <c r="B16" s="11" t="s">
        <v>1192</v>
      </c>
      <c r="C16" s="12">
        <v>3085</v>
      </c>
      <c r="D16" s="12">
        <v>160</v>
      </c>
      <c r="E16" s="12">
        <v>88</v>
      </c>
      <c r="F16" s="12">
        <v>190</v>
      </c>
      <c r="G16" s="12">
        <v>93</v>
      </c>
      <c r="H16" s="12">
        <v>140</v>
      </c>
      <c r="I16" s="12">
        <v>189</v>
      </c>
      <c r="J16" s="12">
        <v>50</v>
      </c>
      <c r="K16" s="12">
        <v>311</v>
      </c>
      <c r="L16" s="12">
        <v>62</v>
      </c>
      <c r="M16" s="12">
        <v>71</v>
      </c>
      <c r="N16" s="12">
        <v>92</v>
      </c>
      <c r="O16" s="12">
        <v>94</v>
      </c>
      <c r="P16" s="12">
        <v>128</v>
      </c>
      <c r="Q16" s="12">
        <v>83</v>
      </c>
      <c r="R16" s="12">
        <v>29</v>
      </c>
      <c r="S16" s="12">
        <v>179</v>
      </c>
      <c r="T16" s="12">
        <v>71</v>
      </c>
      <c r="U16" s="12">
        <v>34</v>
      </c>
      <c r="V16" s="12">
        <v>67</v>
      </c>
      <c r="W16" s="12">
        <v>49</v>
      </c>
      <c r="X16" s="12">
        <v>159</v>
      </c>
      <c r="Y16" s="12">
        <v>154</v>
      </c>
      <c r="Z16" s="12">
        <v>181</v>
      </c>
      <c r="AA16" s="12">
        <v>48</v>
      </c>
      <c r="AB16" s="12">
        <v>205</v>
      </c>
      <c r="AC16" s="12">
        <v>101</v>
      </c>
      <c r="AD16" s="12">
        <v>107</v>
      </c>
      <c r="AE16" s="12">
        <v>305</v>
      </c>
      <c r="AF16" s="12">
        <v>72</v>
      </c>
    </row>
    <row r="17" spans="1:32">
      <c r="A17" s="20"/>
      <c r="B17" s="13" t="s">
        <v>1193</v>
      </c>
      <c r="C17" s="14">
        <v>0.12</v>
      </c>
      <c r="D17" s="14">
        <v>0.16</v>
      </c>
      <c r="E17" s="14">
        <v>0.09</v>
      </c>
      <c r="F17" s="14">
        <v>0.19</v>
      </c>
      <c r="G17" s="14">
        <v>0.09</v>
      </c>
      <c r="H17" s="14">
        <v>0.12</v>
      </c>
      <c r="I17" s="14">
        <v>0.13</v>
      </c>
      <c r="J17" s="14">
        <v>0.17</v>
      </c>
      <c r="K17" s="14">
        <v>0.31</v>
      </c>
      <c r="L17" s="14">
        <v>0.06</v>
      </c>
      <c r="M17" s="14">
        <v>7.0000000000000007E-2</v>
      </c>
      <c r="N17" s="14">
        <v>0.09</v>
      </c>
      <c r="O17" s="14">
        <v>0.09</v>
      </c>
      <c r="P17" s="14">
        <v>0.12</v>
      </c>
      <c r="Q17" s="14">
        <v>0.08</v>
      </c>
      <c r="R17" s="14">
        <v>0.06</v>
      </c>
      <c r="S17" s="14">
        <v>0.18</v>
      </c>
      <c r="T17" s="14">
        <v>7.0000000000000007E-2</v>
      </c>
      <c r="U17" s="14">
        <v>7.0000000000000007E-2</v>
      </c>
      <c r="V17" s="14">
        <v>7.0000000000000007E-2</v>
      </c>
      <c r="W17" s="14">
        <v>0.1</v>
      </c>
      <c r="X17" s="14">
        <v>0.15</v>
      </c>
      <c r="Y17" s="14">
        <v>0.15</v>
      </c>
      <c r="Z17" s="14">
        <v>0.18</v>
      </c>
      <c r="AA17" s="14">
        <v>0.04</v>
      </c>
      <c r="AB17" s="14">
        <v>0.2</v>
      </c>
      <c r="AC17" s="14">
        <v>0.1</v>
      </c>
      <c r="AD17" s="14">
        <v>0.11</v>
      </c>
      <c r="AE17" s="14">
        <v>0.3</v>
      </c>
      <c r="AF17" s="14">
        <v>7.0000000000000007E-2</v>
      </c>
    </row>
    <row r="18" spans="1:32">
      <c r="A18" s="20"/>
      <c r="B18" s="11" t="s">
        <v>1194</v>
      </c>
      <c r="C18" s="12">
        <v>522</v>
      </c>
      <c r="D18" s="12">
        <v>32</v>
      </c>
      <c r="E18" s="12">
        <v>13</v>
      </c>
      <c r="F18" s="12">
        <v>30</v>
      </c>
      <c r="G18" s="12">
        <v>12</v>
      </c>
      <c r="H18" s="12">
        <v>43</v>
      </c>
      <c r="I18" s="12">
        <v>47</v>
      </c>
      <c r="J18" s="12">
        <v>4</v>
      </c>
      <c r="K18" s="12">
        <v>85</v>
      </c>
      <c r="L18" s="12">
        <v>49</v>
      </c>
      <c r="M18" s="12">
        <v>12</v>
      </c>
      <c r="N18" s="12">
        <v>18</v>
      </c>
      <c r="O18" s="12">
        <v>6</v>
      </c>
      <c r="P18" s="12">
        <v>26</v>
      </c>
      <c r="Q18" s="12">
        <v>11</v>
      </c>
      <c r="R18" s="12">
        <v>7</v>
      </c>
      <c r="S18" s="12">
        <v>33</v>
      </c>
      <c r="T18" s="12">
        <v>14</v>
      </c>
      <c r="U18" s="12">
        <v>12</v>
      </c>
      <c r="V18" s="12">
        <v>12</v>
      </c>
      <c r="W18" s="12">
        <v>9</v>
      </c>
      <c r="X18" s="12">
        <v>38</v>
      </c>
      <c r="Y18" s="12">
        <v>50</v>
      </c>
      <c r="Z18" s="12">
        <v>12</v>
      </c>
      <c r="AA18" s="12">
        <v>7</v>
      </c>
      <c r="AB18" s="12">
        <v>25</v>
      </c>
      <c r="AC18" s="12">
        <v>19</v>
      </c>
      <c r="AD18" s="12">
        <v>27</v>
      </c>
      <c r="AE18" s="12">
        <v>48</v>
      </c>
      <c r="AF18" s="12">
        <v>7</v>
      </c>
    </row>
    <row r="19" spans="1:32">
      <c r="A19" s="20"/>
      <c r="B19" s="13" t="s">
        <v>1195</v>
      </c>
      <c r="C19" s="14">
        <v>0.02</v>
      </c>
      <c r="D19" s="14">
        <v>0.03</v>
      </c>
      <c r="E19" s="14">
        <v>0.01</v>
      </c>
      <c r="F19" s="14">
        <v>0.03</v>
      </c>
      <c r="G19" s="14">
        <v>0.01</v>
      </c>
      <c r="H19" s="14">
        <v>0.04</v>
      </c>
      <c r="I19" s="14">
        <v>0.03</v>
      </c>
      <c r="J19" s="14">
        <v>0.02</v>
      </c>
      <c r="K19" s="14">
        <v>0.08</v>
      </c>
      <c r="L19" s="14">
        <v>0.05</v>
      </c>
      <c r="M19" s="14">
        <v>0.01</v>
      </c>
      <c r="N19" s="14">
        <v>0.02</v>
      </c>
      <c r="O19" s="14">
        <v>0.01</v>
      </c>
      <c r="P19" s="14">
        <v>0.03</v>
      </c>
      <c r="Q19" s="14">
        <v>0.01</v>
      </c>
      <c r="R19" s="14">
        <v>0.01</v>
      </c>
      <c r="S19" s="14">
        <v>0.03</v>
      </c>
      <c r="T19" s="14">
        <v>0.01</v>
      </c>
      <c r="U19" s="14">
        <v>0.02</v>
      </c>
      <c r="V19" s="14">
        <v>0.01</v>
      </c>
      <c r="W19" s="14">
        <v>0.02</v>
      </c>
      <c r="X19" s="14">
        <v>0.04</v>
      </c>
      <c r="Y19" s="14">
        <v>0.05</v>
      </c>
      <c r="Z19" s="14">
        <v>0.01</v>
      </c>
      <c r="AA19" s="14">
        <v>0.01</v>
      </c>
      <c r="AB19" s="14">
        <v>0.02</v>
      </c>
      <c r="AC19" s="14">
        <v>0.02</v>
      </c>
      <c r="AD19" s="14">
        <v>0.03</v>
      </c>
      <c r="AE19" s="14">
        <v>0.05</v>
      </c>
      <c r="AF19" s="14">
        <v>0.01</v>
      </c>
    </row>
    <row r="20" spans="1:32">
      <c r="A20" s="20"/>
      <c r="B20" s="11" t="s">
        <v>468</v>
      </c>
      <c r="C20" s="12">
        <v>321</v>
      </c>
      <c r="D20" s="12">
        <v>5</v>
      </c>
      <c r="E20" s="12">
        <v>21</v>
      </c>
      <c r="F20" s="12">
        <v>26</v>
      </c>
      <c r="G20" s="12">
        <v>23</v>
      </c>
      <c r="H20" s="12">
        <v>18</v>
      </c>
      <c r="I20" s="12">
        <v>23</v>
      </c>
      <c r="J20" s="12">
        <v>5</v>
      </c>
      <c r="K20" s="12">
        <v>25</v>
      </c>
      <c r="L20" s="12">
        <v>14</v>
      </c>
      <c r="M20" s="12">
        <v>3</v>
      </c>
      <c r="N20" s="12">
        <v>12</v>
      </c>
      <c r="O20" s="12">
        <v>11</v>
      </c>
      <c r="P20" s="12">
        <v>9</v>
      </c>
      <c r="Q20" s="12">
        <v>4</v>
      </c>
      <c r="R20" s="12">
        <v>0</v>
      </c>
      <c r="S20" s="12">
        <v>83</v>
      </c>
      <c r="T20" s="12">
        <v>31</v>
      </c>
      <c r="U20" s="12">
        <v>1</v>
      </c>
      <c r="V20" s="12">
        <v>6</v>
      </c>
      <c r="W20" s="12">
        <v>1</v>
      </c>
      <c r="X20" s="12">
        <v>7</v>
      </c>
      <c r="Y20" s="12">
        <v>10</v>
      </c>
      <c r="Z20" s="12">
        <v>15</v>
      </c>
      <c r="AA20" s="12">
        <v>13</v>
      </c>
      <c r="AB20" s="12">
        <v>25</v>
      </c>
      <c r="AC20" s="12">
        <v>4</v>
      </c>
      <c r="AD20" s="12">
        <v>13</v>
      </c>
      <c r="AE20" s="12">
        <v>18</v>
      </c>
      <c r="AF20" s="12">
        <v>2</v>
      </c>
    </row>
    <row r="21" spans="1:32">
      <c r="A21" s="20"/>
      <c r="B21" s="13" t="s">
        <v>770</v>
      </c>
      <c r="C21" s="14">
        <v>0.01</v>
      </c>
      <c r="D21" s="14">
        <v>0.01</v>
      </c>
      <c r="E21" s="14">
        <v>0.02</v>
      </c>
      <c r="F21" s="14">
        <v>0.02</v>
      </c>
      <c r="G21" s="14">
        <v>0.03</v>
      </c>
      <c r="H21" s="14">
        <v>0.01</v>
      </c>
      <c r="I21" s="14">
        <v>0.01</v>
      </c>
      <c r="J21" s="14">
        <v>0.02</v>
      </c>
      <c r="K21" s="14">
        <v>0.02</v>
      </c>
      <c r="L21" s="14">
        <v>0.01</v>
      </c>
      <c r="M21" s="15" t="s">
        <v>459</v>
      </c>
      <c r="N21" s="14">
        <v>0.01</v>
      </c>
      <c r="O21" s="14">
        <v>0.01</v>
      </c>
      <c r="P21" s="14">
        <v>0.01</v>
      </c>
      <c r="Q21" s="14">
        <v>0.01</v>
      </c>
      <c r="R21" s="15" t="s">
        <v>459</v>
      </c>
      <c r="S21" s="14">
        <v>0.08</v>
      </c>
      <c r="T21" s="14">
        <v>0.03</v>
      </c>
      <c r="U21" s="15" t="s">
        <v>459</v>
      </c>
      <c r="V21" s="14">
        <v>0.01</v>
      </c>
      <c r="W21" s="15" t="s">
        <v>459</v>
      </c>
      <c r="X21" s="14">
        <v>0.01</v>
      </c>
      <c r="Y21" s="14">
        <v>0.01</v>
      </c>
      <c r="Z21" s="14">
        <v>0.02</v>
      </c>
      <c r="AA21" s="14">
        <v>0.01</v>
      </c>
      <c r="AB21" s="14">
        <v>0.02</v>
      </c>
      <c r="AC21" s="15" t="s">
        <v>459</v>
      </c>
      <c r="AD21" s="14">
        <v>0.01</v>
      </c>
      <c r="AE21" s="14">
        <v>0.02</v>
      </c>
      <c r="AF21" s="15" t="s">
        <v>459</v>
      </c>
    </row>
    <row r="22" spans="1:32">
      <c r="A22" s="20"/>
      <c r="B22" s="11" t="s">
        <v>1196</v>
      </c>
      <c r="C22" s="12">
        <v>22391</v>
      </c>
      <c r="D22" s="12">
        <v>806</v>
      </c>
      <c r="E22" s="12">
        <v>897</v>
      </c>
      <c r="F22" s="12">
        <v>758</v>
      </c>
      <c r="G22" s="12">
        <v>875</v>
      </c>
      <c r="H22" s="12">
        <v>1016</v>
      </c>
      <c r="I22" s="12">
        <v>1251</v>
      </c>
      <c r="J22" s="12">
        <v>235</v>
      </c>
      <c r="K22" s="12">
        <v>585</v>
      </c>
      <c r="L22" s="12">
        <v>882</v>
      </c>
      <c r="M22" s="12">
        <v>917</v>
      </c>
      <c r="N22" s="12">
        <v>881</v>
      </c>
      <c r="O22" s="12">
        <v>892</v>
      </c>
      <c r="P22" s="12">
        <v>859</v>
      </c>
      <c r="Q22" s="12">
        <v>920</v>
      </c>
      <c r="R22" s="12">
        <v>464</v>
      </c>
      <c r="S22" s="12">
        <v>714</v>
      </c>
      <c r="T22" s="12">
        <v>898</v>
      </c>
      <c r="U22" s="12">
        <v>459</v>
      </c>
      <c r="V22" s="12">
        <v>932</v>
      </c>
      <c r="W22" s="12">
        <v>444</v>
      </c>
      <c r="X22" s="12">
        <v>817</v>
      </c>
      <c r="Y22" s="12">
        <v>793</v>
      </c>
      <c r="Z22" s="12">
        <v>799</v>
      </c>
      <c r="AA22" s="12">
        <v>986</v>
      </c>
      <c r="AB22" s="12">
        <v>784</v>
      </c>
      <c r="AC22" s="12">
        <v>886</v>
      </c>
      <c r="AD22" s="12">
        <v>859</v>
      </c>
      <c r="AE22" s="12">
        <v>630</v>
      </c>
      <c r="AF22" s="12">
        <v>939</v>
      </c>
    </row>
    <row r="23" spans="1:32">
      <c r="A23" s="20"/>
      <c r="B23" s="13" t="s">
        <v>1196</v>
      </c>
      <c r="C23" s="14">
        <v>0.85</v>
      </c>
      <c r="D23" s="14">
        <v>0.8</v>
      </c>
      <c r="E23" s="14">
        <v>0.88</v>
      </c>
      <c r="F23" s="14">
        <v>0.76</v>
      </c>
      <c r="G23" s="14">
        <v>0.87</v>
      </c>
      <c r="H23" s="14">
        <v>0.83000000000000007</v>
      </c>
      <c r="I23" s="14">
        <v>0.83000000000000007</v>
      </c>
      <c r="J23" s="14">
        <v>0.79</v>
      </c>
      <c r="K23" s="14">
        <v>0.59</v>
      </c>
      <c r="L23" s="14">
        <v>0.88</v>
      </c>
      <c r="M23" s="14">
        <v>0.92</v>
      </c>
      <c r="N23" s="14">
        <v>0.88</v>
      </c>
      <c r="O23" s="14">
        <v>0.89</v>
      </c>
      <c r="P23" s="14">
        <v>0.84</v>
      </c>
      <c r="Q23" s="14">
        <v>0.9</v>
      </c>
      <c r="R23" s="14">
        <v>0.93</v>
      </c>
      <c r="S23" s="14">
        <v>0.71</v>
      </c>
      <c r="T23" s="14">
        <v>0.89</v>
      </c>
      <c r="U23" s="14">
        <v>0.91</v>
      </c>
      <c r="V23" s="14">
        <v>0.91</v>
      </c>
      <c r="W23" s="14">
        <v>0.88</v>
      </c>
      <c r="X23" s="14">
        <v>0.8</v>
      </c>
      <c r="Y23" s="14">
        <v>0.79</v>
      </c>
      <c r="Z23" s="14">
        <v>0.79</v>
      </c>
      <c r="AA23" s="14">
        <v>0.94000000000000006</v>
      </c>
      <c r="AB23" s="14">
        <v>0.76</v>
      </c>
      <c r="AC23" s="14">
        <v>0.88</v>
      </c>
      <c r="AD23" s="14">
        <v>0.85</v>
      </c>
      <c r="AE23" s="14">
        <v>0.63</v>
      </c>
      <c r="AF23" s="14">
        <v>0.92</v>
      </c>
    </row>
    <row r="24" spans="1:32">
      <c r="A24" s="20"/>
      <c r="B24" s="11" t="s">
        <v>1197</v>
      </c>
      <c r="C24" s="12">
        <v>3607</v>
      </c>
      <c r="D24" s="12">
        <v>192</v>
      </c>
      <c r="E24" s="12">
        <v>101</v>
      </c>
      <c r="F24" s="12">
        <v>220</v>
      </c>
      <c r="G24" s="12">
        <v>105</v>
      </c>
      <c r="H24" s="12">
        <v>183</v>
      </c>
      <c r="I24" s="12">
        <v>236</v>
      </c>
      <c r="J24" s="12">
        <v>54</v>
      </c>
      <c r="K24" s="12">
        <v>396</v>
      </c>
      <c r="L24" s="12">
        <v>111</v>
      </c>
      <c r="M24" s="12">
        <v>83</v>
      </c>
      <c r="N24" s="12">
        <v>110</v>
      </c>
      <c r="O24" s="12">
        <v>100</v>
      </c>
      <c r="P24" s="12">
        <v>154</v>
      </c>
      <c r="Q24" s="12">
        <v>94</v>
      </c>
      <c r="R24" s="12">
        <v>36</v>
      </c>
      <c r="S24" s="12">
        <v>212</v>
      </c>
      <c r="T24" s="12">
        <v>85</v>
      </c>
      <c r="U24" s="12">
        <v>46</v>
      </c>
      <c r="V24" s="12">
        <v>79</v>
      </c>
      <c r="W24" s="12">
        <v>58</v>
      </c>
      <c r="X24" s="12">
        <v>197</v>
      </c>
      <c r="Y24" s="12">
        <v>204</v>
      </c>
      <c r="Z24" s="12">
        <v>193</v>
      </c>
      <c r="AA24" s="12">
        <v>55</v>
      </c>
      <c r="AB24" s="12">
        <v>230</v>
      </c>
      <c r="AC24" s="12">
        <v>120</v>
      </c>
      <c r="AD24" s="12">
        <v>134</v>
      </c>
      <c r="AE24" s="12">
        <v>353</v>
      </c>
      <c r="AF24" s="12">
        <v>79</v>
      </c>
    </row>
    <row r="25" spans="1:32">
      <c r="A25" s="20"/>
      <c r="B25" s="13" t="s">
        <v>1198</v>
      </c>
      <c r="C25" s="14">
        <v>0.14000000000000001</v>
      </c>
      <c r="D25" s="14">
        <v>0.19</v>
      </c>
      <c r="E25" s="14">
        <v>0.1</v>
      </c>
      <c r="F25" s="14">
        <v>0.22</v>
      </c>
      <c r="G25" s="14">
        <v>0.1</v>
      </c>
      <c r="H25" s="14">
        <v>0.16</v>
      </c>
      <c r="I25" s="14">
        <v>0.16</v>
      </c>
      <c r="J25" s="14">
        <v>0.19</v>
      </c>
      <c r="K25" s="14">
        <v>0.39</v>
      </c>
      <c r="L25" s="14">
        <v>0.11</v>
      </c>
      <c r="M25" s="14">
        <v>0.08</v>
      </c>
      <c r="N25" s="14">
        <v>0.11</v>
      </c>
      <c r="O25" s="14">
        <v>0.1</v>
      </c>
      <c r="P25" s="14">
        <v>0.15</v>
      </c>
      <c r="Q25" s="14">
        <v>0.09</v>
      </c>
      <c r="R25" s="14">
        <v>7.0000000000000007E-2</v>
      </c>
      <c r="S25" s="14">
        <v>0.21</v>
      </c>
      <c r="T25" s="14">
        <v>0.08</v>
      </c>
      <c r="U25" s="14">
        <v>0.09</v>
      </c>
      <c r="V25" s="14">
        <v>0.08</v>
      </c>
      <c r="W25" s="14">
        <v>0.12</v>
      </c>
      <c r="X25" s="14">
        <v>0.19</v>
      </c>
      <c r="Y25" s="14">
        <v>0.2</v>
      </c>
      <c r="Z25" s="14">
        <v>0.19</v>
      </c>
      <c r="AA25" s="14">
        <v>0.05</v>
      </c>
      <c r="AB25" s="14">
        <v>0.22</v>
      </c>
      <c r="AC25" s="14">
        <v>0.12</v>
      </c>
      <c r="AD25" s="14">
        <v>0.14000000000000001</v>
      </c>
      <c r="AE25" s="14">
        <v>0.35</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60" customHeight="1">
      <c r="B3" s="18" t="s">
        <v>1199</v>
      </c>
      <c r="C3" s="18"/>
      <c r="D3" s="18"/>
      <c r="E3" s="18"/>
      <c r="F3" s="18"/>
      <c r="H3" s="18" t="s">
        <v>1200</v>
      </c>
      <c r="I3" s="18"/>
      <c r="J3" s="18"/>
      <c r="K3" s="18"/>
      <c r="L3" s="18"/>
    </row>
    <row r="4" spans="1:32" ht="27" customHeight="1">
      <c r="B4" s="18" t="s">
        <v>773</v>
      </c>
      <c r="C4" s="18"/>
      <c r="D4" s="18"/>
      <c r="E4" s="18"/>
      <c r="F4" s="18"/>
      <c r="H4" s="18" t="s">
        <v>1201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11568</v>
      </c>
      <c r="D12" s="12">
        <v>398</v>
      </c>
      <c r="E12" s="12">
        <v>562</v>
      </c>
      <c r="F12" s="12">
        <v>325</v>
      </c>
      <c r="G12" s="12">
        <v>508</v>
      </c>
      <c r="H12" s="12">
        <v>500</v>
      </c>
      <c r="I12" s="12">
        <v>639</v>
      </c>
      <c r="J12" s="12">
        <v>139</v>
      </c>
      <c r="K12" s="12">
        <v>191</v>
      </c>
      <c r="L12" s="12">
        <v>597</v>
      </c>
      <c r="M12" s="12">
        <v>507</v>
      </c>
      <c r="N12" s="12">
        <v>440</v>
      </c>
      <c r="O12" s="12">
        <v>533</v>
      </c>
      <c r="P12" s="12">
        <v>351</v>
      </c>
      <c r="Q12" s="12">
        <v>442</v>
      </c>
      <c r="R12" s="12">
        <v>352</v>
      </c>
      <c r="S12" s="12">
        <v>285</v>
      </c>
      <c r="T12" s="12">
        <v>477</v>
      </c>
      <c r="U12" s="12">
        <v>268</v>
      </c>
      <c r="V12" s="12">
        <v>544</v>
      </c>
      <c r="W12" s="12">
        <v>301</v>
      </c>
      <c r="X12" s="12">
        <v>490</v>
      </c>
      <c r="Y12" s="12">
        <v>410</v>
      </c>
      <c r="Z12" s="12">
        <v>279</v>
      </c>
      <c r="AA12" s="12">
        <v>566</v>
      </c>
      <c r="AB12" s="12">
        <v>282</v>
      </c>
      <c r="AC12" s="12">
        <v>530</v>
      </c>
      <c r="AD12" s="12">
        <v>435</v>
      </c>
      <c r="AE12" s="12">
        <v>251</v>
      </c>
      <c r="AF12" s="12">
        <v>736</v>
      </c>
    </row>
    <row r="13" spans="1:32">
      <c r="A13" s="20"/>
      <c r="B13" s="13" t="s">
        <v>1189</v>
      </c>
      <c r="C13" s="14">
        <v>0.44</v>
      </c>
      <c r="D13" s="14">
        <v>0.4</v>
      </c>
      <c r="E13" s="14">
        <v>0.55000000000000004</v>
      </c>
      <c r="F13" s="14">
        <v>0.32</v>
      </c>
      <c r="G13" s="14">
        <v>0.5</v>
      </c>
      <c r="H13" s="14">
        <v>0.41</v>
      </c>
      <c r="I13" s="14">
        <v>0.42</v>
      </c>
      <c r="J13" s="14">
        <v>0.47</v>
      </c>
      <c r="K13" s="14">
        <v>0.19</v>
      </c>
      <c r="L13" s="14">
        <v>0.59</v>
      </c>
      <c r="M13" s="14">
        <v>0.51</v>
      </c>
      <c r="N13" s="14">
        <v>0.44</v>
      </c>
      <c r="O13" s="14">
        <v>0.53</v>
      </c>
      <c r="P13" s="14">
        <v>0.34</v>
      </c>
      <c r="Q13" s="14">
        <v>0.43</v>
      </c>
      <c r="R13" s="14">
        <v>0.71</v>
      </c>
      <c r="S13" s="14">
        <v>0.28000000000000003</v>
      </c>
      <c r="T13" s="14">
        <v>0.47</v>
      </c>
      <c r="U13" s="14">
        <v>0.53</v>
      </c>
      <c r="V13" s="14">
        <v>0.53</v>
      </c>
      <c r="W13" s="14">
        <v>0.6</v>
      </c>
      <c r="X13" s="14">
        <v>0.48</v>
      </c>
      <c r="Y13" s="14">
        <v>0.41</v>
      </c>
      <c r="Z13" s="14">
        <v>0.28000000000000003</v>
      </c>
      <c r="AA13" s="14">
        <v>0.54</v>
      </c>
      <c r="AB13" s="14">
        <v>0.27</v>
      </c>
      <c r="AC13" s="14">
        <v>0.53</v>
      </c>
      <c r="AD13" s="14">
        <v>0.43</v>
      </c>
      <c r="AE13" s="14">
        <v>0.25</v>
      </c>
      <c r="AF13" s="14">
        <v>0.72</v>
      </c>
    </row>
    <row r="14" spans="1:32">
      <c r="A14" s="20"/>
      <c r="B14" s="11" t="s">
        <v>1190</v>
      </c>
      <c r="C14" s="12">
        <v>11457</v>
      </c>
      <c r="D14" s="12">
        <v>407</v>
      </c>
      <c r="E14" s="12">
        <v>346</v>
      </c>
      <c r="F14" s="12">
        <v>458</v>
      </c>
      <c r="G14" s="12">
        <v>399</v>
      </c>
      <c r="H14" s="12">
        <v>563</v>
      </c>
      <c r="I14" s="12">
        <v>678</v>
      </c>
      <c r="J14" s="12">
        <v>116</v>
      </c>
      <c r="K14" s="12">
        <v>425</v>
      </c>
      <c r="L14" s="12">
        <v>295</v>
      </c>
      <c r="M14" s="12">
        <v>425</v>
      </c>
      <c r="N14" s="12">
        <v>465</v>
      </c>
      <c r="O14" s="12">
        <v>385</v>
      </c>
      <c r="P14" s="12">
        <v>470</v>
      </c>
      <c r="Q14" s="12">
        <v>493</v>
      </c>
      <c r="R14" s="12">
        <v>121</v>
      </c>
      <c r="S14" s="12">
        <v>439</v>
      </c>
      <c r="T14" s="12">
        <v>444</v>
      </c>
      <c r="U14" s="12">
        <v>195</v>
      </c>
      <c r="V14" s="12">
        <v>388</v>
      </c>
      <c r="W14" s="12">
        <v>142</v>
      </c>
      <c r="X14" s="12">
        <v>393</v>
      </c>
      <c r="Y14" s="12">
        <v>394</v>
      </c>
      <c r="Z14" s="12">
        <v>546</v>
      </c>
      <c r="AA14" s="12">
        <v>422</v>
      </c>
      <c r="AB14" s="12">
        <v>466</v>
      </c>
      <c r="AC14" s="12">
        <v>387</v>
      </c>
      <c r="AD14" s="12">
        <v>441</v>
      </c>
      <c r="AE14" s="12">
        <v>461</v>
      </c>
      <c r="AF14" s="12">
        <v>240</v>
      </c>
    </row>
    <row r="15" spans="1:32">
      <c r="A15" s="20"/>
      <c r="B15" s="13" t="s">
        <v>1191</v>
      </c>
      <c r="C15" s="14">
        <v>0.44</v>
      </c>
      <c r="D15" s="14">
        <v>0.4</v>
      </c>
      <c r="E15" s="14">
        <v>0.34</v>
      </c>
      <c r="F15" s="14">
        <v>0.46</v>
      </c>
      <c r="G15" s="14">
        <v>0.4</v>
      </c>
      <c r="H15" s="14">
        <v>0.46</v>
      </c>
      <c r="I15" s="14">
        <v>0.45</v>
      </c>
      <c r="J15" s="14">
        <v>0.4</v>
      </c>
      <c r="K15" s="14">
        <v>0.42</v>
      </c>
      <c r="L15" s="14">
        <v>0.28999999999999998</v>
      </c>
      <c r="M15" s="14">
        <v>0.42</v>
      </c>
      <c r="N15" s="14">
        <v>0.46</v>
      </c>
      <c r="O15" s="14">
        <v>0.38</v>
      </c>
      <c r="P15" s="14">
        <v>0.46</v>
      </c>
      <c r="Q15" s="14">
        <v>0.48</v>
      </c>
      <c r="R15" s="14">
        <v>0.24</v>
      </c>
      <c r="S15" s="14">
        <v>0.44</v>
      </c>
      <c r="T15" s="14">
        <v>0.44</v>
      </c>
      <c r="U15" s="14">
        <v>0.38</v>
      </c>
      <c r="V15" s="14">
        <v>0.38</v>
      </c>
      <c r="W15" s="14">
        <v>0.28000000000000003</v>
      </c>
      <c r="X15" s="14">
        <v>0.38</v>
      </c>
      <c r="Y15" s="14">
        <v>0.39</v>
      </c>
      <c r="Z15" s="14">
        <v>0.54</v>
      </c>
      <c r="AA15" s="14">
        <v>0.4</v>
      </c>
      <c r="AB15" s="14">
        <v>0.45</v>
      </c>
      <c r="AC15" s="14">
        <v>0.38</v>
      </c>
      <c r="AD15" s="14">
        <v>0.44</v>
      </c>
      <c r="AE15" s="14">
        <v>0.46</v>
      </c>
      <c r="AF15" s="14">
        <v>0.24</v>
      </c>
    </row>
    <row r="16" spans="1:32">
      <c r="A16" s="20"/>
      <c r="B16" s="11" t="s">
        <v>1192</v>
      </c>
      <c r="C16" s="12">
        <v>2431</v>
      </c>
      <c r="D16" s="12">
        <v>156</v>
      </c>
      <c r="E16" s="12">
        <v>81</v>
      </c>
      <c r="F16" s="12">
        <v>162</v>
      </c>
      <c r="G16" s="12">
        <v>63</v>
      </c>
      <c r="H16" s="12">
        <v>102</v>
      </c>
      <c r="I16" s="12">
        <v>132</v>
      </c>
      <c r="J16" s="12">
        <v>30</v>
      </c>
      <c r="K16" s="12">
        <v>286</v>
      </c>
      <c r="L16" s="12">
        <v>60</v>
      </c>
      <c r="M16" s="12">
        <v>62</v>
      </c>
      <c r="N16" s="12">
        <v>69</v>
      </c>
      <c r="O16" s="12">
        <v>64</v>
      </c>
      <c r="P16" s="12">
        <v>159</v>
      </c>
      <c r="Q16" s="12">
        <v>70</v>
      </c>
      <c r="R16" s="12">
        <v>19</v>
      </c>
      <c r="S16" s="12">
        <v>176</v>
      </c>
      <c r="T16" s="12">
        <v>54</v>
      </c>
      <c r="U16" s="12">
        <v>34</v>
      </c>
      <c r="V16" s="12">
        <v>65</v>
      </c>
      <c r="W16" s="12">
        <v>47</v>
      </c>
      <c r="X16" s="12">
        <v>101</v>
      </c>
      <c r="Y16" s="12">
        <v>146</v>
      </c>
      <c r="Z16" s="12">
        <v>145</v>
      </c>
      <c r="AA16" s="12">
        <v>43</v>
      </c>
      <c r="AB16" s="12">
        <v>203</v>
      </c>
      <c r="AC16" s="12">
        <v>78</v>
      </c>
      <c r="AD16" s="12">
        <v>88</v>
      </c>
      <c r="AE16" s="12">
        <v>239</v>
      </c>
      <c r="AF16" s="12">
        <v>33</v>
      </c>
    </row>
    <row r="17" spans="1:32">
      <c r="A17" s="20"/>
      <c r="B17" s="13" t="s">
        <v>1193</v>
      </c>
      <c r="C17" s="14">
        <v>0.09</v>
      </c>
      <c r="D17" s="14">
        <v>0.15</v>
      </c>
      <c r="E17" s="14">
        <v>0.08</v>
      </c>
      <c r="F17" s="14">
        <v>0.16</v>
      </c>
      <c r="G17" s="14">
        <v>0.06</v>
      </c>
      <c r="H17" s="14">
        <v>0.08</v>
      </c>
      <c r="I17" s="14">
        <v>0.09</v>
      </c>
      <c r="J17" s="14">
        <v>0.1</v>
      </c>
      <c r="K17" s="14">
        <v>0.28999999999999998</v>
      </c>
      <c r="L17" s="14">
        <v>0.06</v>
      </c>
      <c r="M17" s="14">
        <v>0.06</v>
      </c>
      <c r="N17" s="14">
        <v>7.0000000000000007E-2</v>
      </c>
      <c r="O17" s="14">
        <v>7.0000000000000007E-2</v>
      </c>
      <c r="P17" s="14">
        <v>0.16</v>
      </c>
      <c r="Q17" s="14">
        <v>7.0000000000000007E-2</v>
      </c>
      <c r="R17" s="14">
        <v>0.04</v>
      </c>
      <c r="S17" s="14">
        <v>0.18</v>
      </c>
      <c r="T17" s="14">
        <v>0.05</v>
      </c>
      <c r="U17" s="14">
        <v>7.0000000000000007E-2</v>
      </c>
      <c r="V17" s="14">
        <v>0.06</v>
      </c>
      <c r="W17" s="14">
        <v>0.09</v>
      </c>
      <c r="X17" s="14">
        <v>0.1</v>
      </c>
      <c r="Y17" s="14">
        <v>0.14000000000000001</v>
      </c>
      <c r="Z17" s="14">
        <v>0.14000000000000001</v>
      </c>
      <c r="AA17" s="14">
        <v>0.04</v>
      </c>
      <c r="AB17" s="14">
        <v>0.19</v>
      </c>
      <c r="AC17" s="14">
        <v>0.08</v>
      </c>
      <c r="AD17" s="14">
        <v>0.09</v>
      </c>
      <c r="AE17" s="14">
        <v>0.24</v>
      </c>
      <c r="AF17" s="14">
        <v>0.03</v>
      </c>
    </row>
    <row r="18" spans="1:32">
      <c r="A18" s="20"/>
      <c r="B18" s="11" t="s">
        <v>1194</v>
      </c>
      <c r="C18" s="12">
        <v>477</v>
      </c>
      <c r="D18" s="12">
        <v>36</v>
      </c>
      <c r="E18" s="12">
        <v>10</v>
      </c>
      <c r="F18" s="12">
        <v>32</v>
      </c>
      <c r="G18" s="12">
        <v>7</v>
      </c>
      <c r="H18" s="12">
        <v>19</v>
      </c>
      <c r="I18" s="12">
        <v>25</v>
      </c>
      <c r="J18" s="12">
        <v>6</v>
      </c>
      <c r="K18" s="12">
        <v>81</v>
      </c>
      <c r="L18" s="12">
        <v>42</v>
      </c>
      <c r="M18" s="12">
        <v>6</v>
      </c>
      <c r="N18" s="12">
        <v>17</v>
      </c>
      <c r="O18" s="12">
        <v>7</v>
      </c>
      <c r="P18" s="12">
        <v>36</v>
      </c>
      <c r="Q18" s="12">
        <v>9</v>
      </c>
      <c r="R18" s="12">
        <v>6</v>
      </c>
      <c r="S18" s="12">
        <v>24</v>
      </c>
      <c r="T18" s="12">
        <v>5</v>
      </c>
      <c r="U18" s="12">
        <v>9</v>
      </c>
      <c r="V18" s="12">
        <v>15</v>
      </c>
      <c r="W18" s="12">
        <v>10</v>
      </c>
      <c r="X18" s="12">
        <v>28</v>
      </c>
      <c r="Y18" s="12">
        <v>49</v>
      </c>
      <c r="Z18" s="12">
        <v>21</v>
      </c>
      <c r="AA18" s="12">
        <v>6</v>
      </c>
      <c r="AB18" s="12">
        <v>59</v>
      </c>
      <c r="AC18" s="12">
        <v>12</v>
      </c>
      <c r="AD18" s="12">
        <v>30</v>
      </c>
      <c r="AE18" s="12">
        <v>36</v>
      </c>
      <c r="AF18" s="12">
        <v>7</v>
      </c>
    </row>
    <row r="19" spans="1:32">
      <c r="A19" s="20"/>
      <c r="B19" s="13" t="s">
        <v>1195</v>
      </c>
      <c r="C19" s="14">
        <v>0.02</v>
      </c>
      <c r="D19" s="14">
        <v>0.04</v>
      </c>
      <c r="E19" s="14">
        <v>0.01</v>
      </c>
      <c r="F19" s="14">
        <v>0.03</v>
      </c>
      <c r="G19" s="14">
        <v>0.01</v>
      </c>
      <c r="H19" s="14">
        <v>0.02</v>
      </c>
      <c r="I19" s="14">
        <v>0.02</v>
      </c>
      <c r="J19" s="14">
        <v>0.02</v>
      </c>
      <c r="K19" s="14">
        <v>0.08</v>
      </c>
      <c r="L19" s="14">
        <v>0.04</v>
      </c>
      <c r="M19" s="14">
        <v>0.01</v>
      </c>
      <c r="N19" s="14">
        <v>0.02</v>
      </c>
      <c r="O19" s="14">
        <v>0.01</v>
      </c>
      <c r="P19" s="14">
        <v>0.03</v>
      </c>
      <c r="Q19" s="14">
        <v>0.01</v>
      </c>
      <c r="R19" s="14">
        <v>0.01</v>
      </c>
      <c r="S19" s="14">
        <v>0.02</v>
      </c>
      <c r="T19" s="14">
        <v>0.01</v>
      </c>
      <c r="U19" s="14">
        <v>0.02</v>
      </c>
      <c r="V19" s="14">
        <v>0.02</v>
      </c>
      <c r="W19" s="14">
        <v>0.02</v>
      </c>
      <c r="X19" s="14">
        <v>0.03</v>
      </c>
      <c r="Y19" s="14">
        <v>0.05</v>
      </c>
      <c r="Z19" s="14">
        <v>0.02</v>
      </c>
      <c r="AA19" s="14">
        <v>0.01</v>
      </c>
      <c r="AB19" s="14">
        <v>0.06</v>
      </c>
      <c r="AC19" s="14">
        <v>0.01</v>
      </c>
      <c r="AD19" s="14">
        <v>0.03</v>
      </c>
      <c r="AE19" s="14">
        <v>0.04</v>
      </c>
      <c r="AF19" s="14">
        <v>0.01</v>
      </c>
    </row>
    <row r="20" spans="1:32">
      <c r="A20" s="20"/>
      <c r="B20" s="11" t="s">
        <v>468</v>
      </c>
      <c r="C20" s="12">
        <v>387</v>
      </c>
      <c r="D20" s="12">
        <v>6</v>
      </c>
      <c r="E20" s="12">
        <v>19</v>
      </c>
      <c r="F20" s="12">
        <v>28</v>
      </c>
      <c r="G20" s="12">
        <v>27</v>
      </c>
      <c r="H20" s="12">
        <v>32</v>
      </c>
      <c r="I20" s="12">
        <v>36</v>
      </c>
      <c r="J20" s="12">
        <v>3</v>
      </c>
      <c r="K20" s="12">
        <v>23</v>
      </c>
      <c r="L20" s="12">
        <v>15</v>
      </c>
      <c r="M20" s="12">
        <v>2</v>
      </c>
      <c r="N20" s="12">
        <v>11</v>
      </c>
      <c r="O20" s="12">
        <v>13</v>
      </c>
      <c r="P20" s="12">
        <v>6</v>
      </c>
      <c r="Q20" s="12">
        <v>5</v>
      </c>
      <c r="R20" s="12">
        <v>2</v>
      </c>
      <c r="S20" s="12">
        <v>84</v>
      </c>
      <c r="T20" s="12">
        <v>33</v>
      </c>
      <c r="U20" s="12">
        <v>0</v>
      </c>
      <c r="V20" s="12">
        <v>6</v>
      </c>
      <c r="W20" s="12">
        <v>3</v>
      </c>
      <c r="X20" s="12">
        <v>10</v>
      </c>
      <c r="Y20" s="12">
        <v>9</v>
      </c>
      <c r="Z20" s="12">
        <v>18</v>
      </c>
      <c r="AA20" s="12">
        <v>15</v>
      </c>
      <c r="AB20" s="12">
        <v>29</v>
      </c>
      <c r="AC20" s="12">
        <v>3</v>
      </c>
      <c r="AD20" s="12">
        <v>13</v>
      </c>
      <c r="AE20" s="12">
        <v>15</v>
      </c>
      <c r="AF20" s="12">
        <v>3</v>
      </c>
    </row>
    <row r="21" spans="1:32">
      <c r="A21" s="20"/>
      <c r="B21" s="13" t="s">
        <v>770</v>
      </c>
      <c r="C21" s="14">
        <v>0.01</v>
      </c>
      <c r="D21" s="14">
        <v>0.01</v>
      </c>
      <c r="E21" s="14">
        <v>0.02</v>
      </c>
      <c r="F21" s="14">
        <v>0.03</v>
      </c>
      <c r="G21" s="14">
        <v>0.03</v>
      </c>
      <c r="H21" s="14">
        <v>0.03</v>
      </c>
      <c r="I21" s="14">
        <v>0.02</v>
      </c>
      <c r="J21" s="14">
        <v>0.01</v>
      </c>
      <c r="K21" s="14">
        <v>0.02</v>
      </c>
      <c r="L21" s="14">
        <v>0.02</v>
      </c>
      <c r="M21" s="15" t="s">
        <v>459</v>
      </c>
      <c r="N21" s="14">
        <v>0.01</v>
      </c>
      <c r="O21" s="14">
        <v>0.01</v>
      </c>
      <c r="P21" s="14">
        <v>0.01</v>
      </c>
      <c r="Q21" s="14">
        <v>0.01</v>
      </c>
      <c r="R21" s="15" t="s">
        <v>459</v>
      </c>
      <c r="S21" s="14">
        <v>0.08</v>
      </c>
      <c r="T21" s="14">
        <v>0.03</v>
      </c>
      <c r="U21" s="15" t="s">
        <v>459</v>
      </c>
      <c r="V21" s="14">
        <v>0.01</v>
      </c>
      <c r="W21" s="14">
        <v>0.01</v>
      </c>
      <c r="X21" s="14">
        <v>0.01</v>
      </c>
      <c r="Y21" s="14">
        <v>0.01</v>
      </c>
      <c r="Z21" s="14">
        <v>0.02</v>
      </c>
      <c r="AA21" s="14">
        <v>0.01</v>
      </c>
      <c r="AB21" s="14">
        <v>0.03</v>
      </c>
      <c r="AC21" s="15" t="s">
        <v>459</v>
      </c>
      <c r="AD21" s="14">
        <v>0.01</v>
      </c>
      <c r="AE21" s="14">
        <v>0.01</v>
      </c>
      <c r="AF21" s="15" t="s">
        <v>459</v>
      </c>
    </row>
    <row r="22" spans="1:32">
      <c r="A22" s="20"/>
      <c r="B22" s="11" t="s">
        <v>1196</v>
      </c>
      <c r="C22" s="12">
        <v>23025</v>
      </c>
      <c r="D22" s="12">
        <v>805</v>
      </c>
      <c r="E22" s="12">
        <v>908</v>
      </c>
      <c r="F22" s="12">
        <v>783</v>
      </c>
      <c r="G22" s="12">
        <v>907</v>
      </c>
      <c r="H22" s="12">
        <v>1063</v>
      </c>
      <c r="I22" s="12">
        <v>1317</v>
      </c>
      <c r="J22" s="12">
        <v>255</v>
      </c>
      <c r="K22" s="12">
        <v>616</v>
      </c>
      <c r="L22" s="12">
        <v>892</v>
      </c>
      <c r="M22" s="12">
        <v>932</v>
      </c>
      <c r="N22" s="12">
        <v>905</v>
      </c>
      <c r="O22" s="12">
        <v>918</v>
      </c>
      <c r="P22" s="12">
        <v>821</v>
      </c>
      <c r="Q22" s="12">
        <v>935</v>
      </c>
      <c r="R22" s="12">
        <v>473</v>
      </c>
      <c r="S22" s="12">
        <v>724</v>
      </c>
      <c r="T22" s="12">
        <v>921</v>
      </c>
      <c r="U22" s="12">
        <v>463</v>
      </c>
      <c r="V22" s="12">
        <v>932</v>
      </c>
      <c r="W22" s="12">
        <v>443</v>
      </c>
      <c r="X22" s="12">
        <v>883</v>
      </c>
      <c r="Y22" s="12">
        <v>804</v>
      </c>
      <c r="Z22" s="12">
        <v>825</v>
      </c>
      <c r="AA22" s="12">
        <v>988</v>
      </c>
      <c r="AB22" s="12">
        <v>748</v>
      </c>
      <c r="AC22" s="12">
        <v>917</v>
      </c>
      <c r="AD22" s="12">
        <v>876</v>
      </c>
      <c r="AE22" s="12">
        <v>712</v>
      </c>
      <c r="AF22" s="12">
        <v>976</v>
      </c>
    </row>
    <row r="23" spans="1:32">
      <c r="A23" s="20"/>
      <c r="B23" s="13" t="s">
        <v>1196</v>
      </c>
      <c r="C23" s="14">
        <v>0.88</v>
      </c>
      <c r="D23" s="14">
        <v>0.8</v>
      </c>
      <c r="E23" s="14">
        <v>0.89</v>
      </c>
      <c r="F23" s="14">
        <v>0.78</v>
      </c>
      <c r="G23" s="14">
        <v>0.9</v>
      </c>
      <c r="H23" s="14">
        <v>0.87</v>
      </c>
      <c r="I23" s="14">
        <v>0.87</v>
      </c>
      <c r="J23" s="14">
        <v>0.87</v>
      </c>
      <c r="K23" s="14">
        <v>0.61</v>
      </c>
      <c r="L23" s="14">
        <v>0.88</v>
      </c>
      <c r="M23" s="14">
        <v>0.93</v>
      </c>
      <c r="N23" s="14">
        <v>0.9</v>
      </c>
      <c r="O23" s="14">
        <v>0.91</v>
      </c>
      <c r="P23" s="14">
        <v>0.8</v>
      </c>
      <c r="Q23" s="14">
        <v>0.91</v>
      </c>
      <c r="R23" s="14">
        <v>0.95000000000000007</v>
      </c>
      <c r="S23" s="14">
        <v>0.72</v>
      </c>
      <c r="T23" s="14">
        <v>0.91</v>
      </c>
      <c r="U23" s="14">
        <v>0.91</v>
      </c>
      <c r="V23" s="14">
        <v>0.91</v>
      </c>
      <c r="W23" s="14">
        <v>0.88</v>
      </c>
      <c r="X23" s="14">
        <v>0.86</v>
      </c>
      <c r="Y23" s="14">
        <v>0.8</v>
      </c>
      <c r="Z23" s="14">
        <v>0.82000000000000006</v>
      </c>
      <c r="AA23" s="14">
        <v>0.94000000000000006</v>
      </c>
      <c r="AB23" s="14">
        <v>0.72</v>
      </c>
      <c r="AC23" s="14">
        <v>0.91</v>
      </c>
      <c r="AD23" s="14">
        <v>0.87</v>
      </c>
      <c r="AE23" s="14">
        <v>0.71</v>
      </c>
      <c r="AF23" s="14">
        <v>0.96</v>
      </c>
    </row>
    <row r="24" spans="1:32">
      <c r="A24" s="20"/>
      <c r="B24" s="11" t="s">
        <v>1197</v>
      </c>
      <c r="C24" s="12">
        <v>2908</v>
      </c>
      <c r="D24" s="12">
        <v>192</v>
      </c>
      <c r="E24" s="12">
        <v>91</v>
      </c>
      <c r="F24" s="12">
        <v>194</v>
      </c>
      <c r="G24" s="12">
        <v>70</v>
      </c>
      <c r="H24" s="12">
        <v>121</v>
      </c>
      <c r="I24" s="12">
        <v>157</v>
      </c>
      <c r="J24" s="12">
        <v>36</v>
      </c>
      <c r="K24" s="12">
        <v>367</v>
      </c>
      <c r="L24" s="12">
        <v>102</v>
      </c>
      <c r="M24" s="12">
        <v>68</v>
      </c>
      <c r="N24" s="12">
        <v>86</v>
      </c>
      <c r="O24" s="12">
        <v>71</v>
      </c>
      <c r="P24" s="12">
        <v>195</v>
      </c>
      <c r="Q24" s="12">
        <v>79</v>
      </c>
      <c r="R24" s="12">
        <v>25</v>
      </c>
      <c r="S24" s="12">
        <v>200</v>
      </c>
      <c r="T24" s="12">
        <v>59</v>
      </c>
      <c r="U24" s="12">
        <v>43</v>
      </c>
      <c r="V24" s="12">
        <v>80</v>
      </c>
      <c r="W24" s="12">
        <v>57</v>
      </c>
      <c r="X24" s="12">
        <v>129</v>
      </c>
      <c r="Y24" s="12">
        <v>195</v>
      </c>
      <c r="Z24" s="12">
        <v>166</v>
      </c>
      <c r="AA24" s="12">
        <v>49</v>
      </c>
      <c r="AB24" s="12">
        <v>262</v>
      </c>
      <c r="AC24" s="12">
        <v>90</v>
      </c>
      <c r="AD24" s="12">
        <v>118</v>
      </c>
      <c r="AE24" s="12">
        <v>275</v>
      </c>
      <c r="AF24" s="12">
        <v>40</v>
      </c>
    </row>
    <row r="25" spans="1:32">
      <c r="A25" s="20"/>
      <c r="B25" s="13" t="s">
        <v>1198</v>
      </c>
      <c r="C25" s="14">
        <v>0.11</v>
      </c>
      <c r="D25" s="14">
        <v>0.19</v>
      </c>
      <c r="E25" s="14">
        <v>0.09</v>
      </c>
      <c r="F25" s="14">
        <v>0.19</v>
      </c>
      <c r="G25" s="14">
        <v>7.0000000000000007E-2</v>
      </c>
      <c r="H25" s="14">
        <v>0.1</v>
      </c>
      <c r="I25" s="14">
        <v>0.11</v>
      </c>
      <c r="J25" s="14">
        <v>0.12</v>
      </c>
      <c r="K25" s="14">
        <v>0.37</v>
      </c>
      <c r="L25" s="14">
        <v>0.1</v>
      </c>
      <c r="M25" s="14">
        <v>7.0000000000000007E-2</v>
      </c>
      <c r="N25" s="14">
        <v>0.09</v>
      </c>
      <c r="O25" s="14">
        <v>0.08</v>
      </c>
      <c r="P25" s="14">
        <v>0.19</v>
      </c>
      <c r="Q25" s="14">
        <v>0.08</v>
      </c>
      <c r="R25" s="14">
        <v>0.05</v>
      </c>
      <c r="S25" s="14">
        <v>0.2</v>
      </c>
      <c r="T25" s="14">
        <v>0.06</v>
      </c>
      <c r="U25" s="14">
        <v>0.09</v>
      </c>
      <c r="V25" s="14">
        <v>0.08</v>
      </c>
      <c r="W25" s="14">
        <v>0.11</v>
      </c>
      <c r="X25" s="14">
        <v>0.13</v>
      </c>
      <c r="Y25" s="14">
        <v>0.19</v>
      </c>
      <c r="Z25" s="14">
        <v>0.16</v>
      </c>
      <c r="AA25" s="14">
        <v>0.05</v>
      </c>
      <c r="AB25" s="14">
        <v>0.25</v>
      </c>
      <c r="AC25" s="14">
        <v>0.09</v>
      </c>
      <c r="AD25" s="14">
        <v>0.12</v>
      </c>
      <c r="AE25" s="14">
        <v>0.28000000000000003</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60" customHeight="1">
      <c r="B3" s="18" t="s">
        <v>1202</v>
      </c>
      <c r="C3" s="18"/>
      <c r="D3" s="18"/>
      <c r="E3" s="18"/>
      <c r="F3" s="18"/>
      <c r="H3" s="18" t="s">
        <v>1203</v>
      </c>
      <c r="I3" s="18"/>
      <c r="J3" s="18"/>
      <c r="K3" s="18"/>
      <c r="L3" s="18"/>
    </row>
    <row r="4" spans="1:32" ht="27" customHeight="1">
      <c r="B4" s="18" t="s">
        <v>1065</v>
      </c>
      <c r="C4" s="18"/>
      <c r="D4" s="18"/>
      <c r="E4" s="18"/>
      <c r="F4" s="18"/>
      <c r="H4" s="18" t="s">
        <v>1204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12054</v>
      </c>
      <c r="D12" s="12">
        <v>459</v>
      </c>
      <c r="E12" s="12">
        <v>564</v>
      </c>
      <c r="F12" s="12">
        <v>337</v>
      </c>
      <c r="G12" s="12">
        <v>588</v>
      </c>
      <c r="H12" s="12">
        <v>517</v>
      </c>
      <c r="I12" s="12">
        <v>664</v>
      </c>
      <c r="J12" s="12">
        <v>146</v>
      </c>
      <c r="K12" s="12">
        <v>288</v>
      </c>
      <c r="L12" s="12">
        <v>601</v>
      </c>
      <c r="M12" s="12">
        <v>517</v>
      </c>
      <c r="N12" s="12">
        <v>462</v>
      </c>
      <c r="O12" s="12">
        <v>541</v>
      </c>
      <c r="P12" s="12">
        <v>341</v>
      </c>
      <c r="Q12" s="12">
        <v>458</v>
      </c>
      <c r="R12" s="12">
        <v>354</v>
      </c>
      <c r="S12" s="12">
        <v>321</v>
      </c>
      <c r="T12" s="12">
        <v>526</v>
      </c>
      <c r="U12" s="12">
        <v>302</v>
      </c>
      <c r="V12" s="12">
        <v>572</v>
      </c>
      <c r="W12" s="12">
        <v>325</v>
      </c>
      <c r="X12" s="12">
        <v>472</v>
      </c>
      <c r="Y12" s="12">
        <v>499</v>
      </c>
      <c r="Z12" s="12">
        <v>290</v>
      </c>
      <c r="AA12" s="12">
        <v>584</v>
      </c>
      <c r="AB12" s="12">
        <v>265</v>
      </c>
      <c r="AC12" s="12">
        <v>544</v>
      </c>
      <c r="AD12" s="12">
        <v>503</v>
      </c>
      <c r="AE12" s="12">
        <v>451</v>
      </c>
      <c r="AF12" s="12">
        <v>741</v>
      </c>
    </row>
    <row r="13" spans="1:32">
      <c r="A13" s="20"/>
      <c r="B13" s="13" t="s">
        <v>1189</v>
      </c>
      <c r="C13" s="14">
        <v>0.46</v>
      </c>
      <c r="D13" s="14">
        <v>0.46</v>
      </c>
      <c r="E13" s="14">
        <v>0.55000000000000004</v>
      </c>
      <c r="F13" s="14">
        <v>0.33</v>
      </c>
      <c r="G13" s="14">
        <v>0.59</v>
      </c>
      <c r="H13" s="14">
        <v>0.42</v>
      </c>
      <c r="I13" s="14">
        <v>0.44</v>
      </c>
      <c r="J13" s="14">
        <v>0.5</v>
      </c>
      <c r="K13" s="14">
        <v>0.28999999999999998</v>
      </c>
      <c r="L13" s="14">
        <v>0.6</v>
      </c>
      <c r="M13" s="14">
        <v>0.52</v>
      </c>
      <c r="N13" s="14">
        <v>0.46</v>
      </c>
      <c r="O13" s="14">
        <v>0.54</v>
      </c>
      <c r="P13" s="14">
        <v>0.33</v>
      </c>
      <c r="Q13" s="14">
        <v>0.45</v>
      </c>
      <c r="R13" s="14">
        <v>0.71</v>
      </c>
      <c r="S13" s="14">
        <v>0.32</v>
      </c>
      <c r="T13" s="14">
        <v>0.52</v>
      </c>
      <c r="U13" s="14">
        <v>0.59</v>
      </c>
      <c r="V13" s="14">
        <v>0.56000000000000005</v>
      </c>
      <c r="W13" s="14">
        <v>0.65</v>
      </c>
      <c r="X13" s="14">
        <v>0.46</v>
      </c>
      <c r="Y13" s="14">
        <v>0.49</v>
      </c>
      <c r="Z13" s="14">
        <v>0.28999999999999998</v>
      </c>
      <c r="AA13" s="14">
        <v>0.55000000000000004</v>
      </c>
      <c r="AB13" s="14">
        <v>0.26</v>
      </c>
      <c r="AC13" s="14">
        <v>0.54</v>
      </c>
      <c r="AD13" s="14">
        <v>0.5</v>
      </c>
      <c r="AE13" s="14">
        <v>0.45</v>
      </c>
      <c r="AF13" s="14">
        <v>0.73</v>
      </c>
    </row>
    <row r="14" spans="1:32">
      <c r="A14" s="20"/>
      <c r="B14" s="11" t="s">
        <v>1190</v>
      </c>
      <c r="C14" s="12">
        <v>10959</v>
      </c>
      <c r="D14" s="12">
        <v>376</v>
      </c>
      <c r="E14" s="12">
        <v>329</v>
      </c>
      <c r="F14" s="12">
        <v>458</v>
      </c>
      <c r="G14" s="12">
        <v>322</v>
      </c>
      <c r="H14" s="12">
        <v>530</v>
      </c>
      <c r="I14" s="12">
        <v>643</v>
      </c>
      <c r="J14" s="12">
        <v>112</v>
      </c>
      <c r="K14" s="12">
        <v>416</v>
      </c>
      <c r="L14" s="12">
        <v>295</v>
      </c>
      <c r="M14" s="12">
        <v>415</v>
      </c>
      <c r="N14" s="12">
        <v>432</v>
      </c>
      <c r="O14" s="12">
        <v>367</v>
      </c>
      <c r="P14" s="12">
        <v>496</v>
      </c>
      <c r="Q14" s="12">
        <v>479</v>
      </c>
      <c r="R14" s="12">
        <v>117</v>
      </c>
      <c r="S14" s="12">
        <v>425</v>
      </c>
      <c r="T14" s="12">
        <v>411</v>
      </c>
      <c r="U14" s="12">
        <v>175</v>
      </c>
      <c r="V14" s="12">
        <v>378</v>
      </c>
      <c r="W14" s="12">
        <v>94</v>
      </c>
      <c r="X14" s="12">
        <v>379</v>
      </c>
      <c r="Y14" s="12">
        <v>338</v>
      </c>
      <c r="Z14" s="12">
        <v>544</v>
      </c>
      <c r="AA14" s="12">
        <v>406</v>
      </c>
      <c r="AB14" s="12">
        <v>470</v>
      </c>
      <c r="AC14" s="12">
        <v>379</v>
      </c>
      <c r="AD14" s="12">
        <v>393</v>
      </c>
      <c r="AE14" s="12">
        <v>412</v>
      </c>
      <c r="AF14" s="12">
        <v>225</v>
      </c>
    </row>
    <row r="15" spans="1:32">
      <c r="A15" s="20"/>
      <c r="B15" s="13" t="s">
        <v>1191</v>
      </c>
      <c r="C15" s="14">
        <v>0.42</v>
      </c>
      <c r="D15" s="14">
        <v>0.37</v>
      </c>
      <c r="E15" s="14">
        <v>0.32</v>
      </c>
      <c r="F15" s="14">
        <v>0.46</v>
      </c>
      <c r="G15" s="14">
        <v>0.32</v>
      </c>
      <c r="H15" s="14">
        <v>0.44</v>
      </c>
      <c r="I15" s="14">
        <v>0.42</v>
      </c>
      <c r="J15" s="14">
        <v>0.38</v>
      </c>
      <c r="K15" s="14">
        <v>0.41</v>
      </c>
      <c r="L15" s="14">
        <v>0.28999999999999998</v>
      </c>
      <c r="M15" s="14">
        <v>0.41</v>
      </c>
      <c r="N15" s="14">
        <v>0.43</v>
      </c>
      <c r="O15" s="14">
        <v>0.37</v>
      </c>
      <c r="P15" s="14">
        <v>0.48</v>
      </c>
      <c r="Q15" s="14">
        <v>0.47</v>
      </c>
      <c r="R15" s="14">
        <v>0.23</v>
      </c>
      <c r="S15" s="14">
        <v>0.42</v>
      </c>
      <c r="T15" s="14">
        <v>0.4</v>
      </c>
      <c r="U15" s="14">
        <v>0.34</v>
      </c>
      <c r="V15" s="14">
        <v>0.37</v>
      </c>
      <c r="W15" s="14">
        <v>0.19</v>
      </c>
      <c r="X15" s="14">
        <v>0.37</v>
      </c>
      <c r="Y15" s="14">
        <v>0.34</v>
      </c>
      <c r="Z15" s="14">
        <v>0.54</v>
      </c>
      <c r="AA15" s="14">
        <v>0.39</v>
      </c>
      <c r="AB15" s="14">
        <v>0.45</v>
      </c>
      <c r="AC15" s="14">
        <v>0.37</v>
      </c>
      <c r="AD15" s="14">
        <v>0.39</v>
      </c>
      <c r="AE15" s="14">
        <v>0.41</v>
      </c>
      <c r="AF15" s="14">
        <v>0.22</v>
      </c>
    </row>
    <row r="16" spans="1:32">
      <c r="A16" s="20"/>
      <c r="B16" s="11" t="s">
        <v>1192</v>
      </c>
      <c r="C16" s="12">
        <v>2221</v>
      </c>
      <c r="D16" s="12">
        <v>126</v>
      </c>
      <c r="E16" s="12">
        <v>69</v>
      </c>
      <c r="F16" s="12">
        <v>149</v>
      </c>
      <c r="G16" s="12">
        <v>56</v>
      </c>
      <c r="H16" s="12">
        <v>121</v>
      </c>
      <c r="I16" s="12">
        <v>145</v>
      </c>
      <c r="J16" s="12">
        <v>24</v>
      </c>
      <c r="K16" s="12">
        <v>196</v>
      </c>
      <c r="L16" s="12">
        <v>56</v>
      </c>
      <c r="M16" s="12">
        <v>50</v>
      </c>
      <c r="N16" s="12">
        <v>71</v>
      </c>
      <c r="O16" s="12">
        <v>59</v>
      </c>
      <c r="P16" s="12">
        <v>132</v>
      </c>
      <c r="Q16" s="12">
        <v>56</v>
      </c>
      <c r="R16" s="12">
        <v>22</v>
      </c>
      <c r="S16" s="12">
        <v>137</v>
      </c>
      <c r="T16" s="12">
        <v>37</v>
      </c>
      <c r="U16" s="12">
        <v>23</v>
      </c>
      <c r="V16" s="12">
        <v>39</v>
      </c>
      <c r="W16" s="12">
        <v>44</v>
      </c>
      <c r="X16" s="12">
        <v>113</v>
      </c>
      <c r="Y16" s="12">
        <v>112</v>
      </c>
      <c r="Z16" s="12">
        <v>134</v>
      </c>
      <c r="AA16" s="12">
        <v>40</v>
      </c>
      <c r="AB16" s="12">
        <v>182</v>
      </c>
      <c r="AC16" s="12">
        <v>63</v>
      </c>
      <c r="AD16" s="12">
        <v>70</v>
      </c>
      <c r="AE16" s="12">
        <v>88</v>
      </c>
      <c r="AF16" s="12">
        <v>37</v>
      </c>
    </row>
    <row r="17" spans="1:32">
      <c r="A17" s="20"/>
      <c r="B17" s="13" t="s">
        <v>1193</v>
      </c>
      <c r="C17" s="14">
        <v>0.08</v>
      </c>
      <c r="D17" s="14">
        <v>0.12</v>
      </c>
      <c r="E17" s="14">
        <v>7.0000000000000007E-2</v>
      </c>
      <c r="F17" s="14">
        <v>0.15</v>
      </c>
      <c r="G17" s="14">
        <v>0.05</v>
      </c>
      <c r="H17" s="14">
        <v>0.1</v>
      </c>
      <c r="I17" s="14">
        <v>0.1</v>
      </c>
      <c r="J17" s="14">
        <v>0.08</v>
      </c>
      <c r="K17" s="14">
        <v>0.2</v>
      </c>
      <c r="L17" s="14">
        <v>0.05</v>
      </c>
      <c r="M17" s="14">
        <v>0.05</v>
      </c>
      <c r="N17" s="14">
        <v>7.0000000000000007E-2</v>
      </c>
      <c r="O17" s="14">
        <v>0.06</v>
      </c>
      <c r="P17" s="14">
        <v>0.13</v>
      </c>
      <c r="Q17" s="14">
        <v>0.05</v>
      </c>
      <c r="R17" s="14">
        <v>0.04</v>
      </c>
      <c r="S17" s="14">
        <v>0.14000000000000001</v>
      </c>
      <c r="T17" s="14">
        <v>0.04</v>
      </c>
      <c r="U17" s="14">
        <v>0.05</v>
      </c>
      <c r="V17" s="14">
        <v>0.04</v>
      </c>
      <c r="W17" s="14">
        <v>0.09</v>
      </c>
      <c r="X17" s="14">
        <v>0.11</v>
      </c>
      <c r="Y17" s="14">
        <v>0.11</v>
      </c>
      <c r="Z17" s="14">
        <v>0.13</v>
      </c>
      <c r="AA17" s="14">
        <v>0.04</v>
      </c>
      <c r="AB17" s="14">
        <v>0.18</v>
      </c>
      <c r="AC17" s="14">
        <v>0.06</v>
      </c>
      <c r="AD17" s="14">
        <v>7.0000000000000007E-2</v>
      </c>
      <c r="AE17" s="14">
        <v>0.09</v>
      </c>
      <c r="AF17" s="14">
        <v>0.04</v>
      </c>
    </row>
    <row r="18" spans="1:32">
      <c r="A18" s="20"/>
      <c r="B18" s="11" t="s">
        <v>1194</v>
      </c>
      <c r="C18" s="12">
        <v>618</v>
      </c>
      <c r="D18" s="12">
        <v>36</v>
      </c>
      <c r="E18" s="12">
        <v>17</v>
      </c>
      <c r="F18" s="12">
        <v>31</v>
      </c>
      <c r="G18" s="12">
        <v>8</v>
      </c>
      <c r="H18" s="12">
        <v>20</v>
      </c>
      <c r="I18" s="12">
        <v>27</v>
      </c>
      <c r="J18" s="12">
        <v>7</v>
      </c>
      <c r="K18" s="12">
        <v>63</v>
      </c>
      <c r="L18" s="12">
        <v>38</v>
      </c>
      <c r="M18" s="12">
        <v>13</v>
      </c>
      <c r="N18" s="12">
        <v>22</v>
      </c>
      <c r="O18" s="12">
        <v>21</v>
      </c>
      <c r="P18" s="12">
        <v>26</v>
      </c>
      <c r="Q18" s="12">
        <v>19</v>
      </c>
      <c r="R18" s="12">
        <v>6</v>
      </c>
      <c r="S18" s="12">
        <v>24</v>
      </c>
      <c r="T18" s="12">
        <v>9</v>
      </c>
      <c r="U18" s="12">
        <v>8</v>
      </c>
      <c r="V18" s="12">
        <v>17</v>
      </c>
      <c r="W18" s="12">
        <v>17</v>
      </c>
      <c r="X18" s="12">
        <v>44</v>
      </c>
      <c r="Y18" s="12">
        <v>48</v>
      </c>
      <c r="Z18" s="12">
        <v>22</v>
      </c>
      <c r="AA18" s="12">
        <v>8</v>
      </c>
      <c r="AB18" s="12">
        <v>67</v>
      </c>
      <c r="AC18" s="12">
        <v>19</v>
      </c>
      <c r="AD18" s="12">
        <v>23</v>
      </c>
      <c r="AE18" s="12">
        <v>30</v>
      </c>
      <c r="AF18" s="12">
        <v>12</v>
      </c>
    </row>
    <row r="19" spans="1:32">
      <c r="A19" s="20"/>
      <c r="B19" s="13" t="s">
        <v>1195</v>
      </c>
      <c r="C19" s="14">
        <v>0.02</v>
      </c>
      <c r="D19" s="14">
        <v>0.04</v>
      </c>
      <c r="E19" s="14">
        <v>0.02</v>
      </c>
      <c r="F19" s="14">
        <v>0.03</v>
      </c>
      <c r="G19" s="14">
        <v>0.01</v>
      </c>
      <c r="H19" s="14">
        <v>0.02</v>
      </c>
      <c r="I19" s="14">
        <v>0.02</v>
      </c>
      <c r="J19" s="14">
        <v>0.02</v>
      </c>
      <c r="K19" s="14">
        <v>0.06</v>
      </c>
      <c r="L19" s="14">
        <v>0.04</v>
      </c>
      <c r="M19" s="14">
        <v>0.01</v>
      </c>
      <c r="N19" s="14">
        <v>0.02</v>
      </c>
      <c r="O19" s="14">
        <v>0.02</v>
      </c>
      <c r="P19" s="14">
        <v>0.03</v>
      </c>
      <c r="Q19" s="14">
        <v>0.02</v>
      </c>
      <c r="R19" s="14">
        <v>0.01</v>
      </c>
      <c r="S19" s="14">
        <v>0.02</v>
      </c>
      <c r="T19" s="14">
        <v>0.01</v>
      </c>
      <c r="U19" s="14">
        <v>0.02</v>
      </c>
      <c r="V19" s="14">
        <v>0.02</v>
      </c>
      <c r="W19" s="14">
        <v>0.03</v>
      </c>
      <c r="X19" s="14">
        <v>0.04</v>
      </c>
      <c r="Y19" s="14">
        <v>0.05</v>
      </c>
      <c r="Z19" s="14">
        <v>0.02</v>
      </c>
      <c r="AA19" s="14">
        <v>0.01</v>
      </c>
      <c r="AB19" s="14">
        <v>0.06</v>
      </c>
      <c r="AC19" s="14">
        <v>0.02</v>
      </c>
      <c r="AD19" s="14">
        <v>0.02</v>
      </c>
      <c r="AE19" s="14">
        <v>0.03</v>
      </c>
      <c r="AF19" s="14">
        <v>0.01</v>
      </c>
    </row>
    <row r="20" spans="1:32">
      <c r="A20" s="20"/>
      <c r="B20" s="11" t="s">
        <v>468</v>
      </c>
      <c r="C20" s="12">
        <v>467</v>
      </c>
      <c r="D20" s="12">
        <v>6</v>
      </c>
      <c r="E20" s="12">
        <v>37</v>
      </c>
      <c r="F20" s="12">
        <v>30</v>
      </c>
      <c r="G20" s="12">
        <v>30</v>
      </c>
      <c r="H20" s="12">
        <v>28</v>
      </c>
      <c r="I20" s="12">
        <v>32</v>
      </c>
      <c r="J20" s="12">
        <v>4</v>
      </c>
      <c r="K20" s="12">
        <v>43</v>
      </c>
      <c r="L20" s="12">
        <v>17</v>
      </c>
      <c r="M20" s="12">
        <v>8</v>
      </c>
      <c r="N20" s="12">
        <v>17</v>
      </c>
      <c r="O20" s="12">
        <v>15</v>
      </c>
      <c r="P20" s="12">
        <v>28</v>
      </c>
      <c r="Q20" s="12">
        <v>7</v>
      </c>
      <c r="R20" s="12">
        <v>2</v>
      </c>
      <c r="S20" s="12">
        <v>101</v>
      </c>
      <c r="T20" s="12">
        <v>32</v>
      </c>
      <c r="U20" s="12">
        <v>0</v>
      </c>
      <c r="V20" s="12">
        <v>11</v>
      </c>
      <c r="W20" s="12">
        <v>22</v>
      </c>
      <c r="X20" s="12">
        <v>14</v>
      </c>
      <c r="Y20" s="12">
        <v>11</v>
      </c>
      <c r="Z20" s="12">
        <v>19</v>
      </c>
      <c r="AA20" s="12">
        <v>15</v>
      </c>
      <c r="AB20" s="12">
        <v>54</v>
      </c>
      <c r="AC20" s="12">
        <v>5</v>
      </c>
      <c r="AD20" s="12">
        <v>16</v>
      </c>
      <c r="AE20" s="12">
        <v>20</v>
      </c>
      <c r="AF20" s="12">
        <v>6</v>
      </c>
    </row>
    <row r="21" spans="1:32">
      <c r="A21" s="20"/>
      <c r="B21" s="13" t="s">
        <v>770</v>
      </c>
      <c r="C21" s="14">
        <v>0.02</v>
      </c>
      <c r="D21" s="14">
        <v>0.01</v>
      </c>
      <c r="E21" s="14">
        <v>0.04</v>
      </c>
      <c r="F21" s="14">
        <v>0.03</v>
      </c>
      <c r="G21" s="14">
        <v>0.03</v>
      </c>
      <c r="H21" s="14">
        <v>0.02</v>
      </c>
      <c r="I21" s="14">
        <v>0.02</v>
      </c>
      <c r="J21" s="14">
        <v>0.02</v>
      </c>
      <c r="K21" s="14">
        <v>0.04</v>
      </c>
      <c r="L21" s="14">
        <v>0.02</v>
      </c>
      <c r="M21" s="14">
        <v>0.01</v>
      </c>
      <c r="N21" s="14">
        <v>0.02</v>
      </c>
      <c r="O21" s="14">
        <v>0.01</v>
      </c>
      <c r="P21" s="14">
        <v>0.03</v>
      </c>
      <c r="Q21" s="14">
        <v>0.01</v>
      </c>
      <c r="R21" s="14">
        <v>0.01</v>
      </c>
      <c r="S21" s="14">
        <v>0.1</v>
      </c>
      <c r="T21" s="14">
        <v>0.03</v>
      </c>
      <c r="U21" s="15" t="s">
        <v>459</v>
      </c>
      <c r="V21" s="14">
        <v>0.01</v>
      </c>
      <c r="W21" s="14">
        <v>0.04</v>
      </c>
      <c r="X21" s="14">
        <v>0.02</v>
      </c>
      <c r="Y21" s="14">
        <v>0.01</v>
      </c>
      <c r="Z21" s="14">
        <v>0.02</v>
      </c>
      <c r="AA21" s="14">
        <v>0.01</v>
      </c>
      <c r="AB21" s="14">
        <v>0.05</v>
      </c>
      <c r="AC21" s="14">
        <v>0.01</v>
      </c>
      <c r="AD21" s="14">
        <v>0.02</v>
      </c>
      <c r="AE21" s="14">
        <v>0.02</v>
      </c>
      <c r="AF21" s="15" t="s">
        <v>459</v>
      </c>
    </row>
    <row r="22" spans="1:32">
      <c r="A22" s="20"/>
      <c r="B22" s="11" t="s">
        <v>1196</v>
      </c>
      <c r="C22" s="12">
        <v>23013</v>
      </c>
      <c r="D22" s="12">
        <v>835</v>
      </c>
      <c r="E22" s="12">
        <v>893</v>
      </c>
      <c r="F22" s="12">
        <v>795</v>
      </c>
      <c r="G22" s="12">
        <v>910</v>
      </c>
      <c r="H22" s="12">
        <v>1047</v>
      </c>
      <c r="I22" s="12">
        <v>1307</v>
      </c>
      <c r="J22" s="12">
        <v>258</v>
      </c>
      <c r="K22" s="12">
        <v>704</v>
      </c>
      <c r="L22" s="12">
        <v>896</v>
      </c>
      <c r="M22" s="12">
        <v>932</v>
      </c>
      <c r="N22" s="12">
        <v>894</v>
      </c>
      <c r="O22" s="12">
        <v>908</v>
      </c>
      <c r="P22" s="12">
        <v>837</v>
      </c>
      <c r="Q22" s="12">
        <v>937</v>
      </c>
      <c r="R22" s="12">
        <v>471</v>
      </c>
      <c r="S22" s="12">
        <v>746</v>
      </c>
      <c r="T22" s="12">
        <v>937</v>
      </c>
      <c r="U22" s="12">
        <v>477</v>
      </c>
      <c r="V22" s="12">
        <v>950</v>
      </c>
      <c r="W22" s="12">
        <v>419</v>
      </c>
      <c r="X22" s="12">
        <v>851</v>
      </c>
      <c r="Y22" s="12">
        <v>837</v>
      </c>
      <c r="Z22" s="12">
        <v>834</v>
      </c>
      <c r="AA22" s="12">
        <v>990</v>
      </c>
      <c r="AB22" s="12">
        <v>735</v>
      </c>
      <c r="AC22" s="12">
        <v>923</v>
      </c>
      <c r="AD22" s="12">
        <v>896</v>
      </c>
      <c r="AE22" s="12">
        <v>863</v>
      </c>
      <c r="AF22" s="12">
        <v>966</v>
      </c>
    </row>
    <row r="23" spans="1:32">
      <c r="A23" s="20"/>
      <c r="B23" s="13" t="s">
        <v>1196</v>
      </c>
      <c r="C23" s="14">
        <v>0.88</v>
      </c>
      <c r="D23" s="14">
        <v>0.83000000000000007</v>
      </c>
      <c r="E23" s="14">
        <v>0.87</v>
      </c>
      <c r="F23" s="14">
        <v>0.79</v>
      </c>
      <c r="G23" s="14">
        <v>0.91</v>
      </c>
      <c r="H23" s="14">
        <v>0.86</v>
      </c>
      <c r="I23" s="14">
        <v>0.86</v>
      </c>
      <c r="J23" s="14">
        <v>0.88</v>
      </c>
      <c r="K23" s="14">
        <v>0.70000000000000007</v>
      </c>
      <c r="L23" s="14">
        <v>0.89</v>
      </c>
      <c r="M23" s="14">
        <v>0.93</v>
      </c>
      <c r="N23" s="14">
        <v>0.89</v>
      </c>
      <c r="O23" s="14">
        <v>0.91</v>
      </c>
      <c r="P23" s="14">
        <v>0.81</v>
      </c>
      <c r="Q23" s="14">
        <v>0.92</v>
      </c>
      <c r="R23" s="14">
        <v>0.94000000000000006</v>
      </c>
      <c r="S23" s="14">
        <v>0.74</v>
      </c>
      <c r="T23" s="14">
        <v>0.92</v>
      </c>
      <c r="U23" s="14">
        <v>0.93</v>
      </c>
      <c r="V23" s="14">
        <v>0.93</v>
      </c>
      <c r="W23" s="14">
        <v>0.84</v>
      </c>
      <c r="X23" s="14">
        <v>0.83000000000000007</v>
      </c>
      <c r="Y23" s="14">
        <v>0.83000000000000007</v>
      </c>
      <c r="Z23" s="14">
        <v>0.83000000000000007</v>
      </c>
      <c r="AA23" s="14">
        <v>0.94000000000000006</v>
      </c>
      <c r="AB23" s="14">
        <v>0.71</v>
      </c>
      <c r="AC23" s="14">
        <v>0.91</v>
      </c>
      <c r="AD23" s="14">
        <v>0.89</v>
      </c>
      <c r="AE23" s="14">
        <v>0.86</v>
      </c>
      <c r="AF23" s="14">
        <v>0.95000000000000007</v>
      </c>
    </row>
    <row r="24" spans="1:32">
      <c r="A24" s="20"/>
      <c r="B24" s="11" t="s">
        <v>1197</v>
      </c>
      <c r="C24" s="12">
        <v>2839</v>
      </c>
      <c r="D24" s="12">
        <v>162</v>
      </c>
      <c r="E24" s="12">
        <v>86</v>
      </c>
      <c r="F24" s="12">
        <v>180</v>
      </c>
      <c r="G24" s="12">
        <v>64</v>
      </c>
      <c r="H24" s="12">
        <v>141</v>
      </c>
      <c r="I24" s="12">
        <v>172</v>
      </c>
      <c r="J24" s="12">
        <v>31</v>
      </c>
      <c r="K24" s="12">
        <v>259</v>
      </c>
      <c r="L24" s="12">
        <v>94</v>
      </c>
      <c r="M24" s="12">
        <v>63</v>
      </c>
      <c r="N24" s="12">
        <v>93</v>
      </c>
      <c r="O24" s="12">
        <v>80</v>
      </c>
      <c r="P24" s="12">
        <v>158</v>
      </c>
      <c r="Q24" s="12">
        <v>75</v>
      </c>
      <c r="R24" s="12">
        <v>28</v>
      </c>
      <c r="S24" s="12">
        <v>161</v>
      </c>
      <c r="T24" s="12">
        <v>46</v>
      </c>
      <c r="U24" s="12">
        <v>31</v>
      </c>
      <c r="V24" s="12">
        <v>56</v>
      </c>
      <c r="W24" s="12">
        <v>61</v>
      </c>
      <c r="X24" s="12">
        <v>157</v>
      </c>
      <c r="Y24" s="12">
        <v>160</v>
      </c>
      <c r="Z24" s="12">
        <v>156</v>
      </c>
      <c r="AA24" s="12">
        <v>48</v>
      </c>
      <c r="AB24" s="12">
        <v>249</v>
      </c>
      <c r="AC24" s="12">
        <v>82</v>
      </c>
      <c r="AD24" s="12">
        <v>93</v>
      </c>
      <c r="AE24" s="12">
        <v>118</v>
      </c>
      <c r="AF24" s="12">
        <v>49</v>
      </c>
    </row>
    <row r="25" spans="1:32">
      <c r="A25" s="20"/>
      <c r="B25" s="13" t="s">
        <v>1198</v>
      </c>
      <c r="C25" s="14">
        <v>0.1</v>
      </c>
      <c r="D25" s="14">
        <v>0.16</v>
      </c>
      <c r="E25" s="14">
        <v>0.09</v>
      </c>
      <c r="F25" s="14">
        <v>0.18</v>
      </c>
      <c r="G25" s="14">
        <v>0.06</v>
      </c>
      <c r="H25" s="14">
        <v>0.12</v>
      </c>
      <c r="I25" s="14">
        <v>0.12</v>
      </c>
      <c r="J25" s="14">
        <v>0.1</v>
      </c>
      <c r="K25" s="14">
        <v>0.26</v>
      </c>
      <c r="L25" s="14">
        <v>0.09</v>
      </c>
      <c r="M25" s="14">
        <v>0.06</v>
      </c>
      <c r="N25" s="14">
        <v>0.09</v>
      </c>
      <c r="O25" s="14">
        <v>0.08</v>
      </c>
      <c r="P25" s="14">
        <v>0.16</v>
      </c>
      <c r="Q25" s="14">
        <v>7.0000000000000007E-2</v>
      </c>
      <c r="R25" s="14">
        <v>0.05</v>
      </c>
      <c r="S25" s="14">
        <v>0.16</v>
      </c>
      <c r="T25" s="14">
        <v>0.05</v>
      </c>
      <c r="U25" s="14">
        <v>7.0000000000000007E-2</v>
      </c>
      <c r="V25" s="14">
        <v>0.06</v>
      </c>
      <c r="W25" s="14">
        <v>0.12</v>
      </c>
      <c r="X25" s="14">
        <v>0.15</v>
      </c>
      <c r="Y25" s="14">
        <v>0.16</v>
      </c>
      <c r="Z25" s="14">
        <v>0.15</v>
      </c>
      <c r="AA25" s="14">
        <v>0.05</v>
      </c>
      <c r="AB25" s="14">
        <v>0.24</v>
      </c>
      <c r="AC25" s="14">
        <v>0.08</v>
      </c>
      <c r="AD25" s="14">
        <v>0.09</v>
      </c>
      <c r="AE25" s="14">
        <v>0.12</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1205</v>
      </c>
      <c r="C3" s="18"/>
      <c r="D3" s="18"/>
      <c r="E3" s="18"/>
      <c r="F3" s="18"/>
      <c r="H3" s="18" t="s">
        <v>1206</v>
      </c>
      <c r="I3" s="18"/>
      <c r="J3" s="18"/>
      <c r="K3" s="18"/>
      <c r="L3" s="18"/>
    </row>
    <row r="4" spans="1:32" ht="27" customHeight="1">
      <c r="B4" s="18" t="s">
        <v>1207</v>
      </c>
      <c r="C4" s="18"/>
      <c r="D4" s="18"/>
      <c r="E4" s="18"/>
      <c r="F4" s="18"/>
      <c r="H4" s="18" t="s">
        <v>1208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HYPERLINK("#Content!A119","&lt;&lt;Back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6341</v>
      </c>
      <c r="D12" s="12">
        <v>269</v>
      </c>
      <c r="E12" s="12">
        <v>213</v>
      </c>
      <c r="F12" s="12">
        <v>258</v>
      </c>
      <c r="G12" s="12">
        <v>274</v>
      </c>
      <c r="H12" s="12">
        <v>339</v>
      </c>
      <c r="I12" s="12">
        <v>409</v>
      </c>
      <c r="J12" s="12">
        <v>70</v>
      </c>
      <c r="K12" s="12">
        <v>305</v>
      </c>
      <c r="L12" s="12">
        <v>376</v>
      </c>
      <c r="M12" s="12">
        <v>210</v>
      </c>
      <c r="N12" s="12">
        <v>214</v>
      </c>
      <c r="O12" s="12">
        <v>226</v>
      </c>
      <c r="P12" s="12">
        <v>208</v>
      </c>
      <c r="Q12" s="12">
        <v>248</v>
      </c>
      <c r="R12" s="12">
        <v>189</v>
      </c>
      <c r="S12" s="12">
        <v>319</v>
      </c>
      <c r="T12" s="12">
        <v>351</v>
      </c>
      <c r="U12" s="12">
        <v>156</v>
      </c>
      <c r="V12" s="12">
        <v>256</v>
      </c>
      <c r="W12" s="12">
        <v>264</v>
      </c>
      <c r="X12" s="12">
        <v>249</v>
      </c>
      <c r="Y12" s="12">
        <v>327</v>
      </c>
      <c r="Z12" s="12">
        <v>138</v>
      </c>
      <c r="AA12" s="12">
        <v>206</v>
      </c>
      <c r="AB12" s="12">
        <v>269</v>
      </c>
      <c r="AC12" s="12">
        <v>290</v>
      </c>
      <c r="AD12" s="12">
        <v>352</v>
      </c>
      <c r="AE12" s="12">
        <v>360</v>
      </c>
      <c r="AF12" s="12">
        <v>237</v>
      </c>
    </row>
    <row r="13" spans="1:32">
      <c r="A13" s="20"/>
      <c r="B13" s="13" t="s">
        <v>559</v>
      </c>
      <c r="C13" s="14">
        <v>0.24</v>
      </c>
      <c r="D13" s="14">
        <v>0.27</v>
      </c>
      <c r="E13" s="14">
        <v>0.21</v>
      </c>
      <c r="F13" s="14">
        <v>0.26</v>
      </c>
      <c r="G13" s="14">
        <v>0.27</v>
      </c>
      <c r="H13" s="14">
        <v>0.28000000000000003</v>
      </c>
      <c r="I13" s="14">
        <v>0.27</v>
      </c>
      <c r="J13" s="14">
        <v>0.24</v>
      </c>
      <c r="K13" s="14">
        <v>0.3</v>
      </c>
      <c r="L13" s="14">
        <v>0.37</v>
      </c>
      <c r="M13" s="14">
        <v>0.21</v>
      </c>
      <c r="N13" s="14">
        <v>0.21</v>
      </c>
      <c r="O13" s="14">
        <v>0.22</v>
      </c>
      <c r="P13" s="14">
        <v>0.2</v>
      </c>
      <c r="Q13" s="14">
        <v>0.24</v>
      </c>
      <c r="R13" s="14">
        <v>0.38</v>
      </c>
      <c r="S13" s="14">
        <v>0.32</v>
      </c>
      <c r="T13" s="14">
        <v>0.35</v>
      </c>
      <c r="U13" s="14">
        <v>0.31</v>
      </c>
      <c r="V13" s="14">
        <v>0.25</v>
      </c>
      <c r="W13" s="14">
        <v>0.53</v>
      </c>
      <c r="X13" s="14">
        <v>0.24</v>
      </c>
      <c r="Y13" s="14">
        <v>0.33</v>
      </c>
      <c r="Z13" s="14">
        <v>0.14000000000000001</v>
      </c>
      <c r="AA13" s="14">
        <v>0.2</v>
      </c>
      <c r="AB13" s="14">
        <v>0.26</v>
      </c>
      <c r="AC13" s="14">
        <v>0.28999999999999998</v>
      </c>
      <c r="AD13" s="14">
        <v>0.35</v>
      </c>
      <c r="AE13" s="14">
        <v>0.36</v>
      </c>
      <c r="AF13" s="14">
        <v>0.23</v>
      </c>
    </row>
    <row r="14" spans="1:32">
      <c r="A14" s="20"/>
      <c r="B14" s="11" t="s">
        <v>560</v>
      </c>
      <c r="C14" s="12">
        <v>10953</v>
      </c>
      <c r="D14" s="12">
        <v>399</v>
      </c>
      <c r="E14" s="12">
        <v>340</v>
      </c>
      <c r="F14" s="12">
        <v>342</v>
      </c>
      <c r="G14" s="12">
        <v>298</v>
      </c>
      <c r="H14" s="12">
        <v>486</v>
      </c>
      <c r="I14" s="12">
        <v>608</v>
      </c>
      <c r="J14" s="12">
        <v>122</v>
      </c>
      <c r="K14" s="12">
        <v>393</v>
      </c>
      <c r="L14" s="12">
        <v>311</v>
      </c>
      <c r="M14" s="12">
        <v>400</v>
      </c>
      <c r="N14" s="12">
        <v>397</v>
      </c>
      <c r="O14" s="12">
        <v>351</v>
      </c>
      <c r="P14" s="12">
        <v>490</v>
      </c>
      <c r="Q14" s="12">
        <v>516</v>
      </c>
      <c r="R14" s="12">
        <v>181</v>
      </c>
      <c r="S14" s="12">
        <v>328</v>
      </c>
      <c r="T14" s="12">
        <v>352</v>
      </c>
      <c r="U14" s="12">
        <v>187</v>
      </c>
      <c r="V14" s="12">
        <v>437</v>
      </c>
      <c r="W14" s="12">
        <v>138</v>
      </c>
      <c r="X14" s="12">
        <v>409</v>
      </c>
      <c r="Y14" s="12">
        <v>398</v>
      </c>
      <c r="Z14" s="12">
        <v>546</v>
      </c>
      <c r="AA14" s="12">
        <v>445</v>
      </c>
      <c r="AB14" s="12">
        <v>495</v>
      </c>
      <c r="AC14" s="12">
        <v>328</v>
      </c>
      <c r="AD14" s="12">
        <v>403</v>
      </c>
      <c r="AE14" s="12">
        <v>371</v>
      </c>
      <c r="AF14" s="12">
        <v>378</v>
      </c>
    </row>
    <row r="15" spans="1:32">
      <c r="A15" s="20"/>
      <c r="B15" s="13" t="s">
        <v>561</v>
      </c>
      <c r="C15" s="14">
        <v>0.42</v>
      </c>
      <c r="D15" s="14">
        <v>0.4</v>
      </c>
      <c r="E15" s="14">
        <v>0.33</v>
      </c>
      <c r="F15" s="14">
        <v>0.34</v>
      </c>
      <c r="G15" s="14">
        <v>0.3</v>
      </c>
      <c r="H15" s="14">
        <v>0.4</v>
      </c>
      <c r="I15" s="14">
        <v>0.4</v>
      </c>
      <c r="J15" s="14">
        <v>0.41</v>
      </c>
      <c r="K15" s="14">
        <v>0.39</v>
      </c>
      <c r="L15" s="14">
        <v>0.31</v>
      </c>
      <c r="M15" s="14">
        <v>0.4</v>
      </c>
      <c r="N15" s="14">
        <v>0.4</v>
      </c>
      <c r="O15" s="14">
        <v>0.35</v>
      </c>
      <c r="P15" s="14">
        <v>0.48</v>
      </c>
      <c r="Q15" s="14">
        <v>0.51</v>
      </c>
      <c r="R15" s="14">
        <v>0.36</v>
      </c>
      <c r="S15" s="14">
        <v>0.32</v>
      </c>
      <c r="T15" s="14">
        <v>0.35</v>
      </c>
      <c r="U15" s="14">
        <v>0.37</v>
      </c>
      <c r="V15" s="14">
        <v>0.43</v>
      </c>
      <c r="W15" s="14">
        <v>0.27</v>
      </c>
      <c r="X15" s="14">
        <v>0.4</v>
      </c>
      <c r="Y15" s="14">
        <v>0.39</v>
      </c>
      <c r="Z15" s="14">
        <v>0.54</v>
      </c>
      <c r="AA15" s="14">
        <v>0.42</v>
      </c>
      <c r="AB15" s="14">
        <v>0.48</v>
      </c>
      <c r="AC15" s="14">
        <v>0.32</v>
      </c>
      <c r="AD15" s="14">
        <v>0.4</v>
      </c>
      <c r="AE15" s="14">
        <v>0.37</v>
      </c>
      <c r="AF15" s="14">
        <v>0.37</v>
      </c>
    </row>
    <row r="16" spans="1:32">
      <c r="A16" s="20"/>
      <c r="B16" s="11" t="s">
        <v>562</v>
      </c>
      <c r="C16" s="12">
        <v>5089</v>
      </c>
      <c r="D16" s="12">
        <v>217</v>
      </c>
      <c r="E16" s="12">
        <v>239</v>
      </c>
      <c r="F16" s="12">
        <v>234</v>
      </c>
      <c r="G16" s="12">
        <v>178</v>
      </c>
      <c r="H16" s="12">
        <v>238</v>
      </c>
      <c r="I16" s="12">
        <v>302</v>
      </c>
      <c r="J16" s="12">
        <v>64</v>
      </c>
      <c r="K16" s="12">
        <v>146</v>
      </c>
      <c r="L16" s="12">
        <v>159</v>
      </c>
      <c r="M16" s="12">
        <v>251</v>
      </c>
      <c r="N16" s="12">
        <v>210</v>
      </c>
      <c r="O16" s="12">
        <v>199</v>
      </c>
      <c r="P16" s="12">
        <v>186</v>
      </c>
      <c r="Q16" s="12">
        <v>181</v>
      </c>
      <c r="R16" s="12">
        <v>87</v>
      </c>
      <c r="S16" s="12">
        <v>159</v>
      </c>
      <c r="T16" s="12">
        <v>135</v>
      </c>
      <c r="U16" s="12">
        <v>91</v>
      </c>
      <c r="V16" s="12">
        <v>163</v>
      </c>
      <c r="W16" s="12">
        <v>67</v>
      </c>
      <c r="X16" s="12">
        <v>197</v>
      </c>
      <c r="Y16" s="12">
        <v>152</v>
      </c>
      <c r="Z16" s="12">
        <v>210</v>
      </c>
      <c r="AA16" s="12">
        <v>207</v>
      </c>
      <c r="AB16" s="12">
        <v>179</v>
      </c>
      <c r="AC16" s="12">
        <v>198</v>
      </c>
      <c r="AD16" s="12">
        <v>131</v>
      </c>
      <c r="AE16" s="12">
        <v>128</v>
      </c>
      <c r="AF16" s="12">
        <v>159</v>
      </c>
    </row>
    <row r="17" spans="1:32">
      <c r="A17" s="20"/>
      <c r="B17" s="13" t="s">
        <v>563</v>
      </c>
      <c r="C17" s="14">
        <v>0.19</v>
      </c>
      <c r="D17" s="14">
        <v>0.22</v>
      </c>
      <c r="E17" s="14">
        <v>0.24</v>
      </c>
      <c r="F17" s="14">
        <v>0.23</v>
      </c>
      <c r="G17" s="14">
        <v>0.18</v>
      </c>
      <c r="H17" s="14">
        <v>0.19</v>
      </c>
      <c r="I17" s="14">
        <v>0.2</v>
      </c>
      <c r="J17" s="14">
        <v>0.22</v>
      </c>
      <c r="K17" s="14">
        <v>0.15</v>
      </c>
      <c r="L17" s="14">
        <v>0.16</v>
      </c>
      <c r="M17" s="14">
        <v>0.25</v>
      </c>
      <c r="N17" s="14">
        <v>0.21</v>
      </c>
      <c r="O17" s="14">
        <v>0.2</v>
      </c>
      <c r="P17" s="14">
        <v>0.18</v>
      </c>
      <c r="Q17" s="14">
        <v>0.18</v>
      </c>
      <c r="R17" s="14">
        <v>0.18</v>
      </c>
      <c r="S17" s="14">
        <v>0.16</v>
      </c>
      <c r="T17" s="14">
        <v>0.13</v>
      </c>
      <c r="U17" s="14">
        <v>0.18</v>
      </c>
      <c r="V17" s="14">
        <v>0.16</v>
      </c>
      <c r="W17" s="14">
        <v>0.14000000000000001</v>
      </c>
      <c r="X17" s="14">
        <v>0.19</v>
      </c>
      <c r="Y17" s="14">
        <v>0.15</v>
      </c>
      <c r="Z17" s="14">
        <v>0.21</v>
      </c>
      <c r="AA17" s="14">
        <v>0.2</v>
      </c>
      <c r="AB17" s="14">
        <v>0.17</v>
      </c>
      <c r="AC17" s="14">
        <v>0.2</v>
      </c>
      <c r="AD17" s="14">
        <v>0.13</v>
      </c>
      <c r="AE17" s="14">
        <v>0.13</v>
      </c>
      <c r="AF17" s="14">
        <v>0.16</v>
      </c>
    </row>
    <row r="18" spans="1:32">
      <c r="A18" s="20"/>
      <c r="B18" s="11" t="s">
        <v>564</v>
      </c>
      <c r="C18" s="12">
        <v>3079</v>
      </c>
      <c r="D18" s="12">
        <v>103</v>
      </c>
      <c r="E18" s="12">
        <v>140</v>
      </c>
      <c r="F18" s="12">
        <v>131</v>
      </c>
      <c r="G18" s="12">
        <v>213</v>
      </c>
      <c r="H18" s="12">
        <v>107</v>
      </c>
      <c r="I18" s="12">
        <v>140</v>
      </c>
      <c r="J18" s="12">
        <v>33</v>
      </c>
      <c r="K18" s="12">
        <v>118</v>
      </c>
      <c r="L18" s="12">
        <v>128</v>
      </c>
      <c r="M18" s="12">
        <v>129</v>
      </c>
      <c r="N18" s="12">
        <v>164</v>
      </c>
      <c r="O18" s="12">
        <v>188</v>
      </c>
      <c r="P18" s="12">
        <v>126</v>
      </c>
      <c r="Q18" s="12">
        <v>52</v>
      </c>
      <c r="R18" s="12">
        <v>36</v>
      </c>
      <c r="S18" s="12">
        <v>130</v>
      </c>
      <c r="T18" s="12">
        <v>86</v>
      </c>
      <c r="U18" s="12">
        <v>71</v>
      </c>
      <c r="V18" s="12">
        <v>125</v>
      </c>
      <c r="W18" s="12">
        <v>27</v>
      </c>
      <c r="X18" s="12">
        <v>152</v>
      </c>
      <c r="Y18" s="12">
        <v>100</v>
      </c>
      <c r="Z18" s="12">
        <v>71</v>
      </c>
      <c r="AA18" s="12">
        <v>148</v>
      </c>
      <c r="AB18" s="12">
        <v>40</v>
      </c>
      <c r="AC18" s="12">
        <v>174</v>
      </c>
      <c r="AD18" s="12">
        <v>53</v>
      </c>
      <c r="AE18" s="12">
        <v>95</v>
      </c>
      <c r="AF18" s="12">
        <v>230</v>
      </c>
    </row>
    <row r="19" spans="1:32">
      <c r="A19" s="20"/>
      <c r="B19" s="13" t="s">
        <v>565</v>
      </c>
      <c r="C19" s="14">
        <v>0.12</v>
      </c>
      <c r="D19" s="14">
        <v>0.1</v>
      </c>
      <c r="E19" s="14">
        <v>0.14000000000000001</v>
      </c>
      <c r="F19" s="14">
        <v>0.13</v>
      </c>
      <c r="G19" s="14">
        <v>0.21</v>
      </c>
      <c r="H19" s="14">
        <v>0.09</v>
      </c>
      <c r="I19" s="14">
        <v>0.09</v>
      </c>
      <c r="J19" s="14">
        <v>0.11</v>
      </c>
      <c r="K19" s="14">
        <v>0.12</v>
      </c>
      <c r="L19" s="14">
        <v>0.13</v>
      </c>
      <c r="M19" s="14">
        <v>0.13</v>
      </c>
      <c r="N19" s="14">
        <v>0.16</v>
      </c>
      <c r="O19" s="14">
        <v>0.19</v>
      </c>
      <c r="P19" s="14">
        <v>0.13</v>
      </c>
      <c r="Q19" s="14">
        <v>0.05</v>
      </c>
      <c r="R19" s="14">
        <v>7.0000000000000007E-2</v>
      </c>
      <c r="S19" s="14">
        <v>0.13</v>
      </c>
      <c r="T19" s="14">
        <v>0.08</v>
      </c>
      <c r="U19" s="14">
        <v>0.14000000000000001</v>
      </c>
      <c r="V19" s="14">
        <v>0.12</v>
      </c>
      <c r="W19" s="14">
        <v>0.05</v>
      </c>
      <c r="X19" s="14">
        <v>0.15</v>
      </c>
      <c r="Y19" s="14">
        <v>0.1</v>
      </c>
      <c r="Z19" s="14">
        <v>7.0000000000000007E-2</v>
      </c>
      <c r="AA19" s="14">
        <v>0.14000000000000001</v>
      </c>
      <c r="AB19" s="14">
        <v>0.04</v>
      </c>
      <c r="AC19" s="14">
        <v>0.17</v>
      </c>
      <c r="AD19" s="14">
        <v>0.05</v>
      </c>
      <c r="AE19" s="14">
        <v>0.09</v>
      </c>
      <c r="AF19" s="14">
        <v>0.23</v>
      </c>
    </row>
    <row r="20" spans="1:32">
      <c r="A20" s="20"/>
      <c r="B20" s="11" t="s">
        <v>468</v>
      </c>
      <c r="C20" s="12">
        <v>856</v>
      </c>
      <c r="D20" s="12">
        <v>14</v>
      </c>
      <c r="E20" s="12">
        <v>86</v>
      </c>
      <c r="F20" s="12">
        <v>39</v>
      </c>
      <c r="G20" s="12">
        <v>41</v>
      </c>
      <c r="H20" s="12">
        <v>46</v>
      </c>
      <c r="I20" s="12">
        <v>52</v>
      </c>
      <c r="J20" s="12">
        <v>6</v>
      </c>
      <c r="K20" s="12">
        <v>44</v>
      </c>
      <c r="L20" s="12">
        <v>32</v>
      </c>
      <c r="M20" s="12">
        <v>13</v>
      </c>
      <c r="N20" s="12">
        <v>19</v>
      </c>
      <c r="O20" s="12">
        <v>38</v>
      </c>
      <c r="P20" s="12">
        <v>12</v>
      </c>
      <c r="Q20" s="12">
        <v>22</v>
      </c>
      <c r="R20" s="12">
        <v>7</v>
      </c>
      <c r="S20" s="12">
        <v>72</v>
      </c>
      <c r="T20" s="12">
        <v>91</v>
      </c>
      <c r="U20" s="12">
        <v>2</v>
      </c>
      <c r="V20" s="12">
        <v>36</v>
      </c>
      <c r="W20" s="12">
        <v>7</v>
      </c>
      <c r="X20" s="12">
        <v>15</v>
      </c>
      <c r="Y20" s="12">
        <v>31</v>
      </c>
      <c r="Z20" s="12">
        <v>42</v>
      </c>
      <c r="AA20" s="12">
        <v>47</v>
      </c>
      <c r="AB20" s="12">
        <v>56</v>
      </c>
      <c r="AC20" s="12">
        <v>20</v>
      </c>
      <c r="AD20" s="12">
        <v>67</v>
      </c>
      <c r="AE20" s="12">
        <v>48</v>
      </c>
      <c r="AF20" s="12">
        <v>16</v>
      </c>
    </row>
    <row r="21" spans="1:32">
      <c r="A21" s="20"/>
      <c r="B21" s="13" t="s">
        <v>770</v>
      </c>
      <c r="C21" s="14">
        <v>0.03</v>
      </c>
      <c r="D21" s="14">
        <v>0.01</v>
      </c>
      <c r="E21" s="14">
        <v>0.08</v>
      </c>
      <c r="F21" s="14">
        <v>0.04</v>
      </c>
      <c r="G21" s="14">
        <v>0.04</v>
      </c>
      <c r="H21" s="14">
        <v>0.04</v>
      </c>
      <c r="I21" s="14">
        <v>0.04</v>
      </c>
      <c r="J21" s="14">
        <v>0.02</v>
      </c>
      <c r="K21" s="14">
        <v>0.04</v>
      </c>
      <c r="L21" s="14">
        <v>0.03</v>
      </c>
      <c r="M21" s="14">
        <v>0.01</v>
      </c>
      <c r="N21" s="14">
        <v>0.02</v>
      </c>
      <c r="O21" s="14">
        <v>0.04</v>
      </c>
      <c r="P21" s="14">
        <v>0.01</v>
      </c>
      <c r="Q21" s="14">
        <v>0.02</v>
      </c>
      <c r="R21" s="14">
        <v>0.01</v>
      </c>
      <c r="S21" s="14">
        <v>7.0000000000000007E-2</v>
      </c>
      <c r="T21" s="14">
        <v>0.09</v>
      </c>
      <c r="U21" s="15" t="s">
        <v>459</v>
      </c>
      <c r="V21" s="14">
        <v>0.04</v>
      </c>
      <c r="W21" s="14">
        <v>0.01</v>
      </c>
      <c r="X21" s="14">
        <v>0.02</v>
      </c>
      <c r="Y21" s="14">
        <v>0.03</v>
      </c>
      <c r="Z21" s="14">
        <v>0.04</v>
      </c>
      <c r="AA21" s="14">
        <v>0.04</v>
      </c>
      <c r="AB21" s="14">
        <v>0.05</v>
      </c>
      <c r="AC21" s="14">
        <v>0.02</v>
      </c>
      <c r="AD21" s="14">
        <v>7.0000000000000007E-2</v>
      </c>
      <c r="AE21" s="14">
        <v>0.05</v>
      </c>
      <c r="AF21" s="14">
        <v>0.01</v>
      </c>
    </row>
    <row r="22" spans="1:32">
      <c r="A22" s="20"/>
      <c r="B22" s="11" t="s">
        <v>566</v>
      </c>
      <c r="C22" s="12">
        <v>17294</v>
      </c>
      <c r="D22" s="12">
        <v>668</v>
      </c>
      <c r="E22" s="12">
        <v>553</v>
      </c>
      <c r="F22" s="12">
        <v>600</v>
      </c>
      <c r="G22" s="12">
        <v>572</v>
      </c>
      <c r="H22" s="12">
        <v>825</v>
      </c>
      <c r="I22" s="12">
        <v>1017</v>
      </c>
      <c r="J22" s="12">
        <v>192</v>
      </c>
      <c r="K22" s="12">
        <v>698</v>
      </c>
      <c r="L22" s="12">
        <v>687</v>
      </c>
      <c r="M22" s="12">
        <v>610</v>
      </c>
      <c r="N22" s="12">
        <v>611</v>
      </c>
      <c r="O22" s="12">
        <v>577</v>
      </c>
      <c r="P22" s="12">
        <v>698</v>
      </c>
      <c r="Q22" s="12">
        <v>764</v>
      </c>
      <c r="R22" s="12">
        <v>370</v>
      </c>
      <c r="S22" s="12">
        <v>647</v>
      </c>
      <c r="T22" s="12">
        <v>703</v>
      </c>
      <c r="U22" s="12">
        <v>343</v>
      </c>
      <c r="V22" s="12">
        <v>693</v>
      </c>
      <c r="W22" s="12">
        <v>402</v>
      </c>
      <c r="X22" s="12">
        <v>658</v>
      </c>
      <c r="Y22" s="12">
        <v>725</v>
      </c>
      <c r="Z22" s="12">
        <v>684</v>
      </c>
      <c r="AA22" s="12">
        <v>651</v>
      </c>
      <c r="AB22" s="12">
        <v>764</v>
      </c>
      <c r="AC22" s="12">
        <v>618</v>
      </c>
      <c r="AD22" s="12">
        <v>755</v>
      </c>
      <c r="AE22" s="12">
        <v>731</v>
      </c>
      <c r="AF22" s="12">
        <v>615</v>
      </c>
    </row>
    <row r="23" spans="1:32">
      <c r="A23" s="20"/>
      <c r="B23" s="13" t="s">
        <v>567</v>
      </c>
      <c r="C23" s="14">
        <v>0.66</v>
      </c>
      <c r="D23" s="14">
        <v>0.67</v>
      </c>
      <c r="E23" s="14">
        <v>0.54</v>
      </c>
      <c r="F23" s="14">
        <v>0.6</v>
      </c>
      <c r="G23" s="14">
        <v>0.57000000000000006</v>
      </c>
      <c r="H23" s="14">
        <v>0.68</v>
      </c>
      <c r="I23" s="14">
        <v>0.67</v>
      </c>
      <c r="J23" s="14">
        <v>0.65</v>
      </c>
      <c r="K23" s="14">
        <v>0.69000000000000006</v>
      </c>
      <c r="L23" s="14">
        <v>0.68</v>
      </c>
      <c r="M23" s="14">
        <v>0.61</v>
      </c>
      <c r="N23" s="14">
        <v>0.61</v>
      </c>
      <c r="O23" s="14">
        <v>0.57000000000000006</v>
      </c>
      <c r="P23" s="14">
        <v>0.68</v>
      </c>
      <c r="Q23" s="14">
        <v>0.75</v>
      </c>
      <c r="R23" s="14">
        <v>0.74</v>
      </c>
      <c r="S23" s="14">
        <v>0.64</v>
      </c>
      <c r="T23" s="14">
        <v>0.70000000000000007</v>
      </c>
      <c r="U23" s="14">
        <v>0.68</v>
      </c>
      <c r="V23" s="14">
        <v>0.68</v>
      </c>
      <c r="W23" s="14">
        <v>0.8</v>
      </c>
      <c r="X23" s="14">
        <v>0.64</v>
      </c>
      <c r="Y23" s="14">
        <v>0.72</v>
      </c>
      <c r="Z23" s="14">
        <v>0.68</v>
      </c>
      <c r="AA23" s="14">
        <v>0.62</v>
      </c>
      <c r="AB23" s="14">
        <v>0.74</v>
      </c>
      <c r="AC23" s="14">
        <v>0.61</v>
      </c>
      <c r="AD23" s="14">
        <v>0.75</v>
      </c>
      <c r="AE23" s="14">
        <v>0.73</v>
      </c>
      <c r="AF23" s="14">
        <v>0.6</v>
      </c>
    </row>
    <row r="24" spans="1:32">
      <c r="A24" s="20"/>
      <c r="B24" s="11" t="s">
        <v>568</v>
      </c>
      <c r="C24" s="12">
        <v>8168</v>
      </c>
      <c r="D24" s="12">
        <v>320</v>
      </c>
      <c r="E24" s="12">
        <v>379</v>
      </c>
      <c r="F24" s="12">
        <v>365</v>
      </c>
      <c r="G24" s="12">
        <v>391</v>
      </c>
      <c r="H24" s="12">
        <v>345</v>
      </c>
      <c r="I24" s="12">
        <v>442</v>
      </c>
      <c r="J24" s="12">
        <v>97</v>
      </c>
      <c r="K24" s="12">
        <v>264</v>
      </c>
      <c r="L24" s="12">
        <v>287</v>
      </c>
      <c r="M24" s="12">
        <v>380</v>
      </c>
      <c r="N24" s="12">
        <v>374</v>
      </c>
      <c r="O24" s="12">
        <v>387</v>
      </c>
      <c r="P24" s="12">
        <v>312</v>
      </c>
      <c r="Q24" s="12">
        <v>233</v>
      </c>
      <c r="R24" s="12">
        <v>123</v>
      </c>
      <c r="S24" s="12">
        <v>289</v>
      </c>
      <c r="T24" s="12">
        <v>221</v>
      </c>
      <c r="U24" s="12">
        <v>162</v>
      </c>
      <c r="V24" s="12">
        <v>288</v>
      </c>
      <c r="W24" s="12">
        <v>94</v>
      </c>
      <c r="X24" s="12">
        <v>349</v>
      </c>
      <c r="Y24" s="12">
        <v>252</v>
      </c>
      <c r="Z24" s="12">
        <v>281</v>
      </c>
      <c r="AA24" s="12">
        <v>355</v>
      </c>
      <c r="AB24" s="12">
        <v>219</v>
      </c>
      <c r="AC24" s="12">
        <v>372</v>
      </c>
      <c r="AD24" s="12">
        <v>184</v>
      </c>
      <c r="AE24" s="12">
        <v>223</v>
      </c>
      <c r="AF24" s="12">
        <v>389</v>
      </c>
    </row>
    <row r="25" spans="1:32">
      <c r="A25" s="20"/>
      <c r="B25" s="13" t="s">
        <v>569</v>
      </c>
      <c r="C25" s="14">
        <v>0.31</v>
      </c>
      <c r="D25" s="14">
        <v>0.32</v>
      </c>
      <c r="E25" s="14">
        <v>0.38</v>
      </c>
      <c r="F25" s="14">
        <v>0.36</v>
      </c>
      <c r="G25" s="14">
        <v>0.39</v>
      </c>
      <c r="H25" s="14">
        <v>0.28000000000000003</v>
      </c>
      <c r="I25" s="14">
        <v>0.28999999999999998</v>
      </c>
      <c r="J25" s="14">
        <v>0.33</v>
      </c>
      <c r="K25" s="14">
        <v>0.27</v>
      </c>
      <c r="L25" s="14">
        <v>0.28999999999999998</v>
      </c>
      <c r="M25" s="14">
        <v>0.38</v>
      </c>
      <c r="N25" s="14">
        <v>0.37</v>
      </c>
      <c r="O25" s="14">
        <v>0.39</v>
      </c>
      <c r="P25" s="14">
        <v>0.31</v>
      </c>
      <c r="Q25" s="14">
        <v>0.23</v>
      </c>
      <c r="R25" s="14">
        <v>0.25</v>
      </c>
      <c r="S25" s="14">
        <v>0.28999999999999998</v>
      </c>
      <c r="T25" s="14">
        <v>0.21</v>
      </c>
      <c r="U25" s="14">
        <v>0.32</v>
      </c>
      <c r="V25" s="14">
        <v>0.28000000000000003</v>
      </c>
      <c r="W25" s="14">
        <v>0.19</v>
      </c>
      <c r="X25" s="14">
        <v>0.34</v>
      </c>
      <c r="Y25" s="14">
        <v>0.25</v>
      </c>
      <c r="Z25" s="14">
        <v>0.28000000000000003</v>
      </c>
      <c r="AA25" s="14">
        <v>0.34</v>
      </c>
      <c r="AB25" s="14">
        <v>0.21</v>
      </c>
      <c r="AC25" s="14">
        <v>0.37</v>
      </c>
      <c r="AD25" s="14">
        <v>0.18</v>
      </c>
      <c r="AE25" s="14">
        <v>0.22</v>
      </c>
      <c r="AF25" s="14">
        <v>0.39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1209</v>
      </c>
      <c r="C3" s="18"/>
      <c r="D3" s="18"/>
      <c r="E3" s="18"/>
      <c r="F3" s="18"/>
      <c r="H3" s="18" t="s">
        <v>1210</v>
      </c>
      <c r="I3" s="18"/>
      <c r="J3" s="18"/>
      <c r="K3" s="18"/>
      <c r="L3" s="18"/>
    </row>
    <row r="4" spans="1:32" ht="27" customHeight="1">
      <c r="B4" s="18" t="s">
        <v>1211</v>
      </c>
      <c r="C4" s="18"/>
      <c r="D4" s="18"/>
      <c r="E4" s="18"/>
      <c r="F4" s="18"/>
      <c r="H4" s="18" t="s">
        <v>1212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10356</v>
      </c>
      <c r="D12" s="12">
        <v>431</v>
      </c>
      <c r="E12" s="12">
        <v>329</v>
      </c>
      <c r="F12" s="12">
        <v>447</v>
      </c>
      <c r="G12" s="12">
        <v>713</v>
      </c>
      <c r="H12" s="12">
        <v>544</v>
      </c>
      <c r="I12" s="12">
        <v>642</v>
      </c>
      <c r="J12" s="12">
        <v>98</v>
      </c>
      <c r="K12" s="12">
        <v>295</v>
      </c>
      <c r="L12" s="12">
        <v>509</v>
      </c>
      <c r="M12" s="12">
        <v>324</v>
      </c>
      <c r="N12" s="12">
        <v>373</v>
      </c>
      <c r="O12" s="12">
        <v>562</v>
      </c>
      <c r="P12" s="12">
        <v>280</v>
      </c>
      <c r="Q12" s="12">
        <v>335</v>
      </c>
      <c r="R12" s="12">
        <v>242</v>
      </c>
      <c r="S12" s="12">
        <v>527</v>
      </c>
      <c r="T12" s="12">
        <v>464</v>
      </c>
      <c r="U12" s="12">
        <v>273</v>
      </c>
      <c r="V12" s="12">
        <v>257</v>
      </c>
      <c r="W12" s="12">
        <v>274</v>
      </c>
      <c r="X12" s="12">
        <v>290</v>
      </c>
      <c r="Y12" s="12">
        <v>476</v>
      </c>
      <c r="Z12" s="12">
        <v>158</v>
      </c>
      <c r="AA12" s="12">
        <v>276</v>
      </c>
      <c r="AB12" s="12">
        <v>328</v>
      </c>
      <c r="AC12" s="12">
        <v>602</v>
      </c>
      <c r="AD12" s="12">
        <v>508</v>
      </c>
      <c r="AE12" s="12">
        <v>434</v>
      </c>
      <c r="AF12" s="12">
        <v>582</v>
      </c>
    </row>
    <row r="13" spans="1:32">
      <c r="A13" s="20"/>
      <c r="B13" s="13" t="s">
        <v>559</v>
      </c>
      <c r="C13" s="14">
        <v>0.39</v>
      </c>
      <c r="D13" s="14">
        <v>0.43</v>
      </c>
      <c r="E13" s="14">
        <v>0.32</v>
      </c>
      <c r="F13" s="14">
        <v>0.44</v>
      </c>
      <c r="G13" s="14">
        <v>0.71</v>
      </c>
      <c r="H13" s="14">
        <v>0.45</v>
      </c>
      <c r="I13" s="14">
        <v>0.42</v>
      </c>
      <c r="J13" s="14">
        <v>0.33</v>
      </c>
      <c r="K13" s="14">
        <v>0.28999999999999998</v>
      </c>
      <c r="L13" s="14">
        <v>0.51</v>
      </c>
      <c r="M13" s="14">
        <v>0.32</v>
      </c>
      <c r="N13" s="14">
        <v>0.37</v>
      </c>
      <c r="O13" s="14">
        <v>0.56000000000000005</v>
      </c>
      <c r="P13" s="14">
        <v>0.27</v>
      </c>
      <c r="Q13" s="14">
        <v>0.33</v>
      </c>
      <c r="R13" s="14">
        <v>0.48</v>
      </c>
      <c r="S13" s="14">
        <v>0.52</v>
      </c>
      <c r="T13" s="14">
        <v>0.46</v>
      </c>
      <c r="U13" s="14">
        <v>0.54</v>
      </c>
      <c r="V13" s="14">
        <v>0.25</v>
      </c>
      <c r="W13" s="14">
        <v>0.54</v>
      </c>
      <c r="X13" s="14">
        <v>0.28000000000000003</v>
      </c>
      <c r="Y13" s="14">
        <v>0.47</v>
      </c>
      <c r="Z13" s="14">
        <v>0.16</v>
      </c>
      <c r="AA13" s="14">
        <v>0.26</v>
      </c>
      <c r="AB13" s="14">
        <v>0.32</v>
      </c>
      <c r="AC13" s="14">
        <v>0.6</v>
      </c>
      <c r="AD13" s="14">
        <v>0.5</v>
      </c>
      <c r="AE13" s="14">
        <v>0.43</v>
      </c>
      <c r="AF13" s="14">
        <v>0.57000000000000006</v>
      </c>
    </row>
    <row r="14" spans="1:32">
      <c r="A14" s="20"/>
      <c r="B14" s="11" t="s">
        <v>560</v>
      </c>
      <c r="C14" s="12">
        <v>11146</v>
      </c>
      <c r="D14" s="12">
        <v>384</v>
      </c>
      <c r="E14" s="12">
        <v>402</v>
      </c>
      <c r="F14" s="12">
        <v>360</v>
      </c>
      <c r="G14" s="12">
        <v>175</v>
      </c>
      <c r="H14" s="12">
        <v>469</v>
      </c>
      <c r="I14" s="12">
        <v>605</v>
      </c>
      <c r="J14" s="12">
        <v>135</v>
      </c>
      <c r="K14" s="12">
        <v>368</v>
      </c>
      <c r="L14" s="12">
        <v>301</v>
      </c>
      <c r="M14" s="12">
        <v>466</v>
      </c>
      <c r="N14" s="12">
        <v>456</v>
      </c>
      <c r="O14" s="12">
        <v>331</v>
      </c>
      <c r="P14" s="12">
        <v>566</v>
      </c>
      <c r="Q14" s="12">
        <v>535</v>
      </c>
      <c r="R14" s="12">
        <v>186</v>
      </c>
      <c r="S14" s="12">
        <v>299</v>
      </c>
      <c r="T14" s="12">
        <v>425</v>
      </c>
      <c r="U14" s="12">
        <v>178</v>
      </c>
      <c r="V14" s="12">
        <v>457</v>
      </c>
      <c r="W14" s="12">
        <v>153</v>
      </c>
      <c r="X14" s="12">
        <v>417</v>
      </c>
      <c r="Y14" s="12">
        <v>376</v>
      </c>
      <c r="Z14" s="12">
        <v>537</v>
      </c>
      <c r="AA14" s="12">
        <v>539</v>
      </c>
      <c r="AB14" s="12">
        <v>511</v>
      </c>
      <c r="AC14" s="12">
        <v>316</v>
      </c>
      <c r="AD14" s="12">
        <v>379</v>
      </c>
      <c r="AE14" s="12">
        <v>363</v>
      </c>
      <c r="AF14" s="12">
        <v>295</v>
      </c>
    </row>
    <row r="15" spans="1:32">
      <c r="A15" s="20"/>
      <c r="B15" s="13" t="s">
        <v>561</v>
      </c>
      <c r="C15" s="14">
        <v>0.42</v>
      </c>
      <c r="D15" s="14">
        <v>0.38</v>
      </c>
      <c r="E15" s="14">
        <v>0.4</v>
      </c>
      <c r="F15" s="14">
        <v>0.36</v>
      </c>
      <c r="G15" s="14">
        <v>0.17</v>
      </c>
      <c r="H15" s="14">
        <v>0.38</v>
      </c>
      <c r="I15" s="14">
        <v>0.4</v>
      </c>
      <c r="J15" s="14">
        <v>0.46</v>
      </c>
      <c r="K15" s="14">
        <v>0.37</v>
      </c>
      <c r="L15" s="14">
        <v>0.3</v>
      </c>
      <c r="M15" s="14">
        <v>0.47</v>
      </c>
      <c r="N15" s="14">
        <v>0.45</v>
      </c>
      <c r="O15" s="14">
        <v>0.33</v>
      </c>
      <c r="P15" s="14">
        <v>0.55000000000000004</v>
      </c>
      <c r="Q15" s="14">
        <v>0.52</v>
      </c>
      <c r="R15" s="14">
        <v>0.37</v>
      </c>
      <c r="S15" s="14">
        <v>0.3</v>
      </c>
      <c r="T15" s="14">
        <v>0.42</v>
      </c>
      <c r="U15" s="14">
        <v>0.35</v>
      </c>
      <c r="V15" s="14">
        <v>0.45</v>
      </c>
      <c r="W15" s="14">
        <v>0.3</v>
      </c>
      <c r="X15" s="14">
        <v>0.41</v>
      </c>
      <c r="Y15" s="14">
        <v>0.37</v>
      </c>
      <c r="Z15" s="14">
        <v>0.53</v>
      </c>
      <c r="AA15" s="14">
        <v>0.51</v>
      </c>
      <c r="AB15" s="14">
        <v>0.49</v>
      </c>
      <c r="AC15" s="14">
        <v>0.31</v>
      </c>
      <c r="AD15" s="14">
        <v>0.38</v>
      </c>
      <c r="AE15" s="14">
        <v>0.36</v>
      </c>
      <c r="AF15" s="14">
        <v>0.28999999999999998</v>
      </c>
    </row>
    <row r="16" spans="1:32">
      <c r="A16" s="20"/>
      <c r="B16" s="11" t="s">
        <v>562</v>
      </c>
      <c r="C16" s="12">
        <v>3100</v>
      </c>
      <c r="D16" s="12">
        <v>133</v>
      </c>
      <c r="E16" s="12">
        <v>152</v>
      </c>
      <c r="F16" s="12">
        <v>128</v>
      </c>
      <c r="G16" s="12">
        <v>35</v>
      </c>
      <c r="H16" s="12">
        <v>119</v>
      </c>
      <c r="I16" s="12">
        <v>166</v>
      </c>
      <c r="J16" s="12">
        <v>47</v>
      </c>
      <c r="K16" s="12">
        <v>144</v>
      </c>
      <c r="L16" s="12">
        <v>93</v>
      </c>
      <c r="M16" s="12">
        <v>149</v>
      </c>
      <c r="N16" s="12">
        <v>119</v>
      </c>
      <c r="O16" s="12">
        <v>63</v>
      </c>
      <c r="P16" s="12">
        <v>106</v>
      </c>
      <c r="Q16" s="12">
        <v>103</v>
      </c>
      <c r="R16" s="12">
        <v>52</v>
      </c>
      <c r="S16" s="12">
        <v>88</v>
      </c>
      <c r="T16" s="12">
        <v>56</v>
      </c>
      <c r="U16" s="12">
        <v>31</v>
      </c>
      <c r="V16" s="12">
        <v>162</v>
      </c>
      <c r="W16" s="12">
        <v>40</v>
      </c>
      <c r="X16" s="12">
        <v>193</v>
      </c>
      <c r="Y16" s="12">
        <v>71</v>
      </c>
      <c r="Z16" s="12">
        <v>236</v>
      </c>
      <c r="AA16" s="12">
        <v>148</v>
      </c>
      <c r="AB16" s="12">
        <v>156</v>
      </c>
      <c r="AC16" s="12">
        <v>36</v>
      </c>
      <c r="AD16" s="12">
        <v>79</v>
      </c>
      <c r="AE16" s="12">
        <v>118</v>
      </c>
      <c r="AF16" s="12">
        <v>69</v>
      </c>
    </row>
    <row r="17" spans="1:32">
      <c r="A17" s="20"/>
      <c r="B17" s="13" t="s">
        <v>563</v>
      </c>
      <c r="C17" s="14">
        <v>0.12</v>
      </c>
      <c r="D17" s="14">
        <v>0.13</v>
      </c>
      <c r="E17" s="14">
        <v>0.15</v>
      </c>
      <c r="F17" s="14">
        <v>0.13</v>
      </c>
      <c r="G17" s="14">
        <v>0.04</v>
      </c>
      <c r="H17" s="14">
        <v>0.1</v>
      </c>
      <c r="I17" s="14">
        <v>0.11</v>
      </c>
      <c r="J17" s="14">
        <v>0.16</v>
      </c>
      <c r="K17" s="14">
        <v>0.14000000000000001</v>
      </c>
      <c r="L17" s="14">
        <v>0.09</v>
      </c>
      <c r="M17" s="14">
        <v>0.15</v>
      </c>
      <c r="N17" s="14">
        <v>0.12</v>
      </c>
      <c r="O17" s="14">
        <v>0.06</v>
      </c>
      <c r="P17" s="14">
        <v>0.11</v>
      </c>
      <c r="Q17" s="14">
        <v>0.1</v>
      </c>
      <c r="R17" s="14">
        <v>0.1</v>
      </c>
      <c r="S17" s="14">
        <v>0.09</v>
      </c>
      <c r="T17" s="14">
        <v>0.05</v>
      </c>
      <c r="U17" s="14">
        <v>0.06</v>
      </c>
      <c r="V17" s="14">
        <v>0.16</v>
      </c>
      <c r="W17" s="14">
        <v>0.08</v>
      </c>
      <c r="X17" s="14">
        <v>0.19</v>
      </c>
      <c r="Y17" s="14">
        <v>7.0000000000000007E-2</v>
      </c>
      <c r="Z17" s="14">
        <v>0.24</v>
      </c>
      <c r="AA17" s="14">
        <v>0.14000000000000001</v>
      </c>
      <c r="AB17" s="14">
        <v>0.15</v>
      </c>
      <c r="AC17" s="14">
        <v>0.04</v>
      </c>
      <c r="AD17" s="14">
        <v>0.08</v>
      </c>
      <c r="AE17" s="14">
        <v>0.12</v>
      </c>
      <c r="AF17" s="14">
        <v>7.0000000000000007E-2</v>
      </c>
    </row>
    <row r="18" spans="1:32">
      <c r="A18" s="20"/>
      <c r="B18" s="11" t="s">
        <v>564</v>
      </c>
      <c r="C18" s="12">
        <v>1266</v>
      </c>
      <c r="D18" s="12">
        <v>50</v>
      </c>
      <c r="E18" s="12">
        <v>72</v>
      </c>
      <c r="F18" s="12">
        <v>32</v>
      </c>
      <c r="G18" s="12">
        <v>52</v>
      </c>
      <c r="H18" s="12">
        <v>45</v>
      </c>
      <c r="I18" s="12">
        <v>56</v>
      </c>
      <c r="J18" s="12">
        <v>11</v>
      </c>
      <c r="K18" s="12">
        <v>149</v>
      </c>
      <c r="L18" s="12">
        <v>83</v>
      </c>
      <c r="M18" s="12">
        <v>61</v>
      </c>
      <c r="N18" s="12">
        <v>46</v>
      </c>
      <c r="O18" s="12">
        <v>31</v>
      </c>
      <c r="P18" s="12">
        <v>59</v>
      </c>
      <c r="Q18" s="12">
        <v>41</v>
      </c>
      <c r="R18" s="12">
        <v>12</v>
      </c>
      <c r="S18" s="12">
        <v>51</v>
      </c>
      <c r="T18" s="12">
        <v>29</v>
      </c>
      <c r="U18" s="12">
        <v>21</v>
      </c>
      <c r="V18" s="12">
        <v>119</v>
      </c>
      <c r="W18" s="12">
        <v>34</v>
      </c>
      <c r="X18" s="12">
        <v>110</v>
      </c>
      <c r="Y18" s="12">
        <v>69</v>
      </c>
      <c r="Z18" s="12">
        <v>62</v>
      </c>
      <c r="AA18" s="12">
        <v>58</v>
      </c>
      <c r="AB18" s="12">
        <v>22</v>
      </c>
      <c r="AC18" s="12">
        <v>46</v>
      </c>
      <c r="AD18" s="12">
        <v>30</v>
      </c>
      <c r="AE18" s="12">
        <v>72</v>
      </c>
      <c r="AF18" s="12">
        <v>68</v>
      </c>
    </row>
    <row r="19" spans="1:32">
      <c r="A19" s="20"/>
      <c r="B19" s="13" t="s">
        <v>565</v>
      </c>
      <c r="C19" s="14">
        <v>0.05</v>
      </c>
      <c r="D19" s="14">
        <v>0.05</v>
      </c>
      <c r="E19" s="14">
        <v>7.0000000000000007E-2</v>
      </c>
      <c r="F19" s="14">
        <v>0.03</v>
      </c>
      <c r="G19" s="14">
        <v>0.05</v>
      </c>
      <c r="H19" s="14">
        <v>0.04</v>
      </c>
      <c r="I19" s="14">
        <v>0.04</v>
      </c>
      <c r="J19" s="14">
        <v>0.04</v>
      </c>
      <c r="K19" s="14">
        <v>0.15</v>
      </c>
      <c r="L19" s="14">
        <v>0.08</v>
      </c>
      <c r="M19" s="14">
        <v>0.06</v>
      </c>
      <c r="N19" s="14">
        <v>0.05</v>
      </c>
      <c r="O19" s="14">
        <v>0.03</v>
      </c>
      <c r="P19" s="14">
        <v>0.06</v>
      </c>
      <c r="Q19" s="14">
        <v>0.04</v>
      </c>
      <c r="R19" s="14">
        <v>0.03</v>
      </c>
      <c r="S19" s="14">
        <v>0.05</v>
      </c>
      <c r="T19" s="14">
        <v>0.03</v>
      </c>
      <c r="U19" s="14">
        <v>0.04</v>
      </c>
      <c r="V19" s="14">
        <v>0.12</v>
      </c>
      <c r="W19" s="14">
        <v>7.0000000000000007E-2</v>
      </c>
      <c r="X19" s="14">
        <v>0.11</v>
      </c>
      <c r="Y19" s="14">
        <v>7.0000000000000007E-2</v>
      </c>
      <c r="Z19" s="14">
        <v>0.06</v>
      </c>
      <c r="AA19" s="14">
        <v>0.06</v>
      </c>
      <c r="AB19" s="14">
        <v>0.02</v>
      </c>
      <c r="AC19" s="14">
        <v>0.04</v>
      </c>
      <c r="AD19" s="14">
        <v>0.03</v>
      </c>
      <c r="AE19" s="14">
        <v>7.0000000000000007E-2</v>
      </c>
      <c r="AF19" s="14">
        <v>7.0000000000000007E-2</v>
      </c>
    </row>
    <row r="20" spans="1:32">
      <c r="A20" s="20"/>
      <c r="B20" s="11" t="s">
        <v>468</v>
      </c>
      <c r="C20" s="12">
        <v>451</v>
      </c>
      <c r="D20" s="12">
        <v>4</v>
      </c>
      <c r="E20" s="12">
        <v>63</v>
      </c>
      <c r="F20" s="12">
        <v>38</v>
      </c>
      <c r="G20" s="12">
        <v>29</v>
      </c>
      <c r="H20" s="12">
        <v>39</v>
      </c>
      <c r="I20" s="12">
        <v>41</v>
      </c>
      <c r="J20" s="12">
        <v>2</v>
      </c>
      <c r="K20" s="12">
        <v>50</v>
      </c>
      <c r="L20" s="12">
        <v>21</v>
      </c>
      <c r="M20" s="12">
        <v>2</v>
      </c>
      <c r="N20" s="12">
        <v>11</v>
      </c>
      <c r="O20" s="12">
        <v>16</v>
      </c>
      <c r="P20" s="12">
        <v>11</v>
      </c>
      <c r="Q20" s="12">
        <v>6</v>
      </c>
      <c r="R20" s="12">
        <v>8</v>
      </c>
      <c r="S20" s="12">
        <v>44</v>
      </c>
      <c r="T20" s="12">
        <v>40</v>
      </c>
      <c r="U20" s="12">
        <v>3</v>
      </c>
      <c r="V20" s="12">
        <v>23</v>
      </c>
      <c r="W20" s="12">
        <v>3</v>
      </c>
      <c r="X20" s="12">
        <v>12</v>
      </c>
      <c r="Y20" s="12">
        <v>15</v>
      </c>
      <c r="Z20" s="12">
        <v>15</v>
      </c>
      <c r="AA20" s="12">
        <v>31</v>
      </c>
      <c r="AB20" s="12">
        <v>22</v>
      </c>
      <c r="AC20" s="12">
        <v>10</v>
      </c>
      <c r="AD20" s="12">
        <v>9</v>
      </c>
      <c r="AE20" s="12">
        <v>15</v>
      </c>
      <c r="AF20" s="12">
        <v>5</v>
      </c>
    </row>
    <row r="21" spans="1:32">
      <c r="A21" s="20"/>
      <c r="B21" s="13" t="s">
        <v>770</v>
      </c>
      <c r="C21" s="14">
        <v>0.02</v>
      </c>
      <c r="D21" s="14">
        <v>0.01</v>
      </c>
      <c r="E21" s="14">
        <v>0.06</v>
      </c>
      <c r="F21" s="14">
        <v>0.04</v>
      </c>
      <c r="G21" s="14">
        <v>0.03</v>
      </c>
      <c r="H21" s="14">
        <v>0.03</v>
      </c>
      <c r="I21" s="14">
        <v>0.03</v>
      </c>
      <c r="J21" s="14">
        <v>0.01</v>
      </c>
      <c r="K21" s="14">
        <v>0.05</v>
      </c>
      <c r="L21" s="14">
        <v>0.02</v>
      </c>
      <c r="M21" s="15" t="s">
        <v>459</v>
      </c>
      <c r="N21" s="14">
        <v>0.01</v>
      </c>
      <c r="O21" s="14">
        <v>0.02</v>
      </c>
      <c r="P21" s="14">
        <v>0.01</v>
      </c>
      <c r="Q21" s="14">
        <v>0.01</v>
      </c>
      <c r="R21" s="14">
        <v>0.02</v>
      </c>
      <c r="S21" s="14">
        <v>0.04</v>
      </c>
      <c r="T21" s="14">
        <v>0.04</v>
      </c>
      <c r="U21" s="14">
        <v>0.01</v>
      </c>
      <c r="V21" s="14">
        <v>0.02</v>
      </c>
      <c r="W21" s="14">
        <v>0.01</v>
      </c>
      <c r="X21" s="14">
        <v>0.01</v>
      </c>
      <c r="Y21" s="14">
        <v>0.02</v>
      </c>
      <c r="Z21" s="14">
        <v>0.01</v>
      </c>
      <c r="AA21" s="14">
        <v>0.03</v>
      </c>
      <c r="AB21" s="14">
        <v>0.02</v>
      </c>
      <c r="AC21" s="14">
        <v>0.01</v>
      </c>
      <c r="AD21" s="14">
        <v>0.01</v>
      </c>
      <c r="AE21" s="14">
        <v>0.02</v>
      </c>
      <c r="AF21" s="15" t="s">
        <v>459</v>
      </c>
    </row>
    <row r="22" spans="1:32">
      <c r="A22" s="20"/>
      <c r="B22" s="11" t="s">
        <v>566</v>
      </c>
      <c r="C22" s="12">
        <v>21502</v>
      </c>
      <c r="D22" s="12">
        <v>815</v>
      </c>
      <c r="E22" s="12">
        <v>731</v>
      </c>
      <c r="F22" s="12">
        <v>807</v>
      </c>
      <c r="G22" s="12">
        <v>888</v>
      </c>
      <c r="H22" s="12">
        <v>1013</v>
      </c>
      <c r="I22" s="12">
        <v>1247</v>
      </c>
      <c r="J22" s="12">
        <v>233</v>
      </c>
      <c r="K22" s="12">
        <v>663</v>
      </c>
      <c r="L22" s="12">
        <v>810</v>
      </c>
      <c r="M22" s="12">
        <v>790</v>
      </c>
      <c r="N22" s="12">
        <v>829</v>
      </c>
      <c r="O22" s="12">
        <v>893</v>
      </c>
      <c r="P22" s="12">
        <v>846</v>
      </c>
      <c r="Q22" s="12">
        <v>870</v>
      </c>
      <c r="R22" s="12">
        <v>428</v>
      </c>
      <c r="S22" s="12">
        <v>826</v>
      </c>
      <c r="T22" s="12">
        <v>889</v>
      </c>
      <c r="U22" s="12">
        <v>451</v>
      </c>
      <c r="V22" s="12">
        <v>714</v>
      </c>
      <c r="W22" s="12">
        <v>427</v>
      </c>
      <c r="X22" s="12">
        <v>707</v>
      </c>
      <c r="Y22" s="12">
        <v>852</v>
      </c>
      <c r="Z22" s="12">
        <v>695</v>
      </c>
      <c r="AA22" s="12">
        <v>815</v>
      </c>
      <c r="AB22" s="12">
        <v>839</v>
      </c>
      <c r="AC22" s="12">
        <v>918</v>
      </c>
      <c r="AD22" s="12">
        <v>887</v>
      </c>
      <c r="AE22" s="12">
        <v>797</v>
      </c>
      <c r="AF22" s="12">
        <v>877</v>
      </c>
    </row>
    <row r="23" spans="1:32">
      <c r="A23" s="20"/>
      <c r="B23" s="13" t="s">
        <v>567</v>
      </c>
      <c r="C23" s="14">
        <v>0.81</v>
      </c>
      <c r="D23" s="14">
        <v>0.81</v>
      </c>
      <c r="E23" s="14">
        <v>0.72</v>
      </c>
      <c r="F23" s="14">
        <v>0.8</v>
      </c>
      <c r="G23" s="14">
        <v>0.88</v>
      </c>
      <c r="H23" s="14">
        <v>0.83000000000000007</v>
      </c>
      <c r="I23" s="14">
        <v>0.82000000000000006</v>
      </c>
      <c r="J23" s="14">
        <v>0.79</v>
      </c>
      <c r="K23" s="14">
        <v>0.66</v>
      </c>
      <c r="L23" s="14">
        <v>0.81</v>
      </c>
      <c r="M23" s="14">
        <v>0.79</v>
      </c>
      <c r="N23" s="14">
        <v>0.82000000000000006</v>
      </c>
      <c r="O23" s="14">
        <v>0.89</v>
      </c>
      <c r="P23" s="14">
        <v>0.82000000000000006</v>
      </c>
      <c r="Q23" s="14">
        <v>0.85</v>
      </c>
      <c r="R23" s="14">
        <v>0.85</v>
      </c>
      <c r="S23" s="14">
        <v>0.82000000000000006</v>
      </c>
      <c r="T23" s="14">
        <v>0.88</v>
      </c>
      <c r="U23" s="14">
        <v>0.89</v>
      </c>
      <c r="V23" s="14">
        <v>0.70000000000000007</v>
      </c>
      <c r="W23" s="14">
        <v>0.84</v>
      </c>
      <c r="X23" s="14">
        <v>0.69000000000000006</v>
      </c>
      <c r="Y23" s="14">
        <v>0.84</v>
      </c>
      <c r="Z23" s="14">
        <v>0.69000000000000006</v>
      </c>
      <c r="AA23" s="14">
        <v>0.77</v>
      </c>
      <c r="AB23" s="14">
        <v>0.81</v>
      </c>
      <c r="AC23" s="14">
        <v>0.91</v>
      </c>
      <c r="AD23" s="14">
        <v>0.88</v>
      </c>
      <c r="AE23" s="14">
        <v>0.79</v>
      </c>
      <c r="AF23" s="14">
        <v>0.86</v>
      </c>
    </row>
    <row r="24" spans="1:32">
      <c r="A24" s="20"/>
      <c r="B24" s="11" t="s">
        <v>568</v>
      </c>
      <c r="C24" s="12">
        <v>4366</v>
      </c>
      <c r="D24" s="12">
        <v>183</v>
      </c>
      <c r="E24" s="12">
        <v>224</v>
      </c>
      <c r="F24" s="12">
        <v>160</v>
      </c>
      <c r="G24" s="12">
        <v>87</v>
      </c>
      <c r="H24" s="12">
        <v>164</v>
      </c>
      <c r="I24" s="12">
        <v>222</v>
      </c>
      <c r="J24" s="12">
        <v>58</v>
      </c>
      <c r="K24" s="12">
        <v>293</v>
      </c>
      <c r="L24" s="12">
        <v>176</v>
      </c>
      <c r="M24" s="12">
        <v>210</v>
      </c>
      <c r="N24" s="12">
        <v>165</v>
      </c>
      <c r="O24" s="12">
        <v>94</v>
      </c>
      <c r="P24" s="12">
        <v>165</v>
      </c>
      <c r="Q24" s="12">
        <v>144</v>
      </c>
      <c r="R24" s="12">
        <v>64</v>
      </c>
      <c r="S24" s="12">
        <v>139</v>
      </c>
      <c r="T24" s="12">
        <v>85</v>
      </c>
      <c r="U24" s="12">
        <v>52</v>
      </c>
      <c r="V24" s="12">
        <v>281</v>
      </c>
      <c r="W24" s="12">
        <v>74</v>
      </c>
      <c r="X24" s="12">
        <v>303</v>
      </c>
      <c r="Y24" s="12">
        <v>140</v>
      </c>
      <c r="Z24" s="12">
        <v>298</v>
      </c>
      <c r="AA24" s="12">
        <v>206</v>
      </c>
      <c r="AB24" s="12">
        <v>178</v>
      </c>
      <c r="AC24" s="12">
        <v>82</v>
      </c>
      <c r="AD24" s="12">
        <v>109</v>
      </c>
      <c r="AE24" s="12">
        <v>190</v>
      </c>
      <c r="AF24" s="12">
        <v>137</v>
      </c>
    </row>
    <row r="25" spans="1:32">
      <c r="A25" s="20"/>
      <c r="B25" s="13" t="s">
        <v>569</v>
      </c>
      <c r="C25" s="14">
        <v>0.17</v>
      </c>
      <c r="D25" s="14">
        <v>0.18</v>
      </c>
      <c r="E25" s="14">
        <v>0.22</v>
      </c>
      <c r="F25" s="14">
        <v>0.16</v>
      </c>
      <c r="G25" s="14">
        <v>0.09</v>
      </c>
      <c r="H25" s="14">
        <v>0.14000000000000001</v>
      </c>
      <c r="I25" s="14">
        <v>0.15</v>
      </c>
      <c r="J25" s="14">
        <v>0.2</v>
      </c>
      <c r="K25" s="14">
        <v>0.28999999999999998</v>
      </c>
      <c r="L25" s="14">
        <v>0.17</v>
      </c>
      <c r="M25" s="14">
        <v>0.21</v>
      </c>
      <c r="N25" s="14">
        <v>0.17</v>
      </c>
      <c r="O25" s="14">
        <v>0.09</v>
      </c>
      <c r="P25" s="14">
        <v>0.17</v>
      </c>
      <c r="Q25" s="14">
        <v>0.14000000000000001</v>
      </c>
      <c r="R25" s="14">
        <v>0.13</v>
      </c>
      <c r="S25" s="14">
        <v>0.14000000000000001</v>
      </c>
      <c r="T25" s="14">
        <v>0.08</v>
      </c>
      <c r="U25" s="14">
        <v>0.1</v>
      </c>
      <c r="V25" s="14">
        <v>0.28000000000000003</v>
      </c>
      <c r="W25" s="14">
        <v>0.15</v>
      </c>
      <c r="X25" s="14">
        <v>0.3</v>
      </c>
      <c r="Y25" s="14">
        <v>0.14000000000000001</v>
      </c>
      <c r="Z25" s="14">
        <v>0.3</v>
      </c>
      <c r="AA25" s="14">
        <v>0.2</v>
      </c>
      <c r="AB25" s="14">
        <v>0.17</v>
      </c>
      <c r="AC25" s="14">
        <v>0.08</v>
      </c>
      <c r="AD25" s="14">
        <v>0.11</v>
      </c>
      <c r="AE25" s="14">
        <v>0.19</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1213</v>
      </c>
      <c r="C3" s="18"/>
      <c r="D3" s="18"/>
      <c r="E3" s="18"/>
      <c r="F3" s="18"/>
      <c r="H3" s="18" t="s">
        <v>1214</v>
      </c>
      <c r="I3" s="18"/>
      <c r="J3" s="18"/>
      <c r="K3" s="18"/>
      <c r="L3" s="18"/>
    </row>
    <row r="4" spans="1:32" ht="27" customHeight="1">
      <c r="B4" s="18" t="s">
        <v>1215</v>
      </c>
      <c r="C4" s="18"/>
      <c r="D4" s="18"/>
      <c r="E4" s="18"/>
      <c r="F4" s="18"/>
      <c r="H4" s="18" t="s">
        <v>1216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564</v>
      </c>
      <c r="C12" s="12">
        <v>3337</v>
      </c>
      <c r="D12" s="12">
        <v>122</v>
      </c>
      <c r="E12" s="12">
        <v>162</v>
      </c>
      <c r="F12" s="12">
        <v>102</v>
      </c>
      <c r="G12" s="12">
        <v>107</v>
      </c>
      <c r="H12" s="12">
        <v>143</v>
      </c>
      <c r="I12" s="12">
        <v>173</v>
      </c>
      <c r="J12" s="12">
        <v>29</v>
      </c>
      <c r="K12" s="12">
        <v>140</v>
      </c>
      <c r="L12" s="12">
        <v>160</v>
      </c>
      <c r="M12" s="12">
        <v>195</v>
      </c>
      <c r="N12" s="12">
        <v>160</v>
      </c>
      <c r="O12" s="12">
        <v>114</v>
      </c>
      <c r="P12" s="12">
        <v>132</v>
      </c>
      <c r="Q12" s="12">
        <v>143</v>
      </c>
      <c r="R12" s="12">
        <v>50</v>
      </c>
      <c r="S12" s="12">
        <v>86</v>
      </c>
      <c r="T12" s="12">
        <v>138</v>
      </c>
      <c r="U12" s="12">
        <v>59</v>
      </c>
      <c r="V12" s="12">
        <v>184</v>
      </c>
      <c r="W12" s="12">
        <v>178</v>
      </c>
      <c r="X12" s="12">
        <v>148</v>
      </c>
      <c r="Y12" s="12">
        <v>224</v>
      </c>
      <c r="Z12" s="12">
        <v>52</v>
      </c>
      <c r="AA12" s="12">
        <v>96</v>
      </c>
      <c r="AB12" s="12">
        <v>169</v>
      </c>
      <c r="AC12" s="12">
        <v>152</v>
      </c>
      <c r="AD12" s="12">
        <v>121</v>
      </c>
      <c r="AE12" s="12">
        <v>115</v>
      </c>
      <c r="AF12" s="12">
        <v>89</v>
      </c>
    </row>
    <row r="13" spans="1:32">
      <c r="A13" s="20"/>
      <c r="B13" s="13" t="s">
        <v>565</v>
      </c>
      <c r="C13" s="14">
        <v>0.13</v>
      </c>
      <c r="D13" s="14">
        <v>0.12</v>
      </c>
      <c r="E13" s="14">
        <v>0.16</v>
      </c>
      <c r="F13" s="14">
        <v>0.1</v>
      </c>
      <c r="G13" s="14">
        <v>0.11</v>
      </c>
      <c r="H13" s="14">
        <v>0.12</v>
      </c>
      <c r="I13" s="14">
        <v>0.12</v>
      </c>
      <c r="J13" s="14">
        <v>0.1</v>
      </c>
      <c r="K13" s="14">
        <v>0.14000000000000001</v>
      </c>
      <c r="L13" s="14">
        <v>0.16</v>
      </c>
      <c r="M13" s="14">
        <v>0.2</v>
      </c>
      <c r="N13" s="14">
        <v>0.16</v>
      </c>
      <c r="O13" s="14">
        <v>0.11</v>
      </c>
      <c r="P13" s="14">
        <v>0.13</v>
      </c>
      <c r="Q13" s="14">
        <v>0.14000000000000001</v>
      </c>
      <c r="R13" s="14">
        <v>0.1</v>
      </c>
      <c r="S13" s="14">
        <v>0.09</v>
      </c>
      <c r="T13" s="14">
        <v>0.14000000000000001</v>
      </c>
      <c r="U13" s="14">
        <v>0.12</v>
      </c>
      <c r="V13" s="14">
        <v>0.18</v>
      </c>
      <c r="W13" s="14">
        <v>0.36</v>
      </c>
      <c r="X13" s="14">
        <v>0.15</v>
      </c>
      <c r="Y13" s="14">
        <v>0.22</v>
      </c>
      <c r="Z13" s="14">
        <v>0.05</v>
      </c>
      <c r="AA13" s="14">
        <v>0.09</v>
      </c>
      <c r="AB13" s="14">
        <v>0.16</v>
      </c>
      <c r="AC13" s="14">
        <v>0.15</v>
      </c>
      <c r="AD13" s="14">
        <v>0.12</v>
      </c>
      <c r="AE13" s="14">
        <v>0.11</v>
      </c>
      <c r="AF13" s="14">
        <v>0.09</v>
      </c>
    </row>
    <row r="14" spans="1:32">
      <c r="A14" s="20"/>
      <c r="B14" s="11" t="s">
        <v>562</v>
      </c>
      <c r="C14" s="12">
        <v>10235</v>
      </c>
      <c r="D14" s="12">
        <v>431</v>
      </c>
      <c r="E14" s="12">
        <v>396</v>
      </c>
      <c r="F14" s="12">
        <v>402</v>
      </c>
      <c r="G14" s="12">
        <v>266</v>
      </c>
      <c r="H14" s="12">
        <v>434</v>
      </c>
      <c r="I14" s="12">
        <v>544</v>
      </c>
      <c r="J14" s="12">
        <v>110</v>
      </c>
      <c r="K14" s="12">
        <v>404</v>
      </c>
      <c r="L14" s="12">
        <v>306</v>
      </c>
      <c r="M14" s="12">
        <v>373</v>
      </c>
      <c r="N14" s="12">
        <v>372</v>
      </c>
      <c r="O14" s="12">
        <v>414</v>
      </c>
      <c r="P14" s="12">
        <v>500</v>
      </c>
      <c r="Q14" s="12">
        <v>476</v>
      </c>
      <c r="R14" s="12">
        <v>198</v>
      </c>
      <c r="S14" s="12">
        <v>403</v>
      </c>
      <c r="T14" s="12">
        <v>460</v>
      </c>
      <c r="U14" s="12">
        <v>185</v>
      </c>
      <c r="V14" s="12">
        <v>397</v>
      </c>
      <c r="W14" s="12">
        <v>181</v>
      </c>
      <c r="X14" s="12">
        <v>331</v>
      </c>
      <c r="Y14" s="12">
        <v>334</v>
      </c>
      <c r="Z14" s="12">
        <v>376</v>
      </c>
      <c r="AA14" s="12">
        <v>493</v>
      </c>
      <c r="AB14" s="12">
        <v>494</v>
      </c>
      <c r="AC14" s="12">
        <v>341</v>
      </c>
      <c r="AD14" s="12">
        <v>437</v>
      </c>
      <c r="AE14" s="12">
        <v>205</v>
      </c>
      <c r="AF14" s="12">
        <v>180</v>
      </c>
    </row>
    <row r="15" spans="1:32">
      <c r="A15" s="20"/>
      <c r="B15" s="13" t="s">
        <v>1217</v>
      </c>
      <c r="C15" s="14">
        <v>0.39</v>
      </c>
      <c r="D15" s="14">
        <v>0.43</v>
      </c>
      <c r="E15" s="14">
        <v>0.39</v>
      </c>
      <c r="F15" s="14">
        <v>0.4</v>
      </c>
      <c r="G15" s="14">
        <v>0.26</v>
      </c>
      <c r="H15" s="14">
        <v>0.35</v>
      </c>
      <c r="I15" s="14">
        <v>0.36</v>
      </c>
      <c r="J15" s="14">
        <v>0.37</v>
      </c>
      <c r="K15" s="14">
        <v>0.4</v>
      </c>
      <c r="L15" s="14">
        <v>0.3</v>
      </c>
      <c r="M15" s="14">
        <v>0.37</v>
      </c>
      <c r="N15" s="14">
        <v>0.37</v>
      </c>
      <c r="O15" s="14">
        <v>0.41</v>
      </c>
      <c r="P15" s="14">
        <v>0.49</v>
      </c>
      <c r="Q15" s="14">
        <v>0.47</v>
      </c>
      <c r="R15" s="14">
        <v>0.39</v>
      </c>
      <c r="S15" s="14">
        <v>0.4</v>
      </c>
      <c r="T15" s="14">
        <v>0.45</v>
      </c>
      <c r="U15" s="14">
        <v>0.37</v>
      </c>
      <c r="V15" s="14">
        <v>0.39</v>
      </c>
      <c r="W15" s="14">
        <v>0.36</v>
      </c>
      <c r="X15" s="14">
        <v>0.32</v>
      </c>
      <c r="Y15" s="14">
        <v>0.33</v>
      </c>
      <c r="Z15" s="14">
        <v>0.37</v>
      </c>
      <c r="AA15" s="14">
        <v>0.47</v>
      </c>
      <c r="AB15" s="14">
        <v>0.47</v>
      </c>
      <c r="AC15" s="14">
        <v>0.34</v>
      </c>
      <c r="AD15" s="14">
        <v>0.43</v>
      </c>
      <c r="AE15" s="14">
        <v>0.21</v>
      </c>
      <c r="AF15" s="14">
        <v>0.18</v>
      </c>
    </row>
    <row r="16" spans="1:32">
      <c r="A16" s="20"/>
      <c r="B16" s="11" t="s">
        <v>560</v>
      </c>
      <c r="C16" s="12">
        <v>9453</v>
      </c>
      <c r="D16" s="12">
        <v>372</v>
      </c>
      <c r="E16" s="12">
        <v>325</v>
      </c>
      <c r="F16" s="12">
        <v>335</v>
      </c>
      <c r="G16" s="12">
        <v>443</v>
      </c>
      <c r="H16" s="12">
        <v>471</v>
      </c>
      <c r="I16" s="12">
        <v>586</v>
      </c>
      <c r="J16" s="12">
        <v>115</v>
      </c>
      <c r="K16" s="12">
        <v>342</v>
      </c>
      <c r="L16" s="12">
        <v>381</v>
      </c>
      <c r="M16" s="12">
        <v>342</v>
      </c>
      <c r="N16" s="12">
        <v>297</v>
      </c>
      <c r="O16" s="12">
        <v>357</v>
      </c>
      <c r="P16" s="12">
        <v>352</v>
      </c>
      <c r="Q16" s="12">
        <v>336</v>
      </c>
      <c r="R16" s="12">
        <v>190</v>
      </c>
      <c r="S16" s="12">
        <v>334</v>
      </c>
      <c r="T16" s="12">
        <v>279</v>
      </c>
      <c r="U16" s="12">
        <v>194</v>
      </c>
      <c r="V16" s="12">
        <v>368</v>
      </c>
      <c r="W16" s="12">
        <v>107</v>
      </c>
      <c r="X16" s="12">
        <v>400</v>
      </c>
      <c r="Y16" s="12">
        <v>272</v>
      </c>
      <c r="Z16" s="12">
        <v>459</v>
      </c>
      <c r="AA16" s="12">
        <v>352</v>
      </c>
      <c r="AB16" s="12">
        <v>289</v>
      </c>
      <c r="AC16" s="12">
        <v>398</v>
      </c>
      <c r="AD16" s="12">
        <v>342</v>
      </c>
      <c r="AE16" s="12">
        <v>473</v>
      </c>
      <c r="AF16" s="12">
        <v>470</v>
      </c>
    </row>
    <row r="17" spans="1:32">
      <c r="A17" s="20"/>
      <c r="B17" s="13" t="s">
        <v>1218</v>
      </c>
      <c r="C17" s="14">
        <v>0.36</v>
      </c>
      <c r="D17" s="14">
        <v>0.37</v>
      </c>
      <c r="E17" s="14">
        <v>0.32</v>
      </c>
      <c r="F17" s="14">
        <v>0.33</v>
      </c>
      <c r="G17" s="14">
        <v>0.44</v>
      </c>
      <c r="H17" s="14">
        <v>0.39</v>
      </c>
      <c r="I17" s="14">
        <v>0.39</v>
      </c>
      <c r="J17" s="14">
        <v>0.39</v>
      </c>
      <c r="K17" s="14">
        <v>0.34</v>
      </c>
      <c r="L17" s="14">
        <v>0.38</v>
      </c>
      <c r="M17" s="14">
        <v>0.34</v>
      </c>
      <c r="N17" s="14">
        <v>0.3</v>
      </c>
      <c r="O17" s="14">
        <v>0.36</v>
      </c>
      <c r="P17" s="14">
        <v>0.35</v>
      </c>
      <c r="Q17" s="14">
        <v>0.33</v>
      </c>
      <c r="R17" s="14">
        <v>0.38</v>
      </c>
      <c r="S17" s="14">
        <v>0.33</v>
      </c>
      <c r="T17" s="14">
        <v>0.28000000000000003</v>
      </c>
      <c r="U17" s="14">
        <v>0.38</v>
      </c>
      <c r="V17" s="14">
        <v>0.36</v>
      </c>
      <c r="W17" s="14">
        <v>0.21</v>
      </c>
      <c r="X17" s="14">
        <v>0.39</v>
      </c>
      <c r="Y17" s="14">
        <v>0.27</v>
      </c>
      <c r="Z17" s="14">
        <v>0.46</v>
      </c>
      <c r="AA17" s="14">
        <v>0.33</v>
      </c>
      <c r="AB17" s="14">
        <v>0.28000000000000003</v>
      </c>
      <c r="AC17" s="14">
        <v>0.39</v>
      </c>
      <c r="AD17" s="14">
        <v>0.34</v>
      </c>
      <c r="AE17" s="14">
        <v>0.47</v>
      </c>
      <c r="AF17" s="14">
        <v>0.46</v>
      </c>
    </row>
    <row r="18" spans="1:32">
      <c r="A18" s="20"/>
      <c r="B18" s="11" t="s">
        <v>558</v>
      </c>
      <c r="C18" s="12">
        <v>2409</v>
      </c>
      <c r="D18" s="12">
        <v>66</v>
      </c>
      <c r="E18" s="12">
        <v>62</v>
      </c>
      <c r="F18" s="12">
        <v>98</v>
      </c>
      <c r="G18" s="12">
        <v>156</v>
      </c>
      <c r="H18" s="12">
        <v>121</v>
      </c>
      <c r="I18" s="12">
        <v>156</v>
      </c>
      <c r="J18" s="12">
        <v>34</v>
      </c>
      <c r="K18" s="12">
        <v>59</v>
      </c>
      <c r="L18" s="12">
        <v>108</v>
      </c>
      <c r="M18" s="12">
        <v>71</v>
      </c>
      <c r="N18" s="12">
        <v>154</v>
      </c>
      <c r="O18" s="12">
        <v>83</v>
      </c>
      <c r="P18" s="12">
        <v>24</v>
      </c>
      <c r="Q18" s="12">
        <v>42</v>
      </c>
      <c r="R18" s="12">
        <v>33</v>
      </c>
      <c r="S18" s="12">
        <v>98</v>
      </c>
      <c r="T18" s="12">
        <v>66</v>
      </c>
      <c r="U18" s="12">
        <v>22</v>
      </c>
      <c r="V18" s="12">
        <v>47</v>
      </c>
      <c r="W18" s="12">
        <v>25</v>
      </c>
      <c r="X18" s="12">
        <v>130</v>
      </c>
      <c r="Y18" s="12">
        <v>158</v>
      </c>
      <c r="Z18" s="12">
        <v>64</v>
      </c>
      <c r="AA18" s="12">
        <v>58</v>
      </c>
      <c r="AB18" s="12">
        <v>27</v>
      </c>
      <c r="AC18" s="12">
        <v>83</v>
      </c>
      <c r="AD18" s="12">
        <v>69</v>
      </c>
      <c r="AE18" s="12">
        <v>175</v>
      </c>
      <c r="AF18" s="12">
        <v>269</v>
      </c>
    </row>
    <row r="19" spans="1:32">
      <c r="A19" s="20"/>
      <c r="B19" s="13" t="s">
        <v>1219</v>
      </c>
      <c r="C19" s="14">
        <v>0.09</v>
      </c>
      <c r="D19" s="14">
        <v>7.0000000000000007E-2</v>
      </c>
      <c r="E19" s="14">
        <v>0.06</v>
      </c>
      <c r="F19" s="14">
        <v>0.1</v>
      </c>
      <c r="G19" s="14">
        <v>0.16</v>
      </c>
      <c r="H19" s="14">
        <v>0.1</v>
      </c>
      <c r="I19" s="14">
        <v>0.1</v>
      </c>
      <c r="J19" s="14">
        <v>0.12</v>
      </c>
      <c r="K19" s="14">
        <v>0.06</v>
      </c>
      <c r="L19" s="14">
        <v>0.11</v>
      </c>
      <c r="M19" s="14">
        <v>7.0000000000000007E-2</v>
      </c>
      <c r="N19" s="14">
        <v>0.15</v>
      </c>
      <c r="O19" s="14">
        <v>0.08</v>
      </c>
      <c r="P19" s="14">
        <v>0.02</v>
      </c>
      <c r="Q19" s="14">
        <v>0.04</v>
      </c>
      <c r="R19" s="14">
        <v>7.0000000000000007E-2</v>
      </c>
      <c r="S19" s="14">
        <v>0.1</v>
      </c>
      <c r="T19" s="14">
        <v>0.06</v>
      </c>
      <c r="U19" s="14">
        <v>0.04</v>
      </c>
      <c r="V19" s="14">
        <v>0.05</v>
      </c>
      <c r="W19" s="14">
        <v>0.05</v>
      </c>
      <c r="X19" s="14">
        <v>0.13</v>
      </c>
      <c r="Y19" s="14">
        <v>0.16</v>
      </c>
      <c r="Z19" s="14">
        <v>0.06</v>
      </c>
      <c r="AA19" s="14">
        <v>0.06</v>
      </c>
      <c r="AB19" s="14">
        <v>0.03</v>
      </c>
      <c r="AC19" s="14">
        <v>0.08</v>
      </c>
      <c r="AD19" s="14">
        <v>7.0000000000000007E-2</v>
      </c>
      <c r="AE19" s="14">
        <v>0.18</v>
      </c>
      <c r="AF19" s="14">
        <v>0.26</v>
      </c>
    </row>
    <row r="20" spans="1:32">
      <c r="A20" s="20"/>
      <c r="B20" s="11" t="s">
        <v>468</v>
      </c>
      <c r="C20" s="12">
        <v>886</v>
      </c>
      <c r="D20" s="12">
        <v>11</v>
      </c>
      <c r="E20" s="12">
        <v>73</v>
      </c>
      <c r="F20" s="12">
        <v>68</v>
      </c>
      <c r="G20" s="12">
        <v>32</v>
      </c>
      <c r="H20" s="12">
        <v>47</v>
      </c>
      <c r="I20" s="12">
        <v>51</v>
      </c>
      <c r="J20" s="12">
        <v>5</v>
      </c>
      <c r="K20" s="12">
        <v>62</v>
      </c>
      <c r="L20" s="12">
        <v>51</v>
      </c>
      <c r="M20" s="12">
        <v>22</v>
      </c>
      <c r="N20" s="12">
        <v>23</v>
      </c>
      <c r="O20" s="12">
        <v>35</v>
      </c>
      <c r="P20" s="12">
        <v>14</v>
      </c>
      <c r="Q20" s="12">
        <v>21</v>
      </c>
      <c r="R20" s="12">
        <v>29</v>
      </c>
      <c r="S20" s="12">
        <v>86</v>
      </c>
      <c r="T20" s="12">
        <v>70</v>
      </c>
      <c r="U20" s="12">
        <v>46</v>
      </c>
      <c r="V20" s="12">
        <v>22</v>
      </c>
      <c r="W20" s="12">
        <v>11</v>
      </c>
      <c r="X20" s="12">
        <v>13</v>
      </c>
      <c r="Y20" s="12">
        <v>19</v>
      </c>
      <c r="Z20" s="12">
        <v>58</v>
      </c>
      <c r="AA20" s="12">
        <v>55</v>
      </c>
      <c r="AB20" s="12">
        <v>61</v>
      </c>
      <c r="AC20" s="12">
        <v>36</v>
      </c>
      <c r="AD20" s="12">
        <v>37</v>
      </c>
      <c r="AE20" s="12">
        <v>32</v>
      </c>
      <c r="AF20" s="12">
        <v>12</v>
      </c>
    </row>
    <row r="21" spans="1:32">
      <c r="A21" s="20"/>
      <c r="B21" s="13" t="s">
        <v>770</v>
      </c>
      <c r="C21" s="14">
        <v>0.03</v>
      </c>
      <c r="D21" s="14">
        <v>0.01</v>
      </c>
      <c r="E21" s="14">
        <v>7.0000000000000007E-2</v>
      </c>
      <c r="F21" s="14">
        <v>7.0000000000000007E-2</v>
      </c>
      <c r="G21" s="14">
        <v>0.03</v>
      </c>
      <c r="H21" s="14">
        <v>0.04</v>
      </c>
      <c r="I21" s="14">
        <v>0.03</v>
      </c>
      <c r="J21" s="14">
        <v>0.02</v>
      </c>
      <c r="K21" s="14">
        <v>0.06</v>
      </c>
      <c r="L21" s="14">
        <v>0.05</v>
      </c>
      <c r="M21" s="14">
        <v>0.02</v>
      </c>
      <c r="N21" s="14">
        <v>0.02</v>
      </c>
      <c r="O21" s="14">
        <v>0.04</v>
      </c>
      <c r="P21" s="14">
        <v>0.01</v>
      </c>
      <c r="Q21" s="14">
        <v>0.02</v>
      </c>
      <c r="R21" s="14">
        <v>0.06</v>
      </c>
      <c r="S21" s="14">
        <v>0.08</v>
      </c>
      <c r="T21" s="14">
        <v>7.0000000000000007E-2</v>
      </c>
      <c r="U21" s="14">
        <v>0.09</v>
      </c>
      <c r="V21" s="14">
        <v>0.02</v>
      </c>
      <c r="W21" s="14">
        <v>0.02</v>
      </c>
      <c r="X21" s="14">
        <v>0.01</v>
      </c>
      <c r="Y21" s="14">
        <v>0.02</v>
      </c>
      <c r="Z21" s="14">
        <v>0.06</v>
      </c>
      <c r="AA21" s="14">
        <v>0.05</v>
      </c>
      <c r="AB21" s="14">
        <v>0.06</v>
      </c>
      <c r="AC21" s="14">
        <v>0.04</v>
      </c>
      <c r="AD21" s="14">
        <v>0.04</v>
      </c>
      <c r="AE21" s="14">
        <v>0.03</v>
      </c>
      <c r="AF21" s="14">
        <v>0.01</v>
      </c>
    </row>
    <row r="22" spans="1:32">
      <c r="A22" s="20"/>
      <c r="B22" s="11" t="s">
        <v>568</v>
      </c>
      <c r="C22" s="12">
        <v>13572</v>
      </c>
      <c r="D22" s="12">
        <v>553</v>
      </c>
      <c r="E22" s="12">
        <v>558</v>
      </c>
      <c r="F22" s="12">
        <v>504</v>
      </c>
      <c r="G22" s="12">
        <v>373</v>
      </c>
      <c r="H22" s="12">
        <v>577</v>
      </c>
      <c r="I22" s="12">
        <v>717</v>
      </c>
      <c r="J22" s="12">
        <v>139</v>
      </c>
      <c r="K22" s="12">
        <v>544</v>
      </c>
      <c r="L22" s="12">
        <v>466</v>
      </c>
      <c r="M22" s="12">
        <v>568</v>
      </c>
      <c r="N22" s="12">
        <v>532</v>
      </c>
      <c r="O22" s="12">
        <v>528</v>
      </c>
      <c r="P22" s="12">
        <v>632</v>
      </c>
      <c r="Q22" s="12">
        <v>619</v>
      </c>
      <c r="R22" s="12">
        <v>248</v>
      </c>
      <c r="S22" s="12">
        <v>489</v>
      </c>
      <c r="T22" s="12">
        <v>598</v>
      </c>
      <c r="U22" s="12">
        <v>244</v>
      </c>
      <c r="V22" s="12">
        <v>581</v>
      </c>
      <c r="W22" s="12">
        <v>359</v>
      </c>
      <c r="X22" s="12">
        <v>479</v>
      </c>
      <c r="Y22" s="12">
        <v>558</v>
      </c>
      <c r="Z22" s="12">
        <v>428</v>
      </c>
      <c r="AA22" s="12">
        <v>589</v>
      </c>
      <c r="AB22" s="12">
        <v>663</v>
      </c>
      <c r="AC22" s="12">
        <v>493</v>
      </c>
      <c r="AD22" s="12">
        <v>558</v>
      </c>
      <c r="AE22" s="12">
        <v>320</v>
      </c>
      <c r="AF22" s="12">
        <v>269</v>
      </c>
    </row>
    <row r="23" spans="1:32">
      <c r="A23" s="20"/>
      <c r="B23" s="13" t="s">
        <v>569</v>
      </c>
      <c r="C23" s="14">
        <v>0.52</v>
      </c>
      <c r="D23" s="14">
        <v>0.55000000000000004</v>
      </c>
      <c r="E23" s="14">
        <v>0.55000000000000004</v>
      </c>
      <c r="F23" s="14">
        <v>0.5</v>
      </c>
      <c r="G23" s="14">
        <v>0.37</v>
      </c>
      <c r="H23" s="14">
        <v>0.47</v>
      </c>
      <c r="I23" s="14">
        <v>0.48</v>
      </c>
      <c r="J23" s="14">
        <v>0.47</v>
      </c>
      <c r="K23" s="14">
        <v>0.54</v>
      </c>
      <c r="L23" s="14">
        <v>0.46</v>
      </c>
      <c r="M23" s="14">
        <v>0.57000000000000006</v>
      </c>
      <c r="N23" s="14">
        <v>0.53</v>
      </c>
      <c r="O23" s="14">
        <v>0.52</v>
      </c>
      <c r="P23" s="14">
        <v>0.62</v>
      </c>
      <c r="Q23" s="14">
        <v>0.61</v>
      </c>
      <c r="R23" s="14">
        <v>0.49</v>
      </c>
      <c r="S23" s="14">
        <v>0.49</v>
      </c>
      <c r="T23" s="14">
        <v>0.59</v>
      </c>
      <c r="U23" s="14">
        <v>0.49</v>
      </c>
      <c r="V23" s="14">
        <v>0.57000000000000006</v>
      </c>
      <c r="W23" s="14">
        <v>0.72</v>
      </c>
      <c r="X23" s="14">
        <v>0.47</v>
      </c>
      <c r="Y23" s="14">
        <v>0.55000000000000004</v>
      </c>
      <c r="Z23" s="14">
        <v>0.42</v>
      </c>
      <c r="AA23" s="14">
        <v>0.56000000000000005</v>
      </c>
      <c r="AB23" s="14">
        <v>0.63</v>
      </c>
      <c r="AC23" s="14">
        <v>0.49</v>
      </c>
      <c r="AD23" s="14">
        <v>0.55000000000000004</v>
      </c>
      <c r="AE23" s="14">
        <v>0.32</v>
      </c>
      <c r="AF23" s="14">
        <v>0.27</v>
      </c>
    </row>
    <row r="24" spans="1:32">
      <c r="A24" s="20"/>
      <c r="B24" s="11" t="s">
        <v>566</v>
      </c>
      <c r="C24" s="12">
        <v>11862</v>
      </c>
      <c r="D24" s="12">
        <v>438</v>
      </c>
      <c r="E24" s="12">
        <v>387</v>
      </c>
      <c r="F24" s="12">
        <v>433</v>
      </c>
      <c r="G24" s="12">
        <v>599</v>
      </c>
      <c r="H24" s="12">
        <v>592</v>
      </c>
      <c r="I24" s="12">
        <v>742</v>
      </c>
      <c r="J24" s="12">
        <v>149</v>
      </c>
      <c r="K24" s="12">
        <v>401</v>
      </c>
      <c r="L24" s="12">
        <v>489</v>
      </c>
      <c r="M24" s="12">
        <v>413</v>
      </c>
      <c r="N24" s="12">
        <v>451</v>
      </c>
      <c r="O24" s="12">
        <v>440</v>
      </c>
      <c r="P24" s="12">
        <v>376</v>
      </c>
      <c r="Q24" s="12">
        <v>378</v>
      </c>
      <c r="R24" s="12">
        <v>223</v>
      </c>
      <c r="S24" s="12">
        <v>432</v>
      </c>
      <c r="T24" s="12">
        <v>345</v>
      </c>
      <c r="U24" s="12">
        <v>216</v>
      </c>
      <c r="V24" s="12">
        <v>415</v>
      </c>
      <c r="W24" s="12">
        <v>132</v>
      </c>
      <c r="X24" s="12">
        <v>530</v>
      </c>
      <c r="Y24" s="12">
        <v>430</v>
      </c>
      <c r="Z24" s="12">
        <v>523</v>
      </c>
      <c r="AA24" s="12">
        <v>410</v>
      </c>
      <c r="AB24" s="12">
        <v>316</v>
      </c>
      <c r="AC24" s="12">
        <v>481</v>
      </c>
      <c r="AD24" s="12">
        <v>411</v>
      </c>
      <c r="AE24" s="12">
        <v>648</v>
      </c>
      <c r="AF24" s="12">
        <v>739</v>
      </c>
    </row>
    <row r="25" spans="1:32">
      <c r="A25" s="20"/>
      <c r="B25" s="13" t="s">
        <v>567</v>
      </c>
      <c r="C25" s="14">
        <v>0.45</v>
      </c>
      <c r="D25" s="14">
        <v>0.44</v>
      </c>
      <c r="E25" s="14">
        <v>0.38</v>
      </c>
      <c r="F25" s="14">
        <v>0.43</v>
      </c>
      <c r="G25" s="14">
        <v>0.6</v>
      </c>
      <c r="H25" s="14">
        <v>0.49</v>
      </c>
      <c r="I25" s="14">
        <v>0.49</v>
      </c>
      <c r="J25" s="14">
        <v>0.51</v>
      </c>
      <c r="K25" s="14">
        <v>0.4</v>
      </c>
      <c r="L25" s="14">
        <v>0.49</v>
      </c>
      <c r="M25" s="14">
        <v>0.41</v>
      </c>
      <c r="N25" s="14">
        <v>0.45</v>
      </c>
      <c r="O25" s="14">
        <v>0.44</v>
      </c>
      <c r="P25" s="14">
        <v>0.37</v>
      </c>
      <c r="Q25" s="14">
        <v>0.37</v>
      </c>
      <c r="R25" s="14">
        <v>0.45</v>
      </c>
      <c r="S25" s="14">
        <v>0.43</v>
      </c>
      <c r="T25" s="14">
        <v>0.34</v>
      </c>
      <c r="U25" s="14">
        <v>0.42</v>
      </c>
      <c r="V25" s="14">
        <v>0.41</v>
      </c>
      <c r="W25" s="14">
        <v>0.26</v>
      </c>
      <c r="X25" s="14">
        <v>0.52</v>
      </c>
      <c r="Y25" s="14">
        <v>0.43</v>
      </c>
      <c r="Z25" s="14">
        <v>0.52</v>
      </c>
      <c r="AA25" s="14">
        <v>0.39</v>
      </c>
      <c r="AB25" s="14">
        <v>0.31</v>
      </c>
      <c r="AC25" s="14">
        <v>0.47</v>
      </c>
      <c r="AD25" s="14">
        <v>0.41</v>
      </c>
      <c r="AE25" s="14">
        <v>0.65</v>
      </c>
      <c r="AF25" s="14">
        <v>0.72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1220</v>
      </c>
      <c r="C3" s="18"/>
      <c r="D3" s="18"/>
      <c r="E3" s="18"/>
      <c r="F3" s="18"/>
      <c r="H3" s="18" t="s">
        <v>1221</v>
      </c>
      <c r="I3" s="18"/>
      <c r="J3" s="18"/>
      <c r="K3" s="18"/>
      <c r="L3" s="18"/>
    </row>
    <row r="4" spans="1:32" ht="27" customHeight="1">
      <c r="B4" s="18" t="s">
        <v>1222</v>
      </c>
      <c r="C4" s="18"/>
      <c r="D4" s="18"/>
      <c r="E4" s="18"/>
      <c r="F4" s="18"/>
      <c r="H4" s="18" t="s">
        <v>1223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564</v>
      </c>
      <c r="C12" s="12">
        <v>3695</v>
      </c>
      <c r="D12" s="12">
        <v>144</v>
      </c>
      <c r="E12" s="12">
        <v>208</v>
      </c>
      <c r="F12" s="12">
        <v>125</v>
      </c>
      <c r="G12" s="12">
        <v>109</v>
      </c>
      <c r="H12" s="12">
        <v>150</v>
      </c>
      <c r="I12" s="12">
        <v>186</v>
      </c>
      <c r="J12" s="12">
        <v>36</v>
      </c>
      <c r="K12" s="12">
        <v>95</v>
      </c>
      <c r="L12" s="12">
        <v>159</v>
      </c>
      <c r="M12" s="12">
        <v>89</v>
      </c>
      <c r="N12" s="12">
        <v>210</v>
      </c>
      <c r="O12" s="12">
        <v>132</v>
      </c>
      <c r="P12" s="12">
        <v>126</v>
      </c>
      <c r="Q12" s="12">
        <v>182</v>
      </c>
      <c r="R12" s="12">
        <v>50</v>
      </c>
      <c r="S12" s="12">
        <v>85</v>
      </c>
      <c r="T12" s="12">
        <v>125</v>
      </c>
      <c r="U12" s="12">
        <v>46</v>
      </c>
      <c r="V12" s="12">
        <v>150</v>
      </c>
      <c r="W12" s="12">
        <v>93</v>
      </c>
      <c r="X12" s="12">
        <v>131</v>
      </c>
      <c r="Y12" s="12">
        <v>224</v>
      </c>
      <c r="Z12" s="12">
        <v>73</v>
      </c>
      <c r="AA12" s="12">
        <v>76</v>
      </c>
      <c r="AB12" s="12">
        <v>139</v>
      </c>
      <c r="AC12" s="12">
        <v>155</v>
      </c>
      <c r="AD12" s="12">
        <v>124</v>
      </c>
      <c r="AE12" s="12">
        <v>127</v>
      </c>
      <c r="AF12" s="12">
        <v>132</v>
      </c>
    </row>
    <row r="13" spans="1:32">
      <c r="A13" s="20"/>
      <c r="B13" s="13" t="s">
        <v>565</v>
      </c>
      <c r="C13" s="14">
        <v>0.14000000000000001</v>
      </c>
      <c r="D13" s="14">
        <v>0.14000000000000001</v>
      </c>
      <c r="E13" s="14">
        <v>0.2</v>
      </c>
      <c r="F13" s="14">
        <v>0.12</v>
      </c>
      <c r="G13" s="14">
        <v>0.11</v>
      </c>
      <c r="H13" s="14">
        <v>0.12</v>
      </c>
      <c r="I13" s="14">
        <v>0.12</v>
      </c>
      <c r="J13" s="14">
        <v>0.12</v>
      </c>
      <c r="K13" s="14">
        <v>0.09</v>
      </c>
      <c r="L13" s="14">
        <v>0.16</v>
      </c>
      <c r="M13" s="14">
        <v>0.09</v>
      </c>
      <c r="N13" s="14">
        <v>0.21</v>
      </c>
      <c r="O13" s="14">
        <v>0.13</v>
      </c>
      <c r="P13" s="14">
        <v>0.12</v>
      </c>
      <c r="Q13" s="14">
        <v>0.18</v>
      </c>
      <c r="R13" s="14">
        <v>0.1</v>
      </c>
      <c r="S13" s="14">
        <v>0.08</v>
      </c>
      <c r="T13" s="14">
        <v>0.12</v>
      </c>
      <c r="U13" s="14">
        <v>0.09</v>
      </c>
      <c r="V13" s="14">
        <v>0.15</v>
      </c>
      <c r="W13" s="14">
        <v>0.18</v>
      </c>
      <c r="X13" s="14">
        <v>0.13</v>
      </c>
      <c r="Y13" s="14">
        <v>0.22</v>
      </c>
      <c r="Z13" s="14">
        <v>7.0000000000000007E-2</v>
      </c>
      <c r="AA13" s="14">
        <v>7.0000000000000007E-2</v>
      </c>
      <c r="AB13" s="14">
        <v>0.13</v>
      </c>
      <c r="AC13" s="14">
        <v>0.15</v>
      </c>
      <c r="AD13" s="14">
        <v>0.12</v>
      </c>
      <c r="AE13" s="14">
        <v>0.13</v>
      </c>
      <c r="AF13" s="14">
        <v>0.13</v>
      </c>
    </row>
    <row r="14" spans="1:32">
      <c r="A14" s="20"/>
      <c r="B14" s="11" t="s">
        <v>562</v>
      </c>
      <c r="C14" s="12">
        <v>8416</v>
      </c>
      <c r="D14" s="12">
        <v>321</v>
      </c>
      <c r="E14" s="12">
        <v>331</v>
      </c>
      <c r="F14" s="12">
        <v>292</v>
      </c>
      <c r="G14" s="12">
        <v>206</v>
      </c>
      <c r="H14" s="12">
        <v>375</v>
      </c>
      <c r="I14" s="12">
        <v>462</v>
      </c>
      <c r="J14" s="12">
        <v>87</v>
      </c>
      <c r="K14" s="12">
        <v>219</v>
      </c>
      <c r="L14" s="12">
        <v>241</v>
      </c>
      <c r="M14" s="12">
        <v>254</v>
      </c>
      <c r="N14" s="12">
        <v>318</v>
      </c>
      <c r="O14" s="12">
        <v>297</v>
      </c>
      <c r="P14" s="12">
        <v>411</v>
      </c>
      <c r="Q14" s="12">
        <v>421</v>
      </c>
      <c r="R14" s="12">
        <v>165</v>
      </c>
      <c r="S14" s="12">
        <v>280</v>
      </c>
      <c r="T14" s="12">
        <v>418</v>
      </c>
      <c r="U14" s="12">
        <v>136</v>
      </c>
      <c r="V14" s="12">
        <v>281</v>
      </c>
      <c r="W14" s="12">
        <v>146</v>
      </c>
      <c r="X14" s="12">
        <v>223</v>
      </c>
      <c r="Y14" s="12">
        <v>327</v>
      </c>
      <c r="Z14" s="12">
        <v>363</v>
      </c>
      <c r="AA14" s="12">
        <v>380</v>
      </c>
      <c r="AB14" s="12">
        <v>408</v>
      </c>
      <c r="AC14" s="12">
        <v>250</v>
      </c>
      <c r="AD14" s="12">
        <v>361</v>
      </c>
      <c r="AE14" s="12">
        <v>247</v>
      </c>
      <c r="AF14" s="12">
        <v>157</v>
      </c>
    </row>
    <row r="15" spans="1:32">
      <c r="A15" s="20"/>
      <c r="B15" s="13" t="s">
        <v>1217</v>
      </c>
      <c r="C15" s="14">
        <v>0.32</v>
      </c>
      <c r="D15" s="14">
        <v>0.32</v>
      </c>
      <c r="E15" s="14">
        <v>0.32</v>
      </c>
      <c r="F15" s="14">
        <v>0.28999999999999998</v>
      </c>
      <c r="G15" s="14">
        <v>0.21</v>
      </c>
      <c r="H15" s="14">
        <v>0.31</v>
      </c>
      <c r="I15" s="14">
        <v>0.31</v>
      </c>
      <c r="J15" s="14">
        <v>0.3</v>
      </c>
      <c r="K15" s="14">
        <v>0.22</v>
      </c>
      <c r="L15" s="14">
        <v>0.24</v>
      </c>
      <c r="M15" s="14">
        <v>0.25</v>
      </c>
      <c r="N15" s="14">
        <v>0.32</v>
      </c>
      <c r="O15" s="14">
        <v>0.3</v>
      </c>
      <c r="P15" s="14">
        <v>0.4</v>
      </c>
      <c r="Q15" s="14">
        <v>0.41</v>
      </c>
      <c r="R15" s="14">
        <v>0.33</v>
      </c>
      <c r="S15" s="14">
        <v>0.28000000000000003</v>
      </c>
      <c r="T15" s="14">
        <v>0.41</v>
      </c>
      <c r="U15" s="14">
        <v>0.27</v>
      </c>
      <c r="V15" s="14">
        <v>0.28000000000000003</v>
      </c>
      <c r="W15" s="14">
        <v>0.28999999999999998</v>
      </c>
      <c r="X15" s="14">
        <v>0.22</v>
      </c>
      <c r="Y15" s="14">
        <v>0.32</v>
      </c>
      <c r="Z15" s="14">
        <v>0.36</v>
      </c>
      <c r="AA15" s="14">
        <v>0.36</v>
      </c>
      <c r="AB15" s="14">
        <v>0.39</v>
      </c>
      <c r="AC15" s="14">
        <v>0.25</v>
      </c>
      <c r="AD15" s="14">
        <v>0.36</v>
      </c>
      <c r="AE15" s="14">
        <v>0.25</v>
      </c>
      <c r="AF15" s="14">
        <v>0.15</v>
      </c>
    </row>
    <row r="16" spans="1:32">
      <c r="A16" s="20"/>
      <c r="B16" s="11" t="s">
        <v>560</v>
      </c>
      <c r="C16" s="12">
        <v>8895</v>
      </c>
      <c r="D16" s="12">
        <v>367</v>
      </c>
      <c r="E16" s="12">
        <v>291</v>
      </c>
      <c r="F16" s="12">
        <v>388</v>
      </c>
      <c r="G16" s="12">
        <v>311</v>
      </c>
      <c r="H16" s="12">
        <v>452</v>
      </c>
      <c r="I16" s="12">
        <v>565</v>
      </c>
      <c r="J16" s="12">
        <v>113</v>
      </c>
      <c r="K16" s="12">
        <v>425</v>
      </c>
      <c r="L16" s="12">
        <v>349</v>
      </c>
      <c r="M16" s="12">
        <v>419</v>
      </c>
      <c r="N16" s="12">
        <v>272</v>
      </c>
      <c r="O16" s="12">
        <v>294</v>
      </c>
      <c r="P16" s="12">
        <v>386</v>
      </c>
      <c r="Q16" s="12">
        <v>312</v>
      </c>
      <c r="R16" s="12">
        <v>186</v>
      </c>
      <c r="S16" s="12">
        <v>336</v>
      </c>
      <c r="T16" s="12">
        <v>182</v>
      </c>
      <c r="U16" s="12">
        <v>191</v>
      </c>
      <c r="V16" s="12">
        <v>412</v>
      </c>
      <c r="W16" s="12">
        <v>167</v>
      </c>
      <c r="X16" s="12">
        <v>348</v>
      </c>
      <c r="Y16" s="12">
        <v>269</v>
      </c>
      <c r="Z16" s="12">
        <v>438</v>
      </c>
      <c r="AA16" s="12">
        <v>444</v>
      </c>
      <c r="AB16" s="12">
        <v>338</v>
      </c>
      <c r="AC16" s="12">
        <v>331</v>
      </c>
      <c r="AD16" s="12">
        <v>334</v>
      </c>
      <c r="AE16" s="12">
        <v>366</v>
      </c>
      <c r="AF16" s="12">
        <v>323</v>
      </c>
    </row>
    <row r="17" spans="1:32">
      <c r="A17" s="20"/>
      <c r="B17" s="13" t="s">
        <v>1218</v>
      </c>
      <c r="C17" s="14">
        <v>0.34</v>
      </c>
      <c r="D17" s="14">
        <v>0.37</v>
      </c>
      <c r="E17" s="14">
        <v>0.28999999999999998</v>
      </c>
      <c r="F17" s="14">
        <v>0.39</v>
      </c>
      <c r="G17" s="14">
        <v>0.31</v>
      </c>
      <c r="H17" s="14">
        <v>0.37</v>
      </c>
      <c r="I17" s="14">
        <v>0.37</v>
      </c>
      <c r="J17" s="14">
        <v>0.39</v>
      </c>
      <c r="K17" s="14">
        <v>0.42</v>
      </c>
      <c r="L17" s="14">
        <v>0.35</v>
      </c>
      <c r="M17" s="14">
        <v>0.42</v>
      </c>
      <c r="N17" s="14">
        <v>0.27</v>
      </c>
      <c r="O17" s="14">
        <v>0.28999999999999998</v>
      </c>
      <c r="P17" s="14">
        <v>0.38</v>
      </c>
      <c r="Q17" s="14">
        <v>0.31</v>
      </c>
      <c r="R17" s="14">
        <v>0.37</v>
      </c>
      <c r="S17" s="14">
        <v>0.33</v>
      </c>
      <c r="T17" s="14">
        <v>0.18</v>
      </c>
      <c r="U17" s="14">
        <v>0.37</v>
      </c>
      <c r="V17" s="14">
        <v>0.4</v>
      </c>
      <c r="W17" s="14">
        <v>0.33</v>
      </c>
      <c r="X17" s="14">
        <v>0.34</v>
      </c>
      <c r="Y17" s="14">
        <v>0.27</v>
      </c>
      <c r="Z17" s="14">
        <v>0.43</v>
      </c>
      <c r="AA17" s="14">
        <v>0.42</v>
      </c>
      <c r="AB17" s="14">
        <v>0.33</v>
      </c>
      <c r="AC17" s="14">
        <v>0.33</v>
      </c>
      <c r="AD17" s="14">
        <v>0.33</v>
      </c>
      <c r="AE17" s="14">
        <v>0.36</v>
      </c>
      <c r="AF17" s="14">
        <v>0.32</v>
      </c>
    </row>
    <row r="18" spans="1:32">
      <c r="A18" s="20"/>
      <c r="B18" s="11" t="s">
        <v>558</v>
      </c>
      <c r="C18" s="12">
        <v>3973</v>
      </c>
      <c r="D18" s="12">
        <v>154</v>
      </c>
      <c r="E18" s="12">
        <v>112</v>
      </c>
      <c r="F18" s="12">
        <v>141</v>
      </c>
      <c r="G18" s="12">
        <v>303</v>
      </c>
      <c r="H18" s="12">
        <v>165</v>
      </c>
      <c r="I18" s="12">
        <v>213</v>
      </c>
      <c r="J18" s="12">
        <v>48</v>
      </c>
      <c r="K18" s="12">
        <v>168</v>
      </c>
      <c r="L18" s="12">
        <v>203</v>
      </c>
      <c r="M18" s="12">
        <v>204</v>
      </c>
      <c r="N18" s="12">
        <v>151</v>
      </c>
      <c r="O18" s="12">
        <v>227</v>
      </c>
      <c r="P18" s="12">
        <v>83</v>
      </c>
      <c r="Q18" s="12">
        <v>74</v>
      </c>
      <c r="R18" s="12">
        <v>79</v>
      </c>
      <c r="S18" s="12">
        <v>231</v>
      </c>
      <c r="T18" s="12">
        <v>136</v>
      </c>
      <c r="U18" s="12">
        <v>110</v>
      </c>
      <c r="V18" s="12">
        <v>151</v>
      </c>
      <c r="W18" s="12">
        <v>89</v>
      </c>
      <c r="X18" s="12">
        <v>286</v>
      </c>
      <c r="Y18" s="12">
        <v>139</v>
      </c>
      <c r="Z18" s="12">
        <v>67</v>
      </c>
      <c r="AA18" s="12">
        <v>79</v>
      </c>
      <c r="AB18" s="12">
        <v>95</v>
      </c>
      <c r="AC18" s="12">
        <v>210</v>
      </c>
      <c r="AD18" s="12">
        <v>98</v>
      </c>
      <c r="AE18" s="12">
        <v>191</v>
      </c>
      <c r="AF18" s="12">
        <v>359</v>
      </c>
    </row>
    <row r="19" spans="1:32">
      <c r="A19" s="20"/>
      <c r="B19" s="13" t="s">
        <v>1219</v>
      </c>
      <c r="C19" s="14">
        <v>0.15</v>
      </c>
      <c r="D19" s="14">
        <v>0.15</v>
      </c>
      <c r="E19" s="14">
        <v>0.11</v>
      </c>
      <c r="F19" s="14">
        <v>0.14000000000000001</v>
      </c>
      <c r="G19" s="14">
        <v>0.3</v>
      </c>
      <c r="H19" s="14">
        <v>0.14000000000000001</v>
      </c>
      <c r="I19" s="14">
        <v>0.14000000000000001</v>
      </c>
      <c r="J19" s="14">
        <v>0.16</v>
      </c>
      <c r="K19" s="14">
        <v>0.17</v>
      </c>
      <c r="L19" s="14">
        <v>0.2</v>
      </c>
      <c r="M19" s="14">
        <v>0.2</v>
      </c>
      <c r="N19" s="14">
        <v>0.15</v>
      </c>
      <c r="O19" s="14">
        <v>0.23</v>
      </c>
      <c r="P19" s="14">
        <v>0.08</v>
      </c>
      <c r="Q19" s="14">
        <v>7.0000000000000007E-2</v>
      </c>
      <c r="R19" s="14">
        <v>0.16</v>
      </c>
      <c r="S19" s="14">
        <v>0.23</v>
      </c>
      <c r="T19" s="14">
        <v>0.14000000000000001</v>
      </c>
      <c r="U19" s="14">
        <v>0.22</v>
      </c>
      <c r="V19" s="14">
        <v>0.15</v>
      </c>
      <c r="W19" s="14">
        <v>0.18</v>
      </c>
      <c r="X19" s="14">
        <v>0.28000000000000003</v>
      </c>
      <c r="Y19" s="14">
        <v>0.14000000000000001</v>
      </c>
      <c r="Z19" s="14">
        <v>7.0000000000000007E-2</v>
      </c>
      <c r="AA19" s="14">
        <v>0.08</v>
      </c>
      <c r="AB19" s="14">
        <v>0.09</v>
      </c>
      <c r="AC19" s="14">
        <v>0.21</v>
      </c>
      <c r="AD19" s="14">
        <v>0.1</v>
      </c>
      <c r="AE19" s="14">
        <v>0.19</v>
      </c>
      <c r="AF19" s="14">
        <v>0.35</v>
      </c>
    </row>
    <row r="20" spans="1:32">
      <c r="A20" s="20"/>
      <c r="B20" s="11" t="s">
        <v>468</v>
      </c>
      <c r="C20" s="12">
        <v>1339</v>
      </c>
      <c r="D20" s="12">
        <v>17</v>
      </c>
      <c r="E20" s="12">
        <v>77</v>
      </c>
      <c r="F20" s="12">
        <v>59</v>
      </c>
      <c r="G20" s="12">
        <v>75</v>
      </c>
      <c r="H20" s="12">
        <v>74</v>
      </c>
      <c r="I20" s="12">
        <v>84</v>
      </c>
      <c r="J20" s="12">
        <v>10</v>
      </c>
      <c r="K20" s="12">
        <v>99</v>
      </c>
      <c r="L20" s="12">
        <v>55</v>
      </c>
      <c r="M20" s="12">
        <v>36</v>
      </c>
      <c r="N20" s="12">
        <v>54</v>
      </c>
      <c r="O20" s="12">
        <v>53</v>
      </c>
      <c r="P20" s="12">
        <v>15</v>
      </c>
      <c r="Q20" s="12">
        <v>30</v>
      </c>
      <c r="R20" s="12">
        <v>20</v>
      </c>
      <c r="S20" s="12">
        <v>77</v>
      </c>
      <c r="T20" s="12">
        <v>154</v>
      </c>
      <c r="U20" s="12">
        <v>24</v>
      </c>
      <c r="V20" s="12">
        <v>23</v>
      </c>
      <c r="W20" s="12">
        <v>9</v>
      </c>
      <c r="X20" s="12">
        <v>33</v>
      </c>
      <c r="Y20" s="12">
        <v>49</v>
      </c>
      <c r="Z20" s="12">
        <v>67</v>
      </c>
      <c r="AA20" s="12">
        <v>73</v>
      </c>
      <c r="AB20" s="12">
        <v>59</v>
      </c>
      <c r="AC20" s="12">
        <v>64</v>
      </c>
      <c r="AD20" s="12">
        <v>89</v>
      </c>
      <c r="AE20" s="12">
        <v>70</v>
      </c>
      <c r="AF20" s="12">
        <v>49</v>
      </c>
    </row>
    <row r="21" spans="1:32">
      <c r="A21" s="20"/>
      <c r="B21" s="13" t="s">
        <v>770</v>
      </c>
      <c r="C21" s="14">
        <v>0.05</v>
      </c>
      <c r="D21" s="14">
        <v>0.02</v>
      </c>
      <c r="E21" s="14">
        <v>0.08</v>
      </c>
      <c r="F21" s="14">
        <v>0.06</v>
      </c>
      <c r="G21" s="14">
        <v>7.0000000000000007E-2</v>
      </c>
      <c r="H21" s="14">
        <v>0.06</v>
      </c>
      <c r="I21" s="14">
        <v>0.06</v>
      </c>
      <c r="J21" s="14">
        <v>0.03</v>
      </c>
      <c r="K21" s="14">
        <v>0.1</v>
      </c>
      <c r="L21" s="14">
        <v>0.05</v>
      </c>
      <c r="M21" s="14">
        <v>0.04</v>
      </c>
      <c r="N21" s="14">
        <v>0.05</v>
      </c>
      <c r="O21" s="14">
        <v>0.05</v>
      </c>
      <c r="P21" s="14">
        <v>0.02</v>
      </c>
      <c r="Q21" s="14">
        <v>0.03</v>
      </c>
      <c r="R21" s="14">
        <v>0.04</v>
      </c>
      <c r="S21" s="14">
        <v>0.08</v>
      </c>
      <c r="T21" s="14">
        <v>0.15</v>
      </c>
      <c r="U21" s="14">
        <v>0.05</v>
      </c>
      <c r="V21" s="14">
        <v>0.02</v>
      </c>
      <c r="W21" s="14">
        <v>0.02</v>
      </c>
      <c r="X21" s="14">
        <v>0.03</v>
      </c>
      <c r="Y21" s="14">
        <v>0.05</v>
      </c>
      <c r="Z21" s="14">
        <v>7.0000000000000007E-2</v>
      </c>
      <c r="AA21" s="14">
        <v>7.0000000000000007E-2</v>
      </c>
      <c r="AB21" s="14">
        <v>0.06</v>
      </c>
      <c r="AC21" s="14">
        <v>0.06</v>
      </c>
      <c r="AD21" s="14">
        <v>0.09</v>
      </c>
      <c r="AE21" s="14">
        <v>7.0000000000000007E-2</v>
      </c>
      <c r="AF21" s="14">
        <v>0.05</v>
      </c>
    </row>
    <row r="22" spans="1:32">
      <c r="A22" s="20"/>
      <c r="B22" s="11" t="s">
        <v>568</v>
      </c>
      <c r="C22" s="12">
        <v>12111</v>
      </c>
      <c r="D22" s="12">
        <v>465</v>
      </c>
      <c r="E22" s="12">
        <v>539</v>
      </c>
      <c r="F22" s="12">
        <v>417</v>
      </c>
      <c r="G22" s="12">
        <v>315</v>
      </c>
      <c r="H22" s="12">
        <v>525</v>
      </c>
      <c r="I22" s="12">
        <v>648</v>
      </c>
      <c r="J22" s="12">
        <v>123</v>
      </c>
      <c r="K22" s="12">
        <v>314</v>
      </c>
      <c r="L22" s="12">
        <v>400</v>
      </c>
      <c r="M22" s="12">
        <v>343</v>
      </c>
      <c r="N22" s="12">
        <v>528</v>
      </c>
      <c r="O22" s="12">
        <v>429</v>
      </c>
      <c r="P22" s="12">
        <v>537</v>
      </c>
      <c r="Q22" s="12">
        <v>603</v>
      </c>
      <c r="R22" s="12">
        <v>215</v>
      </c>
      <c r="S22" s="12">
        <v>365</v>
      </c>
      <c r="T22" s="12">
        <v>543</v>
      </c>
      <c r="U22" s="12">
        <v>182</v>
      </c>
      <c r="V22" s="12">
        <v>431</v>
      </c>
      <c r="W22" s="12">
        <v>239</v>
      </c>
      <c r="X22" s="12">
        <v>354</v>
      </c>
      <c r="Y22" s="12">
        <v>551</v>
      </c>
      <c r="Z22" s="12">
        <v>436</v>
      </c>
      <c r="AA22" s="12">
        <v>456</v>
      </c>
      <c r="AB22" s="12">
        <v>547</v>
      </c>
      <c r="AC22" s="12">
        <v>405</v>
      </c>
      <c r="AD22" s="12">
        <v>485</v>
      </c>
      <c r="AE22" s="12">
        <v>374</v>
      </c>
      <c r="AF22" s="12">
        <v>289</v>
      </c>
    </row>
    <row r="23" spans="1:32">
      <c r="A23" s="20"/>
      <c r="B23" s="13" t="s">
        <v>569</v>
      </c>
      <c r="C23" s="14">
        <v>0.46</v>
      </c>
      <c r="D23" s="14">
        <v>0.46</v>
      </c>
      <c r="E23" s="14">
        <v>0.52</v>
      </c>
      <c r="F23" s="14">
        <v>0.41</v>
      </c>
      <c r="G23" s="14">
        <v>0.32</v>
      </c>
      <c r="H23" s="14">
        <v>0.43</v>
      </c>
      <c r="I23" s="14">
        <v>0.43</v>
      </c>
      <c r="J23" s="14">
        <v>0.42</v>
      </c>
      <c r="K23" s="14">
        <v>0.31</v>
      </c>
      <c r="L23" s="14">
        <v>0.4</v>
      </c>
      <c r="M23" s="14">
        <v>0.34</v>
      </c>
      <c r="N23" s="14">
        <v>0.53</v>
      </c>
      <c r="O23" s="14">
        <v>0.43</v>
      </c>
      <c r="P23" s="14">
        <v>0.52</v>
      </c>
      <c r="Q23" s="14">
        <v>0.59</v>
      </c>
      <c r="R23" s="14">
        <v>0.43</v>
      </c>
      <c r="S23" s="14">
        <v>0.36</v>
      </c>
      <c r="T23" s="14">
        <v>0.53</v>
      </c>
      <c r="U23" s="14">
        <v>0.36</v>
      </c>
      <c r="V23" s="14">
        <v>0.43</v>
      </c>
      <c r="W23" s="14">
        <v>0.47</v>
      </c>
      <c r="X23" s="14">
        <v>0.35</v>
      </c>
      <c r="Y23" s="14">
        <v>0.54</v>
      </c>
      <c r="Z23" s="14">
        <v>0.43</v>
      </c>
      <c r="AA23" s="14">
        <v>0.43</v>
      </c>
      <c r="AB23" s="14">
        <v>0.52</v>
      </c>
      <c r="AC23" s="14">
        <v>0.4</v>
      </c>
      <c r="AD23" s="14">
        <v>0.48</v>
      </c>
      <c r="AE23" s="14">
        <v>0.38</v>
      </c>
      <c r="AF23" s="14">
        <v>0.28000000000000003</v>
      </c>
    </row>
    <row r="24" spans="1:32">
      <c r="A24" s="20"/>
      <c r="B24" s="11" t="s">
        <v>566</v>
      </c>
      <c r="C24" s="12">
        <v>12868</v>
      </c>
      <c r="D24" s="12">
        <v>521</v>
      </c>
      <c r="E24" s="12">
        <v>403</v>
      </c>
      <c r="F24" s="12">
        <v>529</v>
      </c>
      <c r="G24" s="12">
        <v>614</v>
      </c>
      <c r="H24" s="12">
        <v>617</v>
      </c>
      <c r="I24" s="12">
        <v>778</v>
      </c>
      <c r="J24" s="12">
        <v>161</v>
      </c>
      <c r="K24" s="12">
        <v>593</v>
      </c>
      <c r="L24" s="12">
        <v>552</v>
      </c>
      <c r="M24" s="12">
        <v>623</v>
      </c>
      <c r="N24" s="12">
        <v>423</v>
      </c>
      <c r="O24" s="12">
        <v>521</v>
      </c>
      <c r="P24" s="12">
        <v>469</v>
      </c>
      <c r="Q24" s="12">
        <v>386</v>
      </c>
      <c r="R24" s="12">
        <v>265</v>
      </c>
      <c r="S24" s="12">
        <v>567</v>
      </c>
      <c r="T24" s="12">
        <v>318</v>
      </c>
      <c r="U24" s="12">
        <v>301</v>
      </c>
      <c r="V24" s="12">
        <v>563</v>
      </c>
      <c r="W24" s="12">
        <v>256</v>
      </c>
      <c r="X24" s="12">
        <v>634</v>
      </c>
      <c r="Y24" s="12">
        <v>408</v>
      </c>
      <c r="Z24" s="12">
        <v>505</v>
      </c>
      <c r="AA24" s="12">
        <v>523</v>
      </c>
      <c r="AB24" s="12">
        <v>433</v>
      </c>
      <c r="AC24" s="12">
        <v>541</v>
      </c>
      <c r="AD24" s="12">
        <v>432</v>
      </c>
      <c r="AE24" s="12">
        <v>557</v>
      </c>
      <c r="AF24" s="12">
        <v>682</v>
      </c>
    </row>
    <row r="25" spans="1:32">
      <c r="A25" s="20"/>
      <c r="B25" s="13" t="s">
        <v>567</v>
      </c>
      <c r="C25" s="14">
        <v>0.49</v>
      </c>
      <c r="D25" s="14">
        <v>0.52</v>
      </c>
      <c r="E25" s="14">
        <v>0.4</v>
      </c>
      <c r="F25" s="14">
        <v>0.53</v>
      </c>
      <c r="G25" s="14">
        <v>0.61</v>
      </c>
      <c r="H25" s="14">
        <v>0.51</v>
      </c>
      <c r="I25" s="14">
        <v>0.51</v>
      </c>
      <c r="J25" s="14">
        <v>0.55000000000000004</v>
      </c>
      <c r="K25" s="14">
        <v>0.59</v>
      </c>
      <c r="L25" s="14">
        <v>0.55000000000000004</v>
      </c>
      <c r="M25" s="14">
        <v>0.62</v>
      </c>
      <c r="N25" s="14">
        <v>0.42</v>
      </c>
      <c r="O25" s="14">
        <v>0.52</v>
      </c>
      <c r="P25" s="14">
        <v>0.46</v>
      </c>
      <c r="Q25" s="14">
        <v>0.38</v>
      </c>
      <c r="R25" s="14">
        <v>0.53</v>
      </c>
      <c r="S25" s="14">
        <v>0.56000000000000005</v>
      </c>
      <c r="T25" s="14">
        <v>0.32</v>
      </c>
      <c r="U25" s="14">
        <v>0.59</v>
      </c>
      <c r="V25" s="14">
        <v>0.55000000000000004</v>
      </c>
      <c r="W25" s="14">
        <v>0.51</v>
      </c>
      <c r="X25" s="14">
        <v>0.62</v>
      </c>
      <c r="Y25" s="14">
        <v>0.41</v>
      </c>
      <c r="Z25" s="14">
        <v>0.5</v>
      </c>
      <c r="AA25" s="14">
        <v>0.5</v>
      </c>
      <c r="AB25" s="14">
        <v>0.42</v>
      </c>
      <c r="AC25" s="14">
        <v>0.54</v>
      </c>
      <c r="AD25" s="14">
        <v>0.43</v>
      </c>
      <c r="AE25" s="14">
        <v>0.55000000000000004</v>
      </c>
      <c r="AF25" s="14">
        <v>0.67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1224</v>
      </c>
      <c r="C3" s="18"/>
      <c r="D3" s="18"/>
      <c r="E3" s="18"/>
      <c r="F3" s="18"/>
      <c r="H3" s="18" t="s">
        <v>1225</v>
      </c>
      <c r="I3" s="18"/>
      <c r="J3" s="18"/>
      <c r="K3" s="18"/>
      <c r="L3" s="18"/>
    </row>
    <row r="4" spans="1:32" ht="27" customHeight="1">
      <c r="B4" s="18" t="s">
        <v>1226</v>
      </c>
      <c r="C4" s="18"/>
      <c r="D4" s="18"/>
      <c r="E4" s="18"/>
      <c r="F4" s="18"/>
      <c r="H4" s="18" t="s">
        <v>1227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8113</v>
      </c>
      <c r="D12" s="12">
        <v>350</v>
      </c>
      <c r="E12" s="12">
        <v>434</v>
      </c>
      <c r="F12" s="12">
        <v>312</v>
      </c>
      <c r="G12" s="12">
        <v>505</v>
      </c>
      <c r="H12" s="12">
        <v>322</v>
      </c>
      <c r="I12" s="12">
        <v>409</v>
      </c>
      <c r="J12" s="12">
        <v>87</v>
      </c>
      <c r="K12" s="12">
        <v>394</v>
      </c>
      <c r="L12" s="12">
        <v>572</v>
      </c>
      <c r="M12" s="12">
        <v>332</v>
      </c>
      <c r="N12" s="12">
        <v>339</v>
      </c>
      <c r="O12" s="12">
        <v>296</v>
      </c>
      <c r="P12" s="12">
        <v>354</v>
      </c>
      <c r="Q12" s="12">
        <v>314</v>
      </c>
      <c r="R12" s="12">
        <v>252</v>
      </c>
      <c r="S12" s="12">
        <v>274</v>
      </c>
      <c r="T12" s="12">
        <v>293</v>
      </c>
      <c r="U12" s="12">
        <v>170</v>
      </c>
      <c r="V12" s="12">
        <v>378</v>
      </c>
      <c r="W12" s="12">
        <v>221</v>
      </c>
      <c r="X12" s="12">
        <v>477</v>
      </c>
      <c r="Y12" s="12">
        <v>215</v>
      </c>
      <c r="Z12" s="12">
        <v>188</v>
      </c>
      <c r="AA12" s="12">
        <v>267</v>
      </c>
      <c r="AB12" s="12">
        <v>192</v>
      </c>
      <c r="AC12" s="12">
        <v>353</v>
      </c>
      <c r="AD12" s="12">
        <v>369</v>
      </c>
      <c r="AE12" s="12">
        <v>447</v>
      </c>
      <c r="AF12" s="12">
        <v>501</v>
      </c>
    </row>
    <row r="13" spans="1:32">
      <c r="A13" s="20"/>
      <c r="B13" s="13" t="s">
        <v>493</v>
      </c>
      <c r="C13" s="14">
        <v>0.31</v>
      </c>
      <c r="D13" s="14">
        <v>0.35</v>
      </c>
      <c r="E13" s="14">
        <v>0.43</v>
      </c>
      <c r="F13" s="14">
        <v>0.31</v>
      </c>
      <c r="G13" s="14">
        <v>0.5</v>
      </c>
      <c r="H13" s="14">
        <v>0.26</v>
      </c>
      <c r="I13" s="14">
        <v>0.27</v>
      </c>
      <c r="J13" s="14">
        <v>0.28999999999999998</v>
      </c>
      <c r="K13" s="14">
        <v>0.39</v>
      </c>
      <c r="L13" s="14">
        <v>0.57000000000000006</v>
      </c>
      <c r="M13" s="14">
        <v>0.33</v>
      </c>
      <c r="N13" s="14">
        <v>0.34</v>
      </c>
      <c r="O13" s="14">
        <v>0.3</v>
      </c>
      <c r="P13" s="14">
        <v>0.35</v>
      </c>
      <c r="Q13" s="14">
        <v>0.31</v>
      </c>
      <c r="R13" s="14">
        <v>0.51</v>
      </c>
      <c r="S13" s="14">
        <v>0.27</v>
      </c>
      <c r="T13" s="14">
        <v>0.28999999999999998</v>
      </c>
      <c r="U13" s="14">
        <v>0.33</v>
      </c>
      <c r="V13" s="14">
        <v>0.37</v>
      </c>
      <c r="W13" s="14">
        <v>0.44</v>
      </c>
      <c r="X13" s="14">
        <v>0.47</v>
      </c>
      <c r="Y13" s="14">
        <v>0.21</v>
      </c>
      <c r="Z13" s="14">
        <v>0.19</v>
      </c>
      <c r="AA13" s="14">
        <v>0.25</v>
      </c>
      <c r="AB13" s="14">
        <v>0.18</v>
      </c>
      <c r="AC13" s="14">
        <v>0.35</v>
      </c>
      <c r="AD13" s="14">
        <v>0.37</v>
      </c>
      <c r="AE13" s="14">
        <v>0.45</v>
      </c>
      <c r="AF13" s="14">
        <v>0.49</v>
      </c>
    </row>
    <row r="14" spans="1:32">
      <c r="A14" s="20"/>
      <c r="B14" s="11" t="s">
        <v>1229</v>
      </c>
      <c r="C14" s="12">
        <v>9865</v>
      </c>
      <c r="D14" s="12">
        <v>379</v>
      </c>
      <c r="E14" s="12">
        <v>296</v>
      </c>
      <c r="F14" s="12">
        <v>334</v>
      </c>
      <c r="G14" s="12">
        <v>232</v>
      </c>
      <c r="H14" s="12">
        <v>471</v>
      </c>
      <c r="I14" s="12">
        <v>579</v>
      </c>
      <c r="J14" s="12">
        <v>108</v>
      </c>
      <c r="K14" s="12">
        <v>295</v>
      </c>
      <c r="L14" s="12">
        <v>233</v>
      </c>
      <c r="M14" s="12">
        <v>338</v>
      </c>
      <c r="N14" s="12">
        <v>357</v>
      </c>
      <c r="O14" s="12">
        <v>336</v>
      </c>
      <c r="P14" s="12">
        <v>412</v>
      </c>
      <c r="Q14" s="12">
        <v>452</v>
      </c>
      <c r="R14" s="12">
        <v>139</v>
      </c>
      <c r="S14" s="12">
        <v>251</v>
      </c>
      <c r="T14" s="12">
        <v>265</v>
      </c>
      <c r="U14" s="12">
        <v>156</v>
      </c>
      <c r="V14" s="12">
        <v>464</v>
      </c>
      <c r="W14" s="12">
        <v>110</v>
      </c>
      <c r="X14" s="12">
        <v>315</v>
      </c>
      <c r="Y14" s="12">
        <v>367</v>
      </c>
      <c r="Z14" s="12">
        <v>509</v>
      </c>
      <c r="AA14" s="12">
        <v>434</v>
      </c>
      <c r="AB14" s="12">
        <v>416</v>
      </c>
      <c r="AC14" s="12">
        <v>281</v>
      </c>
      <c r="AD14" s="12">
        <v>361</v>
      </c>
      <c r="AE14" s="12">
        <v>234</v>
      </c>
      <c r="AF14" s="12">
        <v>227</v>
      </c>
    </row>
    <row r="15" spans="1:32">
      <c r="A15" s="20"/>
      <c r="B15" s="13" t="s">
        <v>495</v>
      </c>
      <c r="C15" s="14">
        <v>0.37</v>
      </c>
      <c r="D15" s="14">
        <v>0.38</v>
      </c>
      <c r="E15" s="14">
        <v>0.28999999999999998</v>
      </c>
      <c r="F15" s="14">
        <v>0.33</v>
      </c>
      <c r="G15" s="14">
        <v>0.23</v>
      </c>
      <c r="H15" s="14">
        <v>0.39</v>
      </c>
      <c r="I15" s="14">
        <v>0.38</v>
      </c>
      <c r="J15" s="14">
        <v>0.37</v>
      </c>
      <c r="K15" s="14">
        <v>0.28999999999999998</v>
      </c>
      <c r="L15" s="14">
        <v>0.23</v>
      </c>
      <c r="M15" s="14">
        <v>0.34</v>
      </c>
      <c r="N15" s="14">
        <v>0.36</v>
      </c>
      <c r="O15" s="14">
        <v>0.33</v>
      </c>
      <c r="P15" s="14">
        <v>0.4</v>
      </c>
      <c r="Q15" s="14">
        <v>0.44</v>
      </c>
      <c r="R15" s="14">
        <v>0.28000000000000003</v>
      </c>
      <c r="S15" s="14">
        <v>0.25</v>
      </c>
      <c r="T15" s="14">
        <v>0.26</v>
      </c>
      <c r="U15" s="14">
        <v>0.31</v>
      </c>
      <c r="V15" s="14">
        <v>0.46</v>
      </c>
      <c r="W15" s="14">
        <v>0.22</v>
      </c>
      <c r="X15" s="14">
        <v>0.31</v>
      </c>
      <c r="Y15" s="14">
        <v>0.36</v>
      </c>
      <c r="Z15" s="14">
        <v>0.5</v>
      </c>
      <c r="AA15" s="14">
        <v>0.41</v>
      </c>
      <c r="AB15" s="14">
        <v>0.4</v>
      </c>
      <c r="AC15" s="14">
        <v>0.28000000000000003</v>
      </c>
      <c r="AD15" s="14">
        <v>0.36</v>
      </c>
      <c r="AE15" s="14">
        <v>0.23</v>
      </c>
      <c r="AF15" s="14">
        <v>0.22</v>
      </c>
    </row>
    <row r="16" spans="1:32">
      <c r="A16" s="20"/>
      <c r="B16" s="11" t="s">
        <v>1230</v>
      </c>
      <c r="C16" s="12">
        <v>3853</v>
      </c>
      <c r="D16" s="12">
        <v>154</v>
      </c>
      <c r="E16" s="12">
        <v>104</v>
      </c>
      <c r="F16" s="12">
        <v>171</v>
      </c>
      <c r="G16" s="12">
        <v>88</v>
      </c>
      <c r="H16" s="12">
        <v>185</v>
      </c>
      <c r="I16" s="12">
        <v>231</v>
      </c>
      <c r="J16" s="12">
        <v>46</v>
      </c>
      <c r="K16" s="12">
        <v>134</v>
      </c>
      <c r="L16" s="12">
        <v>67</v>
      </c>
      <c r="M16" s="12">
        <v>130</v>
      </c>
      <c r="N16" s="12">
        <v>125</v>
      </c>
      <c r="O16" s="12">
        <v>179</v>
      </c>
      <c r="P16" s="12">
        <v>118</v>
      </c>
      <c r="Q16" s="12">
        <v>149</v>
      </c>
      <c r="R16" s="12">
        <v>52</v>
      </c>
      <c r="S16" s="12">
        <v>174</v>
      </c>
      <c r="T16" s="12">
        <v>119</v>
      </c>
      <c r="U16" s="12">
        <v>77</v>
      </c>
      <c r="V16" s="12">
        <v>117</v>
      </c>
      <c r="W16" s="12">
        <v>59</v>
      </c>
      <c r="X16" s="12">
        <v>97</v>
      </c>
      <c r="Y16" s="12">
        <v>149</v>
      </c>
      <c r="Z16" s="12">
        <v>180</v>
      </c>
      <c r="AA16" s="12">
        <v>101</v>
      </c>
      <c r="AB16" s="12">
        <v>206</v>
      </c>
      <c r="AC16" s="12">
        <v>127</v>
      </c>
      <c r="AD16" s="12">
        <v>122</v>
      </c>
      <c r="AE16" s="12">
        <v>100</v>
      </c>
      <c r="AF16" s="12">
        <v>110</v>
      </c>
    </row>
    <row r="17" spans="1:32">
      <c r="A17" s="20"/>
      <c r="B17" s="13" t="s">
        <v>497</v>
      </c>
      <c r="C17" s="14">
        <v>0.15</v>
      </c>
      <c r="D17" s="14">
        <v>0.15</v>
      </c>
      <c r="E17" s="14">
        <v>0.1</v>
      </c>
      <c r="F17" s="14">
        <v>0.17</v>
      </c>
      <c r="G17" s="14">
        <v>0.09</v>
      </c>
      <c r="H17" s="14">
        <v>0.15</v>
      </c>
      <c r="I17" s="14">
        <v>0.15</v>
      </c>
      <c r="J17" s="14">
        <v>0.16</v>
      </c>
      <c r="K17" s="14">
        <v>0.13</v>
      </c>
      <c r="L17" s="14">
        <v>7.0000000000000007E-2</v>
      </c>
      <c r="M17" s="14">
        <v>0.13</v>
      </c>
      <c r="N17" s="14">
        <v>0.12</v>
      </c>
      <c r="O17" s="14">
        <v>0.18</v>
      </c>
      <c r="P17" s="14">
        <v>0.11</v>
      </c>
      <c r="Q17" s="14">
        <v>0.15</v>
      </c>
      <c r="R17" s="14">
        <v>0.1</v>
      </c>
      <c r="S17" s="14">
        <v>0.17</v>
      </c>
      <c r="T17" s="14">
        <v>0.12</v>
      </c>
      <c r="U17" s="14">
        <v>0.15</v>
      </c>
      <c r="V17" s="14">
        <v>0.12</v>
      </c>
      <c r="W17" s="14">
        <v>0.12</v>
      </c>
      <c r="X17" s="14">
        <v>0.09</v>
      </c>
      <c r="Y17" s="14">
        <v>0.15</v>
      </c>
      <c r="Z17" s="14">
        <v>0.18</v>
      </c>
      <c r="AA17" s="14">
        <v>0.1</v>
      </c>
      <c r="AB17" s="14">
        <v>0.2</v>
      </c>
      <c r="AC17" s="14">
        <v>0.12</v>
      </c>
      <c r="AD17" s="14">
        <v>0.12</v>
      </c>
      <c r="AE17" s="14">
        <v>0.1</v>
      </c>
      <c r="AF17" s="14">
        <v>0.11</v>
      </c>
    </row>
    <row r="18" spans="1:32">
      <c r="A18" s="20"/>
      <c r="B18" s="11" t="s">
        <v>1231</v>
      </c>
      <c r="C18" s="12">
        <v>3714</v>
      </c>
      <c r="D18" s="12">
        <v>108</v>
      </c>
      <c r="E18" s="12">
        <v>146</v>
      </c>
      <c r="F18" s="12">
        <v>165</v>
      </c>
      <c r="G18" s="12">
        <v>115</v>
      </c>
      <c r="H18" s="12">
        <v>196</v>
      </c>
      <c r="I18" s="12">
        <v>239</v>
      </c>
      <c r="J18" s="12">
        <v>43</v>
      </c>
      <c r="K18" s="12">
        <v>149</v>
      </c>
      <c r="L18" s="12">
        <v>117</v>
      </c>
      <c r="M18" s="12">
        <v>182</v>
      </c>
      <c r="N18" s="12">
        <v>150</v>
      </c>
      <c r="O18" s="12">
        <v>147</v>
      </c>
      <c r="P18" s="12">
        <v>131</v>
      </c>
      <c r="Q18" s="12">
        <v>93</v>
      </c>
      <c r="R18" s="12">
        <v>41</v>
      </c>
      <c r="S18" s="12">
        <v>268</v>
      </c>
      <c r="T18" s="12">
        <v>298</v>
      </c>
      <c r="U18" s="12">
        <v>89</v>
      </c>
      <c r="V18" s="12">
        <v>45</v>
      </c>
      <c r="W18" s="12">
        <v>108</v>
      </c>
      <c r="X18" s="12">
        <v>104</v>
      </c>
      <c r="Y18" s="12">
        <v>260</v>
      </c>
      <c r="Z18" s="12">
        <v>95</v>
      </c>
      <c r="AA18" s="12">
        <v>210</v>
      </c>
      <c r="AB18" s="12">
        <v>206</v>
      </c>
      <c r="AC18" s="12">
        <v>240</v>
      </c>
      <c r="AD18" s="12">
        <v>137</v>
      </c>
      <c r="AE18" s="12">
        <v>181</v>
      </c>
      <c r="AF18" s="12">
        <v>168</v>
      </c>
    </row>
    <row r="19" spans="1:32">
      <c r="A19" s="20"/>
      <c r="B19" s="13" t="s">
        <v>1232</v>
      </c>
      <c r="C19" s="14">
        <v>0.14000000000000001</v>
      </c>
      <c r="D19" s="14">
        <v>0.11</v>
      </c>
      <c r="E19" s="14">
        <v>0.14000000000000001</v>
      </c>
      <c r="F19" s="14">
        <v>0.17</v>
      </c>
      <c r="G19" s="14">
        <v>0.11</v>
      </c>
      <c r="H19" s="14">
        <v>0.16</v>
      </c>
      <c r="I19" s="14">
        <v>0.16</v>
      </c>
      <c r="J19" s="14">
        <v>0.15</v>
      </c>
      <c r="K19" s="14">
        <v>0.15</v>
      </c>
      <c r="L19" s="14">
        <v>0.11</v>
      </c>
      <c r="M19" s="14">
        <v>0.18</v>
      </c>
      <c r="N19" s="14">
        <v>0.15</v>
      </c>
      <c r="O19" s="14">
        <v>0.15</v>
      </c>
      <c r="P19" s="14">
        <v>0.13</v>
      </c>
      <c r="Q19" s="14">
        <v>0.09</v>
      </c>
      <c r="R19" s="14">
        <v>0.08</v>
      </c>
      <c r="S19" s="14">
        <v>0.27</v>
      </c>
      <c r="T19" s="14">
        <v>0.28999999999999998</v>
      </c>
      <c r="U19" s="14">
        <v>0.18</v>
      </c>
      <c r="V19" s="14">
        <v>0.04</v>
      </c>
      <c r="W19" s="14">
        <v>0.21</v>
      </c>
      <c r="X19" s="14">
        <v>0.1</v>
      </c>
      <c r="Y19" s="14">
        <v>0.26</v>
      </c>
      <c r="Z19" s="14">
        <v>0.09</v>
      </c>
      <c r="AA19" s="14">
        <v>0.2</v>
      </c>
      <c r="AB19" s="14">
        <v>0.2</v>
      </c>
      <c r="AC19" s="14">
        <v>0.24</v>
      </c>
      <c r="AD19" s="14">
        <v>0.13</v>
      </c>
      <c r="AE19" s="14">
        <v>0.18</v>
      </c>
      <c r="AF19" s="14">
        <v>0.17</v>
      </c>
    </row>
    <row r="20" spans="1:32">
      <c r="A20" s="20"/>
      <c r="B20" s="11" t="s">
        <v>468</v>
      </c>
      <c r="C20" s="12">
        <v>773</v>
      </c>
      <c r="D20" s="12">
        <v>12</v>
      </c>
      <c r="E20" s="12">
        <v>38</v>
      </c>
      <c r="F20" s="12">
        <v>23</v>
      </c>
      <c r="G20" s="12">
        <v>65</v>
      </c>
      <c r="H20" s="12">
        <v>42</v>
      </c>
      <c r="I20" s="12">
        <v>52</v>
      </c>
      <c r="J20" s="12">
        <v>10</v>
      </c>
      <c r="K20" s="12">
        <v>34</v>
      </c>
      <c r="L20" s="12">
        <v>18</v>
      </c>
      <c r="M20" s="12">
        <v>21</v>
      </c>
      <c r="N20" s="12">
        <v>34</v>
      </c>
      <c r="O20" s="12">
        <v>45</v>
      </c>
      <c r="P20" s="12">
        <v>7</v>
      </c>
      <c r="Q20" s="12">
        <v>11</v>
      </c>
      <c r="R20" s="12">
        <v>16</v>
      </c>
      <c r="S20" s="12">
        <v>41</v>
      </c>
      <c r="T20" s="12">
        <v>40</v>
      </c>
      <c r="U20" s="12">
        <v>16</v>
      </c>
      <c r="V20" s="12">
        <v>12</v>
      </c>
      <c r="W20" s="12">
        <v>4</v>
      </c>
      <c r="X20" s="12">
        <v>28</v>
      </c>
      <c r="Y20" s="12">
        <v>17</v>
      </c>
      <c r="Z20" s="12">
        <v>36</v>
      </c>
      <c r="AA20" s="12">
        <v>40</v>
      </c>
      <c r="AB20" s="12">
        <v>18</v>
      </c>
      <c r="AC20" s="12">
        <v>9</v>
      </c>
      <c r="AD20" s="12">
        <v>18</v>
      </c>
      <c r="AE20" s="12">
        <v>40</v>
      </c>
      <c r="AF20" s="12">
        <v>13</v>
      </c>
    </row>
    <row r="21" spans="1:32">
      <c r="A21" s="20"/>
      <c r="B21" s="13" t="s">
        <v>469</v>
      </c>
      <c r="C21" s="14">
        <v>0.03</v>
      </c>
      <c r="D21" s="14">
        <v>0.01</v>
      </c>
      <c r="E21" s="14">
        <v>0.04</v>
      </c>
      <c r="F21" s="14">
        <v>0.02</v>
      </c>
      <c r="G21" s="14">
        <v>7.0000000000000007E-2</v>
      </c>
      <c r="H21" s="14">
        <v>0.04</v>
      </c>
      <c r="I21" s="14">
        <v>0.04</v>
      </c>
      <c r="J21" s="14">
        <v>0.03</v>
      </c>
      <c r="K21" s="14">
        <v>0.04</v>
      </c>
      <c r="L21" s="14">
        <v>0.02</v>
      </c>
      <c r="M21" s="14">
        <v>0.02</v>
      </c>
      <c r="N21" s="14">
        <v>0.03</v>
      </c>
      <c r="O21" s="14">
        <v>0.04</v>
      </c>
      <c r="P21" s="14">
        <v>0.01</v>
      </c>
      <c r="Q21" s="14">
        <v>0.01</v>
      </c>
      <c r="R21" s="14">
        <v>0.03</v>
      </c>
      <c r="S21" s="14">
        <v>0.04</v>
      </c>
      <c r="T21" s="14">
        <v>0.04</v>
      </c>
      <c r="U21" s="14">
        <v>0.03</v>
      </c>
      <c r="V21" s="14">
        <v>0.01</v>
      </c>
      <c r="W21" s="14">
        <v>0.01</v>
      </c>
      <c r="X21" s="14">
        <v>0.03</v>
      </c>
      <c r="Y21" s="14">
        <v>0.02</v>
      </c>
      <c r="Z21" s="14">
        <v>0.04</v>
      </c>
      <c r="AA21" s="14">
        <v>0.04</v>
      </c>
      <c r="AB21" s="14">
        <v>0.02</v>
      </c>
      <c r="AC21" s="14">
        <v>0.01</v>
      </c>
      <c r="AD21" s="14">
        <v>0.02</v>
      </c>
      <c r="AE21" s="14">
        <v>0.04</v>
      </c>
      <c r="AF21" s="14">
        <v>0.01</v>
      </c>
    </row>
    <row r="22" spans="1:32">
      <c r="A22" s="20"/>
      <c r="B22" s="11" t="s">
        <v>500</v>
      </c>
      <c r="C22" s="12">
        <v>17978</v>
      </c>
      <c r="D22" s="12">
        <v>729</v>
      </c>
      <c r="E22" s="12">
        <v>730</v>
      </c>
      <c r="F22" s="12">
        <v>646</v>
      </c>
      <c r="G22" s="12">
        <v>737</v>
      </c>
      <c r="H22" s="12">
        <v>793</v>
      </c>
      <c r="I22" s="12">
        <v>988</v>
      </c>
      <c r="J22" s="12">
        <v>195</v>
      </c>
      <c r="K22" s="12">
        <v>689</v>
      </c>
      <c r="L22" s="12">
        <v>805</v>
      </c>
      <c r="M22" s="12">
        <v>670</v>
      </c>
      <c r="N22" s="12">
        <v>696</v>
      </c>
      <c r="O22" s="12">
        <v>632</v>
      </c>
      <c r="P22" s="12">
        <v>766</v>
      </c>
      <c r="Q22" s="12">
        <v>766</v>
      </c>
      <c r="R22" s="12">
        <v>391</v>
      </c>
      <c r="S22" s="12">
        <v>525</v>
      </c>
      <c r="T22" s="12">
        <v>558</v>
      </c>
      <c r="U22" s="12">
        <v>326</v>
      </c>
      <c r="V22" s="12">
        <v>842</v>
      </c>
      <c r="W22" s="12">
        <v>331</v>
      </c>
      <c r="X22" s="12">
        <v>792</v>
      </c>
      <c r="Y22" s="12">
        <v>582</v>
      </c>
      <c r="Z22" s="12">
        <v>697</v>
      </c>
      <c r="AA22" s="12">
        <v>701</v>
      </c>
      <c r="AB22" s="12">
        <v>608</v>
      </c>
      <c r="AC22" s="12">
        <v>634</v>
      </c>
      <c r="AD22" s="12">
        <v>730</v>
      </c>
      <c r="AE22" s="12">
        <v>681</v>
      </c>
      <c r="AF22" s="12">
        <v>728</v>
      </c>
    </row>
    <row r="23" spans="1:32">
      <c r="A23" s="20"/>
      <c r="B23" s="13" t="s">
        <v>500</v>
      </c>
      <c r="C23" s="14">
        <v>0.68</v>
      </c>
      <c r="D23" s="14">
        <v>0.73</v>
      </c>
      <c r="E23" s="14">
        <v>0.72</v>
      </c>
      <c r="F23" s="14">
        <v>0.64</v>
      </c>
      <c r="G23" s="14">
        <v>0.73</v>
      </c>
      <c r="H23" s="14">
        <v>0.65</v>
      </c>
      <c r="I23" s="14">
        <v>0.65</v>
      </c>
      <c r="J23" s="14">
        <v>0.66</v>
      </c>
      <c r="K23" s="14">
        <v>0.68</v>
      </c>
      <c r="L23" s="14">
        <v>0.8</v>
      </c>
      <c r="M23" s="14">
        <v>0.67</v>
      </c>
      <c r="N23" s="14">
        <v>0.70000000000000007</v>
      </c>
      <c r="O23" s="14">
        <v>0.63</v>
      </c>
      <c r="P23" s="14">
        <v>0.75</v>
      </c>
      <c r="Q23" s="14">
        <v>0.75</v>
      </c>
      <c r="R23" s="14">
        <v>0.79</v>
      </c>
      <c r="S23" s="14">
        <v>0.52</v>
      </c>
      <c r="T23" s="14">
        <v>0.55000000000000004</v>
      </c>
      <c r="U23" s="14">
        <v>0.64</v>
      </c>
      <c r="V23" s="14">
        <v>0.83000000000000007</v>
      </c>
      <c r="W23" s="14">
        <v>0.66</v>
      </c>
      <c r="X23" s="14">
        <v>0.78</v>
      </c>
      <c r="Y23" s="14">
        <v>0.57000000000000006</v>
      </c>
      <c r="Z23" s="14">
        <v>0.69000000000000006</v>
      </c>
      <c r="AA23" s="14">
        <v>0.66</v>
      </c>
      <c r="AB23" s="14">
        <v>0.57999999999999996</v>
      </c>
      <c r="AC23" s="14">
        <v>0.63</v>
      </c>
      <c r="AD23" s="14">
        <v>0.73</v>
      </c>
      <c r="AE23" s="14">
        <v>0.68</v>
      </c>
      <c r="AF23" s="14">
        <v>0.71</v>
      </c>
    </row>
    <row r="24" spans="1:32">
      <c r="A24" s="20"/>
      <c r="B24" s="11" t="s">
        <v>501</v>
      </c>
      <c r="C24" s="12">
        <v>7567</v>
      </c>
      <c r="D24" s="12">
        <v>262</v>
      </c>
      <c r="E24" s="12">
        <v>250</v>
      </c>
      <c r="F24" s="12">
        <v>336</v>
      </c>
      <c r="G24" s="12">
        <v>203</v>
      </c>
      <c r="H24" s="12">
        <v>381</v>
      </c>
      <c r="I24" s="12">
        <v>470</v>
      </c>
      <c r="J24" s="12">
        <v>89</v>
      </c>
      <c r="K24" s="12">
        <v>283</v>
      </c>
      <c r="L24" s="12">
        <v>184</v>
      </c>
      <c r="M24" s="12">
        <v>312</v>
      </c>
      <c r="N24" s="12">
        <v>275</v>
      </c>
      <c r="O24" s="12">
        <v>326</v>
      </c>
      <c r="P24" s="12">
        <v>249</v>
      </c>
      <c r="Q24" s="12">
        <v>242</v>
      </c>
      <c r="R24" s="12">
        <v>93</v>
      </c>
      <c r="S24" s="12">
        <v>442</v>
      </c>
      <c r="T24" s="12">
        <v>417</v>
      </c>
      <c r="U24" s="12">
        <v>166</v>
      </c>
      <c r="V24" s="12">
        <v>162</v>
      </c>
      <c r="W24" s="12">
        <v>167</v>
      </c>
      <c r="X24" s="12">
        <v>201</v>
      </c>
      <c r="Y24" s="12">
        <v>409</v>
      </c>
      <c r="Z24" s="12">
        <v>275</v>
      </c>
      <c r="AA24" s="12">
        <v>311</v>
      </c>
      <c r="AB24" s="12">
        <v>412</v>
      </c>
      <c r="AC24" s="12">
        <v>367</v>
      </c>
      <c r="AD24" s="12">
        <v>259</v>
      </c>
      <c r="AE24" s="12">
        <v>281</v>
      </c>
      <c r="AF24" s="12">
        <v>278</v>
      </c>
    </row>
    <row r="25" spans="1:32">
      <c r="A25" s="20"/>
      <c r="B25" s="13" t="s">
        <v>502</v>
      </c>
      <c r="C25" s="14">
        <v>0.28999999999999998</v>
      </c>
      <c r="D25" s="14">
        <v>0.26</v>
      </c>
      <c r="E25" s="14">
        <v>0.24</v>
      </c>
      <c r="F25" s="14">
        <v>0.34</v>
      </c>
      <c r="G25" s="14">
        <v>0.2</v>
      </c>
      <c r="H25" s="14">
        <v>0.31</v>
      </c>
      <c r="I25" s="14">
        <v>0.31</v>
      </c>
      <c r="J25" s="14">
        <v>0.31</v>
      </c>
      <c r="K25" s="14">
        <v>0.28000000000000003</v>
      </c>
      <c r="L25" s="14">
        <v>0.18</v>
      </c>
      <c r="M25" s="14">
        <v>0.31</v>
      </c>
      <c r="N25" s="14">
        <v>0.27</v>
      </c>
      <c r="O25" s="14">
        <v>0.33</v>
      </c>
      <c r="P25" s="14">
        <v>0.24</v>
      </c>
      <c r="Q25" s="14">
        <v>0.24</v>
      </c>
      <c r="R25" s="14">
        <v>0.18</v>
      </c>
      <c r="S25" s="14">
        <v>0.44</v>
      </c>
      <c r="T25" s="14">
        <v>0.41</v>
      </c>
      <c r="U25" s="14">
        <v>0.33</v>
      </c>
      <c r="V25" s="14">
        <v>0.16</v>
      </c>
      <c r="W25" s="14">
        <v>0.33</v>
      </c>
      <c r="X25" s="14">
        <v>0.19</v>
      </c>
      <c r="Y25" s="14">
        <v>0.41</v>
      </c>
      <c r="Z25" s="14">
        <v>0.27</v>
      </c>
      <c r="AA25" s="14">
        <v>0.3</v>
      </c>
      <c r="AB25" s="14">
        <v>0.4</v>
      </c>
      <c r="AC25" s="14">
        <v>0.36</v>
      </c>
      <c r="AD25" s="14">
        <v>0.25</v>
      </c>
      <c r="AE25" s="14">
        <v>0.28000000000000003</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1233</v>
      </c>
      <c r="C3" s="18"/>
      <c r="D3" s="18"/>
      <c r="E3" s="18"/>
      <c r="F3" s="18"/>
      <c r="H3" s="18" t="s">
        <v>1234</v>
      </c>
      <c r="I3" s="18"/>
      <c r="J3" s="18"/>
      <c r="K3" s="18"/>
      <c r="L3" s="18"/>
    </row>
    <row r="4" spans="1:32" ht="27" customHeight="1">
      <c r="B4" s="18" t="s">
        <v>1235</v>
      </c>
      <c r="C4" s="18"/>
      <c r="D4" s="18"/>
      <c r="E4" s="18"/>
      <c r="F4" s="18"/>
      <c r="H4" s="18" t="s">
        <v>1236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7877</v>
      </c>
      <c r="D12" s="12">
        <v>291</v>
      </c>
      <c r="E12" s="12">
        <v>357</v>
      </c>
      <c r="F12" s="12">
        <v>206</v>
      </c>
      <c r="G12" s="12">
        <v>426</v>
      </c>
      <c r="H12" s="12">
        <v>309</v>
      </c>
      <c r="I12" s="12">
        <v>377</v>
      </c>
      <c r="J12" s="12">
        <v>69</v>
      </c>
      <c r="K12" s="12">
        <v>233</v>
      </c>
      <c r="L12" s="12">
        <v>527</v>
      </c>
      <c r="M12" s="12">
        <v>360</v>
      </c>
      <c r="N12" s="12">
        <v>330</v>
      </c>
      <c r="O12" s="12">
        <v>262</v>
      </c>
      <c r="P12" s="12">
        <v>365</v>
      </c>
      <c r="Q12" s="12">
        <v>379</v>
      </c>
      <c r="R12" s="12">
        <v>249</v>
      </c>
      <c r="S12" s="12">
        <v>184</v>
      </c>
      <c r="T12" s="12">
        <v>243</v>
      </c>
      <c r="U12" s="12">
        <v>178</v>
      </c>
      <c r="V12" s="12">
        <v>443</v>
      </c>
      <c r="W12" s="12">
        <v>275</v>
      </c>
      <c r="X12" s="12">
        <v>308</v>
      </c>
      <c r="Y12" s="12">
        <v>343</v>
      </c>
      <c r="Z12" s="12">
        <v>253</v>
      </c>
      <c r="AA12" s="12">
        <v>326</v>
      </c>
      <c r="AB12" s="12">
        <v>232</v>
      </c>
      <c r="AC12" s="12">
        <v>230</v>
      </c>
      <c r="AD12" s="12">
        <v>343</v>
      </c>
      <c r="AE12" s="12">
        <v>221</v>
      </c>
      <c r="AF12" s="12">
        <v>375</v>
      </c>
    </row>
    <row r="13" spans="1:32">
      <c r="A13" s="20"/>
      <c r="B13" s="13" t="s">
        <v>493</v>
      </c>
      <c r="C13" s="14">
        <v>0.3</v>
      </c>
      <c r="D13" s="14">
        <v>0.28999999999999998</v>
      </c>
      <c r="E13" s="14">
        <v>0.35</v>
      </c>
      <c r="F13" s="14">
        <v>0.2</v>
      </c>
      <c r="G13" s="14">
        <v>0.43</v>
      </c>
      <c r="H13" s="14">
        <v>0.25</v>
      </c>
      <c r="I13" s="14">
        <v>0.25</v>
      </c>
      <c r="J13" s="14">
        <v>0.24</v>
      </c>
      <c r="K13" s="14">
        <v>0.23</v>
      </c>
      <c r="L13" s="14">
        <v>0.52</v>
      </c>
      <c r="M13" s="14">
        <v>0.36</v>
      </c>
      <c r="N13" s="14">
        <v>0.33</v>
      </c>
      <c r="O13" s="14">
        <v>0.26</v>
      </c>
      <c r="P13" s="14">
        <v>0.36</v>
      </c>
      <c r="Q13" s="14">
        <v>0.37</v>
      </c>
      <c r="R13" s="14">
        <v>0.5</v>
      </c>
      <c r="S13" s="14">
        <v>0.18</v>
      </c>
      <c r="T13" s="14">
        <v>0.24</v>
      </c>
      <c r="U13" s="14">
        <v>0.35</v>
      </c>
      <c r="V13" s="14">
        <v>0.44</v>
      </c>
      <c r="W13" s="14">
        <v>0.55000000000000004</v>
      </c>
      <c r="X13" s="14">
        <v>0.3</v>
      </c>
      <c r="Y13" s="14">
        <v>0.34</v>
      </c>
      <c r="Z13" s="14">
        <v>0.25</v>
      </c>
      <c r="AA13" s="14">
        <v>0.31</v>
      </c>
      <c r="AB13" s="14">
        <v>0.23</v>
      </c>
      <c r="AC13" s="14">
        <v>0.23</v>
      </c>
      <c r="AD13" s="14">
        <v>0.34</v>
      </c>
      <c r="AE13" s="14">
        <v>0.22</v>
      </c>
      <c r="AF13" s="14">
        <v>0.37</v>
      </c>
    </row>
    <row r="14" spans="1:32">
      <c r="A14" s="20"/>
      <c r="B14" s="11" t="s">
        <v>1229</v>
      </c>
      <c r="C14" s="12">
        <v>11666</v>
      </c>
      <c r="D14" s="12">
        <v>441</v>
      </c>
      <c r="E14" s="12">
        <v>328</v>
      </c>
      <c r="F14" s="12">
        <v>419</v>
      </c>
      <c r="G14" s="12">
        <v>343</v>
      </c>
      <c r="H14" s="12">
        <v>555</v>
      </c>
      <c r="I14" s="12">
        <v>683</v>
      </c>
      <c r="J14" s="12">
        <v>127</v>
      </c>
      <c r="K14" s="12">
        <v>358</v>
      </c>
      <c r="L14" s="12">
        <v>273</v>
      </c>
      <c r="M14" s="12">
        <v>396</v>
      </c>
      <c r="N14" s="12">
        <v>435</v>
      </c>
      <c r="O14" s="12">
        <v>465</v>
      </c>
      <c r="P14" s="12">
        <v>470</v>
      </c>
      <c r="Q14" s="12">
        <v>477</v>
      </c>
      <c r="R14" s="12">
        <v>148</v>
      </c>
      <c r="S14" s="12">
        <v>374</v>
      </c>
      <c r="T14" s="12">
        <v>353</v>
      </c>
      <c r="U14" s="12">
        <v>215</v>
      </c>
      <c r="V14" s="12">
        <v>437</v>
      </c>
      <c r="W14" s="12">
        <v>140</v>
      </c>
      <c r="X14" s="12">
        <v>453</v>
      </c>
      <c r="Y14" s="12">
        <v>351</v>
      </c>
      <c r="Z14" s="12">
        <v>505</v>
      </c>
      <c r="AA14" s="12">
        <v>459</v>
      </c>
      <c r="AB14" s="12">
        <v>481</v>
      </c>
      <c r="AC14" s="12">
        <v>418</v>
      </c>
      <c r="AD14" s="12">
        <v>429</v>
      </c>
      <c r="AE14" s="12">
        <v>437</v>
      </c>
      <c r="AF14" s="12">
        <v>400</v>
      </c>
    </row>
    <row r="15" spans="1:32">
      <c r="A15" s="20"/>
      <c r="B15" s="13" t="s">
        <v>495</v>
      </c>
      <c r="C15" s="14">
        <v>0.44</v>
      </c>
      <c r="D15" s="14">
        <v>0.44</v>
      </c>
      <c r="E15" s="14">
        <v>0.32</v>
      </c>
      <c r="F15" s="14">
        <v>0.42</v>
      </c>
      <c r="G15" s="14">
        <v>0.34</v>
      </c>
      <c r="H15" s="14">
        <v>0.46</v>
      </c>
      <c r="I15" s="14">
        <v>0.45</v>
      </c>
      <c r="J15" s="14">
        <v>0.43</v>
      </c>
      <c r="K15" s="14">
        <v>0.36</v>
      </c>
      <c r="L15" s="14">
        <v>0.27</v>
      </c>
      <c r="M15" s="14">
        <v>0.39</v>
      </c>
      <c r="N15" s="14">
        <v>0.43</v>
      </c>
      <c r="O15" s="14">
        <v>0.46</v>
      </c>
      <c r="P15" s="14">
        <v>0.46</v>
      </c>
      <c r="Q15" s="14">
        <v>0.47</v>
      </c>
      <c r="R15" s="14">
        <v>0.3</v>
      </c>
      <c r="S15" s="14">
        <v>0.37</v>
      </c>
      <c r="T15" s="14">
        <v>0.35</v>
      </c>
      <c r="U15" s="14">
        <v>0.42</v>
      </c>
      <c r="V15" s="14">
        <v>0.43</v>
      </c>
      <c r="W15" s="14">
        <v>0.28000000000000003</v>
      </c>
      <c r="X15" s="14">
        <v>0.45</v>
      </c>
      <c r="Y15" s="14">
        <v>0.35</v>
      </c>
      <c r="Z15" s="14">
        <v>0.5</v>
      </c>
      <c r="AA15" s="14">
        <v>0.44</v>
      </c>
      <c r="AB15" s="14">
        <v>0.46</v>
      </c>
      <c r="AC15" s="14">
        <v>0.41</v>
      </c>
      <c r="AD15" s="14">
        <v>0.43</v>
      </c>
      <c r="AE15" s="14">
        <v>0.44</v>
      </c>
      <c r="AF15" s="14">
        <v>0.39</v>
      </c>
    </row>
    <row r="16" spans="1:32">
      <c r="A16" s="20"/>
      <c r="B16" s="11" t="s">
        <v>1230</v>
      </c>
      <c r="C16" s="12">
        <v>3785</v>
      </c>
      <c r="D16" s="12">
        <v>189</v>
      </c>
      <c r="E16" s="12">
        <v>147</v>
      </c>
      <c r="F16" s="12">
        <v>198</v>
      </c>
      <c r="G16" s="12">
        <v>148</v>
      </c>
      <c r="H16" s="12">
        <v>188</v>
      </c>
      <c r="I16" s="12">
        <v>238</v>
      </c>
      <c r="J16" s="12">
        <v>49</v>
      </c>
      <c r="K16" s="12">
        <v>201</v>
      </c>
      <c r="L16" s="12">
        <v>87</v>
      </c>
      <c r="M16" s="12">
        <v>122</v>
      </c>
      <c r="N16" s="12">
        <v>108</v>
      </c>
      <c r="O16" s="12">
        <v>159</v>
      </c>
      <c r="P16" s="12">
        <v>119</v>
      </c>
      <c r="Q16" s="12">
        <v>116</v>
      </c>
      <c r="R16" s="12">
        <v>54</v>
      </c>
      <c r="S16" s="12">
        <v>210</v>
      </c>
      <c r="T16" s="12">
        <v>198</v>
      </c>
      <c r="U16" s="12">
        <v>64</v>
      </c>
      <c r="V16" s="12">
        <v>93</v>
      </c>
      <c r="W16" s="12">
        <v>49</v>
      </c>
      <c r="X16" s="12">
        <v>187</v>
      </c>
      <c r="Y16" s="12">
        <v>140</v>
      </c>
      <c r="Z16" s="12">
        <v>153</v>
      </c>
      <c r="AA16" s="12">
        <v>104</v>
      </c>
      <c r="AB16" s="12">
        <v>168</v>
      </c>
      <c r="AC16" s="12">
        <v>180</v>
      </c>
      <c r="AD16" s="12">
        <v>105</v>
      </c>
      <c r="AE16" s="12">
        <v>203</v>
      </c>
      <c r="AF16" s="12">
        <v>174</v>
      </c>
    </row>
    <row r="17" spans="1:32">
      <c r="A17" s="20"/>
      <c r="B17" s="13" t="s">
        <v>497</v>
      </c>
      <c r="C17" s="14">
        <v>0.14000000000000001</v>
      </c>
      <c r="D17" s="14">
        <v>0.19</v>
      </c>
      <c r="E17" s="14">
        <v>0.14000000000000001</v>
      </c>
      <c r="F17" s="14">
        <v>0.2</v>
      </c>
      <c r="G17" s="14">
        <v>0.15</v>
      </c>
      <c r="H17" s="14">
        <v>0.15</v>
      </c>
      <c r="I17" s="14">
        <v>0.16</v>
      </c>
      <c r="J17" s="14">
        <v>0.17</v>
      </c>
      <c r="K17" s="14">
        <v>0.2</v>
      </c>
      <c r="L17" s="14">
        <v>0.09</v>
      </c>
      <c r="M17" s="14">
        <v>0.12</v>
      </c>
      <c r="N17" s="14">
        <v>0.11</v>
      </c>
      <c r="O17" s="14">
        <v>0.16</v>
      </c>
      <c r="P17" s="14">
        <v>0.12</v>
      </c>
      <c r="Q17" s="14">
        <v>0.11</v>
      </c>
      <c r="R17" s="14">
        <v>0.11</v>
      </c>
      <c r="S17" s="14">
        <v>0.21</v>
      </c>
      <c r="T17" s="14">
        <v>0.2</v>
      </c>
      <c r="U17" s="14">
        <v>0.13</v>
      </c>
      <c r="V17" s="14">
        <v>0.09</v>
      </c>
      <c r="W17" s="14">
        <v>0.1</v>
      </c>
      <c r="X17" s="14">
        <v>0.18</v>
      </c>
      <c r="Y17" s="14">
        <v>0.14000000000000001</v>
      </c>
      <c r="Z17" s="14">
        <v>0.15</v>
      </c>
      <c r="AA17" s="14">
        <v>0.1</v>
      </c>
      <c r="AB17" s="14">
        <v>0.16</v>
      </c>
      <c r="AC17" s="14">
        <v>0.18</v>
      </c>
      <c r="AD17" s="14">
        <v>0.11</v>
      </c>
      <c r="AE17" s="14">
        <v>0.2</v>
      </c>
      <c r="AF17" s="14">
        <v>0.17</v>
      </c>
    </row>
    <row r="18" spans="1:32">
      <c r="A18" s="20"/>
      <c r="B18" s="11" t="s">
        <v>1231</v>
      </c>
      <c r="C18" s="12">
        <v>2043</v>
      </c>
      <c r="D18" s="12">
        <v>67</v>
      </c>
      <c r="E18" s="12">
        <v>97</v>
      </c>
      <c r="F18" s="12">
        <v>143</v>
      </c>
      <c r="G18" s="12">
        <v>33</v>
      </c>
      <c r="H18" s="12">
        <v>108</v>
      </c>
      <c r="I18" s="12">
        <v>139</v>
      </c>
      <c r="J18" s="12">
        <v>31</v>
      </c>
      <c r="K18" s="12">
        <v>147</v>
      </c>
      <c r="L18" s="12">
        <v>89</v>
      </c>
      <c r="M18" s="12">
        <v>68</v>
      </c>
      <c r="N18" s="12">
        <v>89</v>
      </c>
      <c r="O18" s="12">
        <v>65</v>
      </c>
      <c r="P18" s="12">
        <v>56</v>
      </c>
      <c r="Q18" s="12">
        <v>35</v>
      </c>
      <c r="R18" s="12">
        <v>17</v>
      </c>
      <c r="S18" s="12">
        <v>173</v>
      </c>
      <c r="T18" s="12">
        <v>186</v>
      </c>
      <c r="U18" s="12">
        <v>33</v>
      </c>
      <c r="V18" s="12">
        <v>24</v>
      </c>
      <c r="W18" s="12">
        <v>32</v>
      </c>
      <c r="X18" s="12">
        <v>60</v>
      </c>
      <c r="Y18" s="12">
        <v>147</v>
      </c>
      <c r="Z18" s="12">
        <v>61</v>
      </c>
      <c r="AA18" s="12">
        <v>120</v>
      </c>
      <c r="AB18" s="12">
        <v>135</v>
      </c>
      <c r="AC18" s="12">
        <v>174</v>
      </c>
      <c r="AD18" s="12">
        <v>94</v>
      </c>
      <c r="AE18" s="12">
        <v>118</v>
      </c>
      <c r="AF18" s="12">
        <v>65</v>
      </c>
    </row>
    <row r="19" spans="1:32">
      <c r="A19" s="20"/>
      <c r="B19" s="13" t="s">
        <v>1232</v>
      </c>
      <c r="C19" s="14">
        <v>0.08</v>
      </c>
      <c r="D19" s="14">
        <v>7.0000000000000007E-2</v>
      </c>
      <c r="E19" s="14">
        <v>0.1</v>
      </c>
      <c r="F19" s="14">
        <v>0.14000000000000001</v>
      </c>
      <c r="G19" s="14">
        <v>0.03</v>
      </c>
      <c r="H19" s="14">
        <v>0.09</v>
      </c>
      <c r="I19" s="14">
        <v>0.09</v>
      </c>
      <c r="J19" s="14">
        <v>0.1</v>
      </c>
      <c r="K19" s="14">
        <v>0.14000000000000001</v>
      </c>
      <c r="L19" s="14">
        <v>0.09</v>
      </c>
      <c r="M19" s="14">
        <v>7.0000000000000007E-2</v>
      </c>
      <c r="N19" s="14">
        <v>0.09</v>
      </c>
      <c r="O19" s="14">
        <v>7.0000000000000007E-2</v>
      </c>
      <c r="P19" s="14">
        <v>0.05</v>
      </c>
      <c r="Q19" s="14">
        <v>0.04</v>
      </c>
      <c r="R19" s="14">
        <v>0.03</v>
      </c>
      <c r="S19" s="14">
        <v>0.17</v>
      </c>
      <c r="T19" s="14">
        <v>0.18</v>
      </c>
      <c r="U19" s="14">
        <v>7.0000000000000007E-2</v>
      </c>
      <c r="V19" s="14">
        <v>0.02</v>
      </c>
      <c r="W19" s="14">
        <v>0.06</v>
      </c>
      <c r="X19" s="14">
        <v>0.06</v>
      </c>
      <c r="Y19" s="14">
        <v>0.14000000000000001</v>
      </c>
      <c r="Z19" s="14">
        <v>0.06</v>
      </c>
      <c r="AA19" s="14">
        <v>0.11</v>
      </c>
      <c r="AB19" s="14">
        <v>0.13</v>
      </c>
      <c r="AC19" s="14">
        <v>0.17</v>
      </c>
      <c r="AD19" s="14">
        <v>0.09</v>
      </c>
      <c r="AE19" s="14">
        <v>0.12</v>
      </c>
      <c r="AF19" s="14">
        <v>0.06</v>
      </c>
    </row>
    <row r="20" spans="1:32">
      <c r="A20" s="20"/>
      <c r="B20" s="11" t="s">
        <v>468</v>
      </c>
      <c r="C20" s="12">
        <v>949</v>
      </c>
      <c r="D20" s="12">
        <v>15</v>
      </c>
      <c r="E20" s="12">
        <v>88</v>
      </c>
      <c r="F20" s="12">
        <v>38</v>
      </c>
      <c r="G20" s="12">
        <v>52</v>
      </c>
      <c r="H20" s="12">
        <v>55</v>
      </c>
      <c r="I20" s="12">
        <v>74</v>
      </c>
      <c r="J20" s="12">
        <v>18</v>
      </c>
      <c r="K20" s="12">
        <v>67</v>
      </c>
      <c r="L20" s="12">
        <v>30</v>
      </c>
      <c r="M20" s="12">
        <v>58</v>
      </c>
      <c r="N20" s="12">
        <v>42</v>
      </c>
      <c r="O20" s="12">
        <v>52</v>
      </c>
      <c r="P20" s="12">
        <v>12</v>
      </c>
      <c r="Q20" s="12">
        <v>12</v>
      </c>
      <c r="R20" s="12">
        <v>32</v>
      </c>
      <c r="S20" s="12">
        <v>66</v>
      </c>
      <c r="T20" s="12">
        <v>34</v>
      </c>
      <c r="U20" s="12">
        <v>17</v>
      </c>
      <c r="V20" s="12">
        <v>19</v>
      </c>
      <c r="W20" s="12">
        <v>7</v>
      </c>
      <c r="X20" s="12">
        <v>13</v>
      </c>
      <c r="Y20" s="12">
        <v>27</v>
      </c>
      <c r="Z20" s="12">
        <v>37</v>
      </c>
      <c r="AA20" s="12">
        <v>43</v>
      </c>
      <c r="AB20" s="12">
        <v>23</v>
      </c>
      <c r="AC20" s="12">
        <v>8</v>
      </c>
      <c r="AD20" s="12">
        <v>35</v>
      </c>
      <c r="AE20" s="12">
        <v>21</v>
      </c>
      <c r="AF20" s="12">
        <v>6</v>
      </c>
    </row>
    <row r="21" spans="1:32">
      <c r="A21" s="20"/>
      <c r="B21" s="13" t="s">
        <v>469</v>
      </c>
      <c r="C21" s="14">
        <v>0.04</v>
      </c>
      <c r="D21" s="14">
        <v>0.01</v>
      </c>
      <c r="E21" s="14">
        <v>0.09</v>
      </c>
      <c r="F21" s="14">
        <v>0.04</v>
      </c>
      <c r="G21" s="14">
        <v>0.05</v>
      </c>
      <c r="H21" s="14">
        <v>0.05</v>
      </c>
      <c r="I21" s="14">
        <v>0.05</v>
      </c>
      <c r="J21" s="14">
        <v>0.06</v>
      </c>
      <c r="K21" s="14">
        <v>7.0000000000000007E-2</v>
      </c>
      <c r="L21" s="14">
        <v>0.03</v>
      </c>
      <c r="M21" s="14">
        <v>0.06</v>
      </c>
      <c r="N21" s="14">
        <v>0.04</v>
      </c>
      <c r="O21" s="14">
        <v>0.05</v>
      </c>
      <c r="P21" s="14">
        <v>0.01</v>
      </c>
      <c r="Q21" s="14">
        <v>0.01</v>
      </c>
      <c r="R21" s="14">
        <v>0.06</v>
      </c>
      <c r="S21" s="14">
        <v>7.0000000000000007E-2</v>
      </c>
      <c r="T21" s="14">
        <v>0.03</v>
      </c>
      <c r="U21" s="14">
        <v>0.03</v>
      </c>
      <c r="V21" s="14">
        <v>0.02</v>
      </c>
      <c r="W21" s="14">
        <v>0.01</v>
      </c>
      <c r="X21" s="14">
        <v>0.01</v>
      </c>
      <c r="Y21" s="14">
        <v>0.03</v>
      </c>
      <c r="Z21" s="14">
        <v>0.04</v>
      </c>
      <c r="AA21" s="14">
        <v>0.04</v>
      </c>
      <c r="AB21" s="14">
        <v>0.02</v>
      </c>
      <c r="AC21" s="14">
        <v>0.01</v>
      </c>
      <c r="AD21" s="14">
        <v>0.03</v>
      </c>
      <c r="AE21" s="14">
        <v>0.02</v>
      </c>
      <c r="AF21" s="14">
        <v>0.01</v>
      </c>
    </row>
    <row r="22" spans="1:32">
      <c r="A22" s="20"/>
      <c r="B22" s="11" t="s">
        <v>500</v>
      </c>
      <c r="C22" s="12">
        <v>19543</v>
      </c>
      <c r="D22" s="12">
        <v>732</v>
      </c>
      <c r="E22" s="12">
        <v>685</v>
      </c>
      <c r="F22" s="12">
        <v>625</v>
      </c>
      <c r="G22" s="12">
        <v>769</v>
      </c>
      <c r="H22" s="12">
        <v>864</v>
      </c>
      <c r="I22" s="12">
        <v>1060</v>
      </c>
      <c r="J22" s="12">
        <v>196</v>
      </c>
      <c r="K22" s="12">
        <v>591</v>
      </c>
      <c r="L22" s="12">
        <v>800</v>
      </c>
      <c r="M22" s="12">
        <v>756</v>
      </c>
      <c r="N22" s="12">
        <v>765</v>
      </c>
      <c r="O22" s="12">
        <v>727</v>
      </c>
      <c r="P22" s="12">
        <v>835</v>
      </c>
      <c r="Q22" s="12">
        <v>856</v>
      </c>
      <c r="R22" s="12">
        <v>397</v>
      </c>
      <c r="S22" s="12">
        <v>558</v>
      </c>
      <c r="T22" s="12">
        <v>596</v>
      </c>
      <c r="U22" s="12">
        <v>393</v>
      </c>
      <c r="V22" s="12">
        <v>880</v>
      </c>
      <c r="W22" s="12">
        <v>415</v>
      </c>
      <c r="X22" s="12">
        <v>761</v>
      </c>
      <c r="Y22" s="12">
        <v>694</v>
      </c>
      <c r="Z22" s="12">
        <v>758</v>
      </c>
      <c r="AA22" s="12">
        <v>785</v>
      </c>
      <c r="AB22" s="12">
        <v>713</v>
      </c>
      <c r="AC22" s="12">
        <v>648</v>
      </c>
      <c r="AD22" s="12">
        <v>772</v>
      </c>
      <c r="AE22" s="12">
        <v>658</v>
      </c>
      <c r="AF22" s="12">
        <v>775</v>
      </c>
    </row>
    <row r="23" spans="1:32">
      <c r="A23" s="20"/>
      <c r="B23" s="13" t="s">
        <v>500</v>
      </c>
      <c r="C23" s="14">
        <v>0.74</v>
      </c>
      <c r="D23" s="14">
        <v>0.73</v>
      </c>
      <c r="E23" s="14">
        <v>0.67</v>
      </c>
      <c r="F23" s="14">
        <v>0.62</v>
      </c>
      <c r="G23" s="14">
        <v>0.77</v>
      </c>
      <c r="H23" s="14">
        <v>0.71</v>
      </c>
      <c r="I23" s="14">
        <v>0.70000000000000007</v>
      </c>
      <c r="J23" s="14">
        <v>0.67</v>
      </c>
      <c r="K23" s="14">
        <v>0.59</v>
      </c>
      <c r="L23" s="14">
        <v>0.79</v>
      </c>
      <c r="M23" s="14">
        <v>0.75</v>
      </c>
      <c r="N23" s="14">
        <v>0.76</v>
      </c>
      <c r="O23" s="14">
        <v>0.72</v>
      </c>
      <c r="P23" s="14">
        <v>0.82000000000000006</v>
      </c>
      <c r="Q23" s="14">
        <v>0.84</v>
      </c>
      <c r="R23" s="14">
        <v>0.8</v>
      </c>
      <c r="S23" s="14">
        <v>0.55000000000000004</v>
      </c>
      <c r="T23" s="14">
        <v>0.59</v>
      </c>
      <c r="U23" s="14">
        <v>0.77</v>
      </c>
      <c r="V23" s="14">
        <v>0.87</v>
      </c>
      <c r="W23" s="14">
        <v>0.83000000000000007</v>
      </c>
      <c r="X23" s="14">
        <v>0.75</v>
      </c>
      <c r="Y23" s="14">
        <v>0.69000000000000006</v>
      </c>
      <c r="Z23" s="14">
        <v>0.75</v>
      </c>
      <c r="AA23" s="14">
        <v>0.75</v>
      </c>
      <c r="AB23" s="14">
        <v>0.69000000000000006</v>
      </c>
      <c r="AC23" s="14">
        <v>0.64</v>
      </c>
      <c r="AD23" s="14">
        <v>0.77</v>
      </c>
      <c r="AE23" s="14">
        <v>0.66</v>
      </c>
      <c r="AF23" s="14">
        <v>0.76</v>
      </c>
    </row>
    <row r="24" spans="1:32">
      <c r="A24" s="20"/>
      <c r="B24" s="11" t="s">
        <v>501</v>
      </c>
      <c r="C24" s="12">
        <v>5828</v>
      </c>
      <c r="D24" s="12">
        <v>256</v>
      </c>
      <c r="E24" s="12">
        <v>244</v>
      </c>
      <c r="F24" s="12">
        <v>341</v>
      </c>
      <c r="G24" s="12">
        <v>181</v>
      </c>
      <c r="H24" s="12">
        <v>296</v>
      </c>
      <c r="I24" s="12">
        <v>377</v>
      </c>
      <c r="J24" s="12">
        <v>80</v>
      </c>
      <c r="K24" s="12">
        <v>348</v>
      </c>
      <c r="L24" s="12">
        <v>176</v>
      </c>
      <c r="M24" s="12">
        <v>190</v>
      </c>
      <c r="N24" s="12">
        <v>197</v>
      </c>
      <c r="O24" s="12">
        <v>224</v>
      </c>
      <c r="P24" s="12">
        <v>175</v>
      </c>
      <c r="Q24" s="12">
        <v>151</v>
      </c>
      <c r="R24" s="12">
        <v>71</v>
      </c>
      <c r="S24" s="12">
        <v>383</v>
      </c>
      <c r="T24" s="12">
        <v>384</v>
      </c>
      <c r="U24" s="12">
        <v>97</v>
      </c>
      <c r="V24" s="12">
        <v>117</v>
      </c>
      <c r="W24" s="12">
        <v>81</v>
      </c>
      <c r="X24" s="12">
        <v>247</v>
      </c>
      <c r="Y24" s="12">
        <v>287</v>
      </c>
      <c r="Z24" s="12">
        <v>214</v>
      </c>
      <c r="AA24" s="12">
        <v>224</v>
      </c>
      <c r="AB24" s="12">
        <v>303</v>
      </c>
      <c r="AC24" s="12">
        <v>354</v>
      </c>
      <c r="AD24" s="12">
        <v>199</v>
      </c>
      <c r="AE24" s="12">
        <v>321</v>
      </c>
      <c r="AF24" s="12">
        <v>239</v>
      </c>
    </row>
    <row r="25" spans="1:32">
      <c r="A25" s="20"/>
      <c r="B25" s="13" t="s">
        <v>502</v>
      </c>
      <c r="C25" s="14">
        <v>0.22</v>
      </c>
      <c r="D25" s="14">
        <v>0.26</v>
      </c>
      <c r="E25" s="14">
        <v>0.24</v>
      </c>
      <c r="F25" s="14">
        <v>0.34</v>
      </c>
      <c r="G25" s="14">
        <v>0.18</v>
      </c>
      <c r="H25" s="14">
        <v>0.24</v>
      </c>
      <c r="I25" s="14">
        <v>0.25</v>
      </c>
      <c r="J25" s="14">
        <v>0.27</v>
      </c>
      <c r="K25" s="14">
        <v>0.34</v>
      </c>
      <c r="L25" s="14">
        <v>0.18</v>
      </c>
      <c r="M25" s="14">
        <v>0.19</v>
      </c>
      <c r="N25" s="14">
        <v>0.2</v>
      </c>
      <c r="O25" s="14">
        <v>0.23</v>
      </c>
      <c r="P25" s="14">
        <v>0.17</v>
      </c>
      <c r="Q25" s="14">
        <v>0.15</v>
      </c>
      <c r="R25" s="14">
        <v>0.14000000000000001</v>
      </c>
      <c r="S25" s="14">
        <v>0.38</v>
      </c>
      <c r="T25" s="14">
        <v>0.38</v>
      </c>
      <c r="U25" s="14">
        <v>0.2</v>
      </c>
      <c r="V25" s="14">
        <v>0.11</v>
      </c>
      <c r="W25" s="14">
        <v>0.16</v>
      </c>
      <c r="X25" s="14">
        <v>0.24</v>
      </c>
      <c r="Y25" s="14">
        <v>0.28000000000000003</v>
      </c>
      <c r="Z25" s="14">
        <v>0.21</v>
      </c>
      <c r="AA25" s="14">
        <v>0.21</v>
      </c>
      <c r="AB25" s="14">
        <v>0.28999999999999998</v>
      </c>
      <c r="AC25" s="14">
        <v>0.35</v>
      </c>
      <c r="AD25" s="14">
        <v>0.2</v>
      </c>
      <c r="AE25" s="14">
        <v>0.32</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1237</v>
      </c>
      <c r="C3" s="18"/>
      <c r="D3" s="18"/>
      <c r="E3" s="18"/>
      <c r="F3" s="18"/>
      <c r="H3" s="18" t="s">
        <v>1238</v>
      </c>
      <c r="I3" s="18"/>
      <c r="J3" s="18"/>
      <c r="K3" s="18"/>
      <c r="L3" s="18"/>
    </row>
    <row r="4" spans="1:32" ht="27" customHeight="1">
      <c r="B4" s="18" t="s">
        <v>1239</v>
      </c>
      <c r="C4" s="18"/>
      <c r="D4" s="18"/>
      <c r="E4" s="18"/>
      <c r="F4" s="18"/>
      <c r="H4" s="18" t="s">
        <v>1240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7481</v>
      </c>
      <c r="D12" s="12">
        <v>298</v>
      </c>
      <c r="E12" s="12">
        <v>369</v>
      </c>
      <c r="F12" s="12">
        <v>243</v>
      </c>
      <c r="G12" s="12">
        <v>468</v>
      </c>
      <c r="H12" s="12">
        <v>272</v>
      </c>
      <c r="I12" s="12">
        <v>348</v>
      </c>
      <c r="J12" s="12">
        <v>75</v>
      </c>
      <c r="K12" s="12">
        <v>371</v>
      </c>
      <c r="L12" s="12">
        <v>513</v>
      </c>
      <c r="M12" s="12">
        <v>297</v>
      </c>
      <c r="N12" s="12">
        <v>323</v>
      </c>
      <c r="O12" s="12">
        <v>316</v>
      </c>
      <c r="P12" s="12">
        <v>308</v>
      </c>
      <c r="Q12" s="12">
        <v>270</v>
      </c>
      <c r="R12" s="12">
        <v>203</v>
      </c>
      <c r="S12" s="12">
        <v>374</v>
      </c>
      <c r="T12" s="12">
        <v>318</v>
      </c>
      <c r="U12" s="12">
        <v>184</v>
      </c>
      <c r="V12" s="12">
        <v>396</v>
      </c>
      <c r="W12" s="12">
        <v>241</v>
      </c>
      <c r="X12" s="12">
        <v>406</v>
      </c>
      <c r="Y12" s="12">
        <v>257</v>
      </c>
      <c r="Z12" s="12">
        <v>173</v>
      </c>
      <c r="AA12" s="12">
        <v>256</v>
      </c>
      <c r="AB12" s="12">
        <v>179</v>
      </c>
      <c r="AC12" s="12">
        <v>362</v>
      </c>
      <c r="AD12" s="12">
        <v>328</v>
      </c>
      <c r="AE12" s="12">
        <v>305</v>
      </c>
      <c r="AF12" s="12">
        <v>483</v>
      </c>
    </row>
    <row r="13" spans="1:32">
      <c r="A13" s="20"/>
      <c r="B13" s="13" t="s">
        <v>493</v>
      </c>
      <c r="C13" s="14">
        <v>0.28000000000000003</v>
      </c>
      <c r="D13" s="14">
        <v>0.3</v>
      </c>
      <c r="E13" s="14">
        <v>0.36</v>
      </c>
      <c r="F13" s="14">
        <v>0.24</v>
      </c>
      <c r="G13" s="14">
        <v>0.47</v>
      </c>
      <c r="H13" s="14">
        <v>0.22</v>
      </c>
      <c r="I13" s="14">
        <v>0.23</v>
      </c>
      <c r="J13" s="14">
        <v>0.26</v>
      </c>
      <c r="K13" s="14">
        <v>0.37</v>
      </c>
      <c r="L13" s="14">
        <v>0.51</v>
      </c>
      <c r="M13" s="14">
        <v>0.28999999999999998</v>
      </c>
      <c r="N13" s="14">
        <v>0.32</v>
      </c>
      <c r="O13" s="14">
        <v>0.31</v>
      </c>
      <c r="P13" s="14">
        <v>0.3</v>
      </c>
      <c r="Q13" s="14">
        <v>0.27</v>
      </c>
      <c r="R13" s="14">
        <v>0.4</v>
      </c>
      <c r="S13" s="14">
        <v>0.37</v>
      </c>
      <c r="T13" s="14">
        <v>0.32</v>
      </c>
      <c r="U13" s="14">
        <v>0.36</v>
      </c>
      <c r="V13" s="14">
        <v>0.39</v>
      </c>
      <c r="W13" s="14">
        <v>0.48</v>
      </c>
      <c r="X13" s="14">
        <v>0.4</v>
      </c>
      <c r="Y13" s="14">
        <v>0.26</v>
      </c>
      <c r="Z13" s="14">
        <v>0.17</v>
      </c>
      <c r="AA13" s="14">
        <v>0.25</v>
      </c>
      <c r="AB13" s="14">
        <v>0.17</v>
      </c>
      <c r="AC13" s="14">
        <v>0.36</v>
      </c>
      <c r="AD13" s="14">
        <v>0.33</v>
      </c>
      <c r="AE13" s="14">
        <v>0.3</v>
      </c>
      <c r="AF13" s="14">
        <v>0.47</v>
      </c>
    </row>
    <row r="14" spans="1:32">
      <c r="A14" s="20"/>
      <c r="B14" s="11" t="s">
        <v>1229</v>
      </c>
      <c r="C14" s="12">
        <v>11914</v>
      </c>
      <c r="D14" s="12">
        <v>448</v>
      </c>
      <c r="E14" s="12">
        <v>342</v>
      </c>
      <c r="F14" s="12">
        <v>417</v>
      </c>
      <c r="G14" s="12">
        <v>326</v>
      </c>
      <c r="H14" s="12">
        <v>576</v>
      </c>
      <c r="I14" s="12">
        <v>700</v>
      </c>
      <c r="J14" s="12">
        <v>124</v>
      </c>
      <c r="K14" s="12">
        <v>423</v>
      </c>
      <c r="L14" s="12">
        <v>309</v>
      </c>
      <c r="M14" s="12">
        <v>430</v>
      </c>
      <c r="N14" s="12">
        <v>453</v>
      </c>
      <c r="O14" s="12">
        <v>409</v>
      </c>
      <c r="P14" s="12">
        <v>460</v>
      </c>
      <c r="Q14" s="12">
        <v>520</v>
      </c>
      <c r="R14" s="12">
        <v>179</v>
      </c>
      <c r="S14" s="12">
        <v>390</v>
      </c>
      <c r="T14" s="12">
        <v>367</v>
      </c>
      <c r="U14" s="12">
        <v>211</v>
      </c>
      <c r="V14" s="12">
        <v>479</v>
      </c>
      <c r="W14" s="12">
        <v>147</v>
      </c>
      <c r="X14" s="12">
        <v>446</v>
      </c>
      <c r="Y14" s="12">
        <v>387</v>
      </c>
      <c r="Z14" s="12">
        <v>578</v>
      </c>
      <c r="AA14" s="12">
        <v>486</v>
      </c>
      <c r="AB14" s="12">
        <v>481</v>
      </c>
      <c r="AC14" s="12">
        <v>387</v>
      </c>
      <c r="AD14" s="12">
        <v>491</v>
      </c>
      <c r="AE14" s="12">
        <v>406</v>
      </c>
      <c r="AF14" s="12">
        <v>319</v>
      </c>
    </row>
    <row r="15" spans="1:32">
      <c r="A15" s="20"/>
      <c r="B15" s="13" t="s">
        <v>495</v>
      </c>
      <c r="C15" s="14">
        <v>0.45</v>
      </c>
      <c r="D15" s="14">
        <v>0.45</v>
      </c>
      <c r="E15" s="14">
        <v>0.34</v>
      </c>
      <c r="F15" s="14">
        <v>0.42</v>
      </c>
      <c r="G15" s="14">
        <v>0.32</v>
      </c>
      <c r="H15" s="14">
        <v>0.47</v>
      </c>
      <c r="I15" s="14">
        <v>0.46</v>
      </c>
      <c r="J15" s="14">
        <v>0.42</v>
      </c>
      <c r="K15" s="14">
        <v>0.42</v>
      </c>
      <c r="L15" s="14">
        <v>0.3</v>
      </c>
      <c r="M15" s="14">
        <v>0.43</v>
      </c>
      <c r="N15" s="14">
        <v>0.45</v>
      </c>
      <c r="O15" s="14">
        <v>0.41</v>
      </c>
      <c r="P15" s="14">
        <v>0.45</v>
      </c>
      <c r="Q15" s="14">
        <v>0.51</v>
      </c>
      <c r="R15" s="14">
        <v>0.36</v>
      </c>
      <c r="S15" s="14">
        <v>0.39</v>
      </c>
      <c r="T15" s="14">
        <v>0.36</v>
      </c>
      <c r="U15" s="14">
        <v>0.42</v>
      </c>
      <c r="V15" s="14">
        <v>0.47</v>
      </c>
      <c r="W15" s="14">
        <v>0.28999999999999998</v>
      </c>
      <c r="X15" s="14">
        <v>0.43</v>
      </c>
      <c r="Y15" s="14">
        <v>0.38</v>
      </c>
      <c r="Z15" s="14">
        <v>0.57000000000000006</v>
      </c>
      <c r="AA15" s="14">
        <v>0.46</v>
      </c>
      <c r="AB15" s="14">
        <v>0.47</v>
      </c>
      <c r="AC15" s="14">
        <v>0.38</v>
      </c>
      <c r="AD15" s="14">
        <v>0.49</v>
      </c>
      <c r="AE15" s="14">
        <v>0.41</v>
      </c>
      <c r="AF15" s="14">
        <v>0.31</v>
      </c>
    </row>
    <row r="16" spans="1:32">
      <c r="A16" s="20"/>
      <c r="B16" s="11" t="s">
        <v>1230</v>
      </c>
      <c r="C16" s="12">
        <v>3806</v>
      </c>
      <c r="D16" s="12">
        <v>187</v>
      </c>
      <c r="E16" s="12">
        <v>132</v>
      </c>
      <c r="F16" s="12">
        <v>202</v>
      </c>
      <c r="G16" s="12">
        <v>99</v>
      </c>
      <c r="H16" s="12">
        <v>164</v>
      </c>
      <c r="I16" s="12">
        <v>214</v>
      </c>
      <c r="J16" s="12">
        <v>50</v>
      </c>
      <c r="K16" s="12">
        <v>113</v>
      </c>
      <c r="L16" s="12">
        <v>89</v>
      </c>
      <c r="M16" s="12">
        <v>107</v>
      </c>
      <c r="N16" s="12">
        <v>114</v>
      </c>
      <c r="O16" s="12">
        <v>167</v>
      </c>
      <c r="P16" s="12">
        <v>143</v>
      </c>
      <c r="Q16" s="12">
        <v>155</v>
      </c>
      <c r="R16" s="12">
        <v>53</v>
      </c>
      <c r="S16" s="12">
        <v>127</v>
      </c>
      <c r="T16" s="12">
        <v>125</v>
      </c>
      <c r="U16" s="12">
        <v>63</v>
      </c>
      <c r="V16" s="12">
        <v>89</v>
      </c>
      <c r="W16" s="12">
        <v>57</v>
      </c>
      <c r="X16" s="12">
        <v>131</v>
      </c>
      <c r="Y16" s="12">
        <v>158</v>
      </c>
      <c r="Z16" s="12">
        <v>160</v>
      </c>
      <c r="AA16" s="12">
        <v>118</v>
      </c>
      <c r="AB16" s="12">
        <v>201</v>
      </c>
      <c r="AC16" s="12">
        <v>129</v>
      </c>
      <c r="AD16" s="12">
        <v>107</v>
      </c>
      <c r="AE16" s="12">
        <v>161</v>
      </c>
      <c r="AF16" s="12">
        <v>133</v>
      </c>
    </row>
    <row r="17" spans="1:32">
      <c r="A17" s="20"/>
      <c r="B17" s="13" t="s">
        <v>497</v>
      </c>
      <c r="C17" s="14">
        <v>0.15</v>
      </c>
      <c r="D17" s="14">
        <v>0.18</v>
      </c>
      <c r="E17" s="14">
        <v>0.13</v>
      </c>
      <c r="F17" s="14">
        <v>0.2</v>
      </c>
      <c r="G17" s="14">
        <v>0.1</v>
      </c>
      <c r="H17" s="14">
        <v>0.14000000000000001</v>
      </c>
      <c r="I17" s="14">
        <v>0.14000000000000001</v>
      </c>
      <c r="J17" s="14">
        <v>0.17</v>
      </c>
      <c r="K17" s="14">
        <v>0.11</v>
      </c>
      <c r="L17" s="14">
        <v>0.09</v>
      </c>
      <c r="M17" s="14">
        <v>0.11</v>
      </c>
      <c r="N17" s="14">
        <v>0.11</v>
      </c>
      <c r="O17" s="14">
        <v>0.17</v>
      </c>
      <c r="P17" s="14">
        <v>0.14000000000000001</v>
      </c>
      <c r="Q17" s="14">
        <v>0.15</v>
      </c>
      <c r="R17" s="14">
        <v>0.11</v>
      </c>
      <c r="S17" s="14">
        <v>0.13</v>
      </c>
      <c r="T17" s="14">
        <v>0.12</v>
      </c>
      <c r="U17" s="14">
        <v>0.12</v>
      </c>
      <c r="V17" s="14">
        <v>0.09</v>
      </c>
      <c r="W17" s="14">
        <v>0.11</v>
      </c>
      <c r="X17" s="14">
        <v>0.13</v>
      </c>
      <c r="Y17" s="14">
        <v>0.16</v>
      </c>
      <c r="Z17" s="14">
        <v>0.16</v>
      </c>
      <c r="AA17" s="14">
        <v>0.11</v>
      </c>
      <c r="AB17" s="14">
        <v>0.19</v>
      </c>
      <c r="AC17" s="14">
        <v>0.13</v>
      </c>
      <c r="AD17" s="14">
        <v>0.1</v>
      </c>
      <c r="AE17" s="14">
        <v>0.16</v>
      </c>
      <c r="AF17" s="14">
        <v>0.13</v>
      </c>
    </row>
    <row r="18" spans="1:32">
      <c r="A18" s="20"/>
      <c r="B18" s="11" t="s">
        <v>1231</v>
      </c>
      <c r="C18" s="12">
        <v>2258</v>
      </c>
      <c r="D18" s="12">
        <v>61</v>
      </c>
      <c r="E18" s="12">
        <v>92</v>
      </c>
      <c r="F18" s="12">
        <v>101</v>
      </c>
      <c r="G18" s="12">
        <v>39</v>
      </c>
      <c r="H18" s="12">
        <v>140</v>
      </c>
      <c r="I18" s="12">
        <v>168</v>
      </c>
      <c r="J18" s="12">
        <v>28</v>
      </c>
      <c r="K18" s="12">
        <v>75</v>
      </c>
      <c r="L18" s="12">
        <v>78</v>
      </c>
      <c r="M18" s="12">
        <v>91</v>
      </c>
      <c r="N18" s="12">
        <v>79</v>
      </c>
      <c r="O18" s="12">
        <v>81</v>
      </c>
      <c r="P18" s="12">
        <v>100</v>
      </c>
      <c r="Q18" s="12">
        <v>60</v>
      </c>
      <c r="R18" s="12">
        <v>25</v>
      </c>
      <c r="S18" s="12">
        <v>75</v>
      </c>
      <c r="T18" s="12">
        <v>173</v>
      </c>
      <c r="U18" s="12">
        <v>39</v>
      </c>
      <c r="V18" s="12">
        <v>30</v>
      </c>
      <c r="W18" s="12">
        <v>54</v>
      </c>
      <c r="X18" s="12">
        <v>28</v>
      </c>
      <c r="Y18" s="12">
        <v>186</v>
      </c>
      <c r="Z18" s="12">
        <v>69</v>
      </c>
      <c r="AA18" s="12">
        <v>149</v>
      </c>
      <c r="AB18" s="12">
        <v>158</v>
      </c>
      <c r="AC18" s="12">
        <v>124</v>
      </c>
      <c r="AD18" s="12">
        <v>53</v>
      </c>
      <c r="AE18" s="12">
        <v>102</v>
      </c>
      <c r="AF18" s="12">
        <v>69</v>
      </c>
    </row>
    <row r="19" spans="1:32">
      <c r="A19" s="20"/>
      <c r="B19" s="13" t="s">
        <v>1232</v>
      </c>
      <c r="C19" s="14">
        <v>0.09</v>
      </c>
      <c r="D19" s="14">
        <v>0.06</v>
      </c>
      <c r="E19" s="14">
        <v>0.09</v>
      </c>
      <c r="F19" s="14">
        <v>0.1</v>
      </c>
      <c r="G19" s="14">
        <v>0.04</v>
      </c>
      <c r="H19" s="14">
        <v>0.12</v>
      </c>
      <c r="I19" s="14">
        <v>0.11</v>
      </c>
      <c r="J19" s="14">
        <v>0.09</v>
      </c>
      <c r="K19" s="14">
        <v>7.0000000000000007E-2</v>
      </c>
      <c r="L19" s="14">
        <v>0.08</v>
      </c>
      <c r="M19" s="14">
        <v>0.09</v>
      </c>
      <c r="N19" s="14">
        <v>0.08</v>
      </c>
      <c r="O19" s="14">
        <v>0.08</v>
      </c>
      <c r="P19" s="14">
        <v>0.1</v>
      </c>
      <c r="Q19" s="14">
        <v>0.06</v>
      </c>
      <c r="R19" s="14">
        <v>0.05</v>
      </c>
      <c r="S19" s="14">
        <v>7.0000000000000007E-2</v>
      </c>
      <c r="T19" s="14">
        <v>0.17</v>
      </c>
      <c r="U19" s="14">
        <v>0.08</v>
      </c>
      <c r="V19" s="14">
        <v>0.03</v>
      </c>
      <c r="W19" s="14">
        <v>0.11</v>
      </c>
      <c r="X19" s="14">
        <v>0.03</v>
      </c>
      <c r="Y19" s="14">
        <v>0.18</v>
      </c>
      <c r="Z19" s="14">
        <v>7.0000000000000007E-2</v>
      </c>
      <c r="AA19" s="14">
        <v>0.14000000000000001</v>
      </c>
      <c r="AB19" s="14">
        <v>0.15</v>
      </c>
      <c r="AC19" s="14">
        <v>0.12</v>
      </c>
      <c r="AD19" s="14">
        <v>0.05</v>
      </c>
      <c r="AE19" s="14">
        <v>0.1</v>
      </c>
      <c r="AF19" s="14">
        <v>7.0000000000000007E-2</v>
      </c>
    </row>
    <row r="20" spans="1:32">
      <c r="A20" s="20"/>
      <c r="B20" s="11" t="s">
        <v>468</v>
      </c>
      <c r="C20" s="12">
        <v>860</v>
      </c>
      <c r="D20" s="12">
        <v>8</v>
      </c>
      <c r="E20" s="12">
        <v>83</v>
      </c>
      <c r="F20" s="12">
        <v>42</v>
      </c>
      <c r="G20" s="12">
        <v>72</v>
      </c>
      <c r="H20" s="12">
        <v>63</v>
      </c>
      <c r="I20" s="12">
        <v>81</v>
      </c>
      <c r="J20" s="12">
        <v>18</v>
      </c>
      <c r="K20" s="12">
        <v>25</v>
      </c>
      <c r="L20" s="12">
        <v>20</v>
      </c>
      <c r="M20" s="12">
        <v>77</v>
      </c>
      <c r="N20" s="12">
        <v>35</v>
      </c>
      <c r="O20" s="12">
        <v>30</v>
      </c>
      <c r="P20" s="12">
        <v>12</v>
      </c>
      <c r="Q20" s="12">
        <v>14</v>
      </c>
      <c r="R20" s="12">
        <v>39</v>
      </c>
      <c r="S20" s="12">
        <v>42</v>
      </c>
      <c r="T20" s="12">
        <v>31</v>
      </c>
      <c r="U20" s="12">
        <v>10</v>
      </c>
      <c r="V20" s="12">
        <v>23</v>
      </c>
      <c r="W20" s="12">
        <v>3</v>
      </c>
      <c r="X20" s="12">
        <v>9</v>
      </c>
      <c r="Y20" s="12">
        <v>19</v>
      </c>
      <c r="Z20" s="12">
        <v>28</v>
      </c>
      <c r="AA20" s="12">
        <v>44</v>
      </c>
      <c r="AB20" s="12">
        <v>20</v>
      </c>
      <c r="AC20" s="12">
        <v>9</v>
      </c>
      <c r="AD20" s="12">
        <v>27</v>
      </c>
      <c r="AE20" s="12">
        <v>27</v>
      </c>
      <c r="AF20" s="12">
        <v>15</v>
      </c>
    </row>
    <row r="21" spans="1:32">
      <c r="A21" s="20"/>
      <c r="B21" s="13" t="s">
        <v>469</v>
      </c>
      <c r="C21" s="14">
        <v>0.03</v>
      </c>
      <c r="D21" s="14">
        <v>0.01</v>
      </c>
      <c r="E21" s="14">
        <v>0.08</v>
      </c>
      <c r="F21" s="14">
        <v>0.04</v>
      </c>
      <c r="G21" s="14">
        <v>7.0000000000000007E-2</v>
      </c>
      <c r="H21" s="14">
        <v>0.05</v>
      </c>
      <c r="I21" s="14">
        <v>0.06</v>
      </c>
      <c r="J21" s="14">
        <v>0.06</v>
      </c>
      <c r="K21" s="14">
        <v>0.03</v>
      </c>
      <c r="L21" s="14">
        <v>0.02</v>
      </c>
      <c r="M21" s="14">
        <v>0.08</v>
      </c>
      <c r="N21" s="14">
        <v>0.04</v>
      </c>
      <c r="O21" s="14">
        <v>0.03</v>
      </c>
      <c r="P21" s="14">
        <v>0.01</v>
      </c>
      <c r="Q21" s="14">
        <v>0.01</v>
      </c>
      <c r="R21" s="14">
        <v>0.08</v>
      </c>
      <c r="S21" s="14">
        <v>0.04</v>
      </c>
      <c r="T21" s="14">
        <v>0.03</v>
      </c>
      <c r="U21" s="14">
        <v>0.02</v>
      </c>
      <c r="V21" s="14">
        <v>0.02</v>
      </c>
      <c r="W21" s="14">
        <v>0.01</v>
      </c>
      <c r="X21" s="14">
        <v>0.01</v>
      </c>
      <c r="Y21" s="14">
        <v>0.02</v>
      </c>
      <c r="Z21" s="14">
        <v>0.03</v>
      </c>
      <c r="AA21" s="14">
        <v>0.04</v>
      </c>
      <c r="AB21" s="14">
        <v>0.02</v>
      </c>
      <c r="AC21" s="14">
        <v>0.01</v>
      </c>
      <c r="AD21" s="14">
        <v>0.03</v>
      </c>
      <c r="AE21" s="14">
        <v>0.03</v>
      </c>
      <c r="AF21" s="14">
        <v>0.02</v>
      </c>
    </row>
    <row r="22" spans="1:32">
      <c r="A22" s="20"/>
      <c r="B22" s="11" t="s">
        <v>500</v>
      </c>
      <c r="C22" s="12">
        <v>19395</v>
      </c>
      <c r="D22" s="12">
        <v>746</v>
      </c>
      <c r="E22" s="12">
        <v>711</v>
      </c>
      <c r="F22" s="12">
        <v>660</v>
      </c>
      <c r="G22" s="12">
        <v>794</v>
      </c>
      <c r="H22" s="12">
        <v>848</v>
      </c>
      <c r="I22" s="12">
        <v>1048</v>
      </c>
      <c r="J22" s="12">
        <v>199</v>
      </c>
      <c r="K22" s="12">
        <v>794</v>
      </c>
      <c r="L22" s="12">
        <v>822</v>
      </c>
      <c r="M22" s="12">
        <v>727</v>
      </c>
      <c r="N22" s="12">
        <v>776</v>
      </c>
      <c r="O22" s="12">
        <v>725</v>
      </c>
      <c r="P22" s="12">
        <v>768</v>
      </c>
      <c r="Q22" s="12">
        <v>790</v>
      </c>
      <c r="R22" s="12">
        <v>382</v>
      </c>
      <c r="S22" s="12">
        <v>764</v>
      </c>
      <c r="T22" s="12">
        <v>685</v>
      </c>
      <c r="U22" s="12">
        <v>395</v>
      </c>
      <c r="V22" s="12">
        <v>875</v>
      </c>
      <c r="W22" s="12">
        <v>388</v>
      </c>
      <c r="X22" s="12">
        <v>852</v>
      </c>
      <c r="Y22" s="12">
        <v>644</v>
      </c>
      <c r="Z22" s="12">
        <v>751</v>
      </c>
      <c r="AA22" s="12">
        <v>742</v>
      </c>
      <c r="AB22" s="12">
        <v>660</v>
      </c>
      <c r="AC22" s="12">
        <v>749</v>
      </c>
      <c r="AD22" s="12">
        <v>819</v>
      </c>
      <c r="AE22" s="12">
        <v>711</v>
      </c>
      <c r="AF22" s="12">
        <v>802</v>
      </c>
    </row>
    <row r="23" spans="1:32">
      <c r="A23" s="20"/>
      <c r="B23" s="13" t="s">
        <v>500</v>
      </c>
      <c r="C23" s="14">
        <v>0.73</v>
      </c>
      <c r="D23" s="14">
        <v>0.75</v>
      </c>
      <c r="E23" s="14">
        <v>0.70000000000000007</v>
      </c>
      <c r="F23" s="14">
        <v>0.66</v>
      </c>
      <c r="G23" s="14">
        <v>0.79</v>
      </c>
      <c r="H23" s="14">
        <v>0.69000000000000006</v>
      </c>
      <c r="I23" s="14">
        <v>0.69000000000000006</v>
      </c>
      <c r="J23" s="14">
        <v>0.68</v>
      </c>
      <c r="K23" s="14">
        <v>0.79</v>
      </c>
      <c r="L23" s="14">
        <v>0.81</v>
      </c>
      <c r="M23" s="14">
        <v>0.72</v>
      </c>
      <c r="N23" s="14">
        <v>0.77</v>
      </c>
      <c r="O23" s="14">
        <v>0.72</v>
      </c>
      <c r="P23" s="14">
        <v>0.75</v>
      </c>
      <c r="Q23" s="14">
        <v>0.78</v>
      </c>
      <c r="R23" s="14">
        <v>0.76</v>
      </c>
      <c r="S23" s="14">
        <v>0.76</v>
      </c>
      <c r="T23" s="14">
        <v>0.68</v>
      </c>
      <c r="U23" s="14">
        <v>0.78</v>
      </c>
      <c r="V23" s="14">
        <v>0.86</v>
      </c>
      <c r="W23" s="14">
        <v>0.77</v>
      </c>
      <c r="X23" s="14">
        <v>0.83000000000000007</v>
      </c>
      <c r="Y23" s="14">
        <v>0.64</v>
      </c>
      <c r="Z23" s="14">
        <v>0.74</v>
      </c>
      <c r="AA23" s="14">
        <v>0.71</v>
      </c>
      <c r="AB23" s="14">
        <v>0.64</v>
      </c>
      <c r="AC23" s="14">
        <v>0.74</v>
      </c>
      <c r="AD23" s="14">
        <v>0.82000000000000006</v>
      </c>
      <c r="AE23" s="14">
        <v>0.71</v>
      </c>
      <c r="AF23" s="14">
        <v>0.78</v>
      </c>
    </row>
    <row r="24" spans="1:32">
      <c r="A24" s="20"/>
      <c r="B24" s="11" t="s">
        <v>501</v>
      </c>
      <c r="C24" s="12">
        <v>6064</v>
      </c>
      <c r="D24" s="12">
        <v>248</v>
      </c>
      <c r="E24" s="12">
        <v>224</v>
      </c>
      <c r="F24" s="12">
        <v>303</v>
      </c>
      <c r="G24" s="12">
        <v>138</v>
      </c>
      <c r="H24" s="12">
        <v>304</v>
      </c>
      <c r="I24" s="12">
        <v>382</v>
      </c>
      <c r="J24" s="12">
        <v>78</v>
      </c>
      <c r="K24" s="12">
        <v>188</v>
      </c>
      <c r="L24" s="12">
        <v>167</v>
      </c>
      <c r="M24" s="12">
        <v>198</v>
      </c>
      <c r="N24" s="12">
        <v>193</v>
      </c>
      <c r="O24" s="12">
        <v>248</v>
      </c>
      <c r="P24" s="12">
        <v>243</v>
      </c>
      <c r="Q24" s="12">
        <v>215</v>
      </c>
      <c r="R24" s="12">
        <v>78</v>
      </c>
      <c r="S24" s="12">
        <v>202</v>
      </c>
      <c r="T24" s="12">
        <v>298</v>
      </c>
      <c r="U24" s="12">
        <v>102</v>
      </c>
      <c r="V24" s="12">
        <v>119</v>
      </c>
      <c r="W24" s="12">
        <v>111</v>
      </c>
      <c r="X24" s="12">
        <v>159</v>
      </c>
      <c r="Y24" s="12">
        <v>344</v>
      </c>
      <c r="Z24" s="12">
        <v>229</v>
      </c>
      <c r="AA24" s="12">
        <v>267</v>
      </c>
      <c r="AB24" s="12">
        <v>359</v>
      </c>
      <c r="AC24" s="12">
        <v>253</v>
      </c>
      <c r="AD24" s="12">
        <v>160</v>
      </c>
      <c r="AE24" s="12">
        <v>263</v>
      </c>
      <c r="AF24" s="12">
        <v>202</v>
      </c>
    </row>
    <row r="25" spans="1:32">
      <c r="A25" s="20"/>
      <c r="B25" s="13" t="s">
        <v>502</v>
      </c>
      <c r="C25" s="14">
        <v>0.24</v>
      </c>
      <c r="D25" s="14">
        <v>0.24</v>
      </c>
      <c r="E25" s="14">
        <v>0.22</v>
      </c>
      <c r="F25" s="14">
        <v>0.3</v>
      </c>
      <c r="G25" s="14">
        <v>0.14000000000000001</v>
      </c>
      <c r="H25" s="14">
        <v>0.26</v>
      </c>
      <c r="I25" s="14">
        <v>0.25</v>
      </c>
      <c r="J25" s="14">
        <v>0.26</v>
      </c>
      <c r="K25" s="14">
        <v>0.18</v>
      </c>
      <c r="L25" s="14">
        <v>0.17</v>
      </c>
      <c r="M25" s="14">
        <v>0.2</v>
      </c>
      <c r="N25" s="14">
        <v>0.19</v>
      </c>
      <c r="O25" s="14">
        <v>0.25</v>
      </c>
      <c r="P25" s="14">
        <v>0.24</v>
      </c>
      <c r="Q25" s="14">
        <v>0.21</v>
      </c>
      <c r="R25" s="14">
        <v>0.16</v>
      </c>
      <c r="S25" s="14">
        <v>0.2</v>
      </c>
      <c r="T25" s="14">
        <v>0.28999999999999998</v>
      </c>
      <c r="U25" s="14">
        <v>0.2</v>
      </c>
      <c r="V25" s="14">
        <v>0.12</v>
      </c>
      <c r="W25" s="14">
        <v>0.22</v>
      </c>
      <c r="X25" s="14">
        <v>0.16</v>
      </c>
      <c r="Y25" s="14">
        <v>0.34</v>
      </c>
      <c r="Z25" s="14">
        <v>0.23</v>
      </c>
      <c r="AA25" s="14">
        <v>0.25</v>
      </c>
      <c r="AB25" s="14">
        <v>0.34</v>
      </c>
      <c r="AC25" s="14">
        <v>0.25</v>
      </c>
      <c r="AD25" s="14">
        <v>0.15</v>
      </c>
      <c r="AE25" s="14">
        <v>0.26</v>
      </c>
      <c r="AF25" s="14">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1241</v>
      </c>
      <c r="C3" s="18"/>
      <c r="D3" s="18"/>
      <c r="E3" s="18"/>
      <c r="F3" s="18"/>
      <c r="H3" s="18" t="s">
        <v>1242</v>
      </c>
      <c r="I3" s="18"/>
      <c r="J3" s="18"/>
      <c r="K3" s="18"/>
      <c r="L3" s="18"/>
    </row>
    <row r="4" spans="1:32" ht="27" customHeight="1">
      <c r="B4" s="18" t="s">
        <v>1243</v>
      </c>
      <c r="C4" s="18"/>
      <c r="D4" s="18"/>
      <c r="E4" s="18"/>
      <c r="F4" s="18"/>
      <c r="H4" s="18" t="s">
        <v>1244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9080</v>
      </c>
      <c r="D12" s="12">
        <v>316</v>
      </c>
      <c r="E12" s="12">
        <v>496</v>
      </c>
      <c r="F12" s="12">
        <v>282</v>
      </c>
      <c r="G12" s="12">
        <v>564</v>
      </c>
      <c r="H12" s="12">
        <v>405</v>
      </c>
      <c r="I12" s="12">
        <v>518</v>
      </c>
      <c r="J12" s="12">
        <v>112</v>
      </c>
      <c r="K12" s="12">
        <v>401</v>
      </c>
      <c r="L12" s="12">
        <v>565</v>
      </c>
      <c r="M12" s="12">
        <v>453</v>
      </c>
      <c r="N12" s="12">
        <v>403</v>
      </c>
      <c r="O12" s="12">
        <v>323</v>
      </c>
      <c r="P12" s="12">
        <v>379</v>
      </c>
      <c r="Q12" s="12">
        <v>316</v>
      </c>
      <c r="R12" s="12">
        <v>271</v>
      </c>
      <c r="S12" s="12">
        <v>409</v>
      </c>
      <c r="T12" s="12">
        <v>360</v>
      </c>
      <c r="U12" s="12">
        <v>230</v>
      </c>
      <c r="V12" s="12">
        <v>437</v>
      </c>
      <c r="W12" s="12">
        <v>249</v>
      </c>
      <c r="X12" s="12">
        <v>418</v>
      </c>
      <c r="Y12" s="12">
        <v>331</v>
      </c>
      <c r="Z12" s="12">
        <v>235</v>
      </c>
      <c r="AA12" s="12">
        <v>311</v>
      </c>
      <c r="AB12" s="12">
        <v>212</v>
      </c>
      <c r="AC12" s="12">
        <v>438</v>
      </c>
      <c r="AD12" s="12">
        <v>449</v>
      </c>
      <c r="AE12" s="12">
        <v>453</v>
      </c>
      <c r="AF12" s="12">
        <v>458</v>
      </c>
    </row>
    <row r="13" spans="1:32">
      <c r="A13" s="20"/>
      <c r="B13" s="13" t="s">
        <v>493</v>
      </c>
      <c r="C13" s="14">
        <v>0.34</v>
      </c>
      <c r="D13" s="14">
        <v>0.31</v>
      </c>
      <c r="E13" s="14">
        <v>0.49</v>
      </c>
      <c r="F13" s="14">
        <v>0.28000000000000003</v>
      </c>
      <c r="G13" s="14">
        <v>0.56000000000000005</v>
      </c>
      <c r="H13" s="14">
        <v>0.33</v>
      </c>
      <c r="I13" s="14">
        <v>0.34</v>
      </c>
      <c r="J13" s="14">
        <v>0.38</v>
      </c>
      <c r="K13" s="14">
        <v>0.4</v>
      </c>
      <c r="L13" s="14">
        <v>0.56000000000000005</v>
      </c>
      <c r="M13" s="14">
        <v>0.45</v>
      </c>
      <c r="N13" s="14">
        <v>0.4</v>
      </c>
      <c r="O13" s="14">
        <v>0.32</v>
      </c>
      <c r="P13" s="14">
        <v>0.37</v>
      </c>
      <c r="Q13" s="14">
        <v>0.31</v>
      </c>
      <c r="R13" s="14">
        <v>0.54</v>
      </c>
      <c r="S13" s="14">
        <v>0.4</v>
      </c>
      <c r="T13" s="14">
        <v>0.36</v>
      </c>
      <c r="U13" s="14">
        <v>0.45</v>
      </c>
      <c r="V13" s="14">
        <v>0.43</v>
      </c>
      <c r="W13" s="14">
        <v>0.5</v>
      </c>
      <c r="X13" s="14">
        <v>0.41</v>
      </c>
      <c r="Y13" s="14">
        <v>0.33</v>
      </c>
      <c r="Z13" s="14">
        <v>0.23</v>
      </c>
      <c r="AA13" s="14">
        <v>0.3</v>
      </c>
      <c r="AB13" s="14">
        <v>0.21</v>
      </c>
      <c r="AC13" s="14">
        <v>0.43</v>
      </c>
      <c r="AD13" s="14">
        <v>0.45</v>
      </c>
      <c r="AE13" s="14">
        <v>0.45</v>
      </c>
      <c r="AF13" s="14">
        <v>0.45</v>
      </c>
    </row>
    <row r="14" spans="1:32">
      <c r="A14" s="20"/>
      <c r="B14" s="11" t="s">
        <v>1229</v>
      </c>
      <c r="C14" s="12">
        <v>11014</v>
      </c>
      <c r="D14" s="12">
        <v>465</v>
      </c>
      <c r="E14" s="12">
        <v>283</v>
      </c>
      <c r="F14" s="12">
        <v>438</v>
      </c>
      <c r="G14" s="12">
        <v>262</v>
      </c>
      <c r="H14" s="12">
        <v>505</v>
      </c>
      <c r="I14" s="12">
        <v>618</v>
      </c>
      <c r="J14" s="12">
        <v>113</v>
      </c>
      <c r="K14" s="12">
        <v>386</v>
      </c>
      <c r="L14" s="12">
        <v>291</v>
      </c>
      <c r="M14" s="12">
        <v>337</v>
      </c>
      <c r="N14" s="12">
        <v>415</v>
      </c>
      <c r="O14" s="12">
        <v>414</v>
      </c>
      <c r="P14" s="12">
        <v>448</v>
      </c>
      <c r="Q14" s="12">
        <v>493</v>
      </c>
      <c r="R14" s="12">
        <v>154</v>
      </c>
      <c r="S14" s="12">
        <v>313</v>
      </c>
      <c r="T14" s="12">
        <v>335</v>
      </c>
      <c r="U14" s="12">
        <v>181</v>
      </c>
      <c r="V14" s="12">
        <v>431</v>
      </c>
      <c r="W14" s="12">
        <v>119</v>
      </c>
      <c r="X14" s="12">
        <v>419</v>
      </c>
      <c r="Y14" s="12">
        <v>363</v>
      </c>
      <c r="Z14" s="12">
        <v>513</v>
      </c>
      <c r="AA14" s="12">
        <v>444</v>
      </c>
      <c r="AB14" s="12">
        <v>429</v>
      </c>
      <c r="AC14" s="12">
        <v>308</v>
      </c>
      <c r="AD14" s="12">
        <v>405</v>
      </c>
      <c r="AE14" s="12">
        <v>331</v>
      </c>
      <c r="AF14" s="12">
        <v>331</v>
      </c>
    </row>
    <row r="15" spans="1:32">
      <c r="A15" s="20"/>
      <c r="B15" s="13" t="s">
        <v>495</v>
      </c>
      <c r="C15" s="14">
        <v>0.42</v>
      </c>
      <c r="D15" s="14">
        <v>0.46</v>
      </c>
      <c r="E15" s="14">
        <v>0.28000000000000003</v>
      </c>
      <c r="F15" s="14">
        <v>0.44</v>
      </c>
      <c r="G15" s="14">
        <v>0.26</v>
      </c>
      <c r="H15" s="14">
        <v>0.42</v>
      </c>
      <c r="I15" s="14">
        <v>0.41</v>
      </c>
      <c r="J15" s="14">
        <v>0.38</v>
      </c>
      <c r="K15" s="14">
        <v>0.38</v>
      </c>
      <c r="L15" s="14">
        <v>0.28999999999999998</v>
      </c>
      <c r="M15" s="14">
        <v>0.34</v>
      </c>
      <c r="N15" s="14">
        <v>0.41</v>
      </c>
      <c r="O15" s="14">
        <v>0.41</v>
      </c>
      <c r="P15" s="14">
        <v>0.44</v>
      </c>
      <c r="Q15" s="14">
        <v>0.48</v>
      </c>
      <c r="R15" s="14">
        <v>0.31</v>
      </c>
      <c r="S15" s="14">
        <v>0.31</v>
      </c>
      <c r="T15" s="14">
        <v>0.33</v>
      </c>
      <c r="U15" s="14">
        <v>0.36</v>
      </c>
      <c r="V15" s="14">
        <v>0.42</v>
      </c>
      <c r="W15" s="14">
        <v>0.24</v>
      </c>
      <c r="X15" s="14">
        <v>0.41</v>
      </c>
      <c r="Y15" s="14">
        <v>0.36</v>
      </c>
      <c r="Z15" s="14">
        <v>0.51</v>
      </c>
      <c r="AA15" s="14">
        <v>0.42</v>
      </c>
      <c r="AB15" s="14">
        <v>0.41</v>
      </c>
      <c r="AC15" s="14">
        <v>0.31</v>
      </c>
      <c r="AD15" s="14">
        <v>0.4</v>
      </c>
      <c r="AE15" s="14">
        <v>0.33</v>
      </c>
      <c r="AF15" s="14">
        <v>0.32</v>
      </c>
    </row>
    <row r="16" spans="1:32">
      <c r="A16" s="20"/>
      <c r="B16" s="11" t="s">
        <v>1230</v>
      </c>
      <c r="C16" s="12">
        <v>3081</v>
      </c>
      <c r="D16" s="12">
        <v>148</v>
      </c>
      <c r="E16" s="12">
        <v>86</v>
      </c>
      <c r="F16" s="12">
        <v>158</v>
      </c>
      <c r="G16" s="12">
        <v>80</v>
      </c>
      <c r="H16" s="12">
        <v>121</v>
      </c>
      <c r="I16" s="12">
        <v>150</v>
      </c>
      <c r="J16" s="12">
        <v>29</v>
      </c>
      <c r="K16" s="12">
        <v>108</v>
      </c>
      <c r="L16" s="12">
        <v>66</v>
      </c>
      <c r="M16" s="12">
        <v>86</v>
      </c>
      <c r="N16" s="12">
        <v>89</v>
      </c>
      <c r="O16" s="12">
        <v>128</v>
      </c>
      <c r="P16" s="12">
        <v>89</v>
      </c>
      <c r="Q16" s="12">
        <v>123</v>
      </c>
      <c r="R16" s="12">
        <v>36</v>
      </c>
      <c r="S16" s="12">
        <v>119</v>
      </c>
      <c r="T16" s="12">
        <v>116</v>
      </c>
      <c r="U16" s="12">
        <v>44</v>
      </c>
      <c r="V16" s="12">
        <v>103</v>
      </c>
      <c r="W16" s="12">
        <v>62</v>
      </c>
      <c r="X16" s="12">
        <v>122</v>
      </c>
      <c r="Y16" s="12">
        <v>126</v>
      </c>
      <c r="Z16" s="12">
        <v>150</v>
      </c>
      <c r="AA16" s="12">
        <v>109</v>
      </c>
      <c r="AB16" s="12">
        <v>210</v>
      </c>
      <c r="AC16" s="12">
        <v>112</v>
      </c>
      <c r="AD16" s="12">
        <v>88</v>
      </c>
      <c r="AE16" s="12">
        <v>110</v>
      </c>
      <c r="AF16" s="12">
        <v>125</v>
      </c>
    </row>
    <row r="17" spans="1:32">
      <c r="A17" s="20"/>
      <c r="B17" s="13" t="s">
        <v>497</v>
      </c>
      <c r="C17" s="14">
        <v>0.12</v>
      </c>
      <c r="D17" s="14">
        <v>0.15</v>
      </c>
      <c r="E17" s="14">
        <v>0.08</v>
      </c>
      <c r="F17" s="14">
        <v>0.16</v>
      </c>
      <c r="G17" s="14">
        <v>0.08</v>
      </c>
      <c r="H17" s="14">
        <v>0.1</v>
      </c>
      <c r="I17" s="14">
        <v>0.1</v>
      </c>
      <c r="J17" s="14">
        <v>0.1</v>
      </c>
      <c r="K17" s="14">
        <v>0.11</v>
      </c>
      <c r="L17" s="14">
        <v>7.0000000000000007E-2</v>
      </c>
      <c r="M17" s="14">
        <v>0.08</v>
      </c>
      <c r="N17" s="14">
        <v>0.09</v>
      </c>
      <c r="O17" s="14">
        <v>0.13</v>
      </c>
      <c r="P17" s="14">
        <v>0.09</v>
      </c>
      <c r="Q17" s="14">
        <v>0.12</v>
      </c>
      <c r="R17" s="14">
        <v>7.0000000000000007E-2</v>
      </c>
      <c r="S17" s="14">
        <v>0.12</v>
      </c>
      <c r="T17" s="14">
        <v>0.11</v>
      </c>
      <c r="U17" s="14">
        <v>0.09</v>
      </c>
      <c r="V17" s="14">
        <v>0.1</v>
      </c>
      <c r="W17" s="14">
        <v>0.12</v>
      </c>
      <c r="X17" s="14">
        <v>0.12</v>
      </c>
      <c r="Y17" s="14">
        <v>0.12</v>
      </c>
      <c r="Z17" s="14">
        <v>0.15</v>
      </c>
      <c r="AA17" s="14">
        <v>0.1</v>
      </c>
      <c r="AB17" s="14">
        <v>0.2</v>
      </c>
      <c r="AC17" s="14">
        <v>0.11</v>
      </c>
      <c r="AD17" s="14">
        <v>0.09</v>
      </c>
      <c r="AE17" s="14">
        <v>0.11</v>
      </c>
      <c r="AF17" s="14">
        <v>0.12</v>
      </c>
    </row>
    <row r="18" spans="1:32">
      <c r="A18" s="20"/>
      <c r="B18" s="11" t="s">
        <v>1231</v>
      </c>
      <c r="C18" s="12">
        <v>2565</v>
      </c>
      <c r="D18" s="12">
        <v>65</v>
      </c>
      <c r="E18" s="12">
        <v>126</v>
      </c>
      <c r="F18" s="12">
        <v>106</v>
      </c>
      <c r="G18" s="12">
        <v>56</v>
      </c>
      <c r="H18" s="12">
        <v>154</v>
      </c>
      <c r="I18" s="12">
        <v>188</v>
      </c>
      <c r="J18" s="12">
        <v>34</v>
      </c>
      <c r="K18" s="12">
        <v>92</v>
      </c>
      <c r="L18" s="12">
        <v>75</v>
      </c>
      <c r="M18" s="12">
        <v>109</v>
      </c>
      <c r="N18" s="12">
        <v>70</v>
      </c>
      <c r="O18" s="12">
        <v>101</v>
      </c>
      <c r="P18" s="12">
        <v>97</v>
      </c>
      <c r="Q18" s="12">
        <v>73</v>
      </c>
      <c r="R18" s="12">
        <v>27</v>
      </c>
      <c r="S18" s="12">
        <v>139</v>
      </c>
      <c r="T18" s="12">
        <v>185</v>
      </c>
      <c r="U18" s="12">
        <v>39</v>
      </c>
      <c r="V18" s="12">
        <v>36</v>
      </c>
      <c r="W18" s="12">
        <v>70</v>
      </c>
      <c r="X18" s="12">
        <v>53</v>
      </c>
      <c r="Y18" s="12">
        <v>180</v>
      </c>
      <c r="Z18" s="12">
        <v>91</v>
      </c>
      <c r="AA18" s="12">
        <v>153</v>
      </c>
      <c r="AB18" s="12">
        <v>165</v>
      </c>
      <c r="AC18" s="12">
        <v>148</v>
      </c>
      <c r="AD18" s="12">
        <v>52</v>
      </c>
      <c r="AE18" s="12">
        <v>93</v>
      </c>
      <c r="AF18" s="12">
        <v>98</v>
      </c>
    </row>
    <row r="19" spans="1:32">
      <c r="A19" s="20"/>
      <c r="B19" s="13" t="s">
        <v>1232</v>
      </c>
      <c r="C19" s="14">
        <v>0.1</v>
      </c>
      <c r="D19" s="14">
        <v>7.0000000000000007E-2</v>
      </c>
      <c r="E19" s="14">
        <v>0.12</v>
      </c>
      <c r="F19" s="14">
        <v>0.1</v>
      </c>
      <c r="G19" s="14">
        <v>0.06</v>
      </c>
      <c r="H19" s="14">
        <v>0.13</v>
      </c>
      <c r="I19" s="14">
        <v>0.13</v>
      </c>
      <c r="J19" s="14">
        <v>0.12</v>
      </c>
      <c r="K19" s="14">
        <v>0.09</v>
      </c>
      <c r="L19" s="14">
        <v>7.0000000000000007E-2</v>
      </c>
      <c r="M19" s="14">
        <v>0.11</v>
      </c>
      <c r="N19" s="14">
        <v>7.0000000000000007E-2</v>
      </c>
      <c r="O19" s="14">
        <v>0.1</v>
      </c>
      <c r="P19" s="14">
        <v>0.09</v>
      </c>
      <c r="Q19" s="14">
        <v>7.0000000000000007E-2</v>
      </c>
      <c r="R19" s="14">
        <v>0.05</v>
      </c>
      <c r="S19" s="14">
        <v>0.14000000000000001</v>
      </c>
      <c r="T19" s="14">
        <v>0.18</v>
      </c>
      <c r="U19" s="14">
        <v>0.08</v>
      </c>
      <c r="V19" s="14">
        <v>0.04</v>
      </c>
      <c r="W19" s="14">
        <v>0.14000000000000001</v>
      </c>
      <c r="X19" s="14">
        <v>0.05</v>
      </c>
      <c r="Y19" s="14">
        <v>0.18</v>
      </c>
      <c r="Z19" s="14">
        <v>0.09</v>
      </c>
      <c r="AA19" s="14">
        <v>0.15</v>
      </c>
      <c r="AB19" s="14">
        <v>0.16</v>
      </c>
      <c r="AC19" s="14">
        <v>0.15</v>
      </c>
      <c r="AD19" s="14">
        <v>0.05</v>
      </c>
      <c r="AE19" s="14">
        <v>0.09</v>
      </c>
      <c r="AF19" s="14">
        <v>0.1</v>
      </c>
    </row>
    <row r="20" spans="1:32">
      <c r="A20" s="20"/>
      <c r="B20" s="11" t="s">
        <v>468</v>
      </c>
      <c r="C20" s="12">
        <v>579</v>
      </c>
      <c r="D20" s="12">
        <v>9</v>
      </c>
      <c r="E20" s="12">
        <v>27</v>
      </c>
      <c r="F20" s="12">
        <v>21</v>
      </c>
      <c r="G20" s="12">
        <v>42</v>
      </c>
      <c r="H20" s="12">
        <v>30</v>
      </c>
      <c r="I20" s="12">
        <v>36</v>
      </c>
      <c r="J20" s="12">
        <v>6</v>
      </c>
      <c r="K20" s="12">
        <v>19</v>
      </c>
      <c r="L20" s="12">
        <v>10</v>
      </c>
      <c r="M20" s="12">
        <v>17</v>
      </c>
      <c r="N20" s="12">
        <v>27</v>
      </c>
      <c r="O20" s="12">
        <v>37</v>
      </c>
      <c r="P20" s="12">
        <v>9</v>
      </c>
      <c r="Q20" s="12">
        <v>14</v>
      </c>
      <c r="R20" s="12">
        <v>13</v>
      </c>
      <c r="S20" s="12">
        <v>28</v>
      </c>
      <c r="T20" s="12">
        <v>19</v>
      </c>
      <c r="U20" s="12">
        <v>12</v>
      </c>
      <c r="V20" s="12">
        <v>10</v>
      </c>
      <c r="W20" s="12">
        <v>2</v>
      </c>
      <c r="X20" s="12">
        <v>9</v>
      </c>
      <c r="Y20" s="12">
        <v>7</v>
      </c>
      <c r="Z20" s="12">
        <v>19</v>
      </c>
      <c r="AA20" s="12">
        <v>35</v>
      </c>
      <c r="AB20" s="12">
        <v>24</v>
      </c>
      <c r="AC20" s="12">
        <v>4</v>
      </c>
      <c r="AD20" s="12">
        <v>11</v>
      </c>
      <c r="AE20" s="12">
        <v>14</v>
      </c>
      <c r="AF20" s="12">
        <v>8</v>
      </c>
    </row>
    <row r="21" spans="1:32">
      <c r="A21" s="20"/>
      <c r="B21" s="13" t="s">
        <v>469</v>
      </c>
      <c r="C21" s="14">
        <v>0.02</v>
      </c>
      <c r="D21" s="14">
        <v>0.01</v>
      </c>
      <c r="E21" s="14">
        <v>0.03</v>
      </c>
      <c r="F21" s="14">
        <v>0.02</v>
      </c>
      <c r="G21" s="14">
        <v>0.04</v>
      </c>
      <c r="H21" s="14">
        <v>0.02</v>
      </c>
      <c r="I21" s="14">
        <v>0.02</v>
      </c>
      <c r="J21" s="14">
        <v>0.02</v>
      </c>
      <c r="K21" s="14">
        <v>0.02</v>
      </c>
      <c r="L21" s="14">
        <v>0.01</v>
      </c>
      <c r="M21" s="14">
        <v>0.02</v>
      </c>
      <c r="N21" s="14">
        <v>0.03</v>
      </c>
      <c r="O21" s="14">
        <v>0.04</v>
      </c>
      <c r="P21" s="14">
        <v>0.01</v>
      </c>
      <c r="Q21" s="14">
        <v>0.02</v>
      </c>
      <c r="R21" s="14">
        <v>0.03</v>
      </c>
      <c r="S21" s="14">
        <v>0.03</v>
      </c>
      <c r="T21" s="14">
        <v>0.02</v>
      </c>
      <c r="U21" s="14">
        <v>0.02</v>
      </c>
      <c r="V21" s="14">
        <v>0.01</v>
      </c>
      <c r="W21" s="15" t="s">
        <v>459</v>
      </c>
      <c r="X21" s="14">
        <v>0.01</v>
      </c>
      <c r="Y21" s="14">
        <v>0.01</v>
      </c>
      <c r="Z21" s="14">
        <v>0.02</v>
      </c>
      <c r="AA21" s="14">
        <v>0.03</v>
      </c>
      <c r="AB21" s="14">
        <v>0.02</v>
      </c>
      <c r="AC21" s="15" t="s">
        <v>459</v>
      </c>
      <c r="AD21" s="14">
        <v>0.01</v>
      </c>
      <c r="AE21" s="14">
        <v>0.02</v>
      </c>
      <c r="AF21" s="14">
        <v>0.01</v>
      </c>
    </row>
    <row r="22" spans="1:32">
      <c r="A22" s="20"/>
      <c r="B22" s="11" t="s">
        <v>500</v>
      </c>
      <c r="C22" s="12">
        <v>20094</v>
      </c>
      <c r="D22" s="12">
        <v>781</v>
      </c>
      <c r="E22" s="12">
        <v>779</v>
      </c>
      <c r="F22" s="12">
        <v>720</v>
      </c>
      <c r="G22" s="12">
        <v>826</v>
      </c>
      <c r="H22" s="12">
        <v>910</v>
      </c>
      <c r="I22" s="12">
        <v>1136</v>
      </c>
      <c r="J22" s="12">
        <v>225</v>
      </c>
      <c r="K22" s="12">
        <v>787</v>
      </c>
      <c r="L22" s="12">
        <v>856</v>
      </c>
      <c r="M22" s="12">
        <v>790</v>
      </c>
      <c r="N22" s="12">
        <v>818</v>
      </c>
      <c r="O22" s="12">
        <v>737</v>
      </c>
      <c r="P22" s="12">
        <v>827</v>
      </c>
      <c r="Q22" s="12">
        <v>809</v>
      </c>
      <c r="R22" s="12">
        <v>425</v>
      </c>
      <c r="S22" s="12">
        <v>722</v>
      </c>
      <c r="T22" s="12">
        <v>695</v>
      </c>
      <c r="U22" s="12">
        <v>411</v>
      </c>
      <c r="V22" s="12">
        <v>868</v>
      </c>
      <c r="W22" s="12">
        <v>368</v>
      </c>
      <c r="X22" s="12">
        <v>837</v>
      </c>
      <c r="Y22" s="12">
        <v>694</v>
      </c>
      <c r="Z22" s="12">
        <v>748</v>
      </c>
      <c r="AA22" s="12">
        <v>755</v>
      </c>
      <c r="AB22" s="12">
        <v>641</v>
      </c>
      <c r="AC22" s="12">
        <v>746</v>
      </c>
      <c r="AD22" s="12">
        <v>854</v>
      </c>
      <c r="AE22" s="12">
        <v>784</v>
      </c>
      <c r="AF22" s="12">
        <v>789</v>
      </c>
    </row>
    <row r="23" spans="1:32">
      <c r="A23" s="20"/>
      <c r="B23" s="13" t="s">
        <v>500</v>
      </c>
      <c r="C23" s="14">
        <v>0.76</v>
      </c>
      <c r="D23" s="14">
        <v>0.77</v>
      </c>
      <c r="E23" s="14">
        <v>0.77</v>
      </c>
      <c r="F23" s="14">
        <v>0.72</v>
      </c>
      <c r="G23" s="14">
        <v>0.82000000000000006</v>
      </c>
      <c r="H23" s="14">
        <v>0.75</v>
      </c>
      <c r="I23" s="14">
        <v>0.75</v>
      </c>
      <c r="J23" s="14">
        <v>0.76</v>
      </c>
      <c r="K23" s="14">
        <v>0.78</v>
      </c>
      <c r="L23" s="14">
        <v>0.85</v>
      </c>
      <c r="M23" s="14">
        <v>0.79</v>
      </c>
      <c r="N23" s="14">
        <v>0.81</v>
      </c>
      <c r="O23" s="14">
        <v>0.73</v>
      </c>
      <c r="P23" s="14">
        <v>0.81</v>
      </c>
      <c r="Q23" s="14">
        <v>0.79</v>
      </c>
      <c r="R23" s="14">
        <v>0.85</v>
      </c>
      <c r="S23" s="14">
        <v>0.71</v>
      </c>
      <c r="T23" s="14">
        <v>0.69000000000000006</v>
      </c>
      <c r="U23" s="14">
        <v>0.81</v>
      </c>
      <c r="V23" s="14">
        <v>0.85</v>
      </c>
      <c r="W23" s="14">
        <v>0.74</v>
      </c>
      <c r="X23" s="14">
        <v>0.82000000000000006</v>
      </c>
      <c r="Y23" s="14">
        <v>0.69000000000000006</v>
      </c>
      <c r="Z23" s="14">
        <v>0.74</v>
      </c>
      <c r="AA23" s="14">
        <v>0.72</v>
      </c>
      <c r="AB23" s="14">
        <v>0.62</v>
      </c>
      <c r="AC23" s="14">
        <v>0.74</v>
      </c>
      <c r="AD23" s="14">
        <v>0.85</v>
      </c>
      <c r="AE23" s="14">
        <v>0.78</v>
      </c>
      <c r="AF23" s="14">
        <v>0.77</v>
      </c>
    </row>
    <row r="24" spans="1:32">
      <c r="A24" s="20"/>
      <c r="B24" s="11" t="s">
        <v>501</v>
      </c>
      <c r="C24" s="12">
        <v>5646</v>
      </c>
      <c r="D24" s="12">
        <v>213</v>
      </c>
      <c r="E24" s="12">
        <v>212</v>
      </c>
      <c r="F24" s="12">
        <v>264</v>
      </c>
      <c r="G24" s="12">
        <v>136</v>
      </c>
      <c r="H24" s="12">
        <v>275</v>
      </c>
      <c r="I24" s="12">
        <v>338</v>
      </c>
      <c r="J24" s="12">
        <v>63</v>
      </c>
      <c r="K24" s="12">
        <v>200</v>
      </c>
      <c r="L24" s="12">
        <v>141</v>
      </c>
      <c r="M24" s="12">
        <v>195</v>
      </c>
      <c r="N24" s="12">
        <v>159</v>
      </c>
      <c r="O24" s="12">
        <v>229</v>
      </c>
      <c r="P24" s="12">
        <v>186</v>
      </c>
      <c r="Q24" s="12">
        <v>196</v>
      </c>
      <c r="R24" s="12">
        <v>63</v>
      </c>
      <c r="S24" s="12">
        <v>258</v>
      </c>
      <c r="T24" s="12">
        <v>301</v>
      </c>
      <c r="U24" s="12">
        <v>83</v>
      </c>
      <c r="V24" s="12">
        <v>139</v>
      </c>
      <c r="W24" s="12">
        <v>132</v>
      </c>
      <c r="X24" s="12">
        <v>175</v>
      </c>
      <c r="Y24" s="12">
        <v>306</v>
      </c>
      <c r="Z24" s="12">
        <v>241</v>
      </c>
      <c r="AA24" s="12">
        <v>262</v>
      </c>
      <c r="AB24" s="12">
        <v>375</v>
      </c>
      <c r="AC24" s="12">
        <v>260</v>
      </c>
      <c r="AD24" s="12">
        <v>140</v>
      </c>
      <c r="AE24" s="12">
        <v>203</v>
      </c>
      <c r="AF24" s="12">
        <v>223</v>
      </c>
    </row>
    <row r="25" spans="1:32">
      <c r="A25" s="20"/>
      <c r="B25" s="13" t="s">
        <v>502</v>
      </c>
      <c r="C25" s="14">
        <v>0.22</v>
      </c>
      <c r="D25" s="14">
        <v>0.22</v>
      </c>
      <c r="E25" s="14">
        <v>0.2</v>
      </c>
      <c r="F25" s="14">
        <v>0.26</v>
      </c>
      <c r="G25" s="14">
        <v>0.14000000000000001</v>
      </c>
      <c r="H25" s="14">
        <v>0.23</v>
      </c>
      <c r="I25" s="14">
        <v>0.23</v>
      </c>
      <c r="J25" s="14">
        <v>0.22</v>
      </c>
      <c r="K25" s="14">
        <v>0.2</v>
      </c>
      <c r="L25" s="14">
        <v>0.14000000000000001</v>
      </c>
      <c r="M25" s="14">
        <v>0.19</v>
      </c>
      <c r="N25" s="14">
        <v>0.16</v>
      </c>
      <c r="O25" s="14">
        <v>0.23</v>
      </c>
      <c r="P25" s="14">
        <v>0.18</v>
      </c>
      <c r="Q25" s="14">
        <v>0.19</v>
      </c>
      <c r="R25" s="14">
        <v>0.12</v>
      </c>
      <c r="S25" s="14">
        <v>0.26</v>
      </c>
      <c r="T25" s="14">
        <v>0.28999999999999998</v>
      </c>
      <c r="U25" s="14">
        <v>0.17</v>
      </c>
      <c r="V25" s="14">
        <v>0.14000000000000001</v>
      </c>
      <c r="W25" s="14">
        <v>0.26</v>
      </c>
      <c r="X25" s="14">
        <v>0.17</v>
      </c>
      <c r="Y25" s="14">
        <v>0.3</v>
      </c>
      <c r="Z25" s="14">
        <v>0.24</v>
      </c>
      <c r="AA25" s="14">
        <v>0.25</v>
      </c>
      <c r="AB25" s="14">
        <v>0.36</v>
      </c>
      <c r="AC25" s="14">
        <v>0.26</v>
      </c>
      <c r="AD25" s="14">
        <v>0.14000000000000001</v>
      </c>
      <c r="AE25" s="14">
        <v>0.2</v>
      </c>
      <c r="AF25" s="14">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1245</v>
      </c>
      <c r="C3" s="18"/>
      <c r="D3" s="18"/>
      <c r="E3" s="18"/>
      <c r="F3" s="18"/>
      <c r="H3" s="18" t="s">
        <v>1246</v>
      </c>
      <c r="I3" s="18"/>
      <c r="J3" s="18"/>
      <c r="K3" s="18"/>
      <c r="L3" s="18"/>
    </row>
    <row r="4" spans="1:32" ht="27" customHeight="1">
      <c r="B4" s="18" t="s">
        <v>1247</v>
      </c>
      <c r="C4" s="18"/>
      <c r="D4" s="18"/>
      <c r="E4" s="18"/>
      <c r="F4" s="18"/>
      <c r="H4" s="18" t="s">
        <v>1248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8346</v>
      </c>
      <c r="D12" s="12">
        <v>303</v>
      </c>
      <c r="E12" s="12">
        <v>353</v>
      </c>
      <c r="F12" s="12">
        <v>263</v>
      </c>
      <c r="G12" s="12">
        <v>467</v>
      </c>
      <c r="H12" s="12">
        <v>390</v>
      </c>
      <c r="I12" s="12">
        <v>489</v>
      </c>
      <c r="J12" s="12">
        <v>100</v>
      </c>
      <c r="K12" s="12">
        <v>336</v>
      </c>
      <c r="L12" s="12">
        <v>540</v>
      </c>
      <c r="M12" s="12">
        <v>364</v>
      </c>
      <c r="N12" s="12">
        <v>284</v>
      </c>
      <c r="O12" s="12">
        <v>264</v>
      </c>
      <c r="P12" s="12">
        <v>402</v>
      </c>
      <c r="Q12" s="12">
        <v>355</v>
      </c>
      <c r="R12" s="12">
        <v>216</v>
      </c>
      <c r="S12" s="12">
        <v>305</v>
      </c>
      <c r="T12" s="12">
        <v>341</v>
      </c>
      <c r="U12" s="12">
        <v>172</v>
      </c>
      <c r="V12" s="12">
        <v>391</v>
      </c>
      <c r="W12" s="12">
        <v>286</v>
      </c>
      <c r="X12" s="12">
        <v>368</v>
      </c>
      <c r="Y12" s="12">
        <v>365</v>
      </c>
      <c r="Z12" s="12">
        <v>252</v>
      </c>
      <c r="AA12" s="12">
        <v>300</v>
      </c>
      <c r="AB12" s="12">
        <v>250</v>
      </c>
      <c r="AC12" s="12">
        <v>309</v>
      </c>
      <c r="AD12" s="12">
        <v>355</v>
      </c>
      <c r="AE12" s="12">
        <v>377</v>
      </c>
      <c r="AF12" s="12">
        <v>538</v>
      </c>
    </row>
    <row r="13" spans="1:32">
      <c r="A13" s="20"/>
      <c r="B13" s="13" t="s">
        <v>493</v>
      </c>
      <c r="C13" s="14">
        <v>0.32</v>
      </c>
      <c r="D13" s="14">
        <v>0.3</v>
      </c>
      <c r="E13" s="14">
        <v>0.35</v>
      </c>
      <c r="F13" s="14">
        <v>0.26</v>
      </c>
      <c r="G13" s="14">
        <v>0.47</v>
      </c>
      <c r="H13" s="14">
        <v>0.32</v>
      </c>
      <c r="I13" s="14">
        <v>0.32</v>
      </c>
      <c r="J13" s="14">
        <v>0.34</v>
      </c>
      <c r="K13" s="14">
        <v>0.33</v>
      </c>
      <c r="L13" s="14">
        <v>0.54</v>
      </c>
      <c r="M13" s="14">
        <v>0.36</v>
      </c>
      <c r="N13" s="14">
        <v>0.28000000000000003</v>
      </c>
      <c r="O13" s="14">
        <v>0.26</v>
      </c>
      <c r="P13" s="14">
        <v>0.39</v>
      </c>
      <c r="Q13" s="14">
        <v>0.35</v>
      </c>
      <c r="R13" s="14">
        <v>0.43</v>
      </c>
      <c r="S13" s="14">
        <v>0.3</v>
      </c>
      <c r="T13" s="14">
        <v>0.34</v>
      </c>
      <c r="U13" s="14">
        <v>0.34</v>
      </c>
      <c r="V13" s="14">
        <v>0.38</v>
      </c>
      <c r="W13" s="14">
        <v>0.57000000000000006</v>
      </c>
      <c r="X13" s="14">
        <v>0.36</v>
      </c>
      <c r="Y13" s="14">
        <v>0.36</v>
      </c>
      <c r="Z13" s="14">
        <v>0.25</v>
      </c>
      <c r="AA13" s="14">
        <v>0.28999999999999998</v>
      </c>
      <c r="AB13" s="14">
        <v>0.24</v>
      </c>
      <c r="AC13" s="14">
        <v>0.31</v>
      </c>
      <c r="AD13" s="14">
        <v>0.35</v>
      </c>
      <c r="AE13" s="14">
        <v>0.38</v>
      </c>
      <c r="AF13" s="14">
        <v>0.53</v>
      </c>
    </row>
    <row r="14" spans="1:32">
      <c r="A14" s="20"/>
      <c r="B14" s="11" t="s">
        <v>1229</v>
      </c>
      <c r="C14" s="12">
        <v>11558</v>
      </c>
      <c r="D14" s="12">
        <v>429</v>
      </c>
      <c r="E14" s="12">
        <v>361</v>
      </c>
      <c r="F14" s="12">
        <v>442</v>
      </c>
      <c r="G14" s="12">
        <v>353</v>
      </c>
      <c r="H14" s="12">
        <v>561</v>
      </c>
      <c r="I14" s="12">
        <v>680</v>
      </c>
      <c r="J14" s="12">
        <v>119</v>
      </c>
      <c r="K14" s="12">
        <v>380</v>
      </c>
      <c r="L14" s="12">
        <v>315</v>
      </c>
      <c r="M14" s="12">
        <v>387</v>
      </c>
      <c r="N14" s="12">
        <v>404</v>
      </c>
      <c r="O14" s="12">
        <v>442</v>
      </c>
      <c r="P14" s="12">
        <v>425</v>
      </c>
      <c r="Q14" s="12">
        <v>497</v>
      </c>
      <c r="R14" s="12">
        <v>161</v>
      </c>
      <c r="S14" s="12">
        <v>353</v>
      </c>
      <c r="T14" s="12">
        <v>338</v>
      </c>
      <c r="U14" s="12">
        <v>198</v>
      </c>
      <c r="V14" s="12">
        <v>476</v>
      </c>
      <c r="W14" s="12">
        <v>138</v>
      </c>
      <c r="X14" s="12">
        <v>455</v>
      </c>
      <c r="Y14" s="12">
        <v>387</v>
      </c>
      <c r="Z14" s="12">
        <v>519</v>
      </c>
      <c r="AA14" s="12">
        <v>462</v>
      </c>
      <c r="AB14" s="12">
        <v>458</v>
      </c>
      <c r="AC14" s="12">
        <v>381</v>
      </c>
      <c r="AD14" s="12">
        <v>410</v>
      </c>
      <c r="AE14" s="12">
        <v>412</v>
      </c>
      <c r="AF14" s="12">
        <v>345</v>
      </c>
    </row>
    <row r="15" spans="1:32">
      <c r="A15" s="20"/>
      <c r="B15" s="13" t="s">
        <v>495</v>
      </c>
      <c r="C15" s="14">
        <v>0.44</v>
      </c>
      <c r="D15" s="14">
        <v>0.43</v>
      </c>
      <c r="E15" s="14">
        <v>0.35</v>
      </c>
      <c r="F15" s="14">
        <v>0.44</v>
      </c>
      <c r="G15" s="14">
        <v>0.35</v>
      </c>
      <c r="H15" s="14">
        <v>0.46</v>
      </c>
      <c r="I15" s="14">
        <v>0.45</v>
      </c>
      <c r="J15" s="14">
        <v>0.41</v>
      </c>
      <c r="K15" s="14">
        <v>0.38</v>
      </c>
      <c r="L15" s="14">
        <v>0.31</v>
      </c>
      <c r="M15" s="14">
        <v>0.39</v>
      </c>
      <c r="N15" s="14">
        <v>0.4</v>
      </c>
      <c r="O15" s="14">
        <v>0.44</v>
      </c>
      <c r="P15" s="14">
        <v>0.42</v>
      </c>
      <c r="Q15" s="14">
        <v>0.49</v>
      </c>
      <c r="R15" s="14">
        <v>0.32</v>
      </c>
      <c r="S15" s="14">
        <v>0.35</v>
      </c>
      <c r="T15" s="14">
        <v>0.33</v>
      </c>
      <c r="U15" s="14">
        <v>0.39</v>
      </c>
      <c r="V15" s="14">
        <v>0.47</v>
      </c>
      <c r="W15" s="14">
        <v>0.27</v>
      </c>
      <c r="X15" s="14">
        <v>0.44</v>
      </c>
      <c r="Y15" s="14">
        <v>0.39</v>
      </c>
      <c r="Z15" s="14">
        <v>0.51</v>
      </c>
      <c r="AA15" s="14">
        <v>0.44</v>
      </c>
      <c r="AB15" s="14">
        <v>0.44</v>
      </c>
      <c r="AC15" s="14">
        <v>0.38</v>
      </c>
      <c r="AD15" s="14">
        <v>0.41</v>
      </c>
      <c r="AE15" s="14">
        <v>0.41</v>
      </c>
      <c r="AF15" s="14">
        <v>0.34</v>
      </c>
    </row>
    <row r="16" spans="1:32">
      <c r="A16" s="20"/>
      <c r="B16" s="11" t="s">
        <v>1230</v>
      </c>
      <c r="C16" s="12">
        <v>3733</v>
      </c>
      <c r="D16" s="12">
        <v>198</v>
      </c>
      <c r="E16" s="12">
        <v>136</v>
      </c>
      <c r="F16" s="12">
        <v>183</v>
      </c>
      <c r="G16" s="12">
        <v>102</v>
      </c>
      <c r="H16" s="12">
        <v>150</v>
      </c>
      <c r="I16" s="12">
        <v>194</v>
      </c>
      <c r="J16" s="12">
        <v>45</v>
      </c>
      <c r="K16" s="12">
        <v>148</v>
      </c>
      <c r="L16" s="12">
        <v>72</v>
      </c>
      <c r="M16" s="12">
        <v>122</v>
      </c>
      <c r="N16" s="12">
        <v>168</v>
      </c>
      <c r="O16" s="12">
        <v>152</v>
      </c>
      <c r="P16" s="12">
        <v>115</v>
      </c>
      <c r="Q16" s="12">
        <v>117</v>
      </c>
      <c r="R16" s="12">
        <v>57</v>
      </c>
      <c r="S16" s="12">
        <v>181</v>
      </c>
      <c r="T16" s="12">
        <v>167</v>
      </c>
      <c r="U16" s="12">
        <v>77</v>
      </c>
      <c r="V16" s="12">
        <v>112</v>
      </c>
      <c r="W16" s="12">
        <v>36</v>
      </c>
      <c r="X16" s="12">
        <v>163</v>
      </c>
      <c r="Y16" s="12">
        <v>134</v>
      </c>
      <c r="Z16" s="12">
        <v>163</v>
      </c>
      <c r="AA16" s="12">
        <v>120</v>
      </c>
      <c r="AB16" s="12">
        <v>190</v>
      </c>
      <c r="AC16" s="12">
        <v>169</v>
      </c>
      <c r="AD16" s="12">
        <v>150</v>
      </c>
      <c r="AE16" s="12">
        <v>126</v>
      </c>
      <c r="AF16" s="12">
        <v>100</v>
      </c>
    </row>
    <row r="17" spans="1:32">
      <c r="A17" s="20"/>
      <c r="B17" s="13" t="s">
        <v>497</v>
      </c>
      <c r="C17" s="14">
        <v>0.14000000000000001</v>
      </c>
      <c r="D17" s="14">
        <v>0.2</v>
      </c>
      <c r="E17" s="14">
        <v>0.13</v>
      </c>
      <c r="F17" s="14">
        <v>0.18</v>
      </c>
      <c r="G17" s="14">
        <v>0.1</v>
      </c>
      <c r="H17" s="14">
        <v>0.12</v>
      </c>
      <c r="I17" s="14">
        <v>0.13</v>
      </c>
      <c r="J17" s="14">
        <v>0.15</v>
      </c>
      <c r="K17" s="14">
        <v>0.15</v>
      </c>
      <c r="L17" s="14">
        <v>7.0000000000000007E-2</v>
      </c>
      <c r="M17" s="14">
        <v>0.12</v>
      </c>
      <c r="N17" s="14">
        <v>0.17</v>
      </c>
      <c r="O17" s="14">
        <v>0.15</v>
      </c>
      <c r="P17" s="14">
        <v>0.11</v>
      </c>
      <c r="Q17" s="14">
        <v>0.11</v>
      </c>
      <c r="R17" s="14">
        <v>0.12</v>
      </c>
      <c r="S17" s="14">
        <v>0.18</v>
      </c>
      <c r="T17" s="14">
        <v>0.17</v>
      </c>
      <c r="U17" s="14">
        <v>0.15</v>
      </c>
      <c r="V17" s="14">
        <v>0.11</v>
      </c>
      <c r="W17" s="14">
        <v>7.0000000000000007E-2</v>
      </c>
      <c r="X17" s="14">
        <v>0.16</v>
      </c>
      <c r="Y17" s="14">
        <v>0.13</v>
      </c>
      <c r="Z17" s="14">
        <v>0.16</v>
      </c>
      <c r="AA17" s="14">
        <v>0.11</v>
      </c>
      <c r="AB17" s="14">
        <v>0.18</v>
      </c>
      <c r="AC17" s="14">
        <v>0.17</v>
      </c>
      <c r="AD17" s="14">
        <v>0.15</v>
      </c>
      <c r="AE17" s="14">
        <v>0.12</v>
      </c>
      <c r="AF17" s="14">
        <v>0.1</v>
      </c>
    </row>
    <row r="18" spans="1:32">
      <c r="A18" s="20"/>
      <c r="B18" s="11" t="s">
        <v>1231</v>
      </c>
      <c r="C18" s="12">
        <v>1966</v>
      </c>
      <c r="D18" s="12">
        <v>62</v>
      </c>
      <c r="E18" s="12">
        <v>97</v>
      </c>
      <c r="F18" s="12">
        <v>91</v>
      </c>
      <c r="G18" s="12">
        <v>41</v>
      </c>
      <c r="H18" s="12">
        <v>78</v>
      </c>
      <c r="I18" s="12">
        <v>99</v>
      </c>
      <c r="J18" s="12">
        <v>21</v>
      </c>
      <c r="K18" s="12">
        <v>114</v>
      </c>
      <c r="L18" s="12">
        <v>59</v>
      </c>
      <c r="M18" s="12">
        <v>98</v>
      </c>
      <c r="N18" s="12">
        <v>107</v>
      </c>
      <c r="O18" s="12">
        <v>109</v>
      </c>
      <c r="P18" s="12">
        <v>72</v>
      </c>
      <c r="Q18" s="12">
        <v>38</v>
      </c>
      <c r="R18" s="12">
        <v>36</v>
      </c>
      <c r="S18" s="12">
        <v>121</v>
      </c>
      <c r="T18" s="12">
        <v>144</v>
      </c>
      <c r="U18" s="12">
        <v>46</v>
      </c>
      <c r="V18" s="12">
        <v>28</v>
      </c>
      <c r="W18" s="12">
        <v>35</v>
      </c>
      <c r="X18" s="12">
        <v>27</v>
      </c>
      <c r="Y18" s="12">
        <v>109</v>
      </c>
      <c r="Z18" s="12">
        <v>47</v>
      </c>
      <c r="AA18" s="12">
        <v>130</v>
      </c>
      <c r="AB18" s="12">
        <v>114</v>
      </c>
      <c r="AC18" s="12">
        <v>137</v>
      </c>
      <c r="AD18" s="12">
        <v>69</v>
      </c>
      <c r="AE18" s="12">
        <v>69</v>
      </c>
      <c r="AF18" s="12">
        <v>30</v>
      </c>
    </row>
    <row r="19" spans="1:32">
      <c r="A19" s="20"/>
      <c r="B19" s="13" t="s">
        <v>1232</v>
      </c>
      <c r="C19" s="14">
        <v>7.0000000000000007E-2</v>
      </c>
      <c r="D19" s="14">
        <v>0.06</v>
      </c>
      <c r="E19" s="14">
        <v>0.1</v>
      </c>
      <c r="F19" s="14">
        <v>0.09</v>
      </c>
      <c r="G19" s="14">
        <v>0.04</v>
      </c>
      <c r="H19" s="14">
        <v>7.0000000000000007E-2</v>
      </c>
      <c r="I19" s="14">
        <v>7.0000000000000007E-2</v>
      </c>
      <c r="J19" s="14">
        <v>7.0000000000000007E-2</v>
      </c>
      <c r="K19" s="14">
        <v>0.11</v>
      </c>
      <c r="L19" s="14">
        <v>0.06</v>
      </c>
      <c r="M19" s="14">
        <v>0.1</v>
      </c>
      <c r="N19" s="14">
        <v>0.11</v>
      </c>
      <c r="O19" s="14">
        <v>0.11</v>
      </c>
      <c r="P19" s="14">
        <v>7.0000000000000007E-2</v>
      </c>
      <c r="Q19" s="14">
        <v>0.04</v>
      </c>
      <c r="R19" s="14">
        <v>7.0000000000000007E-2</v>
      </c>
      <c r="S19" s="14">
        <v>0.12</v>
      </c>
      <c r="T19" s="14">
        <v>0.14000000000000001</v>
      </c>
      <c r="U19" s="14">
        <v>0.09</v>
      </c>
      <c r="V19" s="14">
        <v>0.03</v>
      </c>
      <c r="W19" s="14">
        <v>7.0000000000000007E-2</v>
      </c>
      <c r="X19" s="14">
        <v>0.03</v>
      </c>
      <c r="Y19" s="14">
        <v>0.11</v>
      </c>
      <c r="Z19" s="14">
        <v>0.05</v>
      </c>
      <c r="AA19" s="14">
        <v>0.12</v>
      </c>
      <c r="AB19" s="14">
        <v>0.11</v>
      </c>
      <c r="AC19" s="14">
        <v>0.13</v>
      </c>
      <c r="AD19" s="14">
        <v>7.0000000000000007E-2</v>
      </c>
      <c r="AE19" s="14">
        <v>7.0000000000000007E-2</v>
      </c>
      <c r="AF19" s="14">
        <v>0.03</v>
      </c>
    </row>
    <row r="20" spans="1:32">
      <c r="A20" s="20"/>
      <c r="B20" s="11" t="s">
        <v>468</v>
      </c>
      <c r="C20" s="12">
        <v>715</v>
      </c>
      <c r="D20" s="12">
        <v>11</v>
      </c>
      <c r="E20" s="12">
        <v>71</v>
      </c>
      <c r="F20" s="12">
        <v>27</v>
      </c>
      <c r="G20" s="12">
        <v>41</v>
      </c>
      <c r="H20" s="12">
        <v>38</v>
      </c>
      <c r="I20" s="12">
        <v>47</v>
      </c>
      <c r="J20" s="12">
        <v>10</v>
      </c>
      <c r="K20" s="12">
        <v>28</v>
      </c>
      <c r="L20" s="12">
        <v>22</v>
      </c>
      <c r="M20" s="12">
        <v>33</v>
      </c>
      <c r="N20" s="12">
        <v>41</v>
      </c>
      <c r="O20" s="12">
        <v>36</v>
      </c>
      <c r="P20" s="12">
        <v>8</v>
      </c>
      <c r="Q20" s="12">
        <v>13</v>
      </c>
      <c r="R20" s="12">
        <v>30</v>
      </c>
      <c r="S20" s="12">
        <v>48</v>
      </c>
      <c r="T20" s="12">
        <v>24</v>
      </c>
      <c r="U20" s="12">
        <v>14</v>
      </c>
      <c r="V20" s="12">
        <v>10</v>
      </c>
      <c r="W20" s="12">
        <v>8</v>
      </c>
      <c r="X20" s="12">
        <v>7</v>
      </c>
      <c r="Y20" s="12">
        <v>13</v>
      </c>
      <c r="Z20" s="12">
        <v>28</v>
      </c>
      <c r="AA20" s="12">
        <v>41</v>
      </c>
      <c r="AB20" s="12">
        <v>27</v>
      </c>
      <c r="AC20" s="12">
        <v>14</v>
      </c>
      <c r="AD20" s="12">
        <v>21</v>
      </c>
      <c r="AE20" s="12">
        <v>17</v>
      </c>
      <c r="AF20" s="12">
        <v>7</v>
      </c>
    </row>
    <row r="21" spans="1:32">
      <c r="A21" s="20"/>
      <c r="B21" s="13" t="s">
        <v>469</v>
      </c>
      <c r="C21" s="14">
        <v>0.03</v>
      </c>
      <c r="D21" s="14">
        <v>0.01</v>
      </c>
      <c r="E21" s="14">
        <v>7.0000000000000007E-2</v>
      </c>
      <c r="F21" s="14">
        <v>0.03</v>
      </c>
      <c r="G21" s="14">
        <v>0.04</v>
      </c>
      <c r="H21" s="14">
        <v>0.03</v>
      </c>
      <c r="I21" s="14">
        <v>0.03</v>
      </c>
      <c r="J21" s="14">
        <v>0.03</v>
      </c>
      <c r="K21" s="14">
        <v>0.03</v>
      </c>
      <c r="L21" s="14">
        <v>0.02</v>
      </c>
      <c r="M21" s="14">
        <v>0.03</v>
      </c>
      <c r="N21" s="14">
        <v>0.04</v>
      </c>
      <c r="O21" s="14">
        <v>0.04</v>
      </c>
      <c r="P21" s="14">
        <v>0.01</v>
      </c>
      <c r="Q21" s="14">
        <v>0.01</v>
      </c>
      <c r="R21" s="14">
        <v>0.06</v>
      </c>
      <c r="S21" s="14">
        <v>0.05</v>
      </c>
      <c r="T21" s="14">
        <v>0.02</v>
      </c>
      <c r="U21" s="14">
        <v>0.03</v>
      </c>
      <c r="V21" s="14">
        <v>0.01</v>
      </c>
      <c r="W21" s="14">
        <v>0.02</v>
      </c>
      <c r="X21" s="14">
        <v>0.01</v>
      </c>
      <c r="Y21" s="14">
        <v>0.01</v>
      </c>
      <c r="Z21" s="14">
        <v>0.03</v>
      </c>
      <c r="AA21" s="14">
        <v>0.04</v>
      </c>
      <c r="AB21" s="14">
        <v>0.03</v>
      </c>
      <c r="AC21" s="14">
        <v>0.01</v>
      </c>
      <c r="AD21" s="14">
        <v>0.02</v>
      </c>
      <c r="AE21" s="14">
        <v>0.02</v>
      </c>
      <c r="AF21" s="15" t="s">
        <v>459</v>
      </c>
    </row>
    <row r="22" spans="1:32">
      <c r="A22" s="20"/>
      <c r="B22" s="11" t="s">
        <v>500</v>
      </c>
      <c r="C22" s="12">
        <v>19904</v>
      </c>
      <c r="D22" s="12">
        <v>732</v>
      </c>
      <c r="E22" s="12">
        <v>714</v>
      </c>
      <c r="F22" s="12">
        <v>705</v>
      </c>
      <c r="G22" s="12">
        <v>820</v>
      </c>
      <c r="H22" s="12">
        <v>951</v>
      </c>
      <c r="I22" s="12">
        <v>1169</v>
      </c>
      <c r="J22" s="12">
        <v>219</v>
      </c>
      <c r="K22" s="12">
        <v>716</v>
      </c>
      <c r="L22" s="12">
        <v>855</v>
      </c>
      <c r="M22" s="12">
        <v>751</v>
      </c>
      <c r="N22" s="12">
        <v>688</v>
      </c>
      <c r="O22" s="12">
        <v>706</v>
      </c>
      <c r="P22" s="12">
        <v>827</v>
      </c>
      <c r="Q22" s="12">
        <v>852</v>
      </c>
      <c r="R22" s="12">
        <v>377</v>
      </c>
      <c r="S22" s="12">
        <v>658</v>
      </c>
      <c r="T22" s="12">
        <v>679</v>
      </c>
      <c r="U22" s="12">
        <v>370</v>
      </c>
      <c r="V22" s="12">
        <v>867</v>
      </c>
      <c r="W22" s="12">
        <v>424</v>
      </c>
      <c r="X22" s="12">
        <v>823</v>
      </c>
      <c r="Y22" s="12">
        <v>752</v>
      </c>
      <c r="Z22" s="12">
        <v>771</v>
      </c>
      <c r="AA22" s="12">
        <v>762</v>
      </c>
      <c r="AB22" s="12">
        <v>708</v>
      </c>
      <c r="AC22" s="12">
        <v>690</v>
      </c>
      <c r="AD22" s="12">
        <v>765</v>
      </c>
      <c r="AE22" s="12">
        <v>789</v>
      </c>
      <c r="AF22" s="12">
        <v>883</v>
      </c>
    </row>
    <row r="23" spans="1:32">
      <c r="A23" s="20"/>
      <c r="B23" s="13" t="s">
        <v>500</v>
      </c>
      <c r="C23" s="14">
        <v>0.76</v>
      </c>
      <c r="D23" s="14">
        <v>0.73</v>
      </c>
      <c r="E23" s="14">
        <v>0.70000000000000007</v>
      </c>
      <c r="F23" s="14">
        <v>0.70000000000000007</v>
      </c>
      <c r="G23" s="14">
        <v>0.82000000000000006</v>
      </c>
      <c r="H23" s="14">
        <v>0.78</v>
      </c>
      <c r="I23" s="14">
        <v>0.77</v>
      </c>
      <c r="J23" s="14">
        <v>0.75</v>
      </c>
      <c r="K23" s="14">
        <v>0.71</v>
      </c>
      <c r="L23" s="14">
        <v>0.85</v>
      </c>
      <c r="M23" s="14">
        <v>0.75</v>
      </c>
      <c r="N23" s="14">
        <v>0.68</v>
      </c>
      <c r="O23" s="14">
        <v>0.70000000000000007</v>
      </c>
      <c r="P23" s="14">
        <v>0.81</v>
      </c>
      <c r="Q23" s="14">
        <v>0.84</v>
      </c>
      <c r="R23" s="14">
        <v>0.75</v>
      </c>
      <c r="S23" s="14">
        <v>0.65</v>
      </c>
      <c r="T23" s="14">
        <v>0.67</v>
      </c>
      <c r="U23" s="14">
        <v>0.73</v>
      </c>
      <c r="V23" s="14">
        <v>0.85</v>
      </c>
      <c r="W23" s="14">
        <v>0.84</v>
      </c>
      <c r="X23" s="14">
        <v>0.8</v>
      </c>
      <c r="Y23" s="14">
        <v>0.75</v>
      </c>
      <c r="Z23" s="14">
        <v>0.76</v>
      </c>
      <c r="AA23" s="14">
        <v>0.73</v>
      </c>
      <c r="AB23" s="14">
        <v>0.68</v>
      </c>
      <c r="AC23" s="14">
        <v>0.69000000000000006</v>
      </c>
      <c r="AD23" s="14">
        <v>0.76</v>
      </c>
      <c r="AE23" s="14">
        <v>0.79</v>
      </c>
      <c r="AF23" s="14">
        <v>0.87</v>
      </c>
    </row>
    <row r="24" spans="1:32">
      <c r="A24" s="20"/>
      <c r="B24" s="11" t="s">
        <v>501</v>
      </c>
      <c r="C24" s="12">
        <v>5699</v>
      </c>
      <c r="D24" s="12">
        <v>260</v>
      </c>
      <c r="E24" s="12">
        <v>233</v>
      </c>
      <c r="F24" s="12">
        <v>274</v>
      </c>
      <c r="G24" s="12">
        <v>143</v>
      </c>
      <c r="H24" s="12">
        <v>228</v>
      </c>
      <c r="I24" s="12">
        <v>293</v>
      </c>
      <c r="J24" s="12">
        <v>66</v>
      </c>
      <c r="K24" s="12">
        <v>262</v>
      </c>
      <c r="L24" s="12">
        <v>131</v>
      </c>
      <c r="M24" s="12">
        <v>220</v>
      </c>
      <c r="N24" s="12">
        <v>275</v>
      </c>
      <c r="O24" s="12">
        <v>261</v>
      </c>
      <c r="P24" s="12">
        <v>187</v>
      </c>
      <c r="Q24" s="12">
        <v>155</v>
      </c>
      <c r="R24" s="12">
        <v>93</v>
      </c>
      <c r="S24" s="12">
        <v>302</v>
      </c>
      <c r="T24" s="12">
        <v>311</v>
      </c>
      <c r="U24" s="12">
        <v>123</v>
      </c>
      <c r="V24" s="12">
        <v>140</v>
      </c>
      <c r="W24" s="12">
        <v>71</v>
      </c>
      <c r="X24" s="12">
        <v>190</v>
      </c>
      <c r="Y24" s="12">
        <v>243</v>
      </c>
      <c r="Z24" s="12">
        <v>210</v>
      </c>
      <c r="AA24" s="12">
        <v>250</v>
      </c>
      <c r="AB24" s="12">
        <v>304</v>
      </c>
      <c r="AC24" s="12">
        <v>306</v>
      </c>
      <c r="AD24" s="12">
        <v>219</v>
      </c>
      <c r="AE24" s="12">
        <v>195</v>
      </c>
      <c r="AF24" s="12">
        <v>130</v>
      </c>
    </row>
    <row r="25" spans="1:32">
      <c r="A25" s="20"/>
      <c r="B25" s="13" t="s">
        <v>502</v>
      </c>
      <c r="C25" s="14">
        <v>0.21</v>
      </c>
      <c r="D25" s="14">
        <v>0.26</v>
      </c>
      <c r="E25" s="14">
        <v>0.23</v>
      </c>
      <c r="F25" s="14">
        <v>0.27</v>
      </c>
      <c r="G25" s="14">
        <v>0.14000000000000001</v>
      </c>
      <c r="H25" s="14">
        <v>0.19</v>
      </c>
      <c r="I25" s="14">
        <v>0.2</v>
      </c>
      <c r="J25" s="14">
        <v>0.22</v>
      </c>
      <c r="K25" s="14">
        <v>0.26</v>
      </c>
      <c r="L25" s="14">
        <v>0.13</v>
      </c>
      <c r="M25" s="14">
        <v>0.22</v>
      </c>
      <c r="N25" s="14">
        <v>0.28000000000000003</v>
      </c>
      <c r="O25" s="14">
        <v>0.26</v>
      </c>
      <c r="P25" s="14">
        <v>0.18</v>
      </c>
      <c r="Q25" s="14">
        <v>0.15</v>
      </c>
      <c r="R25" s="14">
        <v>0.19</v>
      </c>
      <c r="S25" s="14">
        <v>0.3</v>
      </c>
      <c r="T25" s="14">
        <v>0.31</v>
      </c>
      <c r="U25" s="14">
        <v>0.24</v>
      </c>
      <c r="V25" s="14">
        <v>0.14000000000000001</v>
      </c>
      <c r="W25" s="14">
        <v>0.14000000000000001</v>
      </c>
      <c r="X25" s="14">
        <v>0.19</v>
      </c>
      <c r="Y25" s="14">
        <v>0.24</v>
      </c>
      <c r="Z25" s="14">
        <v>0.21</v>
      </c>
      <c r="AA25" s="14">
        <v>0.23</v>
      </c>
      <c r="AB25" s="14">
        <v>0.28999999999999998</v>
      </c>
      <c r="AC25" s="14">
        <v>0.3</v>
      </c>
      <c r="AD25" s="14">
        <v>0.22</v>
      </c>
      <c r="AE25" s="14">
        <v>0.19</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1249</v>
      </c>
      <c r="C3" s="18"/>
      <c r="D3" s="18"/>
      <c r="E3" s="18"/>
      <c r="F3" s="18"/>
      <c r="H3" s="18" t="s">
        <v>1250</v>
      </c>
      <c r="I3" s="18"/>
      <c r="J3" s="18"/>
      <c r="K3" s="18"/>
      <c r="L3" s="18"/>
    </row>
    <row r="4" spans="1:32" ht="27" customHeight="1">
      <c r="B4" s="18" t="s">
        <v>1251</v>
      </c>
      <c r="C4" s="18"/>
      <c r="D4" s="18"/>
      <c r="E4" s="18"/>
      <c r="F4" s="18"/>
      <c r="H4" s="18" t="s">
        <v>1252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9871</v>
      </c>
      <c r="D12" s="12">
        <v>299</v>
      </c>
      <c r="E12" s="12">
        <v>455</v>
      </c>
      <c r="F12" s="12">
        <v>361</v>
      </c>
      <c r="G12" s="12">
        <v>577</v>
      </c>
      <c r="H12" s="12">
        <v>462</v>
      </c>
      <c r="I12" s="12">
        <v>571</v>
      </c>
      <c r="J12" s="12">
        <v>109</v>
      </c>
      <c r="K12" s="12">
        <v>401</v>
      </c>
      <c r="L12" s="12">
        <v>572</v>
      </c>
      <c r="M12" s="12">
        <v>500</v>
      </c>
      <c r="N12" s="12">
        <v>418</v>
      </c>
      <c r="O12" s="12">
        <v>339</v>
      </c>
      <c r="P12" s="12">
        <v>442</v>
      </c>
      <c r="Q12" s="12">
        <v>367</v>
      </c>
      <c r="R12" s="12">
        <v>292</v>
      </c>
      <c r="S12" s="12">
        <v>417</v>
      </c>
      <c r="T12" s="12">
        <v>445</v>
      </c>
      <c r="U12" s="12">
        <v>174</v>
      </c>
      <c r="V12" s="12">
        <v>477</v>
      </c>
      <c r="W12" s="12">
        <v>302</v>
      </c>
      <c r="X12" s="12">
        <v>447</v>
      </c>
      <c r="Y12" s="12">
        <v>367</v>
      </c>
      <c r="Z12" s="12">
        <v>268</v>
      </c>
      <c r="AA12" s="12">
        <v>326</v>
      </c>
      <c r="AB12" s="12">
        <v>260</v>
      </c>
      <c r="AC12" s="12">
        <v>381</v>
      </c>
      <c r="AD12" s="12">
        <v>463</v>
      </c>
      <c r="AE12" s="12">
        <v>440</v>
      </c>
      <c r="AF12" s="12">
        <v>551</v>
      </c>
    </row>
    <row r="13" spans="1:32">
      <c r="A13" s="20"/>
      <c r="B13" s="13" t="s">
        <v>493</v>
      </c>
      <c r="C13" s="14">
        <v>0.37</v>
      </c>
      <c r="D13" s="14">
        <v>0.3</v>
      </c>
      <c r="E13" s="14">
        <v>0.45</v>
      </c>
      <c r="F13" s="14">
        <v>0.36</v>
      </c>
      <c r="G13" s="14">
        <v>0.57000000000000006</v>
      </c>
      <c r="H13" s="14">
        <v>0.38</v>
      </c>
      <c r="I13" s="14">
        <v>0.38</v>
      </c>
      <c r="J13" s="14">
        <v>0.37</v>
      </c>
      <c r="K13" s="14">
        <v>0.4</v>
      </c>
      <c r="L13" s="14">
        <v>0.57000000000000006</v>
      </c>
      <c r="M13" s="14">
        <v>0.5</v>
      </c>
      <c r="N13" s="14">
        <v>0.42</v>
      </c>
      <c r="O13" s="14">
        <v>0.34</v>
      </c>
      <c r="P13" s="14">
        <v>0.43</v>
      </c>
      <c r="Q13" s="14">
        <v>0.36</v>
      </c>
      <c r="R13" s="14">
        <v>0.57999999999999996</v>
      </c>
      <c r="S13" s="14">
        <v>0.41</v>
      </c>
      <c r="T13" s="14">
        <v>0.44</v>
      </c>
      <c r="U13" s="14">
        <v>0.34</v>
      </c>
      <c r="V13" s="14">
        <v>0.47</v>
      </c>
      <c r="W13" s="14">
        <v>0.6</v>
      </c>
      <c r="X13" s="14">
        <v>0.44</v>
      </c>
      <c r="Y13" s="14">
        <v>0.36</v>
      </c>
      <c r="Z13" s="14">
        <v>0.27</v>
      </c>
      <c r="AA13" s="14">
        <v>0.31</v>
      </c>
      <c r="AB13" s="14">
        <v>0.25</v>
      </c>
      <c r="AC13" s="14">
        <v>0.38</v>
      </c>
      <c r="AD13" s="14">
        <v>0.46</v>
      </c>
      <c r="AE13" s="14">
        <v>0.44</v>
      </c>
      <c r="AF13" s="14">
        <v>0.54</v>
      </c>
    </row>
    <row r="14" spans="1:32">
      <c r="A14" s="20"/>
      <c r="B14" s="11" t="s">
        <v>1229</v>
      </c>
      <c r="C14" s="12">
        <v>11278</v>
      </c>
      <c r="D14" s="12">
        <v>433</v>
      </c>
      <c r="E14" s="12">
        <v>370</v>
      </c>
      <c r="F14" s="12">
        <v>416</v>
      </c>
      <c r="G14" s="12">
        <v>306</v>
      </c>
      <c r="H14" s="12">
        <v>515</v>
      </c>
      <c r="I14" s="12">
        <v>648</v>
      </c>
      <c r="J14" s="12">
        <v>133</v>
      </c>
      <c r="K14" s="12">
        <v>414</v>
      </c>
      <c r="L14" s="12">
        <v>302</v>
      </c>
      <c r="M14" s="12">
        <v>361</v>
      </c>
      <c r="N14" s="12">
        <v>384</v>
      </c>
      <c r="O14" s="12">
        <v>420</v>
      </c>
      <c r="P14" s="12">
        <v>425</v>
      </c>
      <c r="Q14" s="12">
        <v>501</v>
      </c>
      <c r="R14" s="12">
        <v>125</v>
      </c>
      <c r="S14" s="12">
        <v>352</v>
      </c>
      <c r="T14" s="12">
        <v>371</v>
      </c>
      <c r="U14" s="12">
        <v>200</v>
      </c>
      <c r="V14" s="12">
        <v>425</v>
      </c>
      <c r="W14" s="12">
        <v>115</v>
      </c>
      <c r="X14" s="12">
        <v>438</v>
      </c>
      <c r="Y14" s="12">
        <v>399</v>
      </c>
      <c r="Z14" s="12">
        <v>517</v>
      </c>
      <c r="AA14" s="12">
        <v>515</v>
      </c>
      <c r="AB14" s="12">
        <v>474</v>
      </c>
      <c r="AC14" s="12">
        <v>394</v>
      </c>
      <c r="AD14" s="12">
        <v>430</v>
      </c>
      <c r="AE14" s="12">
        <v>381</v>
      </c>
      <c r="AF14" s="12">
        <v>330</v>
      </c>
    </row>
    <row r="15" spans="1:32">
      <c r="A15" s="20"/>
      <c r="B15" s="13" t="s">
        <v>495</v>
      </c>
      <c r="C15" s="14">
        <v>0.43</v>
      </c>
      <c r="D15" s="14">
        <v>0.43</v>
      </c>
      <c r="E15" s="14">
        <v>0.36</v>
      </c>
      <c r="F15" s="14">
        <v>0.41</v>
      </c>
      <c r="G15" s="14">
        <v>0.3</v>
      </c>
      <c r="H15" s="14">
        <v>0.42</v>
      </c>
      <c r="I15" s="14">
        <v>0.43</v>
      </c>
      <c r="J15" s="14">
        <v>0.45</v>
      </c>
      <c r="K15" s="14">
        <v>0.41</v>
      </c>
      <c r="L15" s="14">
        <v>0.3</v>
      </c>
      <c r="M15" s="14">
        <v>0.36</v>
      </c>
      <c r="N15" s="14">
        <v>0.38</v>
      </c>
      <c r="O15" s="14">
        <v>0.42</v>
      </c>
      <c r="P15" s="14">
        <v>0.42</v>
      </c>
      <c r="Q15" s="14">
        <v>0.49</v>
      </c>
      <c r="R15" s="14">
        <v>0.25</v>
      </c>
      <c r="S15" s="14">
        <v>0.35</v>
      </c>
      <c r="T15" s="14">
        <v>0.37</v>
      </c>
      <c r="U15" s="14">
        <v>0.39</v>
      </c>
      <c r="V15" s="14">
        <v>0.42</v>
      </c>
      <c r="W15" s="14">
        <v>0.23</v>
      </c>
      <c r="X15" s="14">
        <v>0.43</v>
      </c>
      <c r="Y15" s="14">
        <v>0.4</v>
      </c>
      <c r="Z15" s="14">
        <v>0.51</v>
      </c>
      <c r="AA15" s="14">
        <v>0.49</v>
      </c>
      <c r="AB15" s="14">
        <v>0.46</v>
      </c>
      <c r="AC15" s="14">
        <v>0.39</v>
      </c>
      <c r="AD15" s="14">
        <v>0.43</v>
      </c>
      <c r="AE15" s="14">
        <v>0.38</v>
      </c>
      <c r="AF15" s="14">
        <v>0.32</v>
      </c>
    </row>
    <row r="16" spans="1:32">
      <c r="A16" s="20"/>
      <c r="B16" s="11" t="s">
        <v>1230</v>
      </c>
      <c r="C16" s="12">
        <v>2873</v>
      </c>
      <c r="D16" s="12">
        <v>188</v>
      </c>
      <c r="E16" s="12">
        <v>87</v>
      </c>
      <c r="F16" s="12">
        <v>136</v>
      </c>
      <c r="G16" s="12">
        <v>78</v>
      </c>
      <c r="H16" s="12">
        <v>116</v>
      </c>
      <c r="I16" s="12">
        <v>144</v>
      </c>
      <c r="J16" s="12">
        <v>28</v>
      </c>
      <c r="K16" s="12">
        <v>113</v>
      </c>
      <c r="L16" s="12">
        <v>61</v>
      </c>
      <c r="M16" s="12">
        <v>64</v>
      </c>
      <c r="N16" s="12">
        <v>89</v>
      </c>
      <c r="O16" s="12">
        <v>134</v>
      </c>
      <c r="P16" s="12">
        <v>92</v>
      </c>
      <c r="Q16" s="12">
        <v>110</v>
      </c>
      <c r="R16" s="12">
        <v>38</v>
      </c>
      <c r="S16" s="12">
        <v>121</v>
      </c>
      <c r="T16" s="12">
        <v>64</v>
      </c>
      <c r="U16" s="12">
        <v>84</v>
      </c>
      <c r="V16" s="12">
        <v>79</v>
      </c>
      <c r="W16" s="12">
        <v>40</v>
      </c>
      <c r="X16" s="12">
        <v>99</v>
      </c>
      <c r="Y16" s="12">
        <v>115</v>
      </c>
      <c r="Z16" s="12">
        <v>136</v>
      </c>
      <c r="AA16" s="12">
        <v>75</v>
      </c>
      <c r="AB16" s="12">
        <v>170</v>
      </c>
      <c r="AC16" s="12">
        <v>112</v>
      </c>
      <c r="AD16" s="12">
        <v>57</v>
      </c>
      <c r="AE16" s="12">
        <v>122</v>
      </c>
      <c r="AF16" s="12">
        <v>99</v>
      </c>
    </row>
    <row r="17" spans="1:32">
      <c r="A17" s="20"/>
      <c r="B17" s="13" t="s">
        <v>497</v>
      </c>
      <c r="C17" s="14">
        <v>0.11</v>
      </c>
      <c r="D17" s="14">
        <v>0.19</v>
      </c>
      <c r="E17" s="14">
        <v>0.09</v>
      </c>
      <c r="F17" s="14">
        <v>0.14000000000000001</v>
      </c>
      <c r="G17" s="14">
        <v>0.08</v>
      </c>
      <c r="H17" s="14">
        <v>0.1</v>
      </c>
      <c r="I17" s="14">
        <v>0.09</v>
      </c>
      <c r="J17" s="14">
        <v>0.1</v>
      </c>
      <c r="K17" s="14">
        <v>0.11</v>
      </c>
      <c r="L17" s="14">
        <v>0.06</v>
      </c>
      <c r="M17" s="14">
        <v>0.06</v>
      </c>
      <c r="N17" s="14">
        <v>0.09</v>
      </c>
      <c r="O17" s="14">
        <v>0.13</v>
      </c>
      <c r="P17" s="14">
        <v>0.09</v>
      </c>
      <c r="Q17" s="14">
        <v>0.11</v>
      </c>
      <c r="R17" s="14">
        <v>0.08</v>
      </c>
      <c r="S17" s="14">
        <v>0.12</v>
      </c>
      <c r="T17" s="14">
        <v>0.06</v>
      </c>
      <c r="U17" s="14">
        <v>0.17</v>
      </c>
      <c r="V17" s="14">
        <v>0.08</v>
      </c>
      <c r="W17" s="14">
        <v>0.08</v>
      </c>
      <c r="X17" s="14">
        <v>0.1</v>
      </c>
      <c r="Y17" s="14">
        <v>0.11</v>
      </c>
      <c r="Z17" s="14">
        <v>0.13</v>
      </c>
      <c r="AA17" s="14">
        <v>7.0000000000000007E-2</v>
      </c>
      <c r="AB17" s="14">
        <v>0.16</v>
      </c>
      <c r="AC17" s="14">
        <v>0.11</v>
      </c>
      <c r="AD17" s="14">
        <v>0.06</v>
      </c>
      <c r="AE17" s="14">
        <v>0.12</v>
      </c>
      <c r="AF17" s="14">
        <v>0.1</v>
      </c>
    </row>
    <row r="18" spans="1:32">
      <c r="A18" s="20"/>
      <c r="B18" s="11" t="s">
        <v>1231</v>
      </c>
      <c r="C18" s="12">
        <v>1599</v>
      </c>
      <c r="D18" s="12">
        <v>72</v>
      </c>
      <c r="E18" s="12">
        <v>60</v>
      </c>
      <c r="F18" s="12">
        <v>62</v>
      </c>
      <c r="G18" s="12">
        <v>7</v>
      </c>
      <c r="H18" s="12">
        <v>71</v>
      </c>
      <c r="I18" s="12">
        <v>89</v>
      </c>
      <c r="J18" s="12">
        <v>18</v>
      </c>
      <c r="K18" s="12">
        <v>52</v>
      </c>
      <c r="L18" s="12">
        <v>45</v>
      </c>
      <c r="M18" s="12">
        <v>46</v>
      </c>
      <c r="N18" s="12">
        <v>84</v>
      </c>
      <c r="O18" s="12">
        <v>77</v>
      </c>
      <c r="P18" s="12">
        <v>49</v>
      </c>
      <c r="Q18" s="12">
        <v>28</v>
      </c>
      <c r="R18" s="12">
        <v>27</v>
      </c>
      <c r="S18" s="12">
        <v>79</v>
      </c>
      <c r="T18" s="12">
        <v>107</v>
      </c>
      <c r="U18" s="12">
        <v>39</v>
      </c>
      <c r="V18" s="12">
        <v>24</v>
      </c>
      <c r="W18" s="12">
        <v>44</v>
      </c>
      <c r="X18" s="12">
        <v>25</v>
      </c>
      <c r="Y18" s="12">
        <v>115</v>
      </c>
      <c r="Z18" s="12">
        <v>58</v>
      </c>
      <c r="AA18" s="12">
        <v>98</v>
      </c>
      <c r="AB18" s="12">
        <v>117</v>
      </c>
      <c r="AC18" s="12">
        <v>114</v>
      </c>
      <c r="AD18" s="12">
        <v>31</v>
      </c>
      <c r="AE18" s="12">
        <v>47</v>
      </c>
      <c r="AF18" s="12">
        <v>36</v>
      </c>
    </row>
    <row r="19" spans="1:32">
      <c r="A19" s="20"/>
      <c r="B19" s="13" t="s">
        <v>1232</v>
      </c>
      <c r="C19" s="14">
        <v>0.06</v>
      </c>
      <c r="D19" s="14">
        <v>7.0000000000000007E-2</v>
      </c>
      <c r="E19" s="14">
        <v>0.06</v>
      </c>
      <c r="F19" s="14">
        <v>0.06</v>
      </c>
      <c r="G19" s="14">
        <v>0.01</v>
      </c>
      <c r="H19" s="14">
        <v>0.06</v>
      </c>
      <c r="I19" s="14">
        <v>0.06</v>
      </c>
      <c r="J19" s="14">
        <v>0.06</v>
      </c>
      <c r="K19" s="14">
        <v>0.05</v>
      </c>
      <c r="L19" s="14">
        <v>0.04</v>
      </c>
      <c r="M19" s="14">
        <v>0.05</v>
      </c>
      <c r="N19" s="14">
        <v>0.08</v>
      </c>
      <c r="O19" s="14">
        <v>0.08</v>
      </c>
      <c r="P19" s="14">
        <v>0.05</v>
      </c>
      <c r="Q19" s="14">
        <v>0.03</v>
      </c>
      <c r="R19" s="14">
        <v>0.05</v>
      </c>
      <c r="S19" s="14">
        <v>0.08</v>
      </c>
      <c r="T19" s="14">
        <v>0.1</v>
      </c>
      <c r="U19" s="14">
        <v>0.08</v>
      </c>
      <c r="V19" s="14">
        <v>0.02</v>
      </c>
      <c r="W19" s="14">
        <v>0.09</v>
      </c>
      <c r="X19" s="14">
        <v>0.02</v>
      </c>
      <c r="Y19" s="14">
        <v>0.12</v>
      </c>
      <c r="Z19" s="14">
        <v>0.06</v>
      </c>
      <c r="AA19" s="14">
        <v>0.09</v>
      </c>
      <c r="AB19" s="14">
        <v>0.11</v>
      </c>
      <c r="AC19" s="14">
        <v>0.11</v>
      </c>
      <c r="AD19" s="14">
        <v>0.03</v>
      </c>
      <c r="AE19" s="14">
        <v>0.05</v>
      </c>
      <c r="AF19" s="14">
        <v>0.04</v>
      </c>
    </row>
    <row r="20" spans="1:32">
      <c r="A20" s="20"/>
      <c r="B20" s="11" t="s">
        <v>468</v>
      </c>
      <c r="C20" s="12">
        <v>698</v>
      </c>
      <c r="D20" s="12">
        <v>11</v>
      </c>
      <c r="E20" s="12">
        <v>46</v>
      </c>
      <c r="F20" s="12">
        <v>30</v>
      </c>
      <c r="G20" s="12">
        <v>37</v>
      </c>
      <c r="H20" s="12">
        <v>52</v>
      </c>
      <c r="I20" s="12">
        <v>58</v>
      </c>
      <c r="J20" s="12">
        <v>7</v>
      </c>
      <c r="K20" s="12">
        <v>26</v>
      </c>
      <c r="L20" s="12">
        <v>28</v>
      </c>
      <c r="M20" s="12">
        <v>32</v>
      </c>
      <c r="N20" s="12">
        <v>29</v>
      </c>
      <c r="O20" s="12">
        <v>34</v>
      </c>
      <c r="P20" s="12">
        <v>14</v>
      </c>
      <c r="Q20" s="12">
        <v>14</v>
      </c>
      <c r="R20" s="12">
        <v>17</v>
      </c>
      <c r="S20" s="12">
        <v>40</v>
      </c>
      <c r="T20" s="12">
        <v>27</v>
      </c>
      <c r="U20" s="12">
        <v>10</v>
      </c>
      <c r="V20" s="12">
        <v>12</v>
      </c>
      <c r="W20" s="12">
        <v>2</v>
      </c>
      <c r="X20" s="12">
        <v>12</v>
      </c>
      <c r="Y20" s="12">
        <v>13</v>
      </c>
      <c r="Z20" s="12">
        <v>29</v>
      </c>
      <c r="AA20" s="12">
        <v>39</v>
      </c>
      <c r="AB20" s="12">
        <v>18</v>
      </c>
      <c r="AC20" s="12">
        <v>9</v>
      </c>
      <c r="AD20" s="12">
        <v>24</v>
      </c>
      <c r="AE20" s="12">
        <v>11</v>
      </c>
      <c r="AF20" s="12">
        <v>5</v>
      </c>
    </row>
    <row r="21" spans="1:32">
      <c r="A21" s="20"/>
      <c r="B21" s="13" t="s">
        <v>469</v>
      </c>
      <c r="C21" s="14">
        <v>0.03</v>
      </c>
      <c r="D21" s="14">
        <v>0.01</v>
      </c>
      <c r="E21" s="14">
        <v>0.04</v>
      </c>
      <c r="F21" s="14">
        <v>0.03</v>
      </c>
      <c r="G21" s="14">
        <v>0.04</v>
      </c>
      <c r="H21" s="14">
        <v>0.04</v>
      </c>
      <c r="I21" s="14">
        <v>0.04</v>
      </c>
      <c r="J21" s="14">
        <v>0.02</v>
      </c>
      <c r="K21" s="14">
        <v>0.03</v>
      </c>
      <c r="L21" s="14">
        <v>0.03</v>
      </c>
      <c r="M21" s="14">
        <v>0.03</v>
      </c>
      <c r="N21" s="14">
        <v>0.03</v>
      </c>
      <c r="O21" s="14">
        <v>0.03</v>
      </c>
      <c r="P21" s="14">
        <v>0.01</v>
      </c>
      <c r="Q21" s="14">
        <v>0.01</v>
      </c>
      <c r="R21" s="14">
        <v>0.04</v>
      </c>
      <c r="S21" s="14">
        <v>0.04</v>
      </c>
      <c r="T21" s="14">
        <v>0.03</v>
      </c>
      <c r="U21" s="14">
        <v>0.02</v>
      </c>
      <c r="V21" s="14">
        <v>0.01</v>
      </c>
      <c r="W21" s="15" t="s">
        <v>459</v>
      </c>
      <c r="X21" s="14">
        <v>0.01</v>
      </c>
      <c r="Y21" s="14">
        <v>0.01</v>
      </c>
      <c r="Z21" s="14">
        <v>0.03</v>
      </c>
      <c r="AA21" s="14">
        <v>0.04</v>
      </c>
      <c r="AB21" s="14">
        <v>0.02</v>
      </c>
      <c r="AC21" s="14">
        <v>0.01</v>
      </c>
      <c r="AD21" s="14">
        <v>0.02</v>
      </c>
      <c r="AE21" s="14">
        <v>0.01</v>
      </c>
      <c r="AF21" s="15" t="s">
        <v>459</v>
      </c>
    </row>
    <row r="22" spans="1:32">
      <c r="A22" s="20"/>
      <c r="B22" s="11" t="s">
        <v>500</v>
      </c>
      <c r="C22" s="12">
        <v>21149</v>
      </c>
      <c r="D22" s="12">
        <v>732</v>
      </c>
      <c r="E22" s="12">
        <v>825</v>
      </c>
      <c r="F22" s="12">
        <v>777</v>
      </c>
      <c r="G22" s="12">
        <v>883</v>
      </c>
      <c r="H22" s="12">
        <v>977</v>
      </c>
      <c r="I22" s="12">
        <v>1219</v>
      </c>
      <c r="J22" s="12">
        <v>242</v>
      </c>
      <c r="K22" s="12">
        <v>815</v>
      </c>
      <c r="L22" s="12">
        <v>874</v>
      </c>
      <c r="M22" s="12">
        <v>861</v>
      </c>
      <c r="N22" s="12">
        <v>802</v>
      </c>
      <c r="O22" s="12">
        <v>759</v>
      </c>
      <c r="P22" s="12">
        <v>867</v>
      </c>
      <c r="Q22" s="12">
        <v>868</v>
      </c>
      <c r="R22" s="12">
        <v>417</v>
      </c>
      <c r="S22" s="12">
        <v>769</v>
      </c>
      <c r="T22" s="12">
        <v>816</v>
      </c>
      <c r="U22" s="12">
        <v>374</v>
      </c>
      <c r="V22" s="12">
        <v>902</v>
      </c>
      <c r="W22" s="12">
        <v>417</v>
      </c>
      <c r="X22" s="12">
        <v>885</v>
      </c>
      <c r="Y22" s="12">
        <v>766</v>
      </c>
      <c r="Z22" s="12">
        <v>785</v>
      </c>
      <c r="AA22" s="12">
        <v>841</v>
      </c>
      <c r="AB22" s="12">
        <v>734</v>
      </c>
      <c r="AC22" s="12">
        <v>775</v>
      </c>
      <c r="AD22" s="12">
        <v>893</v>
      </c>
      <c r="AE22" s="12">
        <v>821</v>
      </c>
      <c r="AF22" s="12">
        <v>881</v>
      </c>
    </row>
    <row r="23" spans="1:32">
      <c r="A23" s="20"/>
      <c r="B23" s="13" t="s">
        <v>500</v>
      </c>
      <c r="C23" s="14">
        <v>0.8</v>
      </c>
      <c r="D23" s="14">
        <v>0.73</v>
      </c>
      <c r="E23" s="14">
        <v>0.81</v>
      </c>
      <c r="F23" s="14">
        <v>0.77</v>
      </c>
      <c r="G23" s="14">
        <v>0.87</v>
      </c>
      <c r="H23" s="14">
        <v>0.8</v>
      </c>
      <c r="I23" s="14">
        <v>0.81</v>
      </c>
      <c r="J23" s="14">
        <v>0.82000000000000006</v>
      </c>
      <c r="K23" s="14">
        <v>0.81</v>
      </c>
      <c r="L23" s="14">
        <v>0.87</v>
      </c>
      <c r="M23" s="14">
        <v>0.86</v>
      </c>
      <c r="N23" s="14">
        <v>0.8</v>
      </c>
      <c r="O23" s="14">
        <v>0.76</v>
      </c>
      <c r="P23" s="14">
        <v>0.85</v>
      </c>
      <c r="Q23" s="14">
        <v>0.85</v>
      </c>
      <c r="R23" s="14">
        <v>0.83000000000000007</v>
      </c>
      <c r="S23" s="14">
        <v>0.76</v>
      </c>
      <c r="T23" s="14">
        <v>0.81</v>
      </c>
      <c r="U23" s="14">
        <v>0.73</v>
      </c>
      <c r="V23" s="14">
        <v>0.89</v>
      </c>
      <c r="W23" s="14">
        <v>0.83000000000000007</v>
      </c>
      <c r="X23" s="14">
        <v>0.87</v>
      </c>
      <c r="Y23" s="14">
        <v>0.76</v>
      </c>
      <c r="Z23" s="14">
        <v>0.78</v>
      </c>
      <c r="AA23" s="14">
        <v>0.8</v>
      </c>
      <c r="AB23" s="14">
        <v>0.71</v>
      </c>
      <c r="AC23" s="14">
        <v>0.77</v>
      </c>
      <c r="AD23" s="14">
        <v>0.89</v>
      </c>
      <c r="AE23" s="14">
        <v>0.82000000000000006</v>
      </c>
      <c r="AF23" s="14">
        <v>0.86</v>
      </c>
    </row>
    <row r="24" spans="1:32">
      <c r="A24" s="20"/>
      <c r="B24" s="11" t="s">
        <v>501</v>
      </c>
      <c r="C24" s="12">
        <v>4472</v>
      </c>
      <c r="D24" s="12">
        <v>260</v>
      </c>
      <c r="E24" s="12">
        <v>147</v>
      </c>
      <c r="F24" s="12">
        <v>198</v>
      </c>
      <c r="G24" s="12">
        <v>85</v>
      </c>
      <c r="H24" s="12">
        <v>187</v>
      </c>
      <c r="I24" s="12">
        <v>233</v>
      </c>
      <c r="J24" s="12">
        <v>46</v>
      </c>
      <c r="K24" s="12">
        <v>165</v>
      </c>
      <c r="L24" s="12">
        <v>106</v>
      </c>
      <c r="M24" s="12">
        <v>110</v>
      </c>
      <c r="N24" s="12">
        <v>173</v>
      </c>
      <c r="O24" s="12">
        <v>211</v>
      </c>
      <c r="P24" s="12">
        <v>141</v>
      </c>
      <c r="Q24" s="12">
        <v>138</v>
      </c>
      <c r="R24" s="12">
        <v>65</v>
      </c>
      <c r="S24" s="12">
        <v>200</v>
      </c>
      <c r="T24" s="12">
        <v>171</v>
      </c>
      <c r="U24" s="12">
        <v>123</v>
      </c>
      <c r="V24" s="12">
        <v>103</v>
      </c>
      <c r="W24" s="12">
        <v>84</v>
      </c>
      <c r="X24" s="12">
        <v>124</v>
      </c>
      <c r="Y24" s="12">
        <v>230</v>
      </c>
      <c r="Z24" s="12">
        <v>194</v>
      </c>
      <c r="AA24" s="12">
        <v>173</v>
      </c>
      <c r="AB24" s="12">
        <v>287</v>
      </c>
      <c r="AC24" s="12">
        <v>226</v>
      </c>
      <c r="AD24" s="12">
        <v>88</v>
      </c>
      <c r="AE24" s="12">
        <v>169</v>
      </c>
      <c r="AF24" s="12">
        <v>135</v>
      </c>
    </row>
    <row r="25" spans="1:32">
      <c r="A25" s="20"/>
      <c r="B25" s="13" t="s">
        <v>502</v>
      </c>
      <c r="C25" s="14">
        <v>0.17</v>
      </c>
      <c r="D25" s="14">
        <v>0.26</v>
      </c>
      <c r="E25" s="14">
        <v>0.15</v>
      </c>
      <c r="F25" s="14">
        <v>0.2</v>
      </c>
      <c r="G25" s="14">
        <v>0.09</v>
      </c>
      <c r="H25" s="14">
        <v>0.16</v>
      </c>
      <c r="I25" s="14">
        <v>0.15</v>
      </c>
      <c r="J25" s="14">
        <v>0.16</v>
      </c>
      <c r="K25" s="14">
        <v>0.16</v>
      </c>
      <c r="L25" s="14">
        <v>0.1</v>
      </c>
      <c r="M25" s="14">
        <v>0.11</v>
      </c>
      <c r="N25" s="14">
        <v>0.17</v>
      </c>
      <c r="O25" s="14">
        <v>0.21</v>
      </c>
      <c r="P25" s="14">
        <v>0.14000000000000001</v>
      </c>
      <c r="Q25" s="14">
        <v>0.14000000000000001</v>
      </c>
      <c r="R25" s="14">
        <v>0.13</v>
      </c>
      <c r="S25" s="14">
        <v>0.2</v>
      </c>
      <c r="T25" s="14">
        <v>0.16</v>
      </c>
      <c r="U25" s="14">
        <v>0.25</v>
      </c>
      <c r="V25" s="14">
        <v>0.1</v>
      </c>
      <c r="W25" s="14">
        <v>0.17</v>
      </c>
      <c r="X25" s="14">
        <v>0.12</v>
      </c>
      <c r="Y25" s="14">
        <v>0.23</v>
      </c>
      <c r="Z25" s="14">
        <v>0.19</v>
      </c>
      <c r="AA25" s="14">
        <v>0.16</v>
      </c>
      <c r="AB25" s="14">
        <v>0.27</v>
      </c>
      <c r="AC25" s="14">
        <v>0.22</v>
      </c>
      <c r="AD25" s="14">
        <v>0.09</v>
      </c>
      <c r="AE25" s="14">
        <v>0.17</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1253</v>
      </c>
      <c r="C3" s="18"/>
      <c r="D3" s="18"/>
      <c r="E3" s="18"/>
      <c r="F3" s="18"/>
      <c r="H3" s="18" t="s">
        <v>1254</v>
      </c>
      <c r="I3" s="18"/>
      <c r="J3" s="18"/>
      <c r="K3" s="18"/>
      <c r="L3" s="18"/>
    </row>
    <row r="4" spans="1:32" ht="27" customHeight="1">
      <c r="B4" s="18" t="s">
        <v>1255</v>
      </c>
      <c r="C4" s="18"/>
      <c r="D4" s="18"/>
      <c r="E4" s="18"/>
      <c r="F4" s="18"/>
      <c r="H4" s="18" t="s">
        <v>1256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HYPERLINK("#Content!A129","&lt;&lt;Back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8004</v>
      </c>
      <c r="D12" s="12">
        <v>318</v>
      </c>
      <c r="E12" s="12">
        <v>359</v>
      </c>
      <c r="F12" s="12">
        <v>355</v>
      </c>
      <c r="G12" s="12">
        <v>487</v>
      </c>
      <c r="H12" s="12">
        <v>306</v>
      </c>
      <c r="I12" s="12">
        <v>391</v>
      </c>
      <c r="J12" s="12">
        <v>85</v>
      </c>
      <c r="K12" s="12">
        <v>337</v>
      </c>
      <c r="L12" s="12">
        <v>543</v>
      </c>
      <c r="M12" s="12">
        <v>373</v>
      </c>
      <c r="N12" s="12">
        <v>329</v>
      </c>
      <c r="O12" s="12">
        <v>330</v>
      </c>
      <c r="P12" s="12">
        <v>321</v>
      </c>
      <c r="Q12" s="12">
        <v>263</v>
      </c>
      <c r="R12" s="12">
        <v>230</v>
      </c>
      <c r="S12" s="12">
        <v>380</v>
      </c>
      <c r="T12" s="12">
        <v>340</v>
      </c>
      <c r="U12" s="12">
        <v>189</v>
      </c>
      <c r="V12" s="12">
        <v>383</v>
      </c>
      <c r="W12" s="12">
        <v>264</v>
      </c>
      <c r="X12" s="12">
        <v>420</v>
      </c>
      <c r="Y12" s="12">
        <v>260</v>
      </c>
      <c r="Z12" s="12">
        <v>217</v>
      </c>
      <c r="AA12" s="12">
        <v>261</v>
      </c>
      <c r="AB12" s="12">
        <v>187</v>
      </c>
      <c r="AC12" s="12">
        <v>335</v>
      </c>
      <c r="AD12" s="12">
        <v>337</v>
      </c>
      <c r="AE12" s="12">
        <v>396</v>
      </c>
      <c r="AF12" s="12">
        <v>547</v>
      </c>
    </row>
    <row r="13" spans="1:32">
      <c r="A13" s="20"/>
      <c r="B13" s="13" t="s">
        <v>493</v>
      </c>
      <c r="C13" s="14">
        <v>0.3</v>
      </c>
      <c r="D13" s="14">
        <v>0.32</v>
      </c>
      <c r="E13" s="14">
        <v>0.35</v>
      </c>
      <c r="F13" s="14">
        <v>0.35</v>
      </c>
      <c r="G13" s="14">
        <v>0.49</v>
      </c>
      <c r="H13" s="14">
        <v>0.25</v>
      </c>
      <c r="I13" s="14">
        <v>0.26</v>
      </c>
      <c r="J13" s="14">
        <v>0.28999999999999998</v>
      </c>
      <c r="K13" s="14">
        <v>0.34</v>
      </c>
      <c r="L13" s="14">
        <v>0.54</v>
      </c>
      <c r="M13" s="14">
        <v>0.37</v>
      </c>
      <c r="N13" s="14">
        <v>0.33</v>
      </c>
      <c r="O13" s="14">
        <v>0.33</v>
      </c>
      <c r="P13" s="14">
        <v>0.31</v>
      </c>
      <c r="Q13" s="14">
        <v>0.26</v>
      </c>
      <c r="R13" s="14">
        <v>0.46</v>
      </c>
      <c r="S13" s="14">
        <v>0.38</v>
      </c>
      <c r="T13" s="14">
        <v>0.34</v>
      </c>
      <c r="U13" s="14">
        <v>0.37</v>
      </c>
      <c r="V13" s="14">
        <v>0.38</v>
      </c>
      <c r="W13" s="14">
        <v>0.53</v>
      </c>
      <c r="X13" s="14">
        <v>0.41</v>
      </c>
      <c r="Y13" s="14">
        <v>0.26</v>
      </c>
      <c r="Z13" s="14">
        <v>0.22</v>
      </c>
      <c r="AA13" s="14">
        <v>0.25</v>
      </c>
      <c r="AB13" s="14">
        <v>0.18</v>
      </c>
      <c r="AC13" s="14">
        <v>0.33</v>
      </c>
      <c r="AD13" s="14">
        <v>0.33</v>
      </c>
      <c r="AE13" s="14">
        <v>0.4</v>
      </c>
      <c r="AF13" s="14">
        <v>0.54</v>
      </c>
    </row>
    <row r="14" spans="1:32">
      <c r="A14" s="20"/>
      <c r="B14" s="11" t="s">
        <v>1229</v>
      </c>
      <c r="C14" s="12">
        <v>12025</v>
      </c>
      <c r="D14" s="12">
        <v>431</v>
      </c>
      <c r="E14" s="12">
        <v>347</v>
      </c>
      <c r="F14" s="12">
        <v>428</v>
      </c>
      <c r="G14" s="12">
        <v>353</v>
      </c>
      <c r="H14" s="12">
        <v>580</v>
      </c>
      <c r="I14" s="12">
        <v>715</v>
      </c>
      <c r="J14" s="12">
        <v>135</v>
      </c>
      <c r="K14" s="12">
        <v>460</v>
      </c>
      <c r="L14" s="12">
        <v>324</v>
      </c>
      <c r="M14" s="12">
        <v>401</v>
      </c>
      <c r="N14" s="12">
        <v>470</v>
      </c>
      <c r="O14" s="12">
        <v>452</v>
      </c>
      <c r="P14" s="12">
        <v>476</v>
      </c>
      <c r="Q14" s="12">
        <v>498</v>
      </c>
      <c r="R14" s="12">
        <v>176</v>
      </c>
      <c r="S14" s="12">
        <v>362</v>
      </c>
      <c r="T14" s="12">
        <v>338</v>
      </c>
      <c r="U14" s="12">
        <v>207</v>
      </c>
      <c r="V14" s="12">
        <v>484</v>
      </c>
      <c r="W14" s="12">
        <v>142</v>
      </c>
      <c r="X14" s="12">
        <v>436</v>
      </c>
      <c r="Y14" s="12">
        <v>428</v>
      </c>
      <c r="Z14" s="12">
        <v>535</v>
      </c>
      <c r="AA14" s="12">
        <v>494</v>
      </c>
      <c r="AB14" s="12">
        <v>468</v>
      </c>
      <c r="AC14" s="12">
        <v>371</v>
      </c>
      <c r="AD14" s="12">
        <v>521</v>
      </c>
      <c r="AE14" s="12">
        <v>385</v>
      </c>
      <c r="AF14" s="12">
        <v>351</v>
      </c>
    </row>
    <row r="15" spans="1:32">
      <c r="A15" s="20"/>
      <c r="B15" s="13" t="s">
        <v>495</v>
      </c>
      <c r="C15" s="14">
        <v>0.46</v>
      </c>
      <c r="D15" s="14">
        <v>0.43</v>
      </c>
      <c r="E15" s="14">
        <v>0.34</v>
      </c>
      <c r="F15" s="14">
        <v>0.43</v>
      </c>
      <c r="G15" s="14">
        <v>0.35</v>
      </c>
      <c r="H15" s="14">
        <v>0.48</v>
      </c>
      <c r="I15" s="14">
        <v>0.47</v>
      </c>
      <c r="J15" s="14">
        <v>0.46</v>
      </c>
      <c r="K15" s="14">
        <v>0.46</v>
      </c>
      <c r="L15" s="14">
        <v>0.32</v>
      </c>
      <c r="M15" s="14">
        <v>0.4</v>
      </c>
      <c r="N15" s="14">
        <v>0.47</v>
      </c>
      <c r="O15" s="14">
        <v>0.45</v>
      </c>
      <c r="P15" s="14">
        <v>0.47</v>
      </c>
      <c r="Q15" s="14">
        <v>0.49</v>
      </c>
      <c r="R15" s="14">
        <v>0.35</v>
      </c>
      <c r="S15" s="14">
        <v>0.36</v>
      </c>
      <c r="T15" s="14">
        <v>0.33</v>
      </c>
      <c r="U15" s="14">
        <v>0.41</v>
      </c>
      <c r="V15" s="14">
        <v>0.48</v>
      </c>
      <c r="W15" s="14">
        <v>0.28000000000000003</v>
      </c>
      <c r="X15" s="14">
        <v>0.43</v>
      </c>
      <c r="Y15" s="14">
        <v>0.42</v>
      </c>
      <c r="Z15" s="14">
        <v>0.53</v>
      </c>
      <c r="AA15" s="14">
        <v>0.47</v>
      </c>
      <c r="AB15" s="14">
        <v>0.45</v>
      </c>
      <c r="AC15" s="14">
        <v>0.37</v>
      </c>
      <c r="AD15" s="14">
        <v>0.52</v>
      </c>
      <c r="AE15" s="14">
        <v>0.38</v>
      </c>
      <c r="AF15" s="14">
        <v>0.34</v>
      </c>
    </row>
    <row r="16" spans="1:32">
      <c r="A16" s="20"/>
      <c r="B16" s="11" t="s">
        <v>1230</v>
      </c>
      <c r="C16" s="12">
        <v>3705</v>
      </c>
      <c r="D16" s="12">
        <v>189</v>
      </c>
      <c r="E16" s="12">
        <v>150</v>
      </c>
      <c r="F16" s="12">
        <v>134</v>
      </c>
      <c r="G16" s="12">
        <v>90</v>
      </c>
      <c r="H16" s="12">
        <v>172</v>
      </c>
      <c r="I16" s="12">
        <v>218</v>
      </c>
      <c r="J16" s="12">
        <v>46</v>
      </c>
      <c r="K16" s="12">
        <v>125</v>
      </c>
      <c r="L16" s="12">
        <v>71</v>
      </c>
      <c r="M16" s="12">
        <v>88</v>
      </c>
      <c r="N16" s="12">
        <v>102</v>
      </c>
      <c r="O16" s="12">
        <v>130</v>
      </c>
      <c r="P16" s="12">
        <v>144</v>
      </c>
      <c r="Q16" s="12">
        <v>192</v>
      </c>
      <c r="R16" s="12">
        <v>40</v>
      </c>
      <c r="S16" s="12">
        <v>137</v>
      </c>
      <c r="T16" s="12">
        <v>137</v>
      </c>
      <c r="U16" s="12">
        <v>65</v>
      </c>
      <c r="V16" s="12">
        <v>104</v>
      </c>
      <c r="W16" s="12">
        <v>45</v>
      </c>
      <c r="X16" s="12">
        <v>133</v>
      </c>
      <c r="Y16" s="12">
        <v>148</v>
      </c>
      <c r="Z16" s="12">
        <v>155</v>
      </c>
      <c r="AA16" s="12">
        <v>128</v>
      </c>
      <c r="AB16" s="12">
        <v>229</v>
      </c>
      <c r="AC16" s="12">
        <v>151</v>
      </c>
      <c r="AD16" s="12">
        <v>89</v>
      </c>
      <c r="AE16" s="12">
        <v>139</v>
      </c>
      <c r="AF16" s="12">
        <v>79</v>
      </c>
    </row>
    <row r="17" spans="1:32">
      <c r="A17" s="20"/>
      <c r="B17" s="13" t="s">
        <v>497</v>
      </c>
      <c r="C17" s="14">
        <v>0.14000000000000001</v>
      </c>
      <c r="D17" s="14">
        <v>0.19</v>
      </c>
      <c r="E17" s="14">
        <v>0.15</v>
      </c>
      <c r="F17" s="14">
        <v>0.13</v>
      </c>
      <c r="G17" s="14">
        <v>0.09</v>
      </c>
      <c r="H17" s="14">
        <v>0.14000000000000001</v>
      </c>
      <c r="I17" s="14">
        <v>0.14000000000000001</v>
      </c>
      <c r="J17" s="14">
        <v>0.15</v>
      </c>
      <c r="K17" s="14">
        <v>0.12</v>
      </c>
      <c r="L17" s="14">
        <v>7.0000000000000007E-2</v>
      </c>
      <c r="M17" s="14">
        <v>0.09</v>
      </c>
      <c r="N17" s="14">
        <v>0.1</v>
      </c>
      <c r="O17" s="14">
        <v>0.13</v>
      </c>
      <c r="P17" s="14">
        <v>0.14000000000000001</v>
      </c>
      <c r="Q17" s="14">
        <v>0.19</v>
      </c>
      <c r="R17" s="14">
        <v>0.08</v>
      </c>
      <c r="S17" s="14">
        <v>0.13</v>
      </c>
      <c r="T17" s="14">
        <v>0.13</v>
      </c>
      <c r="U17" s="14">
        <v>0.13</v>
      </c>
      <c r="V17" s="14">
        <v>0.1</v>
      </c>
      <c r="W17" s="14">
        <v>0.09</v>
      </c>
      <c r="X17" s="14">
        <v>0.13</v>
      </c>
      <c r="Y17" s="14">
        <v>0.15</v>
      </c>
      <c r="Z17" s="14">
        <v>0.15</v>
      </c>
      <c r="AA17" s="14">
        <v>0.12</v>
      </c>
      <c r="AB17" s="14">
        <v>0.22</v>
      </c>
      <c r="AC17" s="14">
        <v>0.15</v>
      </c>
      <c r="AD17" s="14">
        <v>0.09</v>
      </c>
      <c r="AE17" s="14">
        <v>0.14000000000000001</v>
      </c>
      <c r="AF17" s="14">
        <v>0.08</v>
      </c>
    </row>
    <row r="18" spans="1:32">
      <c r="A18" s="20"/>
      <c r="B18" s="11" t="s">
        <v>1231</v>
      </c>
      <c r="C18" s="12">
        <v>1881</v>
      </c>
      <c r="D18" s="12">
        <v>60</v>
      </c>
      <c r="E18" s="12">
        <v>114</v>
      </c>
      <c r="F18" s="12">
        <v>66</v>
      </c>
      <c r="G18" s="12">
        <v>33</v>
      </c>
      <c r="H18" s="12">
        <v>112</v>
      </c>
      <c r="I18" s="12">
        <v>132</v>
      </c>
      <c r="J18" s="12">
        <v>19</v>
      </c>
      <c r="K18" s="12">
        <v>64</v>
      </c>
      <c r="L18" s="12">
        <v>50</v>
      </c>
      <c r="M18" s="12">
        <v>88</v>
      </c>
      <c r="N18" s="12">
        <v>70</v>
      </c>
      <c r="O18" s="12">
        <v>61</v>
      </c>
      <c r="P18" s="12">
        <v>70</v>
      </c>
      <c r="Q18" s="12">
        <v>50</v>
      </c>
      <c r="R18" s="12">
        <v>23</v>
      </c>
      <c r="S18" s="12">
        <v>87</v>
      </c>
      <c r="T18" s="12">
        <v>161</v>
      </c>
      <c r="U18" s="12">
        <v>38</v>
      </c>
      <c r="V18" s="12">
        <v>26</v>
      </c>
      <c r="W18" s="12">
        <v>48</v>
      </c>
      <c r="X18" s="12">
        <v>24</v>
      </c>
      <c r="Y18" s="12">
        <v>155</v>
      </c>
      <c r="Z18" s="12">
        <v>72</v>
      </c>
      <c r="AA18" s="12">
        <v>129</v>
      </c>
      <c r="AB18" s="12">
        <v>133</v>
      </c>
      <c r="AC18" s="12">
        <v>144</v>
      </c>
      <c r="AD18" s="12">
        <v>46</v>
      </c>
      <c r="AE18" s="12">
        <v>65</v>
      </c>
      <c r="AF18" s="12">
        <v>39</v>
      </c>
    </row>
    <row r="19" spans="1:32">
      <c r="A19" s="20"/>
      <c r="B19" s="13" t="s">
        <v>1232</v>
      </c>
      <c r="C19" s="14">
        <v>7.0000000000000007E-2</v>
      </c>
      <c r="D19" s="14">
        <v>0.06</v>
      </c>
      <c r="E19" s="14">
        <v>0.11</v>
      </c>
      <c r="F19" s="14">
        <v>7.0000000000000007E-2</v>
      </c>
      <c r="G19" s="14">
        <v>0.03</v>
      </c>
      <c r="H19" s="14">
        <v>0.09</v>
      </c>
      <c r="I19" s="14">
        <v>0.09</v>
      </c>
      <c r="J19" s="14">
        <v>7.0000000000000007E-2</v>
      </c>
      <c r="K19" s="14">
        <v>0.06</v>
      </c>
      <c r="L19" s="14">
        <v>0.05</v>
      </c>
      <c r="M19" s="14">
        <v>0.09</v>
      </c>
      <c r="N19" s="14">
        <v>7.0000000000000007E-2</v>
      </c>
      <c r="O19" s="14">
        <v>0.06</v>
      </c>
      <c r="P19" s="14">
        <v>7.0000000000000007E-2</v>
      </c>
      <c r="Q19" s="14">
        <v>0.05</v>
      </c>
      <c r="R19" s="14">
        <v>0.05</v>
      </c>
      <c r="S19" s="14">
        <v>0.09</v>
      </c>
      <c r="T19" s="14">
        <v>0.16</v>
      </c>
      <c r="U19" s="14">
        <v>7.0000000000000007E-2</v>
      </c>
      <c r="V19" s="14">
        <v>0.02</v>
      </c>
      <c r="W19" s="14">
        <v>0.09</v>
      </c>
      <c r="X19" s="14">
        <v>0.02</v>
      </c>
      <c r="Y19" s="14">
        <v>0.15</v>
      </c>
      <c r="Z19" s="14">
        <v>7.0000000000000007E-2</v>
      </c>
      <c r="AA19" s="14">
        <v>0.12</v>
      </c>
      <c r="AB19" s="14">
        <v>0.13</v>
      </c>
      <c r="AC19" s="14">
        <v>0.14000000000000001</v>
      </c>
      <c r="AD19" s="14">
        <v>0.05</v>
      </c>
      <c r="AE19" s="14">
        <v>7.0000000000000007E-2</v>
      </c>
      <c r="AF19" s="14">
        <v>0.04</v>
      </c>
    </row>
    <row r="20" spans="1:32">
      <c r="A20" s="20"/>
      <c r="B20" s="11" t="s">
        <v>468</v>
      </c>
      <c r="C20" s="12">
        <v>704</v>
      </c>
      <c r="D20" s="12">
        <v>5</v>
      </c>
      <c r="E20" s="12">
        <v>47</v>
      </c>
      <c r="F20" s="12">
        <v>22</v>
      </c>
      <c r="G20" s="12">
        <v>40</v>
      </c>
      <c r="H20" s="12">
        <v>46</v>
      </c>
      <c r="I20" s="12">
        <v>54</v>
      </c>
      <c r="J20" s="12">
        <v>8</v>
      </c>
      <c r="K20" s="12">
        <v>20</v>
      </c>
      <c r="L20" s="12">
        <v>18</v>
      </c>
      <c r="M20" s="12">
        <v>53</v>
      </c>
      <c r="N20" s="12">
        <v>34</v>
      </c>
      <c r="O20" s="12">
        <v>30</v>
      </c>
      <c r="P20" s="12">
        <v>11</v>
      </c>
      <c r="Q20" s="12">
        <v>16</v>
      </c>
      <c r="R20" s="12">
        <v>31</v>
      </c>
      <c r="S20" s="12">
        <v>41</v>
      </c>
      <c r="T20" s="12">
        <v>38</v>
      </c>
      <c r="U20" s="12">
        <v>8</v>
      </c>
      <c r="V20" s="12">
        <v>20</v>
      </c>
      <c r="W20" s="12">
        <v>4</v>
      </c>
      <c r="X20" s="12">
        <v>8</v>
      </c>
      <c r="Y20" s="12">
        <v>17</v>
      </c>
      <c r="Z20" s="12">
        <v>29</v>
      </c>
      <c r="AA20" s="12">
        <v>41</v>
      </c>
      <c r="AB20" s="12">
        <v>22</v>
      </c>
      <c r="AC20" s="12">
        <v>9</v>
      </c>
      <c r="AD20" s="12">
        <v>14</v>
      </c>
      <c r="AE20" s="12">
        <v>15</v>
      </c>
      <c r="AF20" s="12">
        <v>5</v>
      </c>
    </row>
    <row r="21" spans="1:32">
      <c r="A21" s="20"/>
      <c r="B21" s="13" t="s">
        <v>469</v>
      </c>
      <c r="C21" s="14">
        <v>0.03</v>
      </c>
      <c r="D21" s="15" t="s">
        <v>459</v>
      </c>
      <c r="E21" s="14">
        <v>0.05</v>
      </c>
      <c r="F21" s="14">
        <v>0.02</v>
      </c>
      <c r="G21" s="14">
        <v>0.04</v>
      </c>
      <c r="H21" s="14">
        <v>0.04</v>
      </c>
      <c r="I21" s="14">
        <v>0.04</v>
      </c>
      <c r="J21" s="14">
        <v>0.03</v>
      </c>
      <c r="K21" s="14">
        <v>0.02</v>
      </c>
      <c r="L21" s="14">
        <v>0.02</v>
      </c>
      <c r="M21" s="14">
        <v>0.05</v>
      </c>
      <c r="N21" s="14">
        <v>0.03</v>
      </c>
      <c r="O21" s="14">
        <v>0.03</v>
      </c>
      <c r="P21" s="14">
        <v>0.01</v>
      </c>
      <c r="Q21" s="14">
        <v>0.01</v>
      </c>
      <c r="R21" s="14">
        <v>0.06</v>
      </c>
      <c r="S21" s="14">
        <v>0.04</v>
      </c>
      <c r="T21" s="14">
        <v>0.04</v>
      </c>
      <c r="U21" s="14">
        <v>0.02</v>
      </c>
      <c r="V21" s="14">
        <v>0.02</v>
      </c>
      <c r="W21" s="14">
        <v>0.01</v>
      </c>
      <c r="X21" s="14">
        <v>0.01</v>
      </c>
      <c r="Y21" s="14">
        <v>0.02</v>
      </c>
      <c r="Z21" s="14">
        <v>0.03</v>
      </c>
      <c r="AA21" s="14">
        <v>0.04</v>
      </c>
      <c r="AB21" s="14">
        <v>0.02</v>
      </c>
      <c r="AC21" s="14">
        <v>0.01</v>
      </c>
      <c r="AD21" s="14">
        <v>0.01</v>
      </c>
      <c r="AE21" s="14">
        <v>0.01</v>
      </c>
      <c r="AF21" s="15" t="s">
        <v>459</v>
      </c>
    </row>
    <row r="22" spans="1:32">
      <c r="A22" s="20"/>
      <c r="B22" s="11" t="s">
        <v>500</v>
      </c>
      <c r="C22" s="12">
        <v>20029</v>
      </c>
      <c r="D22" s="12">
        <v>749</v>
      </c>
      <c r="E22" s="12">
        <v>706</v>
      </c>
      <c r="F22" s="12">
        <v>783</v>
      </c>
      <c r="G22" s="12">
        <v>840</v>
      </c>
      <c r="H22" s="12">
        <v>886</v>
      </c>
      <c r="I22" s="12">
        <v>1106</v>
      </c>
      <c r="J22" s="12">
        <v>220</v>
      </c>
      <c r="K22" s="12">
        <v>797</v>
      </c>
      <c r="L22" s="12">
        <v>867</v>
      </c>
      <c r="M22" s="12">
        <v>774</v>
      </c>
      <c r="N22" s="12">
        <v>799</v>
      </c>
      <c r="O22" s="12">
        <v>782</v>
      </c>
      <c r="P22" s="12">
        <v>797</v>
      </c>
      <c r="Q22" s="12">
        <v>761</v>
      </c>
      <c r="R22" s="12">
        <v>406</v>
      </c>
      <c r="S22" s="12">
        <v>742</v>
      </c>
      <c r="T22" s="12">
        <v>678</v>
      </c>
      <c r="U22" s="12">
        <v>396</v>
      </c>
      <c r="V22" s="12">
        <v>867</v>
      </c>
      <c r="W22" s="12">
        <v>406</v>
      </c>
      <c r="X22" s="12">
        <v>856</v>
      </c>
      <c r="Y22" s="12">
        <v>688</v>
      </c>
      <c r="Z22" s="12">
        <v>752</v>
      </c>
      <c r="AA22" s="12">
        <v>755</v>
      </c>
      <c r="AB22" s="12">
        <v>655</v>
      </c>
      <c r="AC22" s="12">
        <v>706</v>
      </c>
      <c r="AD22" s="12">
        <v>858</v>
      </c>
      <c r="AE22" s="12">
        <v>781</v>
      </c>
      <c r="AF22" s="12">
        <v>898</v>
      </c>
    </row>
    <row r="23" spans="1:32">
      <c r="A23" s="20"/>
      <c r="B23" s="13" t="s">
        <v>500</v>
      </c>
      <c r="C23" s="14">
        <v>0.76</v>
      </c>
      <c r="D23" s="14">
        <v>0.75</v>
      </c>
      <c r="E23" s="14">
        <v>0.69000000000000006</v>
      </c>
      <c r="F23" s="14">
        <v>0.78</v>
      </c>
      <c r="G23" s="14">
        <v>0.84</v>
      </c>
      <c r="H23" s="14">
        <v>0.73</v>
      </c>
      <c r="I23" s="14">
        <v>0.73</v>
      </c>
      <c r="J23" s="14">
        <v>0.75</v>
      </c>
      <c r="K23" s="14">
        <v>0.8</v>
      </c>
      <c r="L23" s="14">
        <v>0.86</v>
      </c>
      <c r="M23" s="14">
        <v>0.77</v>
      </c>
      <c r="N23" s="14">
        <v>0.8</v>
      </c>
      <c r="O23" s="14">
        <v>0.78</v>
      </c>
      <c r="P23" s="14">
        <v>0.78</v>
      </c>
      <c r="Q23" s="14">
        <v>0.75</v>
      </c>
      <c r="R23" s="14">
        <v>0.81</v>
      </c>
      <c r="S23" s="14">
        <v>0.74</v>
      </c>
      <c r="T23" s="14">
        <v>0.67</v>
      </c>
      <c r="U23" s="14">
        <v>0.78</v>
      </c>
      <c r="V23" s="14">
        <v>0.86</v>
      </c>
      <c r="W23" s="14">
        <v>0.81</v>
      </c>
      <c r="X23" s="14">
        <v>0.84</v>
      </c>
      <c r="Y23" s="14">
        <v>0.68</v>
      </c>
      <c r="Z23" s="14">
        <v>0.75</v>
      </c>
      <c r="AA23" s="14">
        <v>0.72</v>
      </c>
      <c r="AB23" s="14">
        <v>0.63</v>
      </c>
      <c r="AC23" s="14">
        <v>0.70000000000000007</v>
      </c>
      <c r="AD23" s="14">
        <v>0.85</v>
      </c>
      <c r="AE23" s="14">
        <v>0.78</v>
      </c>
      <c r="AF23" s="14">
        <v>0.88</v>
      </c>
    </row>
    <row r="24" spans="1:32">
      <c r="A24" s="20"/>
      <c r="B24" s="11" t="s">
        <v>501</v>
      </c>
      <c r="C24" s="12">
        <v>5586</v>
      </c>
      <c r="D24" s="12">
        <v>249</v>
      </c>
      <c r="E24" s="12">
        <v>264</v>
      </c>
      <c r="F24" s="12">
        <v>200</v>
      </c>
      <c r="G24" s="12">
        <v>123</v>
      </c>
      <c r="H24" s="12">
        <v>284</v>
      </c>
      <c r="I24" s="12">
        <v>350</v>
      </c>
      <c r="J24" s="12">
        <v>65</v>
      </c>
      <c r="K24" s="12">
        <v>189</v>
      </c>
      <c r="L24" s="12">
        <v>121</v>
      </c>
      <c r="M24" s="12">
        <v>176</v>
      </c>
      <c r="N24" s="12">
        <v>172</v>
      </c>
      <c r="O24" s="12">
        <v>191</v>
      </c>
      <c r="P24" s="12">
        <v>214</v>
      </c>
      <c r="Q24" s="12">
        <v>242</v>
      </c>
      <c r="R24" s="12">
        <v>63</v>
      </c>
      <c r="S24" s="12">
        <v>224</v>
      </c>
      <c r="T24" s="12">
        <v>298</v>
      </c>
      <c r="U24" s="12">
        <v>103</v>
      </c>
      <c r="V24" s="12">
        <v>130</v>
      </c>
      <c r="W24" s="12">
        <v>93</v>
      </c>
      <c r="X24" s="12">
        <v>157</v>
      </c>
      <c r="Y24" s="12">
        <v>303</v>
      </c>
      <c r="Z24" s="12">
        <v>227</v>
      </c>
      <c r="AA24" s="12">
        <v>257</v>
      </c>
      <c r="AB24" s="12">
        <v>362</v>
      </c>
      <c r="AC24" s="12">
        <v>295</v>
      </c>
      <c r="AD24" s="12">
        <v>135</v>
      </c>
      <c r="AE24" s="12">
        <v>204</v>
      </c>
      <c r="AF24" s="12">
        <v>118</v>
      </c>
    </row>
    <row r="25" spans="1:32">
      <c r="A25" s="20"/>
      <c r="B25" s="13" t="s">
        <v>502</v>
      </c>
      <c r="C25" s="14">
        <v>0.21</v>
      </c>
      <c r="D25" s="14">
        <v>0.25</v>
      </c>
      <c r="E25" s="14">
        <v>0.26</v>
      </c>
      <c r="F25" s="14">
        <v>0.2</v>
      </c>
      <c r="G25" s="14">
        <v>0.12</v>
      </c>
      <c r="H25" s="14">
        <v>0.23</v>
      </c>
      <c r="I25" s="14">
        <v>0.23</v>
      </c>
      <c r="J25" s="14">
        <v>0.22</v>
      </c>
      <c r="K25" s="14">
        <v>0.18</v>
      </c>
      <c r="L25" s="14">
        <v>0.12</v>
      </c>
      <c r="M25" s="14">
        <v>0.18</v>
      </c>
      <c r="N25" s="14">
        <v>0.17</v>
      </c>
      <c r="O25" s="14">
        <v>0.19</v>
      </c>
      <c r="P25" s="14">
        <v>0.21</v>
      </c>
      <c r="Q25" s="14">
        <v>0.24</v>
      </c>
      <c r="R25" s="14">
        <v>0.13</v>
      </c>
      <c r="S25" s="14">
        <v>0.22</v>
      </c>
      <c r="T25" s="14">
        <v>0.28999999999999998</v>
      </c>
      <c r="U25" s="14">
        <v>0.2</v>
      </c>
      <c r="V25" s="14">
        <v>0.12</v>
      </c>
      <c r="W25" s="14">
        <v>0.18</v>
      </c>
      <c r="X25" s="14">
        <v>0.15</v>
      </c>
      <c r="Y25" s="14">
        <v>0.3</v>
      </c>
      <c r="Z25" s="14">
        <v>0.22</v>
      </c>
      <c r="AA25" s="14">
        <v>0.24</v>
      </c>
      <c r="AB25" s="14">
        <v>0.35</v>
      </c>
      <c r="AC25" s="14">
        <v>0.28999999999999998</v>
      </c>
      <c r="AD25" s="14">
        <v>0.14000000000000001</v>
      </c>
      <c r="AE25" s="14">
        <v>0.21</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1257</v>
      </c>
      <c r="C3" s="18"/>
      <c r="D3" s="18"/>
      <c r="E3" s="18"/>
      <c r="F3" s="18"/>
      <c r="H3" s="18" t="s">
        <v>1258</v>
      </c>
      <c r="I3" s="18"/>
      <c r="J3" s="18"/>
      <c r="K3" s="18"/>
      <c r="L3" s="18"/>
    </row>
    <row r="4" spans="1:32" ht="27" customHeight="1">
      <c r="B4" s="18" t="s">
        <v>1259</v>
      </c>
      <c r="C4" s="18"/>
      <c r="D4" s="18"/>
      <c r="E4" s="18"/>
      <c r="F4" s="18"/>
      <c r="H4" s="18" t="s">
        <v>1260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8639</v>
      </c>
      <c r="D12" s="12">
        <v>316</v>
      </c>
      <c r="E12" s="12">
        <v>444</v>
      </c>
      <c r="F12" s="12">
        <v>333</v>
      </c>
      <c r="G12" s="12">
        <v>491</v>
      </c>
      <c r="H12" s="12">
        <v>345</v>
      </c>
      <c r="I12" s="12">
        <v>440</v>
      </c>
      <c r="J12" s="12">
        <v>94</v>
      </c>
      <c r="K12" s="12">
        <v>375</v>
      </c>
      <c r="L12" s="12">
        <v>552</v>
      </c>
      <c r="M12" s="12">
        <v>434</v>
      </c>
      <c r="N12" s="12">
        <v>352</v>
      </c>
      <c r="O12" s="12">
        <v>321</v>
      </c>
      <c r="P12" s="12">
        <v>378</v>
      </c>
      <c r="Q12" s="12">
        <v>307</v>
      </c>
      <c r="R12" s="12">
        <v>229</v>
      </c>
      <c r="S12" s="12">
        <v>365</v>
      </c>
      <c r="T12" s="12">
        <v>391</v>
      </c>
      <c r="U12" s="12">
        <v>183</v>
      </c>
      <c r="V12" s="12">
        <v>427</v>
      </c>
      <c r="W12" s="12">
        <v>278</v>
      </c>
      <c r="X12" s="12">
        <v>440</v>
      </c>
      <c r="Y12" s="12">
        <v>351</v>
      </c>
      <c r="Z12" s="12">
        <v>218</v>
      </c>
      <c r="AA12" s="12">
        <v>275</v>
      </c>
      <c r="AB12" s="12">
        <v>240</v>
      </c>
      <c r="AC12" s="12">
        <v>379</v>
      </c>
      <c r="AD12" s="12">
        <v>434</v>
      </c>
      <c r="AE12" s="12">
        <v>414</v>
      </c>
      <c r="AF12" s="12">
        <v>560</v>
      </c>
    </row>
    <row r="13" spans="1:32">
      <c r="A13" s="20"/>
      <c r="B13" s="13" t="s">
        <v>493</v>
      </c>
      <c r="C13" s="14">
        <v>0.33</v>
      </c>
      <c r="D13" s="14">
        <v>0.31</v>
      </c>
      <c r="E13" s="14">
        <v>0.44</v>
      </c>
      <c r="F13" s="14">
        <v>0.33</v>
      </c>
      <c r="G13" s="14">
        <v>0.49</v>
      </c>
      <c r="H13" s="14">
        <v>0.28000000000000003</v>
      </c>
      <c r="I13" s="14">
        <v>0.28999999999999998</v>
      </c>
      <c r="J13" s="14">
        <v>0.32</v>
      </c>
      <c r="K13" s="14">
        <v>0.37</v>
      </c>
      <c r="L13" s="14">
        <v>0.55000000000000004</v>
      </c>
      <c r="M13" s="14">
        <v>0.43</v>
      </c>
      <c r="N13" s="14">
        <v>0.35</v>
      </c>
      <c r="O13" s="14">
        <v>0.32</v>
      </c>
      <c r="P13" s="14">
        <v>0.37</v>
      </c>
      <c r="Q13" s="14">
        <v>0.3</v>
      </c>
      <c r="R13" s="14">
        <v>0.46</v>
      </c>
      <c r="S13" s="14">
        <v>0.36</v>
      </c>
      <c r="T13" s="14">
        <v>0.39</v>
      </c>
      <c r="U13" s="14">
        <v>0.36</v>
      </c>
      <c r="V13" s="14">
        <v>0.42</v>
      </c>
      <c r="W13" s="14">
        <v>0.55000000000000004</v>
      </c>
      <c r="X13" s="14">
        <v>0.43</v>
      </c>
      <c r="Y13" s="14">
        <v>0.35</v>
      </c>
      <c r="Z13" s="14">
        <v>0.22</v>
      </c>
      <c r="AA13" s="14">
        <v>0.26</v>
      </c>
      <c r="AB13" s="14">
        <v>0.23</v>
      </c>
      <c r="AC13" s="14">
        <v>0.38</v>
      </c>
      <c r="AD13" s="14">
        <v>0.43</v>
      </c>
      <c r="AE13" s="14">
        <v>0.41</v>
      </c>
      <c r="AF13" s="14">
        <v>0.55000000000000004</v>
      </c>
    </row>
    <row r="14" spans="1:32">
      <c r="A14" s="20"/>
      <c r="B14" s="11" t="s">
        <v>1229</v>
      </c>
      <c r="C14" s="12">
        <v>11760</v>
      </c>
      <c r="D14" s="12">
        <v>451</v>
      </c>
      <c r="E14" s="12">
        <v>336</v>
      </c>
      <c r="F14" s="12">
        <v>388</v>
      </c>
      <c r="G14" s="12">
        <v>332</v>
      </c>
      <c r="H14" s="12">
        <v>607</v>
      </c>
      <c r="I14" s="12">
        <v>737</v>
      </c>
      <c r="J14" s="12">
        <v>130</v>
      </c>
      <c r="K14" s="12">
        <v>396</v>
      </c>
      <c r="L14" s="12">
        <v>321</v>
      </c>
      <c r="M14" s="12">
        <v>358</v>
      </c>
      <c r="N14" s="12">
        <v>428</v>
      </c>
      <c r="O14" s="12">
        <v>419</v>
      </c>
      <c r="P14" s="12">
        <v>453</v>
      </c>
      <c r="Q14" s="12">
        <v>516</v>
      </c>
      <c r="R14" s="12">
        <v>165</v>
      </c>
      <c r="S14" s="12">
        <v>365</v>
      </c>
      <c r="T14" s="12">
        <v>337</v>
      </c>
      <c r="U14" s="12">
        <v>186</v>
      </c>
      <c r="V14" s="12">
        <v>457</v>
      </c>
      <c r="W14" s="12">
        <v>123</v>
      </c>
      <c r="X14" s="12">
        <v>430</v>
      </c>
      <c r="Y14" s="12">
        <v>405</v>
      </c>
      <c r="Z14" s="12">
        <v>559</v>
      </c>
      <c r="AA14" s="12">
        <v>462</v>
      </c>
      <c r="AB14" s="12">
        <v>458</v>
      </c>
      <c r="AC14" s="12">
        <v>381</v>
      </c>
      <c r="AD14" s="12">
        <v>431</v>
      </c>
      <c r="AE14" s="12">
        <v>361</v>
      </c>
      <c r="AF14" s="12">
        <v>283</v>
      </c>
    </row>
    <row r="15" spans="1:32">
      <c r="A15" s="20"/>
      <c r="B15" s="13" t="s">
        <v>495</v>
      </c>
      <c r="C15" s="14">
        <v>0.45</v>
      </c>
      <c r="D15" s="14">
        <v>0.45</v>
      </c>
      <c r="E15" s="14">
        <v>0.33</v>
      </c>
      <c r="F15" s="14">
        <v>0.39</v>
      </c>
      <c r="G15" s="14">
        <v>0.33</v>
      </c>
      <c r="H15" s="14">
        <v>0.5</v>
      </c>
      <c r="I15" s="14">
        <v>0.49</v>
      </c>
      <c r="J15" s="14">
        <v>0.45</v>
      </c>
      <c r="K15" s="14">
        <v>0.4</v>
      </c>
      <c r="L15" s="14">
        <v>0.32</v>
      </c>
      <c r="M15" s="14">
        <v>0.36</v>
      </c>
      <c r="N15" s="14">
        <v>0.43</v>
      </c>
      <c r="O15" s="14">
        <v>0.42</v>
      </c>
      <c r="P15" s="14">
        <v>0.44</v>
      </c>
      <c r="Q15" s="14">
        <v>0.51</v>
      </c>
      <c r="R15" s="14">
        <v>0.33</v>
      </c>
      <c r="S15" s="14">
        <v>0.36</v>
      </c>
      <c r="T15" s="14">
        <v>0.33</v>
      </c>
      <c r="U15" s="14">
        <v>0.37</v>
      </c>
      <c r="V15" s="14">
        <v>0.45</v>
      </c>
      <c r="W15" s="14">
        <v>0.25</v>
      </c>
      <c r="X15" s="14">
        <v>0.42</v>
      </c>
      <c r="Y15" s="14">
        <v>0.4</v>
      </c>
      <c r="Z15" s="14">
        <v>0.55000000000000004</v>
      </c>
      <c r="AA15" s="14">
        <v>0.44</v>
      </c>
      <c r="AB15" s="14">
        <v>0.44</v>
      </c>
      <c r="AC15" s="14">
        <v>0.38</v>
      </c>
      <c r="AD15" s="14">
        <v>0.43</v>
      </c>
      <c r="AE15" s="14">
        <v>0.36</v>
      </c>
      <c r="AF15" s="14">
        <v>0.28000000000000003</v>
      </c>
    </row>
    <row r="16" spans="1:32">
      <c r="A16" s="20"/>
      <c r="B16" s="11" t="s">
        <v>1230</v>
      </c>
      <c r="C16" s="12">
        <v>3439</v>
      </c>
      <c r="D16" s="12">
        <v>177</v>
      </c>
      <c r="E16" s="12">
        <v>117</v>
      </c>
      <c r="F16" s="12">
        <v>181</v>
      </c>
      <c r="G16" s="12">
        <v>106</v>
      </c>
      <c r="H16" s="12">
        <v>138</v>
      </c>
      <c r="I16" s="12">
        <v>179</v>
      </c>
      <c r="J16" s="12">
        <v>41</v>
      </c>
      <c r="K16" s="12">
        <v>139</v>
      </c>
      <c r="L16" s="12">
        <v>72</v>
      </c>
      <c r="M16" s="12">
        <v>95</v>
      </c>
      <c r="N16" s="12">
        <v>112</v>
      </c>
      <c r="O16" s="12">
        <v>152</v>
      </c>
      <c r="P16" s="12">
        <v>115</v>
      </c>
      <c r="Q16" s="12">
        <v>137</v>
      </c>
      <c r="R16" s="12">
        <v>54</v>
      </c>
      <c r="S16" s="12">
        <v>130</v>
      </c>
      <c r="T16" s="12">
        <v>126</v>
      </c>
      <c r="U16" s="12">
        <v>75</v>
      </c>
      <c r="V16" s="12">
        <v>91</v>
      </c>
      <c r="W16" s="12">
        <v>56</v>
      </c>
      <c r="X16" s="12">
        <v>125</v>
      </c>
      <c r="Y16" s="12">
        <v>127</v>
      </c>
      <c r="Z16" s="12">
        <v>145</v>
      </c>
      <c r="AA16" s="12">
        <v>126</v>
      </c>
      <c r="AB16" s="12">
        <v>184</v>
      </c>
      <c r="AC16" s="12">
        <v>131</v>
      </c>
      <c r="AD16" s="12">
        <v>78</v>
      </c>
      <c r="AE16" s="12">
        <v>135</v>
      </c>
      <c r="AF16" s="12">
        <v>122</v>
      </c>
    </row>
    <row r="17" spans="1:32">
      <c r="A17" s="20"/>
      <c r="B17" s="13" t="s">
        <v>497</v>
      </c>
      <c r="C17" s="14">
        <v>0.13</v>
      </c>
      <c r="D17" s="14">
        <v>0.18</v>
      </c>
      <c r="E17" s="14">
        <v>0.11</v>
      </c>
      <c r="F17" s="14">
        <v>0.18</v>
      </c>
      <c r="G17" s="14">
        <v>0.11</v>
      </c>
      <c r="H17" s="14">
        <v>0.11</v>
      </c>
      <c r="I17" s="14">
        <v>0.12</v>
      </c>
      <c r="J17" s="14">
        <v>0.14000000000000001</v>
      </c>
      <c r="K17" s="14">
        <v>0.14000000000000001</v>
      </c>
      <c r="L17" s="14">
        <v>7.0000000000000007E-2</v>
      </c>
      <c r="M17" s="14">
        <v>0.09</v>
      </c>
      <c r="N17" s="14">
        <v>0.11</v>
      </c>
      <c r="O17" s="14">
        <v>0.15</v>
      </c>
      <c r="P17" s="14">
        <v>0.11</v>
      </c>
      <c r="Q17" s="14">
        <v>0.14000000000000001</v>
      </c>
      <c r="R17" s="14">
        <v>0.11</v>
      </c>
      <c r="S17" s="14">
        <v>0.13</v>
      </c>
      <c r="T17" s="14">
        <v>0.12</v>
      </c>
      <c r="U17" s="14">
        <v>0.15</v>
      </c>
      <c r="V17" s="14">
        <v>0.09</v>
      </c>
      <c r="W17" s="14">
        <v>0.11</v>
      </c>
      <c r="X17" s="14">
        <v>0.12</v>
      </c>
      <c r="Y17" s="14">
        <v>0.12</v>
      </c>
      <c r="Z17" s="14">
        <v>0.14000000000000001</v>
      </c>
      <c r="AA17" s="14">
        <v>0.12</v>
      </c>
      <c r="AB17" s="14">
        <v>0.18</v>
      </c>
      <c r="AC17" s="14">
        <v>0.13</v>
      </c>
      <c r="AD17" s="14">
        <v>0.08</v>
      </c>
      <c r="AE17" s="14">
        <v>0.14000000000000001</v>
      </c>
      <c r="AF17" s="14">
        <v>0.12</v>
      </c>
    </row>
    <row r="18" spans="1:32">
      <c r="A18" s="20"/>
      <c r="B18" s="11" t="s">
        <v>1231</v>
      </c>
      <c r="C18" s="12">
        <v>1885</v>
      </c>
      <c r="D18" s="12">
        <v>51</v>
      </c>
      <c r="E18" s="12">
        <v>92</v>
      </c>
      <c r="F18" s="12">
        <v>79</v>
      </c>
      <c r="G18" s="12">
        <v>30</v>
      </c>
      <c r="H18" s="12">
        <v>82</v>
      </c>
      <c r="I18" s="12">
        <v>100</v>
      </c>
      <c r="J18" s="12">
        <v>18</v>
      </c>
      <c r="K18" s="12">
        <v>82</v>
      </c>
      <c r="L18" s="12">
        <v>45</v>
      </c>
      <c r="M18" s="12">
        <v>92</v>
      </c>
      <c r="N18" s="12">
        <v>81</v>
      </c>
      <c r="O18" s="12">
        <v>89</v>
      </c>
      <c r="P18" s="12">
        <v>66</v>
      </c>
      <c r="Q18" s="12">
        <v>45</v>
      </c>
      <c r="R18" s="12">
        <v>29</v>
      </c>
      <c r="S18" s="12">
        <v>105</v>
      </c>
      <c r="T18" s="12">
        <v>143</v>
      </c>
      <c r="U18" s="12">
        <v>53</v>
      </c>
      <c r="V18" s="12">
        <v>25</v>
      </c>
      <c r="W18" s="12">
        <v>42</v>
      </c>
      <c r="X18" s="12">
        <v>24</v>
      </c>
      <c r="Y18" s="12">
        <v>118</v>
      </c>
      <c r="Z18" s="12">
        <v>60</v>
      </c>
      <c r="AA18" s="12">
        <v>156</v>
      </c>
      <c r="AB18" s="12">
        <v>136</v>
      </c>
      <c r="AC18" s="12">
        <v>115</v>
      </c>
      <c r="AD18" s="12">
        <v>55</v>
      </c>
      <c r="AE18" s="12">
        <v>82</v>
      </c>
      <c r="AF18" s="12">
        <v>52</v>
      </c>
    </row>
    <row r="19" spans="1:32">
      <c r="A19" s="20"/>
      <c r="B19" s="13" t="s">
        <v>1232</v>
      </c>
      <c r="C19" s="14">
        <v>7.0000000000000007E-2</v>
      </c>
      <c r="D19" s="14">
        <v>0.05</v>
      </c>
      <c r="E19" s="14">
        <v>0.09</v>
      </c>
      <c r="F19" s="14">
        <v>0.08</v>
      </c>
      <c r="G19" s="14">
        <v>0.03</v>
      </c>
      <c r="H19" s="14">
        <v>7.0000000000000007E-2</v>
      </c>
      <c r="I19" s="14">
        <v>7.0000000000000007E-2</v>
      </c>
      <c r="J19" s="14">
        <v>0.06</v>
      </c>
      <c r="K19" s="14">
        <v>0.08</v>
      </c>
      <c r="L19" s="14">
        <v>0.04</v>
      </c>
      <c r="M19" s="14">
        <v>0.09</v>
      </c>
      <c r="N19" s="14">
        <v>0.08</v>
      </c>
      <c r="O19" s="14">
        <v>0.09</v>
      </c>
      <c r="P19" s="14">
        <v>7.0000000000000007E-2</v>
      </c>
      <c r="Q19" s="14">
        <v>0.04</v>
      </c>
      <c r="R19" s="14">
        <v>0.06</v>
      </c>
      <c r="S19" s="14">
        <v>0.11</v>
      </c>
      <c r="T19" s="14">
        <v>0.14000000000000001</v>
      </c>
      <c r="U19" s="14">
        <v>0.1</v>
      </c>
      <c r="V19" s="14">
        <v>0.02</v>
      </c>
      <c r="W19" s="14">
        <v>0.08</v>
      </c>
      <c r="X19" s="14">
        <v>0.03</v>
      </c>
      <c r="Y19" s="14">
        <v>0.12</v>
      </c>
      <c r="Z19" s="14">
        <v>0.06</v>
      </c>
      <c r="AA19" s="14">
        <v>0.15</v>
      </c>
      <c r="AB19" s="14">
        <v>0.13</v>
      </c>
      <c r="AC19" s="14">
        <v>0.11</v>
      </c>
      <c r="AD19" s="14">
        <v>0.05</v>
      </c>
      <c r="AE19" s="14">
        <v>0.08</v>
      </c>
      <c r="AF19" s="14">
        <v>0.05</v>
      </c>
    </row>
    <row r="20" spans="1:32">
      <c r="A20" s="20"/>
      <c r="B20" s="11" t="s">
        <v>468</v>
      </c>
      <c r="C20" s="12">
        <v>596</v>
      </c>
      <c r="D20" s="12">
        <v>8</v>
      </c>
      <c r="E20" s="12">
        <v>28</v>
      </c>
      <c r="F20" s="12">
        <v>23</v>
      </c>
      <c r="G20" s="12">
        <v>45</v>
      </c>
      <c r="H20" s="12">
        <v>45</v>
      </c>
      <c r="I20" s="12">
        <v>54</v>
      </c>
      <c r="J20" s="12">
        <v>10</v>
      </c>
      <c r="K20" s="12">
        <v>13</v>
      </c>
      <c r="L20" s="12">
        <v>17</v>
      </c>
      <c r="M20" s="12">
        <v>25</v>
      </c>
      <c r="N20" s="12">
        <v>31</v>
      </c>
      <c r="O20" s="12">
        <v>22</v>
      </c>
      <c r="P20" s="12">
        <v>10</v>
      </c>
      <c r="Q20" s="12">
        <v>13</v>
      </c>
      <c r="R20" s="12">
        <v>22</v>
      </c>
      <c r="S20" s="12">
        <v>43</v>
      </c>
      <c r="T20" s="12">
        <v>18</v>
      </c>
      <c r="U20" s="12">
        <v>10</v>
      </c>
      <c r="V20" s="12">
        <v>18</v>
      </c>
      <c r="W20" s="12">
        <v>4</v>
      </c>
      <c r="X20" s="12">
        <v>1</v>
      </c>
      <c r="Y20" s="12">
        <v>7</v>
      </c>
      <c r="Z20" s="12">
        <v>25</v>
      </c>
      <c r="AA20" s="12">
        <v>33</v>
      </c>
      <c r="AB20" s="12">
        <v>21</v>
      </c>
      <c r="AC20" s="12">
        <v>3</v>
      </c>
      <c r="AD20" s="12">
        <v>8</v>
      </c>
      <c r="AE20" s="12">
        <v>10</v>
      </c>
      <c r="AF20" s="12">
        <v>3</v>
      </c>
    </row>
    <row r="21" spans="1:32">
      <c r="A21" s="20"/>
      <c r="B21" s="13" t="s">
        <v>469</v>
      </c>
      <c r="C21" s="14">
        <v>0.02</v>
      </c>
      <c r="D21" s="14">
        <v>0.01</v>
      </c>
      <c r="E21" s="14">
        <v>0.03</v>
      </c>
      <c r="F21" s="14">
        <v>0.02</v>
      </c>
      <c r="G21" s="14">
        <v>0.04</v>
      </c>
      <c r="H21" s="14">
        <v>0.04</v>
      </c>
      <c r="I21" s="14">
        <v>0.03</v>
      </c>
      <c r="J21" s="14">
        <v>0.03</v>
      </c>
      <c r="K21" s="14">
        <v>0.01</v>
      </c>
      <c r="L21" s="14">
        <v>0.02</v>
      </c>
      <c r="M21" s="14">
        <v>0.03</v>
      </c>
      <c r="N21" s="14">
        <v>0.03</v>
      </c>
      <c r="O21" s="14">
        <v>0.02</v>
      </c>
      <c r="P21" s="14">
        <v>0.01</v>
      </c>
      <c r="Q21" s="14">
        <v>0.01</v>
      </c>
      <c r="R21" s="14">
        <v>0.04</v>
      </c>
      <c r="S21" s="14">
        <v>0.04</v>
      </c>
      <c r="T21" s="14">
        <v>0.02</v>
      </c>
      <c r="U21" s="14">
        <v>0.02</v>
      </c>
      <c r="V21" s="14">
        <v>0.02</v>
      </c>
      <c r="W21" s="14">
        <v>0.01</v>
      </c>
      <c r="X21" s="15" t="s">
        <v>459</v>
      </c>
      <c r="Y21" s="14">
        <v>0.01</v>
      </c>
      <c r="Z21" s="14">
        <v>0.03</v>
      </c>
      <c r="AA21" s="14">
        <v>0.03</v>
      </c>
      <c r="AB21" s="14">
        <v>0.02</v>
      </c>
      <c r="AC21" s="15" t="s">
        <v>459</v>
      </c>
      <c r="AD21" s="14">
        <v>0.01</v>
      </c>
      <c r="AE21" s="14">
        <v>0.01</v>
      </c>
      <c r="AF21" s="15" t="s">
        <v>459</v>
      </c>
    </row>
    <row r="22" spans="1:32">
      <c r="A22" s="20"/>
      <c r="B22" s="11" t="s">
        <v>500</v>
      </c>
      <c r="C22" s="12">
        <v>20399</v>
      </c>
      <c r="D22" s="12">
        <v>767</v>
      </c>
      <c r="E22" s="12">
        <v>780</v>
      </c>
      <c r="F22" s="12">
        <v>721</v>
      </c>
      <c r="G22" s="12">
        <v>823</v>
      </c>
      <c r="H22" s="12">
        <v>952</v>
      </c>
      <c r="I22" s="12">
        <v>1177</v>
      </c>
      <c r="J22" s="12">
        <v>224</v>
      </c>
      <c r="K22" s="12">
        <v>771</v>
      </c>
      <c r="L22" s="12">
        <v>873</v>
      </c>
      <c r="M22" s="12">
        <v>792</v>
      </c>
      <c r="N22" s="12">
        <v>780</v>
      </c>
      <c r="O22" s="12">
        <v>740</v>
      </c>
      <c r="P22" s="12">
        <v>831</v>
      </c>
      <c r="Q22" s="12">
        <v>823</v>
      </c>
      <c r="R22" s="12">
        <v>394</v>
      </c>
      <c r="S22" s="12">
        <v>730</v>
      </c>
      <c r="T22" s="12">
        <v>728</v>
      </c>
      <c r="U22" s="12">
        <v>369</v>
      </c>
      <c r="V22" s="12">
        <v>884</v>
      </c>
      <c r="W22" s="12">
        <v>401</v>
      </c>
      <c r="X22" s="12">
        <v>870</v>
      </c>
      <c r="Y22" s="12">
        <v>756</v>
      </c>
      <c r="Z22" s="12">
        <v>777</v>
      </c>
      <c r="AA22" s="12">
        <v>737</v>
      </c>
      <c r="AB22" s="12">
        <v>698</v>
      </c>
      <c r="AC22" s="12">
        <v>760</v>
      </c>
      <c r="AD22" s="12">
        <v>865</v>
      </c>
      <c r="AE22" s="12">
        <v>775</v>
      </c>
      <c r="AF22" s="12">
        <v>843</v>
      </c>
    </row>
    <row r="23" spans="1:32">
      <c r="A23" s="20"/>
      <c r="B23" s="13" t="s">
        <v>500</v>
      </c>
      <c r="C23" s="14">
        <v>0.78</v>
      </c>
      <c r="D23" s="14">
        <v>0.76</v>
      </c>
      <c r="E23" s="14">
        <v>0.77</v>
      </c>
      <c r="F23" s="14">
        <v>0.72</v>
      </c>
      <c r="G23" s="14">
        <v>0.82000000000000006</v>
      </c>
      <c r="H23" s="14">
        <v>0.78</v>
      </c>
      <c r="I23" s="14">
        <v>0.78</v>
      </c>
      <c r="J23" s="14">
        <v>0.77</v>
      </c>
      <c r="K23" s="14">
        <v>0.77</v>
      </c>
      <c r="L23" s="14">
        <v>0.87</v>
      </c>
      <c r="M23" s="14">
        <v>0.79</v>
      </c>
      <c r="N23" s="14">
        <v>0.78</v>
      </c>
      <c r="O23" s="14">
        <v>0.74</v>
      </c>
      <c r="P23" s="14">
        <v>0.81</v>
      </c>
      <c r="Q23" s="14">
        <v>0.81</v>
      </c>
      <c r="R23" s="14">
        <v>0.79</v>
      </c>
      <c r="S23" s="14">
        <v>0.72</v>
      </c>
      <c r="T23" s="14">
        <v>0.72</v>
      </c>
      <c r="U23" s="14">
        <v>0.73</v>
      </c>
      <c r="V23" s="14">
        <v>0.87</v>
      </c>
      <c r="W23" s="14">
        <v>0.8</v>
      </c>
      <c r="X23" s="14">
        <v>0.85</v>
      </c>
      <c r="Y23" s="14">
        <v>0.75</v>
      </c>
      <c r="Z23" s="14">
        <v>0.77</v>
      </c>
      <c r="AA23" s="14">
        <v>0.70000000000000007</v>
      </c>
      <c r="AB23" s="14">
        <v>0.67</v>
      </c>
      <c r="AC23" s="14">
        <v>0.76</v>
      </c>
      <c r="AD23" s="14">
        <v>0.86</v>
      </c>
      <c r="AE23" s="14">
        <v>0.77</v>
      </c>
      <c r="AF23" s="14">
        <v>0.83000000000000007</v>
      </c>
    </row>
    <row r="24" spans="1:32">
      <c r="A24" s="20"/>
      <c r="B24" s="11" t="s">
        <v>501</v>
      </c>
      <c r="C24" s="12">
        <v>5324</v>
      </c>
      <c r="D24" s="12">
        <v>228</v>
      </c>
      <c r="E24" s="12">
        <v>209</v>
      </c>
      <c r="F24" s="12">
        <v>260</v>
      </c>
      <c r="G24" s="12">
        <v>136</v>
      </c>
      <c r="H24" s="12">
        <v>220</v>
      </c>
      <c r="I24" s="12">
        <v>279</v>
      </c>
      <c r="J24" s="12">
        <v>59</v>
      </c>
      <c r="K24" s="12">
        <v>221</v>
      </c>
      <c r="L24" s="12">
        <v>117</v>
      </c>
      <c r="M24" s="12">
        <v>187</v>
      </c>
      <c r="N24" s="12">
        <v>193</v>
      </c>
      <c r="O24" s="12">
        <v>241</v>
      </c>
      <c r="P24" s="12">
        <v>181</v>
      </c>
      <c r="Q24" s="12">
        <v>182</v>
      </c>
      <c r="R24" s="12">
        <v>83</v>
      </c>
      <c r="S24" s="12">
        <v>235</v>
      </c>
      <c r="T24" s="12">
        <v>269</v>
      </c>
      <c r="U24" s="12">
        <v>128</v>
      </c>
      <c r="V24" s="12">
        <v>116</v>
      </c>
      <c r="W24" s="12">
        <v>98</v>
      </c>
      <c r="X24" s="12">
        <v>149</v>
      </c>
      <c r="Y24" s="12">
        <v>245</v>
      </c>
      <c r="Z24" s="12">
        <v>205</v>
      </c>
      <c r="AA24" s="12">
        <v>282</v>
      </c>
      <c r="AB24" s="12">
        <v>320</v>
      </c>
      <c r="AC24" s="12">
        <v>246</v>
      </c>
      <c r="AD24" s="12">
        <v>133</v>
      </c>
      <c r="AE24" s="12">
        <v>217</v>
      </c>
      <c r="AF24" s="12">
        <v>174</v>
      </c>
    </row>
    <row r="25" spans="1:32">
      <c r="A25" s="20"/>
      <c r="B25" s="13" t="s">
        <v>502</v>
      </c>
      <c r="C25" s="14">
        <v>0.2</v>
      </c>
      <c r="D25" s="14">
        <v>0.23</v>
      </c>
      <c r="E25" s="14">
        <v>0.2</v>
      </c>
      <c r="F25" s="14">
        <v>0.26</v>
      </c>
      <c r="G25" s="14">
        <v>0.14000000000000001</v>
      </c>
      <c r="H25" s="14">
        <v>0.18</v>
      </c>
      <c r="I25" s="14">
        <v>0.19</v>
      </c>
      <c r="J25" s="14">
        <v>0.2</v>
      </c>
      <c r="K25" s="14">
        <v>0.22</v>
      </c>
      <c r="L25" s="14">
        <v>0.11</v>
      </c>
      <c r="M25" s="14">
        <v>0.18</v>
      </c>
      <c r="N25" s="14">
        <v>0.19</v>
      </c>
      <c r="O25" s="14">
        <v>0.24</v>
      </c>
      <c r="P25" s="14">
        <v>0.18</v>
      </c>
      <c r="Q25" s="14">
        <v>0.18</v>
      </c>
      <c r="R25" s="14">
        <v>0.17</v>
      </c>
      <c r="S25" s="14">
        <v>0.24</v>
      </c>
      <c r="T25" s="14">
        <v>0.26</v>
      </c>
      <c r="U25" s="14">
        <v>0.25</v>
      </c>
      <c r="V25" s="14">
        <v>0.11</v>
      </c>
      <c r="W25" s="14">
        <v>0.19</v>
      </c>
      <c r="X25" s="14">
        <v>0.15</v>
      </c>
      <c r="Y25" s="14">
        <v>0.24</v>
      </c>
      <c r="Z25" s="14">
        <v>0.2</v>
      </c>
      <c r="AA25" s="14">
        <v>0.27</v>
      </c>
      <c r="AB25" s="14">
        <v>0.31</v>
      </c>
      <c r="AC25" s="14">
        <v>0.24</v>
      </c>
      <c r="AD25" s="14">
        <v>0.13</v>
      </c>
      <c r="AE25" s="14">
        <v>0.22</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1261</v>
      </c>
      <c r="C3" s="18"/>
      <c r="D3" s="18"/>
      <c r="E3" s="18"/>
      <c r="F3" s="18"/>
      <c r="H3" s="18" t="s">
        <v>1262</v>
      </c>
      <c r="I3" s="18"/>
      <c r="J3" s="18"/>
      <c r="K3" s="18"/>
      <c r="L3" s="18"/>
    </row>
    <row r="4" spans="1:32" ht="27" customHeight="1">
      <c r="B4" s="18" t="s">
        <v>1263</v>
      </c>
      <c r="C4" s="18"/>
      <c r="D4" s="18"/>
      <c r="E4" s="18"/>
      <c r="F4" s="18"/>
      <c r="H4" s="18" t="s">
        <v>1264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11238</v>
      </c>
      <c r="D12" s="12">
        <v>448</v>
      </c>
      <c r="E12" s="12">
        <v>610</v>
      </c>
      <c r="F12" s="12">
        <v>480</v>
      </c>
      <c r="G12" s="12">
        <v>516</v>
      </c>
      <c r="H12" s="12">
        <v>514</v>
      </c>
      <c r="I12" s="12">
        <v>621</v>
      </c>
      <c r="J12" s="12">
        <v>108</v>
      </c>
      <c r="K12" s="12">
        <v>514</v>
      </c>
      <c r="L12" s="12">
        <v>663</v>
      </c>
      <c r="M12" s="12">
        <v>502</v>
      </c>
      <c r="N12" s="12">
        <v>511</v>
      </c>
      <c r="O12" s="12">
        <v>470</v>
      </c>
      <c r="P12" s="12">
        <v>409</v>
      </c>
      <c r="Q12" s="12">
        <v>337</v>
      </c>
      <c r="R12" s="12">
        <v>302</v>
      </c>
      <c r="S12" s="12">
        <v>640</v>
      </c>
      <c r="T12" s="12">
        <v>481</v>
      </c>
      <c r="U12" s="12">
        <v>292</v>
      </c>
      <c r="V12" s="12">
        <v>456</v>
      </c>
      <c r="W12" s="12">
        <v>286</v>
      </c>
      <c r="X12" s="12">
        <v>492</v>
      </c>
      <c r="Y12" s="12">
        <v>411</v>
      </c>
      <c r="Z12" s="12">
        <v>229</v>
      </c>
      <c r="AA12" s="12">
        <v>427</v>
      </c>
      <c r="AB12" s="12">
        <v>300</v>
      </c>
      <c r="AC12" s="12">
        <v>371</v>
      </c>
      <c r="AD12" s="12">
        <v>560</v>
      </c>
      <c r="AE12" s="12">
        <v>639</v>
      </c>
      <c r="AF12" s="12">
        <v>676</v>
      </c>
    </row>
    <row r="13" spans="1:32">
      <c r="A13" s="20"/>
      <c r="B13" s="13" t="s">
        <v>493</v>
      </c>
      <c r="C13" s="14">
        <v>0.43</v>
      </c>
      <c r="D13" s="14">
        <v>0.45</v>
      </c>
      <c r="E13" s="14">
        <v>0.6</v>
      </c>
      <c r="F13" s="14">
        <v>0.48</v>
      </c>
      <c r="G13" s="14">
        <v>0.52</v>
      </c>
      <c r="H13" s="14">
        <v>0.42</v>
      </c>
      <c r="I13" s="14">
        <v>0.41</v>
      </c>
      <c r="J13" s="14">
        <v>0.37</v>
      </c>
      <c r="K13" s="14">
        <v>0.51</v>
      </c>
      <c r="L13" s="14">
        <v>0.66</v>
      </c>
      <c r="M13" s="14">
        <v>0.5</v>
      </c>
      <c r="N13" s="14">
        <v>0.51</v>
      </c>
      <c r="O13" s="14">
        <v>0.47</v>
      </c>
      <c r="P13" s="14">
        <v>0.4</v>
      </c>
      <c r="Q13" s="14">
        <v>0.33</v>
      </c>
      <c r="R13" s="14">
        <v>0.6</v>
      </c>
      <c r="S13" s="14">
        <v>0.64</v>
      </c>
      <c r="T13" s="14">
        <v>0.48</v>
      </c>
      <c r="U13" s="14">
        <v>0.57000000000000006</v>
      </c>
      <c r="V13" s="14">
        <v>0.45</v>
      </c>
      <c r="W13" s="14">
        <v>0.57000000000000006</v>
      </c>
      <c r="X13" s="14">
        <v>0.48</v>
      </c>
      <c r="Y13" s="14">
        <v>0.41</v>
      </c>
      <c r="Z13" s="14">
        <v>0.23</v>
      </c>
      <c r="AA13" s="14">
        <v>0.41</v>
      </c>
      <c r="AB13" s="14">
        <v>0.28999999999999998</v>
      </c>
      <c r="AC13" s="14">
        <v>0.37</v>
      </c>
      <c r="AD13" s="14">
        <v>0.56000000000000005</v>
      </c>
      <c r="AE13" s="14">
        <v>0.64</v>
      </c>
      <c r="AF13" s="14">
        <v>0.66</v>
      </c>
    </row>
    <row r="14" spans="1:32">
      <c r="A14" s="20"/>
      <c r="B14" s="11" t="s">
        <v>1229</v>
      </c>
      <c r="C14" s="12">
        <v>10777</v>
      </c>
      <c r="D14" s="12">
        <v>412</v>
      </c>
      <c r="E14" s="12">
        <v>278</v>
      </c>
      <c r="F14" s="12">
        <v>329</v>
      </c>
      <c r="G14" s="12">
        <v>325</v>
      </c>
      <c r="H14" s="12">
        <v>501</v>
      </c>
      <c r="I14" s="12">
        <v>612</v>
      </c>
      <c r="J14" s="12">
        <v>111</v>
      </c>
      <c r="K14" s="12">
        <v>359</v>
      </c>
      <c r="L14" s="12">
        <v>273</v>
      </c>
      <c r="M14" s="12">
        <v>362</v>
      </c>
      <c r="N14" s="12">
        <v>379</v>
      </c>
      <c r="O14" s="12">
        <v>387</v>
      </c>
      <c r="P14" s="12">
        <v>459</v>
      </c>
      <c r="Q14" s="12">
        <v>503</v>
      </c>
      <c r="R14" s="12">
        <v>128</v>
      </c>
      <c r="S14" s="12">
        <v>263</v>
      </c>
      <c r="T14" s="12">
        <v>339</v>
      </c>
      <c r="U14" s="12">
        <v>151</v>
      </c>
      <c r="V14" s="12">
        <v>441</v>
      </c>
      <c r="W14" s="12">
        <v>123</v>
      </c>
      <c r="X14" s="12">
        <v>396</v>
      </c>
      <c r="Y14" s="12">
        <v>368</v>
      </c>
      <c r="Z14" s="12">
        <v>551</v>
      </c>
      <c r="AA14" s="12">
        <v>466</v>
      </c>
      <c r="AB14" s="12">
        <v>459</v>
      </c>
      <c r="AC14" s="12">
        <v>403</v>
      </c>
      <c r="AD14" s="12">
        <v>369</v>
      </c>
      <c r="AE14" s="12">
        <v>259</v>
      </c>
      <c r="AF14" s="12">
        <v>251</v>
      </c>
    </row>
    <row r="15" spans="1:32">
      <c r="A15" s="20"/>
      <c r="B15" s="13" t="s">
        <v>495</v>
      </c>
      <c r="C15" s="14">
        <v>0.41</v>
      </c>
      <c r="D15" s="14">
        <v>0.41</v>
      </c>
      <c r="E15" s="14">
        <v>0.27</v>
      </c>
      <c r="F15" s="14">
        <v>0.33</v>
      </c>
      <c r="G15" s="14">
        <v>0.32</v>
      </c>
      <c r="H15" s="14">
        <v>0.41</v>
      </c>
      <c r="I15" s="14">
        <v>0.41</v>
      </c>
      <c r="J15" s="14">
        <v>0.38</v>
      </c>
      <c r="K15" s="14">
        <v>0.36</v>
      </c>
      <c r="L15" s="14">
        <v>0.27</v>
      </c>
      <c r="M15" s="14">
        <v>0.36</v>
      </c>
      <c r="N15" s="14">
        <v>0.38</v>
      </c>
      <c r="O15" s="14">
        <v>0.39</v>
      </c>
      <c r="P15" s="14">
        <v>0.45</v>
      </c>
      <c r="Q15" s="14">
        <v>0.5</v>
      </c>
      <c r="R15" s="14">
        <v>0.26</v>
      </c>
      <c r="S15" s="14">
        <v>0.26</v>
      </c>
      <c r="T15" s="14">
        <v>0.33</v>
      </c>
      <c r="U15" s="14">
        <v>0.3</v>
      </c>
      <c r="V15" s="14">
        <v>0.43</v>
      </c>
      <c r="W15" s="14">
        <v>0.24</v>
      </c>
      <c r="X15" s="14">
        <v>0.39</v>
      </c>
      <c r="Y15" s="14">
        <v>0.37</v>
      </c>
      <c r="Z15" s="14">
        <v>0.55000000000000004</v>
      </c>
      <c r="AA15" s="14">
        <v>0.44</v>
      </c>
      <c r="AB15" s="14">
        <v>0.44</v>
      </c>
      <c r="AC15" s="14">
        <v>0.4</v>
      </c>
      <c r="AD15" s="14">
        <v>0.37</v>
      </c>
      <c r="AE15" s="14">
        <v>0.26</v>
      </c>
      <c r="AF15" s="14">
        <v>0.25</v>
      </c>
    </row>
    <row r="16" spans="1:32">
      <c r="A16" s="20"/>
      <c r="B16" s="11" t="s">
        <v>1230</v>
      </c>
      <c r="C16" s="12">
        <v>2612</v>
      </c>
      <c r="D16" s="12">
        <v>100</v>
      </c>
      <c r="E16" s="12">
        <v>70</v>
      </c>
      <c r="F16" s="12">
        <v>125</v>
      </c>
      <c r="G16" s="12">
        <v>109</v>
      </c>
      <c r="H16" s="12">
        <v>109</v>
      </c>
      <c r="I16" s="12">
        <v>158</v>
      </c>
      <c r="J16" s="12">
        <v>49</v>
      </c>
      <c r="K16" s="12">
        <v>65</v>
      </c>
      <c r="L16" s="12">
        <v>36</v>
      </c>
      <c r="M16" s="12">
        <v>62</v>
      </c>
      <c r="N16" s="12">
        <v>58</v>
      </c>
      <c r="O16" s="12">
        <v>83</v>
      </c>
      <c r="P16" s="12">
        <v>102</v>
      </c>
      <c r="Q16" s="12">
        <v>132</v>
      </c>
      <c r="R16" s="12">
        <v>41</v>
      </c>
      <c r="S16" s="12">
        <v>44</v>
      </c>
      <c r="T16" s="12">
        <v>90</v>
      </c>
      <c r="U16" s="12">
        <v>36</v>
      </c>
      <c r="V16" s="12">
        <v>76</v>
      </c>
      <c r="W16" s="12">
        <v>51</v>
      </c>
      <c r="X16" s="12">
        <v>108</v>
      </c>
      <c r="Y16" s="12">
        <v>125</v>
      </c>
      <c r="Z16" s="12">
        <v>143</v>
      </c>
      <c r="AA16" s="12">
        <v>50</v>
      </c>
      <c r="AB16" s="12">
        <v>177</v>
      </c>
      <c r="AC16" s="12">
        <v>141</v>
      </c>
      <c r="AD16" s="12">
        <v>50</v>
      </c>
      <c r="AE16" s="12">
        <v>60</v>
      </c>
      <c r="AF16" s="12">
        <v>67</v>
      </c>
    </row>
    <row r="17" spans="1:32">
      <c r="A17" s="20"/>
      <c r="B17" s="13" t="s">
        <v>497</v>
      </c>
      <c r="C17" s="14">
        <v>0.1</v>
      </c>
      <c r="D17" s="14">
        <v>0.1</v>
      </c>
      <c r="E17" s="14">
        <v>7.0000000000000007E-2</v>
      </c>
      <c r="F17" s="14">
        <v>0.12</v>
      </c>
      <c r="G17" s="14">
        <v>0.11</v>
      </c>
      <c r="H17" s="14">
        <v>0.09</v>
      </c>
      <c r="I17" s="14">
        <v>0.1</v>
      </c>
      <c r="J17" s="14">
        <v>0.17</v>
      </c>
      <c r="K17" s="14">
        <v>0.06</v>
      </c>
      <c r="L17" s="14">
        <v>0.04</v>
      </c>
      <c r="M17" s="14">
        <v>0.06</v>
      </c>
      <c r="N17" s="14">
        <v>0.06</v>
      </c>
      <c r="O17" s="14">
        <v>0.08</v>
      </c>
      <c r="P17" s="14">
        <v>0.1</v>
      </c>
      <c r="Q17" s="14">
        <v>0.13</v>
      </c>
      <c r="R17" s="14">
        <v>0.08</v>
      </c>
      <c r="S17" s="14">
        <v>0.04</v>
      </c>
      <c r="T17" s="14">
        <v>0.09</v>
      </c>
      <c r="U17" s="14">
        <v>7.0000000000000007E-2</v>
      </c>
      <c r="V17" s="14">
        <v>0.08</v>
      </c>
      <c r="W17" s="14">
        <v>0.1</v>
      </c>
      <c r="X17" s="14">
        <v>0.11</v>
      </c>
      <c r="Y17" s="14">
        <v>0.12</v>
      </c>
      <c r="Z17" s="14">
        <v>0.14000000000000001</v>
      </c>
      <c r="AA17" s="14">
        <v>0.05</v>
      </c>
      <c r="AB17" s="14">
        <v>0.17</v>
      </c>
      <c r="AC17" s="14">
        <v>0.14000000000000001</v>
      </c>
      <c r="AD17" s="14">
        <v>0.05</v>
      </c>
      <c r="AE17" s="14">
        <v>0.06</v>
      </c>
      <c r="AF17" s="14">
        <v>7.0000000000000007E-2</v>
      </c>
    </row>
    <row r="18" spans="1:32">
      <c r="A18" s="20"/>
      <c r="B18" s="11" t="s">
        <v>1231</v>
      </c>
      <c r="C18" s="12">
        <v>1250</v>
      </c>
      <c r="D18" s="12">
        <v>38</v>
      </c>
      <c r="E18" s="12">
        <v>37</v>
      </c>
      <c r="F18" s="12">
        <v>51</v>
      </c>
      <c r="G18" s="12">
        <v>22</v>
      </c>
      <c r="H18" s="12">
        <v>63</v>
      </c>
      <c r="I18" s="12">
        <v>85</v>
      </c>
      <c r="J18" s="12">
        <v>22</v>
      </c>
      <c r="K18" s="12">
        <v>56</v>
      </c>
      <c r="L18" s="12">
        <v>21</v>
      </c>
      <c r="M18" s="12">
        <v>62</v>
      </c>
      <c r="N18" s="12">
        <v>38</v>
      </c>
      <c r="O18" s="12">
        <v>43</v>
      </c>
      <c r="P18" s="12">
        <v>45</v>
      </c>
      <c r="Q18" s="12">
        <v>34</v>
      </c>
      <c r="R18" s="12">
        <v>18</v>
      </c>
      <c r="S18" s="12">
        <v>34</v>
      </c>
      <c r="T18" s="12">
        <v>92</v>
      </c>
      <c r="U18" s="12">
        <v>24</v>
      </c>
      <c r="V18" s="12">
        <v>33</v>
      </c>
      <c r="W18" s="12">
        <v>38</v>
      </c>
      <c r="X18" s="12">
        <v>24</v>
      </c>
      <c r="Y18" s="12">
        <v>100</v>
      </c>
      <c r="Z18" s="12">
        <v>61</v>
      </c>
      <c r="AA18" s="12">
        <v>87</v>
      </c>
      <c r="AB18" s="12">
        <v>86</v>
      </c>
      <c r="AC18" s="12">
        <v>89</v>
      </c>
      <c r="AD18" s="12">
        <v>22</v>
      </c>
      <c r="AE18" s="12">
        <v>34</v>
      </c>
      <c r="AF18" s="12">
        <v>25</v>
      </c>
    </row>
    <row r="19" spans="1:32">
      <c r="A19" s="20"/>
      <c r="B19" s="13" t="s">
        <v>1232</v>
      </c>
      <c r="C19" s="14">
        <v>0.05</v>
      </c>
      <c r="D19" s="14">
        <v>0.04</v>
      </c>
      <c r="E19" s="14">
        <v>0.04</v>
      </c>
      <c r="F19" s="14">
        <v>0.05</v>
      </c>
      <c r="G19" s="14">
        <v>0.02</v>
      </c>
      <c r="H19" s="14">
        <v>0.05</v>
      </c>
      <c r="I19" s="14">
        <v>0.06</v>
      </c>
      <c r="J19" s="14">
        <v>7.0000000000000007E-2</v>
      </c>
      <c r="K19" s="14">
        <v>0.06</v>
      </c>
      <c r="L19" s="14">
        <v>0.02</v>
      </c>
      <c r="M19" s="14">
        <v>0.06</v>
      </c>
      <c r="N19" s="14">
        <v>0.04</v>
      </c>
      <c r="O19" s="14">
        <v>0.04</v>
      </c>
      <c r="P19" s="14">
        <v>0.04</v>
      </c>
      <c r="Q19" s="14">
        <v>0.03</v>
      </c>
      <c r="R19" s="14">
        <v>0.04</v>
      </c>
      <c r="S19" s="14">
        <v>0.03</v>
      </c>
      <c r="T19" s="14">
        <v>0.09</v>
      </c>
      <c r="U19" s="14">
        <v>0.05</v>
      </c>
      <c r="V19" s="14">
        <v>0.03</v>
      </c>
      <c r="W19" s="14">
        <v>0.08</v>
      </c>
      <c r="X19" s="14">
        <v>0.02</v>
      </c>
      <c r="Y19" s="14">
        <v>0.1</v>
      </c>
      <c r="Z19" s="14">
        <v>0.06</v>
      </c>
      <c r="AA19" s="14">
        <v>0.08</v>
      </c>
      <c r="AB19" s="14">
        <v>0.08</v>
      </c>
      <c r="AC19" s="14">
        <v>0.09</v>
      </c>
      <c r="AD19" s="14">
        <v>0.02</v>
      </c>
      <c r="AE19" s="14">
        <v>0.03</v>
      </c>
      <c r="AF19" s="14">
        <v>0.02</v>
      </c>
    </row>
    <row r="20" spans="1:32">
      <c r="A20" s="20"/>
      <c r="B20" s="11" t="s">
        <v>468</v>
      </c>
      <c r="C20" s="12">
        <v>442</v>
      </c>
      <c r="D20" s="12">
        <v>5</v>
      </c>
      <c r="E20" s="12">
        <v>24</v>
      </c>
      <c r="F20" s="12">
        <v>20</v>
      </c>
      <c r="G20" s="12">
        <v>32</v>
      </c>
      <c r="H20" s="12">
        <v>30</v>
      </c>
      <c r="I20" s="12">
        <v>34</v>
      </c>
      <c r="J20" s="12">
        <v>4</v>
      </c>
      <c r="K20" s="12">
        <v>12</v>
      </c>
      <c r="L20" s="12">
        <v>14</v>
      </c>
      <c r="M20" s="12">
        <v>14</v>
      </c>
      <c r="N20" s="12">
        <v>17</v>
      </c>
      <c r="O20" s="12">
        <v>21</v>
      </c>
      <c r="P20" s="12">
        <v>8</v>
      </c>
      <c r="Q20" s="12">
        <v>12</v>
      </c>
      <c r="R20" s="12">
        <v>10</v>
      </c>
      <c r="S20" s="12">
        <v>27</v>
      </c>
      <c r="T20" s="12">
        <v>10</v>
      </c>
      <c r="U20" s="12">
        <v>5</v>
      </c>
      <c r="V20" s="12">
        <v>12</v>
      </c>
      <c r="W20" s="12">
        <v>6</v>
      </c>
      <c r="X20" s="12">
        <v>0</v>
      </c>
      <c r="Y20" s="12">
        <v>4</v>
      </c>
      <c r="Z20" s="12">
        <v>24</v>
      </c>
      <c r="AA20" s="12">
        <v>23</v>
      </c>
      <c r="AB20" s="12">
        <v>17</v>
      </c>
      <c r="AC20" s="12">
        <v>5</v>
      </c>
      <c r="AD20" s="12">
        <v>6</v>
      </c>
      <c r="AE20" s="12">
        <v>9</v>
      </c>
      <c r="AF20" s="12">
        <v>1</v>
      </c>
    </row>
    <row r="21" spans="1:32">
      <c r="A21" s="20"/>
      <c r="B21" s="13" t="s">
        <v>469</v>
      </c>
      <c r="C21" s="14">
        <v>0.01</v>
      </c>
      <c r="D21" s="15" t="s">
        <v>459</v>
      </c>
      <c r="E21" s="14">
        <v>0.02</v>
      </c>
      <c r="F21" s="14">
        <v>0.02</v>
      </c>
      <c r="G21" s="14">
        <v>0.03</v>
      </c>
      <c r="H21" s="14">
        <v>0.03</v>
      </c>
      <c r="I21" s="14">
        <v>0.02</v>
      </c>
      <c r="J21" s="14">
        <v>0.01</v>
      </c>
      <c r="K21" s="14">
        <v>0.01</v>
      </c>
      <c r="L21" s="14">
        <v>0.01</v>
      </c>
      <c r="M21" s="14">
        <v>0.02</v>
      </c>
      <c r="N21" s="14">
        <v>0.01</v>
      </c>
      <c r="O21" s="14">
        <v>0.02</v>
      </c>
      <c r="P21" s="14">
        <v>0.01</v>
      </c>
      <c r="Q21" s="14">
        <v>0.01</v>
      </c>
      <c r="R21" s="14">
        <v>0.02</v>
      </c>
      <c r="S21" s="14">
        <v>0.03</v>
      </c>
      <c r="T21" s="14">
        <v>0.01</v>
      </c>
      <c r="U21" s="14">
        <v>0.01</v>
      </c>
      <c r="V21" s="14">
        <v>0.01</v>
      </c>
      <c r="W21" s="14">
        <v>0.01</v>
      </c>
      <c r="X21" s="15" t="s">
        <v>459</v>
      </c>
      <c r="Y21" s="15" t="s">
        <v>459</v>
      </c>
      <c r="Z21" s="14">
        <v>0.02</v>
      </c>
      <c r="AA21" s="14">
        <v>0.02</v>
      </c>
      <c r="AB21" s="14">
        <v>0.02</v>
      </c>
      <c r="AC21" s="15" t="s">
        <v>459</v>
      </c>
      <c r="AD21" s="15" t="s">
        <v>459</v>
      </c>
      <c r="AE21" s="14">
        <v>0.01</v>
      </c>
      <c r="AF21" s="15" t="s">
        <v>459</v>
      </c>
    </row>
    <row r="22" spans="1:32">
      <c r="A22" s="20"/>
      <c r="B22" s="11" t="s">
        <v>500</v>
      </c>
      <c r="C22" s="12">
        <v>22015</v>
      </c>
      <c r="D22" s="12">
        <v>860</v>
      </c>
      <c r="E22" s="12">
        <v>888</v>
      </c>
      <c r="F22" s="12">
        <v>809</v>
      </c>
      <c r="G22" s="12">
        <v>841</v>
      </c>
      <c r="H22" s="12">
        <v>1015</v>
      </c>
      <c r="I22" s="12">
        <v>1233</v>
      </c>
      <c r="J22" s="12">
        <v>219</v>
      </c>
      <c r="K22" s="12">
        <v>873</v>
      </c>
      <c r="L22" s="12">
        <v>936</v>
      </c>
      <c r="M22" s="12">
        <v>864</v>
      </c>
      <c r="N22" s="12">
        <v>890</v>
      </c>
      <c r="O22" s="12">
        <v>857</v>
      </c>
      <c r="P22" s="12">
        <v>868</v>
      </c>
      <c r="Q22" s="12">
        <v>840</v>
      </c>
      <c r="R22" s="12">
        <v>430</v>
      </c>
      <c r="S22" s="12">
        <v>903</v>
      </c>
      <c r="T22" s="12">
        <v>820</v>
      </c>
      <c r="U22" s="12">
        <v>443</v>
      </c>
      <c r="V22" s="12">
        <v>897</v>
      </c>
      <c r="W22" s="12">
        <v>409</v>
      </c>
      <c r="X22" s="12">
        <v>888</v>
      </c>
      <c r="Y22" s="12">
        <v>779</v>
      </c>
      <c r="Z22" s="12">
        <v>780</v>
      </c>
      <c r="AA22" s="12">
        <v>893</v>
      </c>
      <c r="AB22" s="12">
        <v>759</v>
      </c>
      <c r="AC22" s="12">
        <v>774</v>
      </c>
      <c r="AD22" s="12">
        <v>929</v>
      </c>
      <c r="AE22" s="12">
        <v>898</v>
      </c>
      <c r="AF22" s="12">
        <v>927</v>
      </c>
    </row>
    <row r="23" spans="1:32">
      <c r="A23" s="20"/>
      <c r="B23" s="13" t="s">
        <v>500</v>
      </c>
      <c r="C23" s="14">
        <v>0.84</v>
      </c>
      <c r="D23" s="14">
        <v>0.86</v>
      </c>
      <c r="E23" s="14">
        <v>0.87</v>
      </c>
      <c r="F23" s="14">
        <v>0.81</v>
      </c>
      <c r="G23" s="14">
        <v>0.84</v>
      </c>
      <c r="H23" s="14">
        <v>0.83000000000000007</v>
      </c>
      <c r="I23" s="14">
        <v>0.82000000000000006</v>
      </c>
      <c r="J23" s="14">
        <v>0.75</v>
      </c>
      <c r="K23" s="14">
        <v>0.87</v>
      </c>
      <c r="L23" s="14">
        <v>0.93</v>
      </c>
      <c r="M23" s="14">
        <v>0.86</v>
      </c>
      <c r="N23" s="14">
        <v>0.89</v>
      </c>
      <c r="O23" s="14">
        <v>0.86</v>
      </c>
      <c r="P23" s="14">
        <v>0.85</v>
      </c>
      <c r="Q23" s="14">
        <v>0.83000000000000007</v>
      </c>
      <c r="R23" s="14">
        <v>0.86</v>
      </c>
      <c r="S23" s="14">
        <v>0.9</v>
      </c>
      <c r="T23" s="14">
        <v>0.81</v>
      </c>
      <c r="U23" s="14">
        <v>0.87</v>
      </c>
      <c r="V23" s="14">
        <v>0.88</v>
      </c>
      <c r="W23" s="14">
        <v>0.81</v>
      </c>
      <c r="X23" s="14">
        <v>0.87</v>
      </c>
      <c r="Y23" s="14">
        <v>0.78</v>
      </c>
      <c r="Z23" s="14">
        <v>0.78</v>
      </c>
      <c r="AA23" s="14">
        <v>0.85</v>
      </c>
      <c r="AB23" s="14">
        <v>0.73</v>
      </c>
      <c r="AC23" s="14">
        <v>0.77</v>
      </c>
      <c r="AD23" s="14">
        <v>0.93</v>
      </c>
      <c r="AE23" s="14">
        <v>0.9</v>
      </c>
      <c r="AF23" s="14">
        <v>0.91</v>
      </c>
    </row>
    <row r="24" spans="1:32">
      <c r="A24" s="20"/>
      <c r="B24" s="11" t="s">
        <v>501</v>
      </c>
      <c r="C24" s="12">
        <v>3862</v>
      </c>
      <c r="D24" s="12">
        <v>138</v>
      </c>
      <c r="E24" s="12">
        <v>107</v>
      </c>
      <c r="F24" s="12">
        <v>176</v>
      </c>
      <c r="G24" s="12">
        <v>131</v>
      </c>
      <c r="H24" s="12">
        <v>172</v>
      </c>
      <c r="I24" s="12">
        <v>243</v>
      </c>
      <c r="J24" s="12">
        <v>71</v>
      </c>
      <c r="K24" s="12">
        <v>121</v>
      </c>
      <c r="L24" s="12">
        <v>57</v>
      </c>
      <c r="M24" s="12">
        <v>124</v>
      </c>
      <c r="N24" s="12">
        <v>96</v>
      </c>
      <c r="O24" s="12">
        <v>126</v>
      </c>
      <c r="P24" s="12">
        <v>147</v>
      </c>
      <c r="Q24" s="12">
        <v>166</v>
      </c>
      <c r="R24" s="12">
        <v>59</v>
      </c>
      <c r="S24" s="12">
        <v>78</v>
      </c>
      <c r="T24" s="12">
        <v>182</v>
      </c>
      <c r="U24" s="12">
        <v>60</v>
      </c>
      <c r="V24" s="12">
        <v>109</v>
      </c>
      <c r="W24" s="12">
        <v>89</v>
      </c>
      <c r="X24" s="12">
        <v>132</v>
      </c>
      <c r="Y24" s="12">
        <v>225</v>
      </c>
      <c r="Z24" s="12">
        <v>204</v>
      </c>
      <c r="AA24" s="12">
        <v>137</v>
      </c>
      <c r="AB24" s="12">
        <v>263</v>
      </c>
      <c r="AC24" s="12">
        <v>230</v>
      </c>
      <c r="AD24" s="12">
        <v>72</v>
      </c>
      <c r="AE24" s="12">
        <v>94</v>
      </c>
      <c r="AF24" s="12">
        <v>92</v>
      </c>
    </row>
    <row r="25" spans="1:32">
      <c r="A25" s="20"/>
      <c r="B25" s="13" t="s">
        <v>502</v>
      </c>
      <c r="C25" s="14">
        <v>0.15</v>
      </c>
      <c r="D25" s="14">
        <v>0.14000000000000001</v>
      </c>
      <c r="E25" s="14">
        <v>0.11</v>
      </c>
      <c r="F25" s="14">
        <v>0.17</v>
      </c>
      <c r="G25" s="14">
        <v>0.13</v>
      </c>
      <c r="H25" s="14">
        <v>0.14000000000000001</v>
      </c>
      <c r="I25" s="14">
        <v>0.16</v>
      </c>
      <c r="J25" s="14">
        <v>0.24</v>
      </c>
      <c r="K25" s="14">
        <v>0.12</v>
      </c>
      <c r="L25" s="14">
        <v>0.06</v>
      </c>
      <c r="M25" s="14">
        <v>0.12</v>
      </c>
      <c r="N25" s="14">
        <v>0.1</v>
      </c>
      <c r="O25" s="14">
        <v>0.12</v>
      </c>
      <c r="P25" s="14">
        <v>0.14000000000000001</v>
      </c>
      <c r="Q25" s="14">
        <v>0.16</v>
      </c>
      <c r="R25" s="14">
        <v>0.12</v>
      </c>
      <c r="S25" s="14">
        <v>7.0000000000000007E-2</v>
      </c>
      <c r="T25" s="14">
        <v>0.18</v>
      </c>
      <c r="U25" s="14">
        <v>0.12</v>
      </c>
      <c r="V25" s="14">
        <v>0.11</v>
      </c>
      <c r="W25" s="14">
        <v>0.18</v>
      </c>
      <c r="X25" s="14">
        <v>0.13</v>
      </c>
      <c r="Y25" s="14">
        <v>0.22</v>
      </c>
      <c r="Z25" s="14">
        <v>0.2</v>
      </c>
      <c r="AA25" s="14">
        <v>0.13</v>
      </c>
      <c r="AB25" s="14">
        <v>0.25</v>
      </c>
      <c r="AC25" s="14">
        <v>0.23</v>
      </c>
      <c r="AD25" s="14">
        <v>7.0000000000000007E-2</v>
      </c>
      <c r="AE25" s="14">
        <v>0.09</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1265</v>
      </c>
      <c r="C3" s="18"/>
      <c r="D3" s="18"/>
      <c r="E3" s="18"/>
      <c r="F3" s="18"/>
      <c r="H3" s="18" t="s">
        <v>1266</v>
      </c>
      <c r="I3" s="18"/>
      <c r="J3" s="18"/>
      <c r="K3" s="18"/>
      <c r="L3" s="18"/>
    </row>
    <row r="4" spans="1:32" ht="27" customHeight="1">
      <c r="B4" s="18" t="s">
        <v>1267</v>
      </c>
      <c r="C4" s="18"/>
      <c r="D4" s="18"/>
      <c r="E4" s="18"/>
      <c r="F4" s="18"/>
      <c r="H4" s="18" t="s">
        <v>1268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1228</v>
      </c>
      <c r="C12" s="12">
        <v>10777</v>
      </c>
      <c r="D12" s="12">
        <v>408</v>
      </c>
      <c r="E12" s="12">
        <v>514</v>
      </c>
      <c r="F12" s="12">
        <v>379</v>
      </c>
      <c r="G12" s="12">
        <v>727</v>
      </c>
      <c r="H12" s="12">
        <v>478</v>
      </c>
      <c r="I12" s="12">
        <v>606</v>
      </c>
      <c r="J12" s="12">
        <v>128</v>
      </c>
      <c r="K12" s="12">
        <v>504</v>
      </c>
      <c r="L12" s="12">
        <v>625</v>
      </c>
      <c r="M12" s="12">
        <v>516</v>
      </c>
      <c r="N12" s="12">
        <v>421</v>
      </c>
      <c r="O12" s="12">
        <v>446</v>
      </c>
      <c r="P12" s="12">
        <v>382</v>
      </c>
      <c r="Q12" s="12">
        <v>344</v>
      </c>
      <c r="R12" s="12">
        <v>276</v>
      </c>
      <c r="S12" s="12">
        <v>469</v>
      </c>
      <c r="T12" s="12">
        <v>466</v>
      </c>
      <c r="U12" s="12">
        <v>238</v>
      </c>
      <c r="V12" s="12">
        <v>405</v>
      </c>
      <c r="W12" s="12">
        <v>317</v>
      </c>
      <c r="X12" s="12">
        <v>621</v>
      </c>
      <c r="Y12" s="12">
        <v>360</v>
      </c>
      <c r="Z12" s="12">
        <v>260</v>
      </c>
      <c r="AA12" s="12">
        <v>350</v>
      </c>
      <c r="AB12" s="12">
        <v>218</v>
      </c>
      <c r="AC12" s="12">
        <v>469</v>
      </c>
      <c r="AD12" s="12">
        <v>440</v>
      </c>
      <c r="AE12" s="12">
        <v>605</v>
      </c>
      <c r="AF12" s="12">
        <v>730</v>
      </c>
    </row>
    <row r="13" spans="1:32">
      <c r="A13" s="20"/>
      <c r="B13" s="13" t="s">
        <v>493</v>
      </c>
      <c r="C13" s="14">
        <v>0.41</v>
      </c>
      <c r="D13" s="14">
        <v>0.41</v>
      </c>
      <c r="E13" s="14">
        <v>0.5</v>
      </c>
      <c r="F13" s="14">
        <v>0.38</v>
      </c>
      <c r="G13" s="14">
        <v>0.72</v>
      </c>
      <c r="H13" s="14">
        <v>0.39</v>
      </c>
      <c r="I13" s="14">
        <v>0.4</v>
      </c>
      <c r="J13" s="14">
        <v>0.44</v>
      </c>
      <c r="K13" s="14">
        <v>0.5</v>
      </c>
      <c r="L13" s="14">
        <v>0.62</v>
      </c>
      <c r="M13" s="14">
        <v>0.52</v>
      </c>
      <c r="N13" s="14">
        <v>0.42</v>
      </c>
      <c r="O13" s="14">
        <v>0.44</v>
      </c>
      <c r="P13" s="14">
        <v>0.37</v>
      </c>
      <c r="Q13" s="14">
        <v>0.34</v>
      </c>
      <c r="R13" s="14">
        <v>0.55000000000000004</v>
      </c>
      <c r="S13" s="14">
        <v>0.46</v>
      </c>
      <c r="T13" s="14">
        <v>0.46</v>
      </c>
      <c r="U13" s="14">
        <v>0.47</v>
      </c>
      <c r="V13" s="14">
        <v>0.4</v>
      </c>
      <c r="W13" s="14">
        <v>0.63</v>
      </c>
      <c r="X13" s="14">
        <v>0.61</v>
      </c>
      <c r="Y13" s="14">
        <v>0.36</v>
      </c>
      <c r="Z13" s="14">
        <v>0.26</v>
      </c>
      <c r="AA13" s="14">
        <v>0.33</v>
      </c>
      <c r="AB13" s="14">
        <v>0.21</v>
      </c>
      <c r="AC13" s="14">
        <v>0.46</v>
      </c>
      <c r="AD13" s="14">
        <v>0.44</v>
      </c>
      <c r="AE13" s="14">
        <v>0.6</v>
      </c>
      <c r="AF13" s="14">
        <v>0.72</v>
      </c>
    </row>
    <row r="14" spans="1:32">
      <c r="A14" s="20"/>
      <c r="B14" s="11" t="s">
        <v>1229</v>
      </c>
      <c r="C14" s="12">
        <v>11240</v>
      </c>
      <c r="D14" s="12">
        <v>440</v>
      </c>
      <c r="E14" s="12">
        <v>312</v>
      </c>
      <c r="F14" s="12">
        <v>419</v>
      </c>
      <c r="G14" s="12">
        <v>201</v>
      </c>
      <c r="H14" s="12">
        <v>523</v>
      </c>
      <c r="I14" s="12">
        <v>649</v>
      </c>
      <c r="J14" s="12">
        <v>126</v>
      </c>
      <c r="K14" s="12">
        <v>377</v>
      </c>
      <c r="L14" s="12">
        <v>304</v>
      </c>
      <c r="M14" s="12">
        <v>364</v>
      </c>
      <c r="N14" s="12">
        <v>420</v>
      </c>
      <c r="O14" s="12">
        <v>410</v>
      </c>
      <c r="P14" s="12">
        <v>476</v>
      </c>
      <c r="Q14" s="12">
        <v>518</v>
      </c>
      <c r="R14" s="12">
        <v>153</v>
      </c>
      <c r="S14" s="12">
        <v>365</v>
      </c>
      <c r="T14" s="12">
        <v>357</v>
      </c>
      <c r="U14" s="12">
        <v>190</v>
      </c>
      <c r="V14" s="12">
        <v>486</v>
      </c>
      <c r="W14" s="12">
        <v>110</v>
      </c>
      <c r="X14" s="12">
        <v>338</v>
      </c>
      <c r="Y14" s="12">
        <v>420</v>
      </c>
      <c r="Z14" s="12">
        <v>529</v>
      </c>
      <c r="AA14" s="12">
        <v>490</v>
      </c>
      <c r="AB14" s="12">
        <v>478</v>
      </c>
      <c r="AC14" s="12">
        <v>362</v>
      </c>
      <c r="AD14" s="12">
        <v>448</v>
      </c>
      <c r="AE14" s="12">
        <v>292</v>
      </c>
      <c r="AF14" s="12">
        <v>230</v>
      </c>
    </row>
    <row r="15" spans="1:32">
      <c r="A15" s="20"/>
      <c r="B15" s="13" t="s">
        <v>495</v>
      </c>
      <c r="C15" s="14">
        <v>0.43</v>
      </c>
      <c r="D15" s="14">
        <v>0.44</v>
      </c>
      <c r="E15" s="14">
        <v>0.31</v>
      </c>
      <c r="F15" s="14">
        <v>0.41</v>
      </c>
      <c r="G15" s="14">
        <v>0.2</v>
      </c>
      <c r="H15" s="14">
        <v>0.43</v>
      </c>
      <c r="I15" s="14">
        <v>0.43</v>
      </c>
      <c r="J15" s="14">
        <v>0.43</v>
      </c>
      <c r="K15" s="14">
        <v>0.37</v>
      </c>
      <c r="L15" s="14">
        <v>0.3</v>
      </c>
      <c r="M15" s="14">
        <v>0.36</v>
      </c>
      <c r="N15" s="14">
        <v>0.42</v>
      </c>
      <c r="O15" s="14">
        <v>0.41</v>
      </c>
      <c r="P15" s="14">
        <v>0.47</v>
      </c>
      <c r="Q15" s="14">
        <v>0.51</v>
      </c>
      <c r="R15" s="14">
        <v>0.31</v>
      </c>
      <c r="S15" s="14">
        <v>0.36</v>
      </c>
      <c r="T15" s="14">
        <v>0.35</v>
      </c>
      <c r="U15" s="14">
        <v>0.37</v>
      </c>
      <c r="V15" s="14">
        <v>0.48</v>
      </c>
      <c r="W15" s="14">
        <v>0.22</v>
      </c>
      <c r="X15" s="14">
        <v>0.33</v>
      </c>
      <c r="Y15" s="14">
        <v>0.42</v>
      </c>
      <c r="Z15" s="14">
        <v>0.52</v>
      </c>
      <c r="AA15" s="14">
        <v>0.47</v>
      </c>
      <c r="AB15" s="14">
        <v>0.46</v>
      </c>
      <c r="AC15" s="14">
        <v>0.36</v>
      </c>
      <c r="AD15" s="14">
        <v>0.45</v>
      </c>
      <c r="AE15" s="14">
        <v>0.28999999999999998</v>
      </c>
      <c r="AF15" s="14">
        <v>0.23</v>
      </c>
    </row>
    <row r="16" spans="1:32">
      <c r="A16" s="20"/>
      <c r="B16" s="11" t="s">
        <v>1230</v>
      </c>
      <c r="C16" s="12">
        <v>2462</v>
      </c>
      <c r="D16" s="12">
        <v>109</v>
      </c>
      <c r="E16" s="12">
        <v>83</v>
      </c>
      <c r="F16" s="12">
        <v>130</v>
      </c>
      <c r="G16" s="12">
        <v>23</v>
      </c>
      <c r="H16" s="12">
        <v>128</v>
      </c>
      <c r="I16" s="12">
        <v>149</v>
      </c>
      <c r="J16" s="12">
        <v>21</v>
      </c>
      <c r="K16" s="12">
        <v>60</v>
      </c>
      <c r="L16" s="12">
        <v>37</v>
      </c>
      <c r="M16" s="12">
        <v>49</v>
      </c>
      <c r="N16" s="12">
        <v>81</v>
      </c>
      <c r="O16" s="12">
        <v>77</v>
      </c>
      <c r="P16" s="12">
        <v>112</v>
      </c>
      <c r="Q16" s="12">
        <v>112</v>
      </c>
      <c r="R16" s="12">
        <v>39</v>
      </c>
      <c r="S16" s="12">
        <v>88</v>
      </c>
      <c r="T16" s="12">
        <v>82</v>
      </c>
      <c r="U16" s="12">
        <v>44</v>
      </c>
      <c r="V16" s="12">
        <v>84</v>
      </c>
      <c r="W16" s="12">
        <v>36</v>
      </c>
      <c r="X16" s="12">
        <v>48</v>
      </c>
      <c r="Y16" s="12">
        <v>115</v>
      </c>
      <c r="Z16" s="12">
        <v>120</v>
      </c>
      <c r="AA16" s="12">
        <v>79</v>
      </c>
      <c r="AB16" s="12">
        <v>205</v>
      </c>
      <c r="AC16" s="12">
        <v>86</v>
      </c>
      <c r="AD16" s="12">
        <v>71</v>
      </c>
      <c r="AE16" s="12">
        <v>57</v>
      </c>
      <c r="AF16" s="12">
        <v>40</v>
      </c>
    </row>
    <row r="17" spans="1:32">
      <c r="A17" s="20"/>
      <c r="B17" s="13" t="s">
        <v>497</v>
      </c>
      <c r="C17" s="14">
        <v>0.09</v>
      </c>
      <c r="D17" s="14">
        <v>0.11</v>
      </c>
      <c r="E17" s="14">
        <v>0.08</v>
      </c>
      <c r="F17" s="14">
        <v>0.13</v>
      </c>
      <c r="G17" s="14">
        <v>0.02</v>
      </c>
      <c r="H17" s="14">
        <v>0.11</v>
      </c>
      <c r="I17" s="14">
        <v>0.1</v>
      </c>
      <c r="J17" s="14">
        <v>7.0000000000000007E-2</v>
      </c>
      <c r="K17" s="14">
        <v>0.06</v>
      </c>
      <c r="L17" s="14">
        <v>0.04</v>
      </c>
      <c r="M17" s="14">
        <v>0.05</v>
      </c>
      <c r="N17" s="14">
        <v>0.08</v>
      </c>
      <c r="O17" s="14">
        <v>0.08</v>
      </c>
      <c r="P17" s="14">
        <v>0.11</v>
      </c>
      <c r="Q17" s="14">
        <v>0.11</v>
      </c>
      <c r="R17" s="14">
        <v>0.08</v>
      </c>
      <c r="S17" s="14">
        <v>0.09</v>
      </c>
      <c r="T17" s="14">
        <v>0.08</v>
      </c>
      <c r="U17" s="14">
        <v>0.09</v>
      </c>
      <c r="V17" s="14">
        <v>0.08</v>
      </c>
      <c r="W17" s="14">
        <v>7.0000000000000007E-2</v>
      </c>
      <c r="X17" s="14">
        <v>0.05</v>
      </c>
      <c r="Y17" s="14">
        <v>0.11</v>
      </c>
      <c r="Z17" s="14">
        <v>0.12</v>
      </c>
      <c r="AA17" s="14">
        <v>7.0000000000000007E-2</v>
      </c>
      <c r="AB17" s="14">
        <v>0.2</v>
      </c>
      <c r="AC17" s="14">
        <v>0.08</v>
      </c>
      <c r="AD17" s="14">
        <v>7.0000000000000007E-2</v>
      </c>
      <c r="AE17" s="14">
        <v>0.06</v>
      </c>
      <c r="AF17" s="14">
        <v>0.04</v>
      </c>
    </row>
    <row r="18" spans="1:32">
      <c r="A18" s="20"/>
      <c r="B18" s="11" t="s">
        <v>1231</v>
      </c>
      <c r="C18" s="12">
        <v>1342</v>
      </c>
      <c r="D18" s="12">
        <v>37</v>
      </c>
      <c r="E18" s="12">
        <v>77</v>
      </c>
      <c r="F18" s="12">
        <v>58</v>
      </c>
      <c r="G18" s="12">
        <v>17</v>
      </c>
      <c r="H18" s="12">
        <v>57</v>
      </c>
      <c r="I18" s="12">
        <v>72</v>
      </c>
      <c r="J18" s="12">
        <v>15</v>
      </c>
      <c r="K18" s="12">
        <v>47</v>
      </c>
      <c r="L18" s="12">
        <v>25</v>
      </c>
      <c r="M18" s="12">
        <v>61</v>
      </c>
      <c r="N18" s="12">
        <v>52</v>
      </c>
      <c r="O18" s="12">
        <v>51</v>
      </c>
      <c r="P18" s="12">
        <v>45</v>
      </c>
      <c r="Q18" s="12">
        <v>34</v>
      </c>
      <c r="R18" s="12">
        <v>21</v>
      </c>
      <c r="S18" s="12">
        <v>48</v>
      </c>
      <c r="T18" s="12">
        <v>89</v>
      </c>
      <c r="U18" s="12">
        <v>30</v>
      </c>
      <c r="V18" s="12">
        <v>30</v>
      </c>
      <c r="W18" s="12">
        <v>37</v>
      </c>
      <c r="X18" s="12">
        <v>12</v>
      </c>
      <c r="Y18" s="12">
        <v>107</v>
      </c>
      <c r="Z18" s="12">
        <v>70</v>
      </c>
      <c r="AA18" s="12">
        <v>107</v>
      </c>
      <c r="AB18" s="12">
        <v>112</v>
      </c>
      <c r="AC18" s="12">
        <v>87</v>
      </c>
      <c r="AD18" s="12">
        <v>33</v>
      </c>
      <c r="AE18" s="12">
        <v>37</v>
      </c>
      <c r="AF18" s="12">
        <v>15</v>
      </c>
    </row>
    <row r="19" spans="1:32">
      <c r="A19" s="20"/>
      <c r="B19" s="13" t="s">
        <v>1232</v>
      </c>
      <c r="C19" s="14">
        <v>0.05</v>
      </c>
      <c r="D19" s="14">
        <v>0.03</v>
      </c>
      <c r="E19" s="14">
        <v>0.08</v>
      </c>
      <c r="F19" s="14">
        <v>0.06</v>
      </c>
      <c r="G19" s="14">
        <v>0.02</v>
      </c>
      <c r="H19" s="14">
        <v>0.05</v>
      </c>
      <c r="I19" s="14">
        <v>0.05</v>
      </c>
      <c r="J19" s="14">
        <v>0.05</v>
      </c>
      <c r="K19" s="14">
        <v>0.05</v>
      </c>
      <c r="L19" s="14">
        <v>0.03</v>
      </c>
      <c r="M19" s="14">
        <v>0.06</v>
      </c>
      <c r="N19" s="14">
        <v>0.05</v>
      </c>
      <c r="O19" s="14">
        <v>0.05</v>
      </c>
      <c r="P19" s="14">
        <v>0.04</v>
      </c>
      <c r="Q19" s="14">
        <v>0.03</v>
      </c>
      <c r="R19" s="14">
        <v>0.04</v>
      </c>
      <c r="S19" s="14">
        <v>0.05</v>
      </c>
      <c r="T19" s="14">
        <v>0.09</v>
      </c>
      <c r="U19" s="14">
        <v>0.06</v>
      </c>
      <c r="V19" s="14">
        <v>0.03</v>
      </c>
      <c r="W19" s="14">
        <v>7.0000000000000007E-2</v>
      </c>
      <c r="X19" s="14">
        <v>0.01</v>
      </c>
      <c r="Y19" s="14">
        <v>0.1</v>
      </c>
      <c r="Z19" s="14">
        <v>7.0000000000000007E-2</v>
      </c>
      <c r="AA19" s="14">
        <v>0.1</v>
      </c>
      <c r="AB19" s="14">
        <v>0.11</v>
      </c>
      <c r="AC19" s="14">
        <v>0.09</v>
      </c>
      <c r="AD19" s="14">
        <v>0.03</v>
      </c>
      <c r="AE19" s="14">
        <v>0.04</v>
      </c>
      <c r="AF19" s="14">
        <v>0.01</v>
      </c>
    </row>
    <row r="20" spans="1:32">
      <c r="A20" s="20"/>
      <c r="B20" s="11" t="s">
        <v>468</v>
      </c>
      <c r="C20" s="12">
        <v>499</v>
      </c>
      <c r="D20" s="12">
        <v>9</v>
      </c>
      <c r="E20" s="12">
        <v>32</v>
      </c>
      <c r="F20" s="12">
        <v>19</v>
      </c>
      <c r="G20" s="12">
        <v>35</v>
      </c>
      <c r="H20" s="12">
        <v>30</v>
      </c>
      <c r="I20" s="12">
        <v>34</v>
      </c>
      <c r="J20" s="12">
        <v>4</v>
      </c>
      <c r="K20" s="12">
        <v>18</v>
      </c>
      <c r="L20" s="12">
        <v>15</v>
      </c>
      <c r="M20" s="12">
        <v>14</v>
      </c>
      <c r="N20" s="12">
        <v>29</v>
      </c>
      <c r="O20" s="12">
        <v>18</v>
      </c>
      <c r="P20" s="12">
        <v>7</v>
      </c>
      <c r="Q20" s="12">
        <v>11</v>
      </c>
      <c r="R20" s="12">
        <v>11</v>
      </c>
      <c r="S20" s="12">
        <v>38</v>
      </c>
      <c r="T20" s="12">
        <v>19</v>
      </c>
      <c r="U20" s="12">
        <v>4</v>
      </c>
      <c r="V20" s="12">
        <v>12</v>
      </c>
      <c r="W20" s="12">
        <v>3</v>
      </c>
      <c r="X20" s="12">
        <v>2</v>
      </c>
      <c r="Y20" s="12">
        <v>6</v>
      </c>
      <c r="Z20" s="12">
        <v>28</v>
      </c>
      <c r="AA20" s="12">
        <v>28</v>
      </c>
      <c r="AB20" s="12">
        <v>25</v>
      </c>
      <c r="AC20" s="12">
        <v>6</v>
      </c>
      <c r="AD20" s="12">
        <v>14</v>
      </c>
      <c r="AE20" s="12">
        <v>10</v>
      </c>
      <c r="AF20" s="12">
        <v>5</v>
      </c>
    </row>
    <row r="21" spans="1:32">
      <c r="A21" s="20"/>
      <c r="B21" s="13" t="s">
        <v>469</v>
      </c>
      <c r="C21" s="14">
        <v>0.02</v>
      </c>
      <c r="D21" s="14">
        <v>0.01</v>
      </c>
      <c r="E21" s="14">
        <v>0.03</v>
      </c>
      <c r="F21" s="14">
        <v>0.02</v>
      </c>
      <c r="G21" s="14">
        <v>0.04</v>
      </c>
      <c r="H21" s="14">
        <v>0.02</v>
      </c>
      <c r="I21" s="14">
        <v>0.02</v>
      </c>
      <c r="J21" s="14">
        <v>0.01</v>
      </c>
      <c r="K21" s="14">
        <v>0.02</v>
      </c>
      <c r="L21" s="14">
        <v>0.01</v>
      </c>
      <c r="M21" s="14">
        <v>0.01</v>
      </c>
      <c r="N21" s="14">
        <v>0.03</v>
      </c>
      <c r="O21" s="14">
        <v>0.02</v>
      </c>
      <c r="P21" s="14">
        <v>0.01</v>
      </c>
      <c r="Q21" s="14">
        <v>0.01</v>
      </c>
      <c r="R21" s="14">
        <v>0.02</v>
      </c>
      <c r="S21" s="14">
        <v>0.04</v>
      </c>
      <c r="T21" s="14">
        <v>0.02</v>
      </c>
      <c r="U21" s="14">
        <v>0.01</v>
      </c>
      <c r="V21" s="14">
        <v>0.01</v>
      </c>
      <c r="W21" s="14">
        <v>0.01</v>
      </c>
      <c r="X21" s="15" t="s">
        <v>459</v>
      </c>
      <c r="Y21" s="14">
        <v>0.01</v>
      </c>
      <c r="Z21" s="14">
        <v>0.03</v>
      </c>
      <c r="AA21" s="14">
        <v>0.03</v>
      </c>
      <c r="AB21" s="14">
        <v>0.02</v>
      </c>
      <c r="AC21" s="14">
        <v>0.01</v>
      </c>
      <c r="AD21" s="14">
        <v>0.01</v>
      </c>
      <c r="AE21" s="14">
        <v>0.01</v>
      </c>
      <c r="AF21" s="15" t="s">
        <v>459</v>
      </c>
    </row>
    <row r="22" spans="1:32">
      <c r="A22" s="20"/>
      <c r="B22" s="11" t="s">
        <v>500</v>
      </c>
      <c r="C22" s="12">
        <v>22017</v>
      </c>
      <c r="D22" s="12">
        <v>848</v>
      </c>
      <c r="E22" s="12">
        <v>826</v>
      </c>
      <c r="F22" s="12">
        <v>798</v>
      </c>
      <c r="G22" s="12">
        <v>928</v>
      </c>
      <c r="H22" s="12">
        <v>1001</v>
      </c>
      <c r="I22" s="12">
        <v>1255</v>
      </c>
      <c r="J22" s="12">
        <v>254</v>
      </c>
      <c r="K22" s="12">
        <v>881</v>
      </c>
      <c r="L22" s="12">
        <v>929</v>
      </c>
      <c r="M22" s="12">
        <v>880</v>
      </c>
      <c r="N22" s="12">
        <v>841</v>
      </c>
      <c r="O22" s="12">
        <v>856</v>
      </c>
      <c r="P22" s="12">
        <v>858</v>
      </c>
      <c r="Q22" s="12">
        <v>862</v>
      </c>
      <c r="R22" s="12">
        <v>429</v>
      </c>
      <c r="S22" s="12">
        <v>834</v>
      </c>
      <c r="T22" s="12">
        <v>823</v>
      </c>
      <c r="U22" s="12">
        <v>428</v>
      </c>
      <c r="V22" s="12">
        <v>891</v>
      </c>
      <c r="W22" s="12">
        <v>427</v>
      </c>
      <c r="X22" s="12">
        <v>959</v>
      </c>
      <c r="Y22" s="12">
        <v>780</v>
      </c>
      <c r="Z22" s="12">
        <v>789</v>
      </c>
      <c r="AA22" s="12">
        <v>840</v>
      </c>
      <c r="AB22" s="12">
        <v>696</v>
      </c>
      <c r="AC22" s="12">
        <v>831</v>
      </c>
      <c r="AD22" s="12">
        <v>888</v>
      </c>
      <c r="AE22" s="12">
        <v>897</v>
      </c>
      <c r="AF22" s="12">
        <v>960</v>
      </c>
    </row>
    <row r="23" spans="1:32">
      <c r="A23" s="20"/>
      <c r="B23" s="13" t="s">
        <v>500</v>
      </c>
      <c r="C23" s="14">
        <v>0.84</v>
      </c>
      <c r="D23" s="14">
        <v>0.85</v>
      </c>
      <c r="E23" s="14">
        <v>0.81</v>
      </c>
      <c r="F23" s="14">
        <v>0.79</v>
      </c>
      <c r="G23" s="14">
        <v>0.92</v>
      </c>
      <c r="H23" s="14">
        <v>0.82000000000000006</v>
      </c>
      <c r="I23" s="14">
        <v>0.83000000000000007</v>
      </c>
      <c r="J23" s="14">
        <v>0.87</v>
      </c>
      <c r="K23" s="14">
        <v>0.87</v>
      </c>
      <c r="L23" s="14">
        <v>0.92</v>
      </c>
      <c r="M23" s="14">
        <v>0.88</v>
      </c>
      <c r="N23" s="14">
        <v>0.84</v>
      </c>
      <c r="O23" s="14">
        <v>0.85</v>
      </c>
      <c r="P23" s="14">
        <v>0.84</v>
      </c>
      <c r="Q23" s="14">
        <v>0.85</v>
      </c>
      <c r="R23" s="14">
        <v>0.86</v>
      </c>
      <c r="S23" s="14">
        <v>0.82000000000000006</v>
      </c>
      <c r="T23" s="14">
        <v>0.81</v>
      </c>
      <c r="U23" s="14">
        <v>0.84</v>
      </c>
      <c r="V23" s="14">
        <v>0.88</v>
      </c>
      <c r="W23" s="14">
        <v>0.85</v>
      </c>
      <c r="X23" s="14">
        <v>0.94000000000000006</v>
      </c>
      <c r="Y23" s="14">
        <v>0.78</v>
      </c>
      <c r="Z23" s="14">
        <v>0.78</v>
      </c>
      <c r="AA23" s="14">
        <v>0.8</v>
      </c>
      <c r="AB23" s="14">
        <v>0.67</v>
      </c>
      <c r="AC23" s="14">
        <v>0.82000000000000006</v>
      </c>
      <c r="AD23" s="14">
        <v>0.89</v>
      </c>
      <c r="AE23" s="14">
        <v>0.89</v>
      </c>
      <c r="AF23" s="14">
        <v>0.95000000000000007</v>
      </c>
    </row>
    <row r="24" spans="1:32">
      <c r="A24" s="20"/>
      <c r="B24" s="11" t="s">
        <v>501</v>
      </c>
      <c r="C24" s="12">
        <v>3804</v>
      </c>
      <c r="D24" s="12">
        <v>146</v>
      </c>
      <c r="E24" s="12">
        <v>160</v>
      </c>
      <c r="F24" s="12">
        <v>188</v>
      </c>
      <c r="G24" s="12">
        <v>40</v>
      </c>
      <c r="H24" s="12">
        <v>185</v>
      </c>
      <c r="I24" s="12">
        <v>221</v>
      </c>
      <c r="J24" s="12">
        <v>36</v>
      </c>
      <c r="K24" s="12">
        <v>107</v>
      </c>
      <c r="L24" s="12">
        <v>62</v>
      </c>
      <c r="M24" s="12">
        <v>110</v>
      </c>
      <c r="N24" s="12">
        <v>133</v>
      </c>
      <c r="O24" s="12">
        <v>128</v>
      </c>
      <c r="P24" s="12">
        <v>157</v>
      </c>
      <c r="Q24" s="12">
        <v>146</v>
      </c>
      <c r="R24" s="12">
        <v>60</v>
      </c>
      <c r="S24" s="12">
        <v>136</v>
      </c>
      <c r="T24" s="12">
        <v>171</v>
      </c>
      <c r="U24" s="12">
        <v>74</v>
      </c>
      <c r="V24" s="12">
        <v>114</v>
      </c>
      <c r="W24" s="12">
        <v>73</v>
      </c>
      <c r="X24" s="12">
        <v>60</v>
      </c>
      <c r="Y24" s="12">
        <v>222</v>
      </c>
      <c r="Z24" s="12">
        <v>190</v>
      </c>
      <c r="AA24" s="12">
        <v>186</v>
      </c>
      <c r="AB24" s="12">
        <v>317</v>
      </c>
      <c r="AC24" s="12">
        <v>173</v>
      </c>
      <c r="AD24" s="12">
        <v>104</v>
      </c>
      <c r="AE24" s="12">
        <v>94</v>
      </c>
      <c r="AF24" s="12">
        <v>55</v>
      </c>
    </row>
    <row r="25" spans="1:32">
      <c r="A25" s="20"/>
      <c r="B25" s="13" t="s">
        <v>502</v>
      </c>
      <c r="C25" s="14">
        <v>0.14000000000000001</v>
      </c>
      <c r="D25" s="14">
        <v>0.14000000000000001</v>
      </c>
      <c r="E25" s="14">
        <v>0.16</v>
      </c>
      <c r="F25" s="14">
        <v>0.19</v>
      </c>
      <c r="G25" s="14">
        <v>0.04</v>
      </c>
      <c r="H25" s="14">
        <v>0.16</v>
      </c>
      <c r="I25" s="14">
        <v>0.15</v>
      </c>
      <c r="J25" s="14">
        <v>0.12</v>
      </c>
      <c r="K25" s="14">
        <v>0.11</v>
      </c>
      <c r="L25" s="14">
        <v>7.0000000000000007E-2</v>
      </c>
      <c r="M25" s="14">
        <v>0.11</v>
      </c>
      <c r="N25" s="14">
        <v>0.13</v>
      </c>
      <c r="O25" s="14">
        <v>0.13</v>
      </c>
      <c r="P25" s="14">
        <v>0.15</v>
      </c>
      <c r="Q25" s="14">
        <v>0.14000000000000001</v>
      </c>
      <c r="R25" s="14">
        <v>0.12</v>
      </c>
      <c r="S25" s="14">
        <v>0.14000000000000001</v>
      </c>
      <c r="T25" s="14">
        <v>0.17</v>
      </c>
      <c r="U25" s="14">
        <v>0.15</v>
      </c>
      <c r="V25" s="14">
        <v>0.11</v>
      </c>
      <c r="W25" s="14">
        <v>0.14000000000000001</v>
      </c>
      <c r="X25" s="14">
        <v>0.06</v>
      </c>
      <c r="Y25" s="14">
        <v>0.21</v>
      </c>
      <c r="Z25" s="14">
        <v>0.19</v>
      </c>
      <c r="AA25" s="14">
        <v>0.17</v>
      </c>
      <c r="AB25" s="14">
        <v>0.31</v>
      </c>
      <c r="AC25" s="14">
        <v>0.17</v>
      </c>
      <c r="AD25" s="14">
        <v>0.1</v>
      </c>
      <c r="AE25" s="14">
        <v>0.1</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263</v>
      </c>
      <c r="C3" s="18"/>
      <c r="D3" s="18"/>
      <c r="E3" s="18"/>
      <c r="F3" s="18"/>
      <c r="H3" s="18" t="s">
        <v>264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1269</v>
      </c>
      <c r="C12" s="12">
        <v>4565</v>
      </c>
      <c r="D12" s="12">
        <v>188</v>
      </c>
      <c r="E12" s="12">
        <v>253</v>
      </c>
      <c r="F12" s="12">
        <v>188</v>
      </c>
      <c r="G12" s="12">
        <v>369</v>
      </c>
      <c r="H12" s="12">
        <v>204</v>
      </c>
      <c r="I12" s="12">
        <v>253</v>
      </c>
      <c r="J12" s="12">
        <v>50</v>
      </c>
      <c r="K12" s="12">
        <v>310</v>
      </c>
      <c r="L12" s="12">
        <v>253</v>
      </c>
      <c r="M12" s="12">
        <v>293</v>
      </c>
      <c r="N12" s="12">
        <v>184</v>
      </c>
      <c r="O12" s="12">
        <v>115</v>
      </c>
      <c r="P12" s="12">
        <v>294</v>
      </c>
      <c r="Q12" s="12">
        <v>135</v>
      </c>
      <c r="R12" s="12">
        <v>155</v>
      </c>
      <c r="S12" s="12">
        <v>208</v>
      </c>
      <c r="T12" s="12">
        <v>262</v>
      </c>
      <c r="U12" s="12">
        <v>146</v>
      </c>
      <c r="V12" s="12">
        <v>139</v>
      </c>
      <c r="W12" s="12">
        <v>236</v>
      </c>
      <c r="X12" s="12">
        <v>269</v>
      </c>
      <c r="Y12" s="12">
        <v>199</v>
      </c>
      <c r="Z12" s="12">
        <v>144</v>
      </c>
      <c r="AA12" s="12">
        <v>94</v>
      </c>
      <c r="AB12" s="12">
        <v>138</v>
      </c>
      <c r="AC12" s="12">
        <v>250</v>
      </c>
      <c r="AD12" s="12">
        <v>203</v>
      </c>
      <c r="AE12" s="12">
        <v>324</v>
      </c>
      <c r="AF12" s="12">
        <v>348</v>
      </c>
    </row>
    <row r="13" spans="1:32">
      <c r="A13" s="20"/>
      <c r="B13" s="13" t="s">
        <v>1270</v>
      </c>
      <c r="C13" s="14">
        <v>0.17</v>
      </c>
      <c r="D13" s="14">
        <v>0.19</v>
      </c>
      <c r="E13" s="14">
        <v>0.25</v>
      </c>
      <c r="F13" s="14">
        <v>0.19</v>
      </c>
      <c r="G13" s="14">
        <v>0.37</v>
      </c>
      <c r="H13" s="14">
        <v>0.17</v>
      </c>
      <c r="I13" s="14">
        <v>0.17</v>
      </c>
      <c r="J13" s="14">
        <v>0.17</v>
      </c>
      <c r="K13" s="14">
        <v>0.31</v>
      </c>
      <c r="L13" s="14">
        <v>0.25</v>
      </c>
      <c r="M13" s="14">
        <v>0.28999999999999998</v>
      </c>
      <c r="N13" s="14">
        <v>0.18</v>
      </c>
      <c r="O13" s="14">
        <v>0.12</v>
      </c>
      <c r="P13" s="14">
        <v>0.28999999999999998</v>
      </c>
      <c r="Q13" s="14">
        <v>0.13</v>
      </c>
      <c r="R13" s="14">
        <v>0.31</v>
      </c>
      <c r="S13" s="14">
        <v>0.21</v>
      </c>
      <c r="T13" s="14">
        <v>0.26</v>
      </c>
      <c r="U13" s="14">
        <v>0.28999999999999998</v>
      </c>
      <c r="V13" s="14">
        <v>0.14000000000000001</v>
      </c>
      <c r="W13" s="14">
        <v>0.47</v>
      </c>
      <c r="X13" s="14">
        <v>0.26</v>
      </c>
      <c r="Y13" s="14">
        <v>0.2</v>
      </c>
      <c r="Z13" s="14">
        <v>0.14000000000000001</v>
      </c>
      <c r="AA13" s="14">
        <v>0.09</v>
      </c>
      <c r="AB13" s="14">
        <v>0.13</v>
      </c>
      <c r="AC13" s="14">
        <v>0.25</v>
      </c>
      <c r="AD13" s="14">
        <v>0.2</v>
      </c>
      <c r="AE13" s="14">
        <v>0.32</v>
      </c>
      <c r="AF13" s="14">
        <v>0.34</v>
      </c>
    </row>
    <row r="14" spans="1:32">
      <c r="A14" s="20"/>
      <c r="B14" s="11" t="s">
        <v>1271</v>
      </c>
      <c r="C14" s="12">
        <v>14712</v>
      </c>
      <c r="D14" s="12">
        <v>533</v>
      </c>
      <c r="E14" s="12">
        <v>519</v>
      </c>
      <c r="F14" s="12">
        <v>544</v>
      </c>
      <c r="G14" s="12">
        <v>448</v>
      </c>
      <c r="H14" s="12">
        <v>724</v>
      </c>
      <c r="I14" s="12">
        <v>867</v>
      </c>
      <c r="J14" s="12">
        <v>142</v>
      </c>
      <c r="K14" s="12">
        <v>486</v>
      </c>
      <c r="L14" s="12">
        <v>525</v>
      </c>
      <c r="M14" s="12">
        <v>488</v>
      </c>
      <c r="N14" s="12">
        <v>537</v>
      </c>
      <c r="O14" s="12">
        <v>534</v>
      </c>
      <c r="P14" s="12">
        <v>532</v>
      </c>
      <c r="Q14" s="12">
        <v>614</v>
      </c>
      <c r="R14" s="12">
        <v>250</v>
      </c>
      <c r="S14" s="12">
        <v>546</v>
      </c>
      <c r="T14" s="12">
        <v>520</v>
      </c>
      <c r="U14" s="12">
        <v>256</v>
      </c>
      <c r="V14" s="12">
        <v>685</v>
      </c>
      <c r="W14" s="12">
        <v>167</v>
      </c>
      <c r="X14" s="12">
        <v>587</v>
      </c>
      <c r="Y14" s="12">
        <v>478</v>
      </c>
      <c r="Z14" s="12">
        <v>647</v>
      </c>
      <c r="AA14" s="12">
        <v>649</v>
      </c>
      <c r="AB14" s="12">
        <v>511</v>
      </c>
      <c r="AC14" s="12">
        <v>532</v>
      </c>
      <c r="AD14" s="12">
        <v>623</v>
      </c>
      <c r="AE14" s="12">
        <v>450</v>
      </c>
      <c r="AF14" s="12">
        <v>524</v>
      </c>
    </row>
    <row r="15" spans="1:32">
      <c r="A15" s="20"/>
      <c r="B15" s="13" t="s">
        <v>1272</v>
      </c>
      <c r="C15" s="14">
        <v>0.56000000000000005</v>
      </c>
      <c r="D15" s="14">
        <v>0.53</v>
      </c>
      <c r="E15" s="14">
        <v>0.51</v>
      </c>
      <c r="F15" s="14">
        <v>0.54</v>
      </c>
      <c r="G15" s="14">
        <v>0.44</v>
      </c>
      <c r="H15" s="14">
        <v>0.6</v>
      </c>
      <c r="I15" s="14">
        <v>0.57000000000000006</v>
      </c>
      <c r="J15" s="14">
        <v>0.48</v>
      </c>
      <c r="K15" s="14">
        <v>0.48</v>
      </c>
      <c r="L15" s="14">
        <v>0.52</v>
      </c>
      <c r="M15" s="14">
        <v>0.49</v>
      </c>
      <c r="N15" s="14">
        <v>0.54</v>
      </c>
      <c r="O15" s="14">
        <v>0.53</v>
      </c>
      <c r="P15" s="14">
        <v>0.52</v>
      </c>
      <c r="Q15" s="14">
        <v>0.6</v>
      </c>
      <c r="R15" s="14">
        <v>0.5</v>
      </c>
      <c r="S15" s="14">
        <v>0.54</v>
      </c>
      <c r="T15" s="14">
        <v>0.51</v>
      </c>
      <c r="U15" s="14">
        <v>0.51</v>
      </c>
      <c r="V15" s="14">
        <v>0.67</v>
      </c>
      <c r="W15" s="14">
        <v>0.33</v>
      </c>
      <c r="X15" s="14">
        <v>0.57999999999999996</v>
      </c>
      <c r="Y15" s="14">
        <v>0.48</v>
      </c>
      <c r="Z15" s="14">
        <v>0.64</v>
      </c>
      <c r="AA15" s="14">
        <v>0.62</v>
      </c>
      <c r="AB15" s="14">
        <v>0.49</v>
      </c>
      <c r="AC15" s="14">
        <v>0.53</v>
      </c>
      <c r="AD15" s="14">
        <v>0.62</v>
      </c>
      <c r="AE15" s="14">
        <v>0.45</v>
      </c>
      <c r="AF15" s="14">
        <v>0.51</v>
      </c>
    </row>
    <row r="16" spans="1:32">
      <c r="A16" s="20"/>
      <c r="B16" s="11" t="s">
        <v>1273</v>
      </c>
      <c r="C16" s="12">
        <v>4561</v>
      </c>
      <c r="D16" s="12">
        <v>221</v>
      </c>
      <c r="E16" s="12">
        <v>118</v>
      </c>
      <c r="F16" s="12">
        <v>168</v>
      </c>
      <c r="G16" s="12">
        <v>111</v>
      </c>
      <c r="H16" s="12">
        <v>202</v>
      </c>
      <c r="I16" s="12">
        <v>273</v>
      </c>
      <c r="J16" s="12">
        <v>71</v>
      </c>
      <c r="K16" s="12">
        <v>109</v>
      </c>
      <c r="L16" s="12">
        <v>123</v>
      </c>
      <c r="M16" s="12">
        <v>131</v>
      </c>
      <c r="N16" s="12">
        <v>164</v>
      </c>
      <c r="O16" s="12">
        <v>218</v>
      </c>
      <c r="P16" s="12">
        <v>112</v>
      </c>
      <c r="Q16" s="12">
        <v>200</v>
      </c>
      <c r="R16" s="12">
        <v>62</v>
      </c>
      <c r="S16" s="12">
        <v>156</v>
      </c>
      <c r="T16" s="12">
        <v>128</v>
      </c>
      <c r="U16" s="12">
        <v>53</v>
      </c>
      <c r="V16" s="12">
        <v>126</v>
      </c>
      <c r="W16" s="12">
        <v>41</v>
      </c>
      <c r="X16" s="12">
        <v>128</v>
      </c>
      <c r="Y16" s="12">
        <v>203</v>
      </c>
      <c r="Z16" s="12">
        <v>147</v>
      </c>
      <c r="AA16" s="12">
        <v>134</v>
      </c>
      <c r="AB16" s="12">
        <v>233</v>
      </c>
      <c r="AC16" s="12">
        <v>124</v>
      </c>
      <c r="AD16" s="12">
        <v>131</v>
      </c>
      <c r="AE16" s="12">
        <v>141</v>
      </c>
      <c r="AF16" s="12">
        <v>106</v>
      </c>
    </row>
    <row r="17" spans="1:32">
      <c r="A17" s="20"/>
      <c r="B17" s="13" t="s">
        <v>1274</v>
      </c>
      <c r="C17" s="14">
        <v>0.17</v>
      </c>
      <c r="D17" s="14">
        <v>0.22</v>
      </c>
      <c r="E17" s="14">
        <v>0.12</v>
      </c>
      <c r="F17" s="14">
        <v>0.17</v>
      </c>
      <c r="G17" s="14">
        <v>0.11</v>
      </c>
      <c r="H17" s="14">
        <v>0.17</v>
      </c>
      <c r="I17" s="14">
        <v>0.18</v>
      </c>
      <c r="J17" s="14">
        <v>0.24</v>
      </c>
      <c r="K17" s="14">
        <v>0.11</v>
      </c>
      <c r="L17" s="14">
        <v>0.12</v>
      </c>
      <c r="M17" s="14">
        <v>0.13</v>
      </c>
      <c r="N17" s="14">
        <v>0.16</v>
      </c>
      <c r="O17" s="14">
        <v>0.22</v>
      </c>
      <c r="P17" s="14">
        <v>0.11</v>
      </c>
      <c r="Q17" s="14">
        <v>0.2</v>
      </c>
      <c r="R17" s="14">
        <v>0.12</v>
      </c>
      <c r="S17" s="14">
        <v>0.15</v>
      </c>
      <c r="T17" s="14">
        <v>0.13</v>
      </c>
      <c r="U17" s="14">
        <v>0.1</v>
      </c>
      <c r="V17" s="14">
        <v>0.12</v>
      </c>
      <c r="W17" s="14">
        <v>0.08</v>
      </c>
      <c r="X17" s="14">
        <v>0.12</v>
      </c>
      <c r="Y17" s="14">
        <v>0.2</v>
      </c>
      <c r="Z17" s="14">
        <v>0.15</v>
      </c>
      <c r="AA17" s="14">
        <v>0.13</v>
      </c>
      <c r="AB17" s="14">
        <v>0.22</v>
      </c>
      <c r="AC17" s="14">
        <v>0.12</v>
      </c>
      <c r="AD17" s="14">
        <v>0.13</v>
      </c>
      <c r="AE17" s="14">
        <v>0.14000000000000001</v>
      </c>
      <c r="AF17" s="14">
        <v>0.1</v>
      </c>
    </row>
    <row r="18" spans="1:32">
      <c r="A18" s="20"/>
      <c r="B18" s="11" t="s">
        <v>1275</v>
      </c>
      <c r="C18" s="12">
        <v>1433</v>
      </c>
      <c r="D18" s="12">
        <v>48</v>
      </c>
      <c r="E18" s="12">
        <v>33</v>
      </c>
      <c r="F18" s="12">
        <v>53</v>
      </c>
      <c r="G18" s="12">
        <v>39</v>
      </c>
      <c r="H18" s="12">
        <v>39</v>
      </c>
      <c r="I18" s="12">
        <v>59</v>
      </c>
      <c r="J18" s="12">
        <v>20</v>
      </c>
      <c r="K18" s="12">
        <v>46</v>
      </c>
      <c r="L18" s="12">
        <v>46</v>
      </c>
      <c r="M18" s="12">
        <v>54</v>
      </c>
      <c r="N18" s="12">
        <v>75</v>
      </c>
      <c r="O18" s="12">
        <v>103</v>
      </c>
      <c r="P18" s="12">
        <v>36</v>
      </c>
      <c r="Q18" s="12">
        <v>45</v>
      </c>
      <c r="R18" s="12">
        <v>23</v>
      </c>
      <c r="S18" s="12">
        <v>48</v>
      </c>
      <c r="T18" s="12">
        <v>39</v>
      </c>
      <c r="U18" s="12">
        <v>38</v>
      </c>
      <c r="V18" s="12">
        <v>32</v>
      </c>
      <c r="W18" s="12">
        <v>44</v>
      </c>
      <c r="X18" s="12">
        <v>21</v>
      </c>
      <c r="Y18" s="12">
        <v>61</v>
      </c>
      <c r="Z18" s="12">
        <v>20</v>
      </c>
      <c r="AA18" s="12">
        <v>44</v>
      </c>
      <c r="AB18" s="12">
        <v>102</v>
      </c>
      <c r="AC18" s="12">
        <v>26</v>
      </c>
      <c r="AD18" s="12">
        <v>27</v>
      </c>
      <c r="AE18" s="12">
        <v>55</v>
      </c>
      <c r="AF18" s="12">
        <v>28</v>
      </c>
    </row>
    <row r="19" spans="1:32">
      <c r="A19" s="20"/>
      <c r="B19" s="13" t="s">
        <v>1276</v>
      </c>
      <c r="C19" s="14">
        <v>0.06</v>
      </c>
      <c r="D19" s="14">
        <v>0.05</v>
      </c>
      <c r="E19" s="14">
        <v>0.03</v>
      </c>
      <c r="F19" s="14">
        <v>0.05</v>
      </c>
      <c r="G19" s="14">
        <v>0.04</v>
      </c>
      <c r="H19" s="14">
        <v>0.03</v>
      </c>
      <c r="I19" s="14">
        <v>0.04</v>
      </c>
      <c r="J19" s="14">
        <v>7.0000000000000007E-2</v>
      </c>
      <c r="K19" s="14">
        <v>0.05</v>
      </c>
      <c r="L19" s="14">
        <v>0.05</v>
      </c>
      <c r="M19" s="14">
        <v>0.06</v>
      </c>
      <c r="N19" s="14">
        <v>0.08</v>
      </c>
      <c r="O19" s="14">
        <v>0.1</v>
      </c>
      <c r="P19" s="14">
        <v>0.04</v>
      </c>
      <c r="Q19" s="14">
        <v>0.04</v>
      </c>
      <c r="R19" s="14">
        <v>0.05</v>
      </c>
      <c r="S19" s="14">
        <v>0.05</v>
      </c>
      <c r="T19" s="14">
        <v>0.04</v>
      </c>
      <c r="U19" s="14">
        <v>7.0000000000000007E-2</v>
      </c>
      <c r="V19" s="14">
        <v>0.03</v>
      </c>
      <c r="W19" s="14">
        <v>0.09</v>
      </c>
      <c r="X19" s="14">
        <v>0.02</v>
      </c>
      <c r="Y19" s="14">
        <v>0.06</v>
      </c>
      <c r="Z19" s="14">
        <v>0.02</v>
      </c>
      <c r="AA19" s="14">
        <v>0.04</v>
      </c>
      <c r="AB19" s="14">
        <v>0.1</v>
      </c>
      <c r="AC19" s="14">
        <v>0.02</v>
      </c>
      <c r="AD19" s="14">
        <v>0.03</v>
      </c>
      <c r="AE19" s="14">
        <v>0.06</v>
      </c>
      <c r="AF19" s="14">
        <v>0.03</v>
      </c>
    </row>
    <row r="20" spans="1:32" ht="36.950000000000003">
      <c r="A20" s="20"/>
      <c r="B20" s="11" t="s">
        <v>1277</v>
      </c>
      <c r="C20" s="12">
        <v>669</v>
      </c>
      <c r="D20" s="12">
        <v>6</v>
      </c>
      <c r="E20" s="12">
        <v>76</v>
      </c>
      <c r="F20" s="12">
        <v>34</v>
      </c>
      <c r="G20" s="12">
        <v>11</v>
      </c>
      <c r="H20" s="12">
        <v>28</v>
      </c>
      <c r="I20" s="12">
        <v>37</v>
      </c>
      <c r="J20" s="12">
        <v>9</v>
      </c>
      <c r="K20" s="12">
        <v>40</v>
      </c>
      <c r="L20" s="12">
        <v>45</v>
      </c>
      <c r="M20" s="12">
        <v>34</v>
      </c>
      <c r="N20" s="12">
        <v>29</v>
      </c>
      <c r="O20" s="12">
        <v>14</v>
      </c>
      <c r="P20" s="12">
        <v>46</v>
      </c>
      <c r="Q20" s="12">
        <v>14</v>
      </c>
      <c r="R20" s="12">
        <v>6</v>
      </c>
      <c r="S20" s="12">
        <v>29</v>
      </c>
      <c r="T20" s="12">
        <v>61</v>
      </c>
      <c r="U20" s="12">
        <v>10</v>
      </c>
      <c r="V20" s="12">
        <v>25</v>
      </c>
      <c r="W20" s="12">
        <v>12</v>
      </c>
      <c r="X20" s="12">
        <v>6</v>
      </c>
      <c r="Y20" s="12">
        <v>53</v>
      </c>
      <c r="Z20" s="12">
        <v>29</v>
      </c>
      <c r="AA20" s="12">
        <v>110</v>
      </c>
      <c r="AB20" s="12">
        <v>38</v>
      </c>
      <c r="AC20" s="12">
        <v>69</v>
      </c>
      <c r="AD20" s="12">
        <v>15</v>
      </c>
      <c r="AE20" s="12">
        <v>13</v>
      </c>
      <c r="AF20" s="12">
        <v>7</v>
      </c>
    </row>
    <row r="21" spans="1:32" ht="24.95">
      <c r="A21" s="20"/>
      <c r="B21" s="13" t="s">
        <v>1278</v>
      </c>
      <c r="C21" s="14">
        <v>0.03</v>
      </c>
      <c r="D21" s="15" t="s">
        <v>459</v>
      </c>
      <c r="E21" s="14">
        <v>7.0000000000000007E-2</v>
      </c>
      <c r="F21" s="14">
        <v>0.03</v>
      </c>
      <c r="G21" s="14">
        <v>0.01</v>
      </c>
      <c r="H21" s="14">
        <v>0.02</v>
      </c>
      <c r="I21" s="14">
        <v>0.03</v>
      </c>
      <c r="J21" s="14">
        <v>0.03</v>
      </c>
      <c r="K21" s="14">
        <v>0.04</v>
      </c>
      <c r="L21" s="14">
        <v>0.05</v>
      </c>
      <c r="M21" s="14">
        <v>0.03</v>
      </c>
      <c r="N21" s="14">
        <v>0.03</v>
      </c>
      <c r="O21" s="14">
        <v>0.01</v>
      </c>
      <c r="P21" s="14">
        <v>0.04</v>
      </c>
      <c r="Q21" s="14">
        <v>0.02</v>
      </c>
      <c r="R21" s="14">
        <v>0.01</v>
      </c>
      <c r="S21" s="14">
        <v>0.03</v>
      </c>
      <c r="T21" s="14">
        <v>0.06</v>
      </c>
      <c r="U21" s="14">
        <v>0.02</v>
      </c>
      <c r="V21" s="14">
        <v>0.03</v>
      </c>
      <c r="W21" s="14">
        <v>0.02</v>
      </c>
      <c r="X21" s="14">
        <v>0.01</v>
      </c>
      <c r="Y21" s="14">
        <v>0.05</v>
      </c>
      <c r="Z21" s="14">
        <v>0.03</v>
      </c>
      <c r="AA21" s="14">
        <v>0.1</v>
      </c>
      <c r="AB21" s="14">
        <v>0.04</v>
      </c>
      <c r="AC21" s="14">
        <v>7.0000000000000007E-2</v>
      </c>
      <c r="AD21" s="14">
        <v>0.01</v>
      </c>
      <c r="AE21" s="14">
        <v>0.01</v>
      </c>
      <c r="AF21" s="14">
        <v>0.01</v>
      </c>
    </row>
    <row r="22" spans="1:32">
      <c r="A22" s="20"/>
      <c r="B22" s="11" t="s">
        <v>468</v>
      </c>
      <c r="C22" s="12">
        <v>379</v>
      </c>
      <c r="D22" s="12">
        <v>7</v>
      </c>
      <c r="E22" s="12">
        <v>20</v>
      </c>
      <c r="F22" s="12">
        <v>18</v>
      </c>
      <c r="G22" s="12">
        <v>27</v>
      </c>
      <c r="H22" s="12">
        <v>18</v>
      </c>
      <c r="I22" s="12">
        <v>20</v>
      </c>
      <c r="J22" s="12">
        <v>2</v>
      </c>
      <c r="K22" s="12">
        <v>15</v>
      </c>
      <c r="L22" s="12">
        <v>15</v>
      </c>
      <c r="M22" s="12">
        <v>3</v>
      </c>
      <c r="N22" s="12">
        <v>14</v>
      </c>
      <c r="O22" s="12">
        <v>19</v>
      </c>
      <c r="P22" s="12">
        <v>3</v>
      </c>
      <c r="Q22" s="12">
        <v>12</v>
      </c>
      <c r="R22" s="12">
        <v>5</v>
      </c>
      <c r="S22" s="12">
        <v>21</v>
      </c>
      <c r="T22" s="12">
        <v>5</v>
      </c>
      <c r="U22" s="12">
        <v>4</v>
      </c>
      <c r="V22" s="12">
        <v>10</v>
      </c>
      <c r="W22" s="12">
        <v>3</v>
      </c>
      <c r="X22" s="12">
        <v>9</v>
      </c>
      <c r="Y22" s="12">
        <v>13</v>
      </c>
      <c r="Z22" s="12">
        <v>21</v>
      </c>
      <c r="AA22" s="12">
        <v>24</v>
      </c>
      <c r="AB22" s="12">
        <v>17</v>
      </c>
      <c r="AC22" s="12">
        <v>9</v>
      </c>
      <c r="AD22" s="12">
        <v>7</v>
      </c>
      <c r="AE22" s="12">
        <v>18</v>
      </c>
      <c r="AF22" s="12">
        <v>8</v>
      </c>
    </row>
    <row r="23" spans="1:32">
      <c r="A23" s="20"/>
      <c r="B23" s="13" t="s">
        <v>469</v>
      </c>
      <c r="C23" s="14">
        <v>0.01</v>
      </c>
      <c r="D23" s="14">
        <v>0.01</v>
      </c>
      <c r="E23" s="14">
        <v>0.02</v>
      </c>
      <c r="F23" s="14">
        <v>0.02</v>
      </c>
      <c r="G23" s="14">
        <v>0.03</v>
      </c>
      <c r="H23" s="14">
        <v>0.01</v>
      </c>
      <c r="I23" s="14">
        <v>0.01</v>
      </c>
      <c r="J23" s="14">
        <v>0.01</v>
      </c>
      <c r="K23" s="14">
        <v>0.01</v>
      </c>
      <c r="L23" s="14">
        <v>0.01</v>
      </c>
      <c r="M23" s="15" t="s">
        <v>459</v>
      </c>
      <c r="N23" s="14">
        <v>0.01</v>
      </c>
      <c r="O23" s="14">
        <v>0.02</v>
      </c>
      <c r="P23" s="15" t="s">
        <v>459</v>
      </c>
      <c r="Q23" s="14">
        <v>0.01</v>
      </c>
      <c r="R23" s="14">
        <v>0.01</v>
      </c>
      <c r="S23" s="14">
        <v>0.02</v>
      </c>
      <c r="T23" s="15" t="s">
        <v>459</v>
      </c>
      <c r="U23" s="14">
        <v>0.01</v>
      </c>
      <c r="V23" s="14">
        <v>0.01</v>
      </c>
      <c r="W23" s="14">
        <v>0.01</v>
      </c>
      <c r="X23" s="14">
        <v>0.01</v>
      </c>
      <c r="Y23" s="14">
        <v>0.01</v>
      </c>
      <c r="Z23" s="14">
        <v>0.02</v>
      </c>
      <c r="AA23" s="14">
        <v>0.02</v>
      </c>
      <c r="AB23" s="14">
        <v>0.02</v>
      </c>
      <c r="AC23" s="14">
        <v>0.01</v>
      </c>
      <c r="AD23" s="14">
        <v>0.01</v>
      </c>
      <c r="AE23" s="14">
        <v>0.02</v>
      </c>
      <c r="AF23" s="14">
        <v>0.01</v>
      </c>
    </row>
    <row r="24" spans="1:32">
      <c r="A24" s="20"/>
      <c r="B24" s="11" t="s">
        <v>1279</v>
      </c>
      <c r="C24" s="12">
        <v>19277</v>
      </c>
      <c r="D24" s="12">
        <v>721</v>
      </c>
      <c r="E24" s="12">
        <v>772</v>
      </c>
      <c r="F24" s="12">
        <v>732</v>
      </c>
      <c r="G24" s="12">
        <v>817</v>
      </c>
      <c r="H24" s="12">
        <v>928</v>
      </c>
      <c r="I24" s="12">
        <v>1120</v>
      </c>
      <c r="J24" s="12">
        <v>192</v>
      </c>
      <c r="K24" s="12">
        <v>796</v>
      </c>
      <c r="L24" s="12">
        <v>778</v>
      </c>
      <c r="M24" s="12">
        <v>781</v>
      </c>
      <c r="N24" s="12">
        <v>721</v>
      </c>
      <c r="O24" s="12">
        <v>649</v>
      </c>
      <c r="P24" s="12">
        <v>826</v>
      </c>
      <c r="Q24" s="12">
        <v>749</v>
      </c>
      <c r="R24" s="12">
        <v>405</v>
      </c>
      <c r="S24" s="12">
        <v>754</v>
      </c>
      <c r="T24" s="12">
        <v>782</v>
      </c>
      <c r="U24" s="12">
        <v>402</v>
      </c>
      <c r="V24" s="12">
        <v>824</v>
      </c>
      <c r="W24" s="12">
        <v>403</v>
      </c>
      <c r="X24" s="12">
        <v>856</v>
      </c>
      <c r="Y24" s="12">
        <v>677</v>
      </c>
      <c r="Z24" s="12">
        <v>791</v>
      </c>
      <c r="AA24" s="12">
        <v>743</v>
      </c>
      <c r="AB24" s="12">
        <v>649</v>
      </c>
      <c r="AC24" s="12">
        <v>782</v>
      </c>
      <c r="AD24" s="12">
        <v>826</v>
      </c>
      <c r="AE24" s="12">
        <v>774</v>
      </c>
      <c r="AF24" s="12">
        <v>872</v>
      </c>
    </row>
    <row r="25" spans="1:32">
      <c r="A25" s="20"/>
      <c r="B25" s="13" t="s">
        <v>1280</v>
      </c>
      <c r="C25" s="14">
        <v>0.73</v>
      </c>
      <c r="D25" s="14">
        <v>0.72</v>
      </c>
      <c r="E25" s="14">
        <v>0.76</v>
      </c>
      <c r="F25" s="14">
        <v>0.73</v>
      </c>
      <c r="G25" s="14">
        <v>0.81</v>
      </c>
      <c r="H25" s="14">
        <v>0.77</v>
      </c>
      <c r="I25" s="14">
        <v>0.74</v>
      </c>
      <c r="J25" s="14">
        <v>0.65</v>
      </c>
      <c r="K25" s="14">
        <v>0.79</v>
      </c>
      <c r="L25" s="14">
        <v>0.77</v>
      </c>
      <c r="M25" s="14">
        <v>0.78</v>
      </c>
      <c r="N25" s="14">
        <v>0.72</v>
      </c>
      <c r="O25" s="14">
        <v>0.65</v>
      </c>
      <c r="P25" s="14">
        <v>0.81</v>
      </c>
      <c r="Q25" s="14">
        <v>0.73</v>
      </c>
      <c r="R25" s="14">
        <v>0.81</v>
      </c>
      <c r="S25" s="14">
        <v>0.75</v>
      </c>
      <c r="T25" s="14">
        <v>0.77</v>
      </c>
      <c r="U25" s="14">
        <v>0.8</v>
      </c>
      <c r="V25" s="14">
        <v>0.81</v>
      </c>
      <c r="W25" s="14">
        <v>0.8</v>
      </c>
      <c r="X25" s="14">
        <v>0.84</v>
      </c>
      <c r="Y25" s="14">
        <v>0.68</v>
      </c>
      <c r="Z25" s="14">
        <v>0.78</v>
      </c>
      <c r="AA25" s="14">
        <v>0.71</v>
      </c>
      <c r="AB25" s="14">
        <v>0.62</v>
      </c>
      <c r="AC25" s="14">
        <v>0.78</v>
      </c>
      <c r="AD25" s="14">
        <v>0.82000000000000006</v>
      </c>
      <c r="AE25" s="14">
        <v>0.77</v>
      </c>
      <c r="AF25" s="14">
        <v>0.85</v>
      </c>
    </row>
    <row r="26" spans="1:32">
      <c r="A26" s="20"/>
      <c r="B26" s="11" t="s">
        <v>1281</v>
      </c>
      <c r="C26" s="12">
        <v>5994</v>
      </c>
      <c r="D26" s="12">
        <v>269</v>
      </c>
      <c r="E26" s="12">
        <v>151</v>
      </c>
      <c r="F26" s="12">
        <v>221</v>
      </c>
      <c r="G26" s="12">
        <v>150</v>
      </c>
      <c r="H26" s="12">
        <v>241</v>
      </c>
      <c r="I26" s="12">
        <v>332</v>
      </c>
      <c r="J26" s="12">
        <v>91</v>
      </c>
      <c r="K26" s="12">
        <v>155</v>
      </c>
      <c r="L26" s="12">
        <v>169</v>
      </c>
      <c r="M26" s="12">
        <v>185</v>
      </c>
      <c r="N26" s="12">
        <v>239</v>
      </c>
      <c r="O26" s="12">
        <v>321</v>
      </c>
      <c r="P26" s="12">
        <v>148</v>
      </c>
      <c r="Q26" s="12">
        <v>245</v>
      </c>
      <c r="R26" s="12">
        <v>85</v>
      </c>
      <c r="S26" s="12">
        <v>204</v>
      </c>
      <c r="T26" s="12">
        <v>167</v>
      </c>
      <c r="U26" s="12">
        <v>91</v>
      </c>
      <c r="V26" s="12">
        <v>158</v>
      </c>
      <c r="W26" s="12">
        <v>85</v>
      </c>
      <c r="X26" s="12">
        <v>149</v>
      </c>
      <c r="Y26" s="12">
        <v>264</v>
      </c>
      <c r="Z26" s="12">
        <v>167</v>
      </c>
      <c r="AA26" s="12">
        <v>178</v>
      </c>
      <c r="AB26" s="12">
        <v>335</v>
      </c>
      <c r="AC26" s="12">
        <v>150</v>
      </c>
      <c r="AD26" s="12">
        <v>158</v>
      </c>
      <c r="AE26" s="12">
        <v>196</v>
      </c>
      <c r="AF26" s="12">
        <v>134</v>
      </c>
    </row>
    <row r="27" spans="1:32">
      <c r="A27" s="20"/>
      <c r="B27" s="13" t="s">
        <v>1282</v>
      </c>
      <c r="C27" s="14">
        <v>0.23</v>
      </c>
      <c r="D27" s="14">
        <v>0.27</v>
      </c>
      <c r="E27" s="14">
        <v>0.15</v>
      </c>
      <c r="F27" s="14">
        <v>0.22</v>
      </c>
      <c r="G27" s="14">
        <v>0.15</v>
      </c>
      <c r="H27" s="14">
        <v>0.2</v>
      </c>
      <c r="I27" s="14">
        <v>0.22</v>
      </c>
      <c r="J27" s="14">
        <v>0.31</v>
      </c>
      <c r="K27" s="14">
        <v>0.16</v>
      </c>
      <c r="L27" s="14">
        <v>0.17</v>
      </c>
      <c r="M27" s="14">
        <v>0.19</v>
      </c>
      <c r="N27" s="14">
        <v>0.24</v>
      </c>
      <c r="O27" s="14">
        <v>0.32</v>
      </c>
      <c r="P27" s="14">
        <v>0.15</v>
      </c>
      <c r="Q27" s="14">
        <v>0.24</v>
      </c>
      <c r="R27" s="14">
        <v>0.17</v>
      </c>
      <c r="S27" s="14">
        <v>0.2</v>
      </c>
      <c r="T27" s="14">
        <v>0.17</v>
      </c>
      <c r="U27" s="14">
        <v>0.17</v>
      </c>
      <c r="V27" s="14">
        <v>0.15</v>
      </c>
      <c r="W27" s="14">
        <v>0.17</v>
      </c>
      <c r="X27" s="14">
        <v>0.14000000000000001</v>
      </c>
      <c r="Y27" s="14">
        <v>0.26</v>
      </c>
      <c r="Z27" s="14">
        <v>0.17</v>
      </c>
      <c r="AA27" s="14">
        <v>0.17</v>
      </c>
      <c r="AB27" s="14">
        <v>0.32</v>
      </c>
      <c r="AC27" s="14">
        <v>0.14000000000000001</v>
      </c>
      <c r="AD27" s="14">
        <v>0.16</v>
      </c>
      <c r="AE27" s="14">
        <v>0.2</v>
      </c>
      <c r="AF27" s="14">
        <v>0.13</v>
      </c>
    </row>
  </sheetData>
  <mergeCells count="10">
    <mergeCell ref="H3:L3"/>
    <mergeCell ref="C8:AF8"/>
    <mergeCell ref="B3:F3"/>
    <mergeCell ref="B5:F5"/>
    <mergeCell ref="H5:L5"/>
    <mergeCell ref="B10:B11"/>
    <mergeCell ref="A24:A27"/>
    <mergeCell ref="H4:L4"/>
    <mergeCell ref="A10:A23"/>
    <mergeCell ref="B4:F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1283</v>
      </c>
      <c r="C3" s="18"/>
      <c r="D3" s="18"/>
      <c r="E3" s="18"/>
      <c r="F3" s="18"/>
      <c r="H3" s="18" t="s">
        <v>1284</v>
      </c>
      <c r="I3" s="18"/>
      <c r="J3" s="18"/>
      <c r="K3" s="18"/>
      <c r="L3" s="18"/>
    </row>
    <row r="4" spans="1:32" ht="27" customHeight="1">
      <c r="B4" s="18" t="s">
        <v>1285</v>
      </c>
      <c r="C4" s="18"/>
      <c r="D4" s="18"/>
      <c r="E4" s="18"/>
      <c r="F4" s="18"/>
      <c r="H4" s="18" t="s">
        <v>1286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1287</v>
      </c>
      <c r="C12" s="12">
        <v>10028</v>
      </c>
      <c r="D12" s="12">
        <v>481</v>
      </c>
      <c r="E12" s="12">
        <v>514</v>
      </c>
      <c r="F12" s="12">
        <v>360</v>
      </c>
      <c r="G12" s="12">
        <v>619</v>
      </c>
      <c r="H12" s="12">
        <v>421</v>
      </c>
      <c r="I12" s="12">
        <v>529</v>
      </c>
      <c r="J12" s="12">
        <v>108</v>
      </c>
      <c r="K12" s="12">
        <v>427</v>
      </c>
      <c r="L12" s="12">
        <v>638</v>
      </c>
      <c r="M12" s="12">
        <v>597</v>
      </c>
      <c r="N12" s="12">
        <v>410</v>
      </c>
      <c r="O12" s="12">
        <v>423</v>
      </c>
      <c r="P12" s="12">
        <v>418</v>
      </c>
      <c r="Q12" s="12">
        <v>338</v>
      </c>
      <c r="R12" s="12">
        <v>315</v>
      </c>
      <c r="S12" s="12">
        <v>508</v>
      </c>
      <c r="T12" s="12">
        <v>325</v>
      </c>
      <c r="U12" s="12">
        <v>190</v>
      </c>
      <c r="V12" s="12">
        <v>387</v>
      </c>
      <c r="W12" s="12">
        <v>296</v>
      </c>
      <c r="X12" s="12">
        <v>508</v>
      </c>
      <c r="Y12" s="12">
        <v>364</v>
      </c>
      <c r="Z12" s="12">
        <v>259</v>
      </c>
      <c r="AA12" s="12">
        <v>284</v>
      </c>
      <c r="AB12" s="12">
        <v>282</v>
      </c>
      <c r="AC12" s="12">
        <v>517</v>
      </c>
      <c r="AD12" s="12">
        <v>589</v>
      </c>
      <c r="AE12" s="12">
        <v>335</v>
      </c>
      <c r="AF12" s="12">
        <v>299</v>
      </c>
    </row>
    <row r="13" spans="1:32">
      <c r="A13" s="20"/>
      <c r="B13" s="13" t="s">
        <v>1288</v>
      </c>
      <c r="C13" s="14">
        <v>0.38</v>
      </c>
      <c r="D13" s="14">
        <v>0.48</v>
      </c>
      <c r="E13" s="14">
        <v>0.5</v>
      </c>
      <c r="F13" s="14">
        <v>0.36</v>
      </c>
      <c r="G13" s="14">
        <v>0.62</v>
      </c>
      <c r="H13" s="14">
        <v>0.35</v>
      </c>
      <c r="I13" s="14">
        <v>0.35</v>
      </c>
      <c r="J13" s="14">
        <v>0.37</v>
      </c>
      <c r="K13" s="14">
        <v>0.42</v>
      </c>
      <c r="L13" s="14">
        <v>0.63</v>
      </c>
      <c r="M13" s="14">
        <v>0.6</v>
      </c>
      <c r="N13" s="14">
        <v>0.41</v>
      </c>
      <c r="O13" s="14">
        <v>0.42</v>
      </c>
      <c r="P13" s="14">
        <v>0.41</v>
      </c>
      <c r="Q13" s="14">
        <v>0.33</v>
      </c>
      <c r="R13" s="14">
        <v>0.63</v>
      </c>
      <c r="S13" s="14">
        <v>0.5</v>
      </c>
      <c r="T13" s="14">
        <v>0.32</v>
      </c>
      <c r="U13" s="14">
        <v>0.38</v>
      </c>
      <c r="V13" s="14">
        <v>0.38</v>
      </c>
      <c r="W13" s="14">
        <v>0.59</v>
      </c>
      <c r="X13" s="14">
        <v>0.5</v>
      </c>
      <c r="Y13" s="14">
        <v>0.36</v>
      </c>
      <c r="Z13" s="14">
        <v>0.26</v>
      </c>
      <c r="AA13" s="14">
        <v>0.27</v>
      </c>
      <c r="AB13" s="14">
        <v>0.27</v>
      </c>
      <c r="AC13" s="14">
        <v>0.51</v>
      </c>
      <c r="AD13" s="14">
        <v>0.57999999999999996</v>
      </c>
      <c r="AE13" s="14">
        <v>0.33</v>
      </c>
      <c r="AF13" s="14">
        <v>0.28999999999999998</v>
      </c>
    </row>
    <row r="14" spans="1:32">
      <c r="A14" s="20"/>
      <c r="B14" s="11" t="s">
        <v>1289</v>
      </c>
      <c r="C14" s="12">
        <v>11155</v>
      </c>
      <c r="D14" s="12">
        <v>367</v>
      </c>
      <c r="E14" s="12">
        <v>324</v>
      </c>
      <c r="F14" s="12">
        <v>389</v>
      </c>
      <c r="G14" s="12">
        <v>255</v>
      </c>
      <c r="H14" s="12">
        <v>542</v>
      </c>
      <c r="I14" s="12">
        <v>659</v>
      </c>
      <c r="J14" s="12">
        <v>117</v>
      </c>
      <c r="K14" s="12">
        <v>398</v>
      </c>
      <c r="L14" s="12">
        <v>286</v>
      </c>
      <c r="M14" s="12">
        <v>295</v>
      </c>
      <c r="N14" s="12">
        <v>444</v>
      </c>
      <c r="O14" s="12">
        <v>378</v>
      </c>
      <c r="P14" s="12">
        <v>458</v>
      </c>
      <c r="Q14" s="12">
        <v>514</v>
      </c>
      <c r="R14" s="12">
        <v>134</v>
      </c>
      <c r="S14" s="12">
        <v>315</v>
      </c>
      <c r="T14" s="12">
        <v>428</v>
      </c>
      <c r="U14" s="12">
        <v>220</v>
      </c>
      <c r="V14" s="12">
        <v>464</v>
      </c>
      <c r="W14" s="12">
        <v>122</v>
      </c>
      <c r="X14" s="12">
        <v>356</v>
      </c>
      <c r="Y14" s="12">
        <v>398</v>
      </c>
      <c r="Z14" s="12">
        <v>516</v>
      </c>
      <c r="AA14" s="12">
        <v>546</v>
      </c>
      <c r="AB14" s="12">
        <v>481</v>
      </c>
      <c r="AC14" s="12">
        <v>340</v>
      </c>
      <c r="AD14" s="12">
        <v>349</v>
      </c>
      <c r="AE14" s="12">
        <v>301</v>
      </c>
      <c r="AF14" s="12">
        <v>342</v>
      </c>
    </row>
    <row r="15" spans="1:32">
      <c r="A15" s="20"/>
      <c r="B15" s="13" t="s">
        <v>1290</v>
      </c>
      <c r="C15" s="14">
        <v>0.42</v>
      </c>
      <c r="D15" s="14">
        <v>0.37</v>
      </c>
      <c r="E15" s="14">
        <v>0.32</v>
      </c>
      <c r="F15" s="14">
        <v>0.39</v>
      </c>
      <c r="G15" s="14">
        <v>0.25</v>
      </c>
      <c r="H15" s="14">
        <v>0.44</v>
      </c>
      <c r="I15" s="14">
        <v>0.44</v>
      </c>
      <c r="J15" s="14">
        <v>0.4</v>
      </c>
      <c r="K15" s="14">
        <v>0.4</v>
      </c>
      <c r="L15" s="14">
        <v>0.28000000000000003</v>
      </c>
      <c r="M15" s="14">
        <v>0.28999999999999998</v>
      </c>
      <c r="N15" s="14">
        <v>0.44</v>
      </c>
      <c r="O15" s="14">
        <v>0.38</v>
      </c>
      <c r="P15" s="14">
        <v>0.45</v>
      </c>
      <c r="Q15" s="14">
        <v>0.5</v>
      </c>
      <c r="R15" s="14">
        <v>0.27</v>
      </c>
      <c r="S15" s="14">
        <v>0.31</v>
      </c>
      <c r="T15" s="14">
        <v>0.42</v>
      </c>
      <c r="U15" s="14">
        <v>0.43</v>
      </c>
      <c r="V15" s="14">
        <v>0.46</v>
      </c>
      <c r="W15" s="14">
        <v>0.24</v>
      </c>
      <c r="X15" s="14">
        <v>0.35</v>
      </c>
      <c r="Y15" s="14">
        <v>0.39</v>
      </c>
      <c r="Z15" s="14">
        <v>0.51</v>
      </c>
      <c r="AA15" s="14">
        <v>0.52</v>
      </c>
      <c r="AB15" s="14">
        <v>0.46</v>
      </c>
      <c r="AC15" s="14">
        <v>0.34</v>
      </c>
      <c r="AD15" s="14">
        <v>0.35</v>
      </c>
      <c r="AE15" s="14">
        <v>0.3</v>
      </c>
      <c r="AF15" s="14">
        <v>0.34</v>
      </c>
    </row>
    <row r="16" spans="1:32">
      <c r="A16" s="20"/>
      <c r="B16" s="11" t="s">
        <v>1291</v>
      </c>
      <c r="C16" s="12">
        <v>3134</v>
      </c>
      <c r="D16" s="12">
        <v>126</v>
      </c>
      <c r="E16" s="12">
        <v>82</v>
      </c>
      <c r="F16" s="12">
        <v>157</v>
      </c>
      <c r="G16" s="12">
        <v>79</v>
      </c>
      <c r="H16" s="12">
        <v>143</v>
      </c>
      <c r="I16" s="12">
        <v>188</v>
      </c>
      <c r="J16" s="12">
        <v>45</v>
      </c>
      <c r="K16" s="12">
        <v>108</v>
      </c>
      <c r="L16" s="12">
        <v>44</v>
      </c>
      <c r="M16" s="12">
        <v>51</v>
      </c>
      <c r="N16" s="12">
        <v>74</v>
      </c>
      <c r="O16" s="12">
        <v>122</v>
      </c>
      <c r="P16" s="12">
        <v>90</v>
      </c>
      <c r="Q16" s="12">
        <v>119</v>
      </c>
      <c r="R16" s="12">
        <v>22</v>
      </c>
      <c r="S16" s="12">
        <v>104</v>
      </c>
      <c r="T16" s="12">
        <v>145</v>
      </c>
      <c r="U16" s="12">
        <v>56</v>
      </c>
      <c r="V16" s="12">
        <v>105</v>
      </c>
      <c r="W16" s="12">
        <v>50</v>
      </c>
      <c r="X16" s="12">
        <v>134</v>
      </c>
      <c r="Y16" s="12">
        <v>139</v>
      </c>
      <c r="Z16" s="12">
        <v>148</v>
      </c>
      <c r="AA16" s="12">
        <v>98</v>
      </c>
      <c r="AB16" s="12">
        <v>154</v>
      </c>
      <c r="AC16" s="12">
        <v>78</v>
      </c>
      <c r="AD16" s="12">
        <v>37</v>
      </c>
      <c r="AE16" s="12">
        <v>248</v>
      </c>
      <c r="AF16" s="12">
        <v>258</v>
      </c>
    </row>
    <row r="17" spans="1:32">
      <c r="A17" s="20"/>
      <c r="B17" s="13" t="s">
        <v>1292</v>
      </c>
      <c r="C17" s="14">
        <v>0.12</v>
      </c>
      <c r="D17" s="14">
        <v>0.13</v>
      </c>
      <c r="E17" s="14">
        <v>0.08</v>
      </c>
      <c r="F17" s="14">
        <v>0.15</v>
      </c>
      <c r="G17" s="14">
        <v>0.08</v>
      </c>
      <c r="H17" s="14">
        <v>0.12</v>
      </c>
      <c r="I17" s="14">
        <v>0.12</v>
      </c>
      <c r="J17" s="14">
        <v>0.15</v>
      </c>
      <c r="K17" s="14">
        <v>0.11</v>
      </c>
      <c r="L17" s="14">
        <v>0.04</v>
      </c>
      <c r="M17" s="14">
        <v>0.05</v>
      </c>
      <c r="N17" s="14">
        <v>7.0000000000000007E-2</v>
      </c>
      <c r="O17" s="14">
        <v>0.12</v>
      </c>
      <c r="P17" s="14">
        <v>0.09</v>
      </c>
      <c r="Q17" s="14">
        <v>0.12</v>
      </c>
      <c r="R17" s="14">
        <v>0.04</v>
      </c>
      <c r="S17" s="14">
        <v>0.1</v>
      </c>
      <c r="T17" s="14">
        <v>0.14000000000000001</v>
      </c>
      <c r="U17" s="14">
        <v>0.11</v>
      </c>
      <c r="V17" s="14">
        <v>0.1</v>
      </c>
      <c r="W17" s="14">
        <v>0.1</v>
      </c>
      <c r="X17" s="14">
        <v>0.13</v>
      </c>
      <c r="Y17" s="14">
        <v>0.14000000000000001</v>
      </c>
      <c r="Z17" s="14">
        <v>0.15</v>
      </c>
      <c r="AA17" s="14">
        <v>0.09</v>
      </c>
      <c r="AB17" s="14">
        <v>0.15</v>
      </c>
      <c r="AC17" s="14">
        <v>0.08</v>
      </c>
      <c r="AD17" s="14">
        <v>0.04</v>
      </c>
      <c r="AE17" s="14">
        <v>0.25</v>
      </c>
      <c r="AF17" s="14">
        <v>0.25</v>
      </c>
    </row>
    <row r="18" spans="1:32">
      <c r="A18" s="20"/>
      <c r="B18" s="11" t="s">
        <v>1293</v>
      </c>
      <c r="C18" s="12">
        <v>1309</v>
      </c>
      <c r="D18" s="12">
        <v>25</v>
      </c>
      <c r="E18" s="12">
        <v>57</v>
      </c>
      <c r="F18" s="12">
        <v>60</v>
      </c>
      <c r="G18" s="12">
        <v>24</v>
      </c>
      <c r="H18" s="12">
        <v>57</v>
      </c>
      <c r="I18" s="12">
        <v>73</v>
      </c>
      <c r="J18" s="12">
        <v>16</v>
      </c>
      <c r="K18" s="12">
        <v>53</v>
      </c>
      <c r="L18" s="12">
        <v>24</v>
      </c>
      <c r="M18" s="12">
        <v>41</v>
      </c>
      <c r="N18" s="12">
        <v>44</v>
      </c>
      <c r="O18" s="12">
        <v>53</v>
      </c>
      <c r="P18" s="12">
        <v>47</v>
      </c>
      <c r="Q18" s="12">
        <v>29</v>
      </c>
      <c r="R18" s="12">
        <v>15</v>
      </c>
      <c r="S18" s="12">
        <v>45</v>
      </c>
      <c r="T18" s="12">
        <v>61</v>
      </c>
      <c r="U18" s="12">
        <v>34</v>
      </c>
      <c r="V18" s="12">
        <v>48</v>
      </c>
      <c r="W18" s="12">
        <v>27</v>
      </c>
      <c r="X18" s="12">
        <v>18</v>
      </c>
      <c r="Y18" s="12">
        <v>87</v>
      </c>
      <c r="Z18" s="12">
        <v>60</v>
      </c>
      <c r="AA18" s="12">
        <v>84</v>
      </c>
      <c r="AB18" s="12">
        <v>94</v>
      </c>
      <c r="AC18" s="12">
        <v>60</v>
      </c>
      <c r="AD18" s="12">
        <v>19</v>
      </c>
      <c r="AE18" s="12">
        <v>101</v>
      </c>
      <c r="AF18" s="12">
        <v>113</v>
      </c>
    </row>
    <row r="19" spans="1:32">
      <c r="A19" s="20"/>
      <c r="B19" s="13" t="s">
        <v>1294</v>
      </c>
      <c r="C19" s="14">
        <v>0.05</v>
      </c>
      <c r="D19" s="14">
        <v>0.02</v>
      </c>
      <c r="E19" s="14">
        <v>0.06</v>
      </c>
      <c r="F19" s="14">
        <v>0.06</v>
      </c>
      <c r="G19" s="14">
        <v>0.02</v>
      </c>
      <c r="H19" s="14">
        <v>0.05</v>
      </c>
      <c r="I19" s="14">
        <v>0.05</v>
      </c>
      <c r="J19" s="14">
        <v>0.05</v>
      </c>
      <c r="K19" s="14">
        <v>0.05</v>
      </c>
      <c r="L19" s="14">
        <v>0.03</v>
      </c>
      <c r="M19" s="14">
        <v>0.04</v>
      </c>
      <c r="N19" s="14">
        <v>0.05</v>
      </c>
      <c r="O19" s="14">
        <v>0.05</v>
      </c>
      <c r="P19" s="14">
        <v>0.04</v>
      </c>
      <c r="Q19" s="14">
        <v>0.03</v>
      </c>
      <c r="R19" s="14">
        <v>0.03</v>
      </c>
      <c r="S19" s="14">
        <v>0.05</v>
      </c>
      <c r="T19" s="14">
        <v>0.06</v>
      </c>
      <c r="U19" s="14">
        <v>7.0000000000000007E-2</v>
      </c>
      <c r="V19" s="14">
        <v>0.05</v>
      </c>
      <c r="W19" s="14">
        <v>0.05</v>
      </c>
      <c r="X19" s="14">
        <v>0.02</v>
      </c>
      <c r="Y19" s="14">
        <v>0.09</v>
      </c>
      <c r="Z19" s="14">
        <v>0.06</v>
      </c>
      <c r="AA19" s="14">
        <v>0.08</v>
      </c>
      <c r="AB19" s="14">
        <v>0.09</v>
      </c>
      <c r="AC19" s="14">
        <v>0.06</v>
      </c>
      <c r="AD19" s="14">
        <v>0.02</v>
      </c>
      <c r="AE19" s="14">
        <v>0.1</v>
      </c>
      <c r="AF19" s="14">
        <v>0.11</v>
      </c>
    </row>
    <row r="20" spans="1:32">
      <c r="A20" s="20"/>
      <c r="B20" s="11" t="s">
        <v>468</v>
      </c>
      <c r="C20" s="12">
        <v>693</v>
      </c>
      <c r="D20" s="12">
        <v>5</v>
      </c>
      <c r="E20" s="12">
        <v>41</v>
      </c>
      <c r="F20" s="12">
        <v>38</v>
      </c>
      <c r="G20" s="12">
        <v>27</v>
      </c>
      <c r="H20" s="12">
        <v>53</v>
      </c>
      <c r="I20" s="12">
        <v>61</v>
      </c>
      <c r="J20" s="12">
        <v>8</v>
      </c>
      <c r="K20" s="12">
        <v>20</v>
      </c>
      <c r="L20" s="12">
        <v>15</v>
      </c>
      <c r="M20" s="12">
        <v>19</v>
      </c>
      <c r="N20" s="12">
        <v>31</v>
      </c>
      <c r="O20" s="12">
        <v>28</v>
      </c>
      <c r="P20" s="12">
        <v>10</v>
      </c>
      <c r="Q20" s="12">
        <v>19</v>
      </c>
      <c r="R20" s="12">
        <v>14</v>
      </c>
      <c r="S20" s="12">
        <v>36</v>
      </c>
      <c r="T20" s="12">
        <v>55</v>
      </c>
      <c r="U20" s="12">
        <v>7</v>
      </c>
      <c r="V20" s="12">
        <v>13</v>
      </c>
      <c r="W20" s="12">
        <v>9</v>
      </c>
      <c r="X20" s="12">
        <v>5</v>
      </c>
      <c r="Y20" s="12">
        <v>21</v>
      </c>
      <c r="Z20" s="12">
        <v>24</v>
      </c>
      <c r="AA20" s="12">
        <v>40</v>
      </c>
      <c r="AB20" s="12">
        <v>27</v>
      </c>
      <c r="AC20" s="12">
        <v>15</v>
      </c>
      <c r="AD20" s="12">
        <v>12</v>
      </c>
      <c r="AE20" s="12">
        <v>16</v>
      </c>
      <c r="AF20" s="12">
        <v>8</v>
      </c>
    </row>
    <row r="21" spans="1:32">
      <c r="A21" s="20"/>
      <c r="B21" s="13" t="s">
        <v>469</v>
      </c>
      <c r="C21" s="14">
        <v>0.03</v>
      </c>
      <c r="D21" s="15" t="s">
        <v>459</v>
      </c>
      <c r="E21" s="14">
        <v>0.04</v>
      </c>
      <c r="F21" s="14">
        <v>0.04</v>
      </c>
      <c r="G21" s="14">
        <v>0.03</v>
      </c>
      <c r="H21" s="14">
        <v>0.04</v>
      </c>
      <c r="I21" s="14">
        <v>0.04</v>
      </c>
      <c r="J21" s="14">
        <v>0.03</v>
      </c>
      <c r="K21" s="14">
        <v>0.02</v>
      </c>
      <c r="L21" s="14">
        <v>0.02</v>
      </c>
      <c r="M21" s="14">
        <v>0.02</v>
      </c>
      <c r="N21" s="14">
        <v>0.03</v>
      </c>
      <c r="O21" s="14">
        <v>0.03</v>
      </c>
      <c r="P21" s="14">
        <v>0.01</v>
      </c>
      <c r="Q21" s="14">
        <v>0.02</v>
      </c>
      <c r="R21" s="14">
        <v>0.03</v>
      </c>
      <c r="S21" s="14">
        <v>0.04</v>
      </c>
      <c r="T21" s="14">
        <v>0.06</v>
      </c>
      <c r="U21" s="14">
        <v>0.01</v>
      </c>
      <c r="V21" s="14">
        <v>0.01</v>
      </c>
      <c r="W21" s="14">
        <v>0.02</v>
      </c>
      <c r="X21" s="15" t="s">
        <v>459</v>
      </c>
      <c r="Y21" s="14">
        <v>0.02</v>
      </c>
      <c r="Z21" s="14">
        <v>0.02</v>
      </c>
      <c r="AA21" s="14">
        <v>0.04</v>
      </c>
      <c r="AB21" s="14">
        <v>0.03</v>
      </c>
      <c r="AC21" s="14">
        <v>0.01</v>
      </c>
      <c r="AD21" s="14">
        <v>0.01</v>
      </c>
      <c r="AE21" s="14">
        <v>0.02</v>
      </c>
      <c r="AF21" s="14">
        <v>0.01</v>
      </c>
    </row>
    <row r="22" spans="1:32">
      <c r="A22" s="20"/>
      <c r="B22" s="11" t="s">
        <v>1295</v>
      </c>
      <c r="C22" s="12">
        <v>21183</v>
      </c>
      <c r="D22" s="12">
        <v>848</v>
      </c>
      <c r="E22" s="12">
        <v>838</v>
      </c>
      <c r="F22" s="12">
        <v>749</v>
      </c>
      <c r="G22" s="12">
        <v>874</v>
      </c>
      <c r="H22" s="12">
        <v>963</v>
      </c>
      <c r="I22" s="12">
        <v>1188</v>
      </c>
      <c r="J22" s="12">
        <v>225</v>
      </c>
      <c r="K22" s="12">
        <v>825</v>
      </c>
      <c r="L22" s="12">
        <v>924</v>
      </c>
      <c r="M22" s="12">
        <v>892</v>
      </c>
      <c r="N22" s="12">
        <v>854</v>
      </c>
      <c r="O22" s="12">
        <v>801</v>
      </c>
      <c r="P22" s="12">
        <v>876</v>
      </c>
      <c r="Q22" s="12">
        <v>852</v>
      </c>
      <c r="R22" s="12">
        <v>449</v>
      </c>
      <c r="S22" s="12">
        <v>823</v>
      </c>
      <c r="T22" s="12">
        <v>753</v>
      </c>
      <c r="U22" s="12">
        <v>410</v>
      </c>
      <c r="V22" s="12">
        <v>851</v>
      </c>
      <c r="W22" s="12">
        <v>418</v>
      </c>
      <c r="X22" s="12">
        <v>864</v>
      </c>
      <c r="Y22" s="12">
        <v>762</v>
      </c>
      <c r="Z22" s="12">
        <v>775</v>
      </c>
      <c r="AA22" s="12">
        <v>830</v>
      </c>
      <c r="AB22" s="12">
        <v>763</v>
      </c>
      <c r="AC22" s="12">
        <v>857</v>
      </c>
      <c r="AD22" s="12">
        <v>938</v>
      </c>
      <c r="AE22" s="12">
        <v>636</v>
      </c>
      <c r="AF22" s="12">
        <v>641</v>
      </c>
    </row>
    <row r="23" spans="1:32">
      <c r="A23" s="20"/>
      <c r="B23" s="13" t="s">
        <v>1296</v>
      </c>
      <c r="C23" s="14">
        <v>0.8</v>
      </c>
      <c r="D23" s="14">
        <v>0.85</v>
      </c>
      <c r="E23" s="14">
        <v>0.82000000000000006</v>
      </c>
      <c r="F23" s="14">
        <v>0.75</v>
      </c>
      <c r="G23" s="14">
        <v>0.87</v>
      </c>
      <c r="H23" s="14">
        <v>0.79</v>
      </c>
      <c r="I23" s="14">
        <v>0.79</v>
      </c>
      <c r="J23" s="14">
        <v>0.77</v>
      </c>
      <c r="K23" s="14">
        <v>0.82000000000000006</v>
      </c>
      <c r="L23" s="14">
        <v>0.91</v>
      </c>
      <c r="M23" s="14">
        <v>0.89</v>
      </c>
      <c r="N23" s="14">
        <v>0.85</v>
      </c>
      <c r="O23" s="14">
        <v>0.8</v>
      </c>
      <c r="P23" s="14">
        <v>0.86</v>
      </c>
      <c r="Q23" s="14">
        <v>0.83000000000000007</v>
      </c>
      <c r="R23" s="14">
        <v>0.9</v>
      </c>
      <c r="S23" s="14">
        <v>0.81</v>
      </c>
      <c r="T23" s="14">
        <v>0.74</v>
      </c>
      <c r="U23" s="14">
        <v>0.81</v>
      </c>
      <c r="V23" s="14">
        <v>0.84</v>
      </c>
      <c r="W23" s="14">
        <v>0.83000000000000007</v>
      </c>
      <c r="X23" s="14">
        <v>0.85</v>
      </c>
      <c r="Y23" s="14">
        <v>0.75</v>
      </c>
      <c r="Z23" s="14">
        <v>0.77</v>
      </c>
      <c r="AA23" s="14">
        <v>0.79</v>
      </c>
      <c r="AB23" s="14">
        <v>0.73</v>
      </c>
      <c r="AC23" s="14">
        <v>0.85</v>
      </c>
      <c r="AD23" s="14">
        <v>0.93</v>
      </c>
      <c r="AE23" s="14">
        <v>0.63</v>
      </c>
      <c r="AF23" s="14">
        <v>0.63</v>
      </c>
    </row>
    <row r="24" spans="1:32">
      <c r="A24" s="20"/>
      <c r="B24" s="11" t="s">
        <v>1297</v>
      </c>
      <c r="C24" s="12">
        <v>4443</v>
      </c>
      <c r="D24" s="12">
        <v>151</v>
      </c>
      <c r="E24" s="12">
        <v>139</v>
      </c>
      <c r="F24" s="12">
        <v>217</v>
      </c>
      <c r="G24" s="12">
        <v>103</v>
      </c>
      <c r="H24" s="12">
        <v>200</v>
      </c>
      <c r="I24" s="12">
        <v>261</v>
      </c>
      <c r="J24" s="12">
        <v>61</v>
      </c>
      <c r="K24" s="12">
        <v>161</v>
      </c>
      <c r="L24" s="12">
        <v>68</v>
      </c>
      <c r="M24" s="12">
        <v>92</v>
      </c>
      <c r="N24" s="12">
        <v>118</v>
      </c>
      <c r="O24" s="12">
        <v>175</v>
      </c>
      <c r="P24" s="12">
        <v>137</v>
      </c>
      <c r="Q24" s="12">
        <v>148</v>
      </c>
      <c r="R24" s="12">
        <v>37</v>
      </c>
      <c r="S24" s="12">
        <v>149</v>
      </c>
      <c r="T24" s="12">
        <v>206</v>
      </c>
      <c r="U24" s="12">
        <v>90</v>
      </c>
      <c r="V24" s="12">
        <v>153</v>
      </c>
      <c r="W24" s="12">
        <v>77</v>
      </c>
      <c r="X24" s="12">
        <v>152</v>
      </c>
      <c r="Y24" s="12">
        <v>226</v>
      </c>
      <c r="Z24" s="12">
        <v>208</v>
      </c>
      <c r="AA24" s="12">
        <v>182</v>
      </c>
      <c r="AB24" s="12">
        <v>248</v>
      </c>
      <c r="AC24" s="12">
        <v>138</v>
      </c>
      <c r="AD24" s="12">
        <v>56</v>
      </c>
      <c r="AE24" s="12">
        <v>349</v>
      </c>
      <c r="AF24" s="12">
        <v>371</v>
      </c>
    </row>
    <row r="25" spans="1:32">
      <c r="A25" s="20"/>
      <c r="B25" s="13" t="s">
        <v>1298</v>
      </c>
      <c r="C25" s="14">
        <v>0.17</v>
      </c>
      <c r="D25" s="14">
        <v>0.15</v>
      </c>
      <c r="E25" s="14">
        <v>0.14000000000000001</v>
      </c>
      <c r="F25" s="14">
        <v>0.21</v>
      </c>
      <c r="G25" s="14">
        <v>0.1</v>
      </c>
      <c r="H25" s="14">
        <v>0.17</v>
      </c>
      <c r="I25" s="14">
        <v>0.17</v>
      </c>
      <c r="J25" s="14">
        <v>0.2</v>
      </c>
      <c r="K25" s="14">
        <v>0.16</v>
      </c>
      <c r="L25" s="14">
        <v>7.0000000000000007E-2</v>
      </c>
      <c r="M25" s="14">
        <v>0.09</v>
      </c>
      <c r="N25" s="14">
        <v>0.12</v>
      </c>
      <c r="O25" s="14">
        <v>0.17</v>
      </c>
      <c r="P25" s="14">
        <v>0.13</v>
      </c>
      <c r="Q25" s="14">
        <v>0.15</v>
      </c>
      <c r="R25" s="14">
        <v>7.0000000000000007E-2</v>
      </c>
      <c r="S25" s="14">
        <v>0.15</v>
      </c>
      <c r="T25" s="14">
        <v>0.2</v>
      </c>
      <c r="U25" s="14">
        <v>0.18</v>
      </c>
      <c r="V25" s="14">
        <v>0.15</v>
      </c>
      <c r="W25" s="14">
        <v>0.15</v>
      </c>
      <c r="X25" s="14">
        <v>0.15</v>
      </c>
      <c r="Y25" s="14">
        <v>0.23</v>
      </c>
      <c r="Z25" s="14">
        <v>0.21</v>
      </c>
      <c r="AA25" s="14">
        <v>0.17</v>
      </c>
      <c r="AB25" s="14">
        <v>0.24</v>
      </c>
      <c r="AC25" s="14">
        <v>0.14000000000000001</v>
      </c>
      <c r="AD25" s="14">
        <v>0.06</v>
      </c>
      <c r="AE25" s="14">
        <v>0.35</v>
      </c>
      <c r="AF25" s="14">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1299</v>
      </c>
      <c r="C3" s="18"/>
      <c r="D3" s="18"/>
      <c r="E3" s="18"/>
      <c r="F3" s="18"/>
      <c r="H3" s="18" t="s">
        <v>1300</v>
      </c>
      <c r="I3" s="18"/>
      <c r="J3" s="18"/>
      <c r="K3" s="18"/>
      <c r="L3" s="18"/>
    </row>
    <row r="4" spans="1:32" ht="27" customHeight="1">
      <c r="B4" s="18" t="s">
        <v>1301</v>
      </c>
      <c r="C4" s="18"/>
      <c r="D4" s="18"/>
      <c r="E4" s="18"/>
      <c r="F4" s="18"/>
      <c r="H4" s="18" t="s">
        <v>1302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1287</v>
      </c>
      <c r="C12" s="12">
        <v>8217</v>
      </c>
      <c r="D12" s="12">
        <v>333</v>
      </c>
      <c r="E12" s="12">
        <v>412</v>
      </c>
      <c r="F12" s="12">
        <v>256</v>
      </c>
      <c r="G12" s="12">
        <v>404</v>
      </c>
      <c r="H12" s="12">
        <v>345</v>
      </c>
      <c r="I12" s="12">
        <v>433</v>
      </c>
      <c r="J12" s="12">
        <v>88</v>
      </c>
      <c r="K12" s="12">
        <v>248</v>
      </c>
      <c r="L12" s="12">
        <v>516</v>
      </c>
      <c r="M12" s="12">
        <v>461</v>
      </c>
      <c r="N12" s="12">
        <v>350</v>
      </c>
      <c r="O12" s="12">
        <v>317</v>
      </c>
      <c r="P12" s="12">
        <v>374</v>
      </c>
      <c r="Q12" s="12">
        <v>359</v>
      </c>
      <c r="R12" s="12">
        <v>295</v>
      </c>
      <c r="S12" s="12">
        <v>296</v>
      </c>
      <c r="T12" s="12">
        <v>309</v>
      </c>
      <c r="U12" s="12">
        <v>140</v>
      </c>
      <c r="V12" s="12">
        <v>329</v>
      </c>
      <c r="W12" s="12">
        <v>258</v>
      </c>
      <c r="X12" s="12">
        <v>255</v>
      </c>
      <c r="Y12" s="12">
        <v>377</v>
      </c>
      <c r="Z12" s="12">
        <v>214</v>
      </c>
      <c r="AA12" s="12">
        <v>288</v>
      </c>
      <c r="AB12" s="12">
        <v>289</v>
      </c>
      <c r="AC12" s="12">
        <v>312</v>
      </c>
      <c r="AD12" s="12">
        <v>469</v>
      </c>
      <c r="AE12" s="12">
        <v>186</v>
      </c>
      <c r="AF12" s="12">
        <v>219</v>
      </c>
    </row>
    <row r="13" spans="1:32">
      <c r="A13" s="20"/>
      <c r="B13" s="13" t="s">
        <v>1288</v>
      </c>
      <c r="C13" s="14">
        <v>0.31</v>
      </c>
      <c r="D13" s="14">
        <v>0.33</v>
      </c>
      <c r="E13" s="14">
        <v>0.41</v>
      </c>
      <c r="F13" s="14">
        <v>0.25</v>
      </c>
      <c r="G13" s="14">
        <v>0.4</v>
      </c>
      <c r="H13" s="14">
        <v>0.28000000000000003</v>
      </c>
      <c r="I13" s="14">
        <v>0.28999999999999998</v>
      </c>
      <c r="J13" s="14">
        <v>0.3</v>
      </c>
      <c r="K13" s="14">
        <v>0.25</v>
      </c>
      <c r="L13" s="14">
        <v>0.51</v>
      </c>
      <c r="M13" s="14">
        <v>0.46</v>
      </c>
      <c r="N13" s="14">
        <v>0.35</v>
      </c>
      <c r="O13" s="14">
        <v>0.31</v>
      </c>
      <c r="P13" s="14">
        <v>0.37</v>
      </c>
      <c r="Q13" s="14">
        <v>0.35</v>
      </c>
      <c r="R13" s="14">
        <v>0.59</v>
      </c>
      <c r="S13" s="14">
        <v>0.28999999999999998</v>
      </c>
      <c r="T13" s="14">
        <v>0.31</v>
      </c>
      <c r="U13" s="14">
        <v>0.28000000000000003</v>
      </c>
      <c r="V13" s="14">
        <v>0.32</v>
      </c>
      <c r="W13" s="14">
        <v>0.51</v>
      </c>
      <c r="X13" s="14">
        <v>0.25</v>
      </c>
      <c r="Y13" s="14">
        <v>0.37</v>
      </c>
      <c r="Z13" s="14">
        <v>0.21</v>
      </c>
      <c r="AA13" s="14">
        <v>0.27</v>
      </c>
      <c r="AB13" s="14">
        <v>0.28000000000000003</v>
      </c>
      <c r="AC13" s="14">
        <v>0.31</v>
      </c>
      <c r="AD13" s="14">
        <v>0.47</v>
      </c>
      <c r="AE13" s="14">
        <v>0.19</v>
      </c>
      <c r="AF13" s="14">
        <v>0.21</v>
      </c>
    </row>
    <row r="14" spans="1:32">
      <c r="A14" s="20"/>
      <c r="B14" s="11" t="s">
        <v>1289</v>
      </c>
      <c r="C14" s="12">
        <v>12320</v>
      </c>
      <c r="D14" s="12">
        <v>475</v>
      </c>
      <c r="E14" s="12">
        <v>392</v>
      </c>
      <c r="F14" s="12">
        <v>459</v>
      </c>
      <c r="G14" s="12">
        <v>424</v>
      </c>
      <c r="H14" s="12">
        <v>611</v>
      </c>
      <c r="I14" s="12">
        <v>756</v>
      </c>
      <c r="J14" s="12">
        <v>145</v>
      </c>
      <c r="K14" s="12">
        <v>495</v>
      </c>
      <c r="L14" s="12">
        <v>365</v>
      </c>
      <c r="M14" s="12">
        <v>345</v>
      </c>
      <c r="N14" s="12">
        <v>470</v>
      </c>
      <c r="O14" s="12">
        <v>428</v>
      </c>
      <c r="P14" s="12">
        <v>468</v>
      </c>
      <c r="Q14" s="12">
        <v>496</v>
      </c>
      <c r="R14" s="12">
        <v>140</v>
      </c>
      <c r="S14" s="12">
        <v>460</v>
      </c>
      <c r="T14" s="12">
        <v>436</v>
      </c>
      <c r="U14" s="12">
        <v>239</v>
      </c>
      <c r="V14" s="12">
        <v>500</v>
      </c>
      <c r="W14" s="12">
        <v>169</v>
      </c>
      <c r="X14" s="12">
        <v>500</v>
      </c>
      <c r="Y14" s="12">
        <v>414</v>
      </c>
      <c r="Z14" s="12">
        <v>553</v>
      </c>
      <c r="AA14" s="12">
        <v>541</v>
      </c>
      <c r="AB14" s="12">
        <v>456</v>
      </c>
      <c r="AC14" s="12">
        <v>458</v>
      </c>
      <c r="AD14" s="12">
        <v>442</v>
      </c>
      <c r="AE14" s="12">
        <v>434</v>
      </c>
      <c r="AF14" s="12">
        <v>423</v>
      </c>
    </row>
    <row r="15" spans="1:32">
      <c r="A15" s="20"/>
      <c r="B15" s="13" t="s">
        <v>1290</v>
      </c>
      <c r="C15" s="14">
        <v>0.47</v>
      </c>
      <c r="D15" s="14">
        <v>0.47</v>
      </c>
      <c r="E15" s="14">
        <v>0.38</v>
      </c>
      <c r="F15" s="14">
        <v>0.46</v>
      </c>
      <c r="G15" s="14">
        <v>0.42</v>
      </c>
      <c r="H15" s="14">
        <v>0.5</v>
      </c>
      <c r="I15" s="14">
        <v>0.5</v>
      </c>
      <c r="J15" s="14">
        <v>0.5</v>
      </c>
      <c r="K15" s="14">
        <v>0.49</v>
      </c>
      <c r="L15" s="14">
        <v>0.36</v>
      </c>
      <c r="M15" s="14">
        <v>0.34</v>
      </c>
      <c r="N15" s="14">
        <v>0.47</v>
      </c>
      <c r="O15" s="14">
        <v>0.43</v>
      </c>
      <c r="P15" s="14">
        <v>0.46</v>
      </c>
      <c r="Q15" s="14">
        <v>0.49</v>
      </c>
      <c r="R15" s="14">
        <v>0.28000000000000003</v>
      </c>
      <c r="S15" s="14">
        <v>0.46</v>
      </c>
      <c r="T15" s="14">
        <v>0.43</v>
      </c>
      <c r="U15" s="14">
        <v>0.47</v>
      </c>
      <c r="V15" s="14">
        <v>0.49</v>
      </c>
      <c r="W15" s="14">
        <v>0.34</v>
      </c>
      <c r="X15" s="14">
        <v>0.49</v>
      </c>
      <c r="Y15" s="14">
        <v>0.41</v>
      </c>
      <c r="Z15" s="14">
        <v>0.55000000000000004</v>
      </c>
      <c r="AA15" s="14">
        <v>0.52</v>
      </c>
      <c r="AB15" s="14">
        <v>0.44</v>
      </c>
      <c r="AC15" s="14">
        <v>0.45</v>
      </c>
      <c r="AD15" s="14">
        <v>0.44</v>
      </c>
      <c r="AE15" s="14">
        <v>0.43</v>
      </c>
      <c r="AF15" s="14">
        <v>0.41</v>
      </c>
    </row>
    <row r="16" spans="1:32">
      <c r="A16" s="20"/>
      <c r="B16" s="11" t="s">
        <v>1291</v>
      </c>
      <c r="C16" s="12">
        <v>3566</v>
      </c>
      <c r="D16" s="12">
        <v>156</v>
      </c>
      <c r="E16" s="12">
        <v>89</v>
      </c>
      <c r="F16" s="12">
        <v>179</v>
      </c>
      <c r="G16" s="12">
        <v>108</v>
      </c>
      <c r="H16" s="12">
        <v>150</v>
      </c>
      <c r="I16" s="12">
        <v>192</v>
      </c>
      <c r="J16" s="12">
        <v>42</v>
      </c>
      <c r="K16" s="12">
        <v>123</v>
      </c>
      <c r="L16" s="12">
        <v>78</v>
      </c>
      <c r="M16" s="12">
        <v>100</v>
      </c>
      <c r="N16" s="12">
        <v>96</v>
      </c>
      <c r="O16" s="12">
        <v>161</v>
      </c>
      <c r="P16" s="12">
        <v>114</v>
      </c>
      <c r="Q16" s="12">
        <v>114</v>
      </c>
      <c r="R16" s="12">
        <v>33</v>
      </c>
      <c r="S16" s="12">
        <v>128</v>
      </c>
      <c r="T16" s="12">
        <v>134</v>
      </c>
      <c r="U16" s="12">
        <v>87</v>
      </c>
      <c r="V16" s="12">
        <v>119</v>
      </c>
      <c r="W16" s="12">
        <v>40</v>
      </c>
      <c r="X16" s="12">
        <v>208</v>
      </c>
      <c r="Y16" s="12">
        <v>119</v>
      </c>
      <c r="Z16" s="12">
        <v>149</v>
      </c>
      <c r="AA16" s="12">
        <v>96</v>
      </c>
      <c r="AB16" s="12">
        <v>173</v>
      </c>
      <c r="AC16" s="12">
        <v>125</v>
      </c>
      <c r="AD16" s="12">
        <v>42</v>
      </c>
      <c r="AE16" s="12">
        <v>254</v>
      </c>
      <c r="AF16" s="12">
        <v>291</v>
      </c>
    </row>
    <row r="17" spans="1:32">
      <c r="A17" s="20"/>
      <c r="B17" s="13" t="s">
        <v>1292</v>
      </c>
      <c r="C17" s="14">
        <v>0.14000000000000001</v>
      </c>
      <c r="D17" s="14">
        <v>0.16</v>
      </c>
      <c r="E17" s="14">
        <v>0.09</v>
      </c>
      <c r="F17" s="14">
        <v>0.18</v>
      </c>
      <c r="G17" s="14">
        <v>0.11</v>
      </c>
      <c r="H17" s="14">
        <v>0.12</v>
      </c>
      <c r="I17" s="14">
        <v>0.13</v>
      </c>
      <c r="J17" s="14">
        <v>0.14000000000000001</v>
      </c>
      <c r="K17" s="14">
        <v>0.12</v>
      </c>
      <c r="L17" s="14">
        <v>0.08</v>
      </c>
      <c r="M17" s="14">
        <v>0.1</v>
      </c>
      <c r="N17" s="14">
        <v>0.09</v>
      </c>
      <c r="O17" s="14">
        <v>0.16</v>
      </c>
      <c r="P17" s="14">
        <v>0.11</v>
      </c>
      <c r="Q17" s="14">
        <v>0.11</v>
      </c>
      <c r="R17" s="14">
        <v>7.0000000000000007E-2</v>
      </c>
      <c r="S17" s="14">
        <v>0.13</v>
      </c>
      <c r="T17" s="14">
        <v>0.13</v>
      </c>
      <c r="U17" s="14">
        <v>0.17</v>
      </c>
      <c r="V17" s="14">
        <v>0.12</v>
      </c>
      <c r="W17" s="14">
        <v>0.08</v>
      </c>
      <c r="X17" s="14">
        <v>0.2</v>
      </c>
      <c r="Y17" s="14">
        <v>0.12</v>
      </c>
      <c r="Z17" s="14">
        <v>0.15</v>
      </c>
      <c r="AA17" s="14">
        <v>0.09</v>
      </c>
      <c r="AB17" s="14">
        <v>0.17</v>
      </c>
      <c r="AC17" s="14">
        <v>0.12</v>
      </c>
      <c r="AD17" s="14">
        <v>0.04</v>
      </c>
      <c r="AE17" s="14">
        <v>0.25</v>
      </c>
      <c r="AF17" s="14">
        <v>0.28999999999999998</v>
      </c>
    </row>
    <row r="18" spans="1:32">
      <c r="A18" s="20"/>
      <c r="B18" s="11" t="s">
        <v>1293</v>
      </c>
      <c r="C18" s="12">
        <v>1320</v>
      </c>
      <c r="D18" s="12">
        <v>25</v>
      </c>
      <c r="E18" s="12">
        <v>74</v>
      </c>
      <c r="F18" s="12">
        <v>62</v>
      </c>
      <c r="G18" s="12">
        <v>28</v>
      </c>
      <c r="H18" s="12">
        <v>57</v>
      </c>
      <c r="I18" s="12">
        <v>66</v>
      </c>
      <c r="J18" s="12">
        <v>9</v>
      </c>
      <c r="K18" s="12">
        <v>68</v>
      </c>
      <c r="L18" s="12">
        <v>27</v>
      </c>
      <c r="M18" s="12">
        <v>54</v>
      </c>
      <c r="N18" s="12">
        <v>50</v>
      </c>
      <c r="O18" s="12">
        <v>57</v>
      </c>
      <c r="P18" s="12">
        <v>54</v>
      </c>
      <c r="Q18" s="12">
        <v>27</v>
      </c>
      <c r="R18" s="12">
        <v>17</v>
      </c>
      <c r="S18" s="12">
        <v>73</v>
      </c>
      <c r="T18" s="12">
        <v>62</v>
      </c>
      <c r="U18" s="12">
        <v>29</v>
      </c>
      <c r="V18" s="12">
        <v>46</v>
      </c>
      <c r="W18" s="12">
        <v>27</v>
      </c>
      <c r="X18" s="12">
        <v>43</v>
      </c>
      <c r="Y18" s="12">
        <v>71</v>
      </c>
      <c r="Z18" s="12">
        <v>59</v>
      </c>
      <c r="AA18" s="12">
        <v>88</v>
      </c>
      <c r="AB18" s="12">
        <v>89</v>
      </c>
      <c r="AC18" s="12">
        <v>89</v>
      </c>
      <c r="AD18" s="12">
        <v>23</v>
      </c>
      <c r="AE18" s="12">
        <v>76</v>
      </c>
      <c r="AF18" s="12">
        <v>78</v>
      </c>
    </row>
    <row r="19" spans="1:32">
      <c r="A19" s="20"/>
      <c r="B19" s="13" t="s">
        <v>1294</v>
      </c>
      <c r="C19" s="14">
        <v>0.05</v>
      </c>
      <c r="D19" s="14">
        <v>0.03</v>
      </c>
      <c r="E19" s="14">
        <v>7.0000000000000007E-2</v>
      </c>
      <c r="F19" s="14">
        <v>0.06</v>
      </c>
      <c r="G19" s="14">
        <v>0.03</v>
      </c>
      <c r="H19" s="14">
        <v>0.05</v>
      </c>
      <c r="I19" s="14">
        <v>0.04</v>
      </c>
      <c r="J19" s="14">
        <v>0.03</v>
      </c>
      <c r="K19" s="14">
        <v>7.0000000000000007E-2</v>
      </c>
      <c r="L19" s="14">
        <v>0.03</v>
      </c>
      <c r="M19" s="14">
        <v>0.06</v>
      </c>
      <c r="N19" s="14">
        <v>0.05</v>
      </c>
      <c r="O19" s="14">
        <v>0.06</v>
      </c>
      <c r="P19" s="14">
        <v>0.05</v>
      </c>
      <c r="Q19" s="14">
        <v>0.03</v>
      </c>
      <c r="R19" s="14">
        <v>0.03</v>
      </c>
      <c r="S19" s="14">
        <v>7.0000000000000007E-2</v>
      </c>
      <c r="T19" s="14">
        <v>0.06</v>
      </c>
      <c r="U19" s="14">
        <v>0.06</v>
      </c>
      <c r="V19" s="14">
        <v>0.05</v>
      </c>
      <c r="W19" s="14">
        <v>0.05</v>
      </c>
      <c r="X19" s="14">
        <v>0.04</v>
      </c>
      <c r="Y19" s="14">
        <v>7.0000000000000007E-2</v>
      </c>
      <c r="Z19" s="14">
        <v>0.06</v>
      </c>
      <c r="AA19" s="14">
        <v>0.08</v>
      </c>
      <c r="AB19" s="14">
        <v>0.08</v>
      </c>
      <c r="AC19" s="14">
        <v>0.09</v>
      </c>
      <c r="AD19" s="14">
        <v>0.02</v>
      </c>
      <c r="AE19" s="14">
        <v>0.08</v>
      </c>
      <c r="AF19" s="14">
        <v>0.08</v>
      </c>
    </row>
    <row r="20" spans="1:32">
      <c r="A20" s="20"/>
      <c r="B20" s="11" t="s">
        <v>468</v>
      </c>
      <c r="C20" s="12">
        <v>896</v>
      </c>
      <c r="D20" s="12">
        <v>13</v>
      </c>
      <c r="E20" s="12">
        <v>50</v>
      </c>
      <c r="F20" s="12">
        <v>49</v>
      </c>
      <c r="G20" s="12">
        <v>40</v>
      </c>
      <c r="H20" s="12">
        <v>54</v>
      </c>
      <c r="I20" s="12">
        <v>63</v>
      </c>
      <c r="J20" s="12">
        <v>9</v>
      </c>
      <c r="K20" s="12">
        <v>71</v>
      </c>
      <c r="L20" s="12">
        <v>21</v>
      </c>
      <c r="M20" s="12">
        <v>42</v>
      </c>
      <c r="N20" s="12">
        <v>39</v>
      </c>
      <c r="O20" s="12">
        <v>41</v>
      </c>
      <c r="P20" s="12">
        <v>12</v>
      </c>
      <c r="Q20" s="12">
        <v>23</v>
      </c>
      <c r="R20" s="12">
        <v>15</v>
      </c>
      <c r="S20" s="12">
        <v>51</v>
      </c>
      <c r="T20" s="12">
        <v>73</v>
      </c>
      <c r="U20" s="12">
        <v>12</v>
      </c>
      <c r="V20" s="12">
        <v>23</v>
      </c>
      <c r="W20" s="12">
        <v>9</v>
      </c>
      <c r="X20" s="12">
        <v>15</v>
      </c>
      <c r="Y20" s="12">
        <v>27</v>
      </c>
      <c r="Z20" s="12">
        <v>34</v>
      </c>
      <c r="AA20" s="12">
        <v>41</v>
      </c>
      <c r="AB20" s="12">
        <v>32</v>
      </c>
      <c r="AC20" s="12">
        <v>27</v>
      </c>
      <c r="AD20" s="12">
        <v>30</v>
      </c>
      <c r="AE20" s="12">
        <v>51</v>
      </c>
      <c r="AF20" s="12">
        <v>10</v>
      </c>
    </row>
    <row r="21" spans="1:32">
      <c r="A21" s="20"/>
      <c r="B21" s="13" t="s">
        <v>469</v>
      </c>
      <c r="C21" s="14">
        <v>0.03</v>
      </c>
      <c r="D21" s="14">
        <v>0.01</v>
      </c>
      <c r="E21" s="14">
        <v>0.05</v>
      </c>
      <c r="F21" s="14">
        <v>0.05</v>
      </c>
      <c r="G21" s="14">
        <v>0.04</v>
      </c>
      <c r="H21" s="14">
        <v>0.05</v>
      </c>
      <c r="I21" s="14">
        <v>0.04</v>
      </c>
      <c r="J21" s="14">
        <v>0.03</v>
      </c>
      <c r="K21" s="14">
        <v>7.0000000000000007E-2</v>
      </c>
      <c r="L21" s="14">
        <v>0.02</v>
      </c>
      <c r="M21" s="14">
        <v>0.04</v>
      </c>
      <c r="N21" s="14">
        <v>0.04</v>
      </c>
      <c r="O21" s="14">
        <v>0.04</v>
      </c>
      <c r="P21" s="14">
        <v>0.01</v>
      </c>
      <c r="Q21" s="14">
        <v>0.02</v>
      </c>
      <c r="R21" s="14">
        <v>0.03</v>
      </c>
      <c r="S21" s="14">
        <v>0.05</v>
      </c>
      <c r="T21" s="14">
        <v>7.0000000000000007E-2</v>
      </c>
      <c r="U21" s="14">
        <v>0.02</v>
      </c>
      <c r="V21" s="14">
        <v>0.02</v>
      </c>
      <c r="W21" s="14">
        <v>0.02</v>
      </c>
      <c r="X21" s="14">
        <v>0.02</v>
      </c>
      <c r="Y21" s="14">
        <v>0.03</v>
      </c>
      <c r="Z21" s="14">
        <v>0.03</v>
      </c>
      <c r="AA21" s="14">
        <v>0.04</v>
      </c>
      <c r="AB21" s="14">
        <v>0.03</v>
      </c>
      <c r="AC21" s="14">
        <v>0.03</v>
      </c>
      <c r="AD21" s="14">
        <v>0.03</v>
      </c>
      <c r="AE21" s="14">
        <v>0.05</v>
      </c>
      <c r="AF21" s="14">
        <v>0.01</v>
      </c>
    </row>
    <row r="22" spans="1:32">
      <c r="A22" s="20"/>
      <c r="B22" s="11" t="s">
        <v>1295</v>
      </c>
      <c r="C22" s="12">
        <v>20537</v>
      </c>
      <c r="D22" s="12">
        <v>808</v>
      </c>
      <c r="E22" s="12">
        <v>804</v>
      </c>
      <c r="F22" s="12">
        <v>715</v>
      </c>
      <c r="G22" s="12">
        <v>828</v>
      </c>
      <c r="H22" s="12">
        <v>956</v>
      </c>
      <c r="I22" s="12">
        <v>1189</v>
      </c>
      <c r="J22" s="12">
        <v>233</v>
      </c>
      <c r="K22" s="12">
        <v>743</v>
      </c>
      <c r="L22" s="12">
        <v>881</v>
      </c>
      <c r="M22" s="12">
        <v>806</v>
      </c>
      <c r="N22" s="12">
        <v>820</v>
      </c>
      <c r="O22" s="12">
        <v>745</v>
      </c>
      <c r="P22" s="12">
        <v>842</v>
      </c>
      <c r="Q22" s="12">
        <v>855</v>
      </c>
      <c r="R22" s="12">
        <v>435</v>
      </c>
      <c r="S22" s="12">
        <v>756</v>
      </c>
      <c r="T22" s="12">
        <v>745</v>
      </c>
      <c r="U22" s="12">
        <v>379</v>
      </c>
      <c r="V22" s="12">
        <v>829</v>
      </c>
      <c r="W22" s="12">
        <v>427</v>
      </c>
      <c r="X22" s="12">
        <v>755</v>
      </c>
      <c r="Y22" s="12">
        <v>791</v>
      </c>
      <c r="Z22" s="12">
        <v>767</v>
      </c>
      <c r="AA22" s="12">
        <v>829</v>
      </c>
      <c r="AB22" s="12">
        <v>745</v>
      </c>
      <c r="AC22" s="12">
        <v>770</v>
      </c>
      <c r="AD22" s="12">
        <v>911</v>
      </c>
      <c r="AE22" s="12">
        <v>620</v>
      </c>
      <c r="AF22" s="12">
        <v>642</v>
      </c>
    </row>
    <row r="23" spans="1:32">
      <c r="A23" s="20"/>
      <c r="B23" s="13" t="s">
        <v>1296</v>
      </c>
      <c r="C23" s="14">
        <v>0.78</v>
      </c>
      <c r="D23" s="14">
        <v>0.8</v>
      </c>
      <c r="E23" s="14">
        <v>0.79</v>
      </c>
      <c r="F23" s="14">
        <v>0.71</v>
      </c>
      <c r="G23" s="14">
        <v>0.82000000000000006</v>
      </c>
      <c r="H23" s="14">
        <v>0.78</v>
      </c>
      <c r="I23" s="14">
        <v>0.79</v>
      </c>
      <c r="J23" s="14">
        <v>0.8</v>
      </c>
      <c r="K23" s="14">
        <v>0.74</v>
      </c>
      <c r="L23" s="14">
        <v>0.87</v>
      </c>
      <c r="M23" s="14">
        <v>0.8</v>
      </c>
      <c r="N23" s="14">
        <v>0.82000000000000006</v>
      </c>
      <c r="O23" s="14">
        <v>0.74</v>
      </c>
      <c r="P23" s="14">
        <v>0.83000000000000007</v>
      </c>
      <c r="Q23" s="14">
        <v>0.84</v>
      </c>
      <c r="R23" s="14">
        <v>0.87</v>
      </c>
      <c r="S23" s="14">
        <v>0.75</v>
      </c>
      <c r="T23" s="14">
        <v>0.74</v>
      </c>
      <c r="U23" s="14">
        <v>0.75</v>
      </c>
      <c r="V23" s="14">
        <v>0.81</v>
      </c>
      <c r="W23" s="14">
        <v>0.85</v>
      </c>
      <c r="X23" s="14">
        <v>0.74</v>
      </c>
      <c r="Y23" s="14">
        <v>0.78</v>
      </c>
      <c r="Z23" s="14">
        <v>0.76</v>
      </c>
      <c r="AA23" s="14">
        <v>0.79</v>
      </c>
      <c r="AB23" s="14">
        <v>0.72</v>
      </c>
      <c r="AC23" s="14">
        <v>0.76</v>
      </c>
      <c r="AD23" s="14">
        <v>0.91</v>
      </c>
      <c r="AE23" s="14">
        <v>0.62</v>
      </c>
      <c r="AF23" s="14">
        <v>0.62</v>
      </c>
    </row>
    <row r="24" spans="1:32">
      <c r="A24" s="20"/>
      <c r="B24" s="11" t="s">
        <v>1297</v>
      </c>
      <c r="C24" s="12">
        <v>4886</v>
      </c>
      <c r="D24" s="12">
        <v>181</v>
      </c>
      <c r="E24" s="12">
        <v>163</v>
      </c>
      <c r="F24" s="12">
        <v>241</v>
      </c>
      <c r="G24" s="12">
        <v>136</v>
      </c>
      <c r="H24" s="12">
        <v>207</v>
      </c>
      <c r="I24" s="12">
        <v>258</v>
      </c>
      <c r="J24" s="12">
        <v>51</v>
      </c>
      <c r="K24" s="12">
        <v>191</v>
      </c>
      <c r="L24" s="12">
        <v>105</v>
      </c>
      <c r="M24" s="12">
        <v>154</v>
      </c>
      <c r="N24" s="12">
        <v>146</v>
      </c>
      <c r="O24" s="12">
        <v>218</v>
      </c>
      <c r="P24" s="12">
        <v>168</v>
      </c>
      <c r="Q24" s="12">
        <v>141</v>
      </c>
      <c r="R24" s="12">
        <v>50</v>
      </c>
      <c r="S24" s="12">
        <v>201</v>
      </c>
      <c r="T24" s="12">
        <v>196</v>
      </c>
      <c r="U24" s="12">
        <v>116</v>
      </c>
      <c r="V24" s="12">
        <v>165</v>
      </c>
      <c r="W24" s="12">
        <v>67</v>
      </c>
      <c r="X24" s="12">
        <v>251</v>
      </c>
      <c r="Y24" s="12">
        <v>190</v>
      </c>
      <c r="Z24" s="12">
        <v>208</v>
      </c>
      <c r="AA24" s="12">
        <v>184</v>
      </c>
      <c r="AB24" s="12">
        <v>262</v>
      </c>
      <c r="AC24" s="12">
        <v>214</v>
      </c>
      <c r="AD24" s="12">
        <v>65</v>
      </c>
      <c r="AE24" s="12">
        <v>330</v>
      </c>
      <c r="AF24" s="12">
        <v>369</v>
      </c>
    </row>
    <row r="25" spans="1:32">
      <c r="A25" s="20"/>
      <c r="B25" s="13" t="s">
        <v>1298</v>
      </c>
      <c r="C25" s="14">
        <v>0.19</v>
      </c>
      <c r="D25" s="14">
        <v>0.19</v>
      </c>
      <c r="E25" s="14">
        <v>0.16</v>
      </c>
      <c r="F25" s="14">
        <v>0.24</v>
      </c>
      <c r="G25" s="14">
        <v>0.14000000000000001</v>
      </c>
      <c r="H25" s="14">
        <v>0.17</v>
      </c>
      <c r="I25" s="14">
        <v>0.17</v>
      </c>
      <c r="J25" s="14">
        <v>0.17</v>
      </c>
      <c r="K25" s="14">
        <v>0.19</v>
      </c>
      <c r="L25" s="14">
        <v>0.11</v>
      </c>
      <c r="M25" s="14">
        <v>0.16</v>
      </c>
      <c r="N25" s="14">
        <v>0.14000000000000001</v>
      </c>
      <c r="O25" s="14">
        <v>0.22</v>
      </c>
      <c r="P25" s="14">
        <v>0.16</v>
      </c>
      <c r="Q25" s="14">
        <v>0.14000000000000001</v>
      </c>
      <c r="R25" s="14">
        <v>0.1</v>
      </c>
      <c r="S25" s="14">
        <v>0.2</v>
      </c>
      <c r="T25" s="14">
        <v>0.19</v>
      </c>
      <c r="U25" s="14">
        <v>0.23</v>
      </c>
      <c r="V25" s="14">
        <v>0.17</v>
      </c>
      <c r="W25" s="14">
        <v>0.13</v>
      </c>
      <c r="X25" s="14">
        <v>0.24</v>
      </c>
      <c r="Y25" s="14">
        <v>0.19</v>
      </c>
      <c r="Z25" s="14">
        <v>0.21</v>
      </c>
      <c r="AA25" s="14">
        <v>0.17</v>
      </c>
      <c r="AB25" s="14">
        <v>0.25</v>
      </c>
      <c r="AC25" s="14">
        <v>0.21</v>
      </c>
      <c r="AD25" s="14">
        <v>0.06</v>
      </c>
      <c r="AE25" s="14">
        <v>0.33</v>
      </c>
      <c r="AF25" s="14">
        <v>0.37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1303</v>
      </c>
      <c r="C3" s="18"/>
      <c r="D3" s="18"/>
      <c r="E3" s="18"/>
      <c r="F3" s="18"/>
      <c r="H3" s="18" t="s">
        <v>1304</v>
      </c>
      <c r="I3" s="18"/>
      <c r="J3" s="18"/>
      <c r="K3" s="18"/>
      <c r="L3" s="18"/>
    </row>
    <row r="4" spans="1:32" ht="27" customHeight="1">
      <c r="B4" s="18" t="s">
        <v>1305</v>
      </c>
      <c r="C4" s="18"/>
      <c r="D4" s="18"/>
      <c r="E4" s="18"/>
      <c r="F4" s="18"/>
      <c r="H4" s="18" t="s">
        <v>1306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1287</v>
      </c>
      <c r="C12" s="12">
        <v>10362</v>
      </c>
      <c r="D12" s="12">
        <v>491</v>
      </c>
      <c r="E12" s="12">
        <v>425</v>
      </c>
      <c r="F12" s="12">
        <v>295</v>
      </c>
      <c r="G12" s="12">
        <v>682</v>
      </c>
      <c r="H12" s="12">
        <v>465</v>
      </c>
      <c r="I12" s="12">
        <v>581</v>
      </c>
      <c r="J12" s="12">
        <v>116</v>
      </c>
      <c r="K12" s="12">
        <v>345</v>
      </c>
      <c r="L12" s="12">
        <v>618</v>
      </c>
      <c r="M12" s="12">
        <v>540</v>
      </c>
      <c r="N12" s="12">
        <v>435</v>
      </c>
      <c r="O12" s="12">
        <v>428</v>
      </c>
      <c r="P12" s="12">
        <v>375</v>
      </c>
      <c r="Q12" s="12">
        <v>324</v>
      </c>
      <c r="R12" s="12">
        <v>312</v>
      </c>
      <c r="S12" s="12">
        <v>461</v>
      </c>
      <c r="T12" s="12">
        <v>325</v>
      </c>
      <c r="U12" s="12">
        <v>251</v>
      </c>
      <c r="V12" s="12">
        <v>331</v>
      </c>
      <c r="W12" s="12">
        <v>299</v>
      </c>
      <c r="X12" s="12">
        <v>649</v>
      </c>
      <c r="Y12" s="12">
        <v>397</v>
      </c>
      <c r="Z12" s="12">
        <v>229</v>
      </c>
      <c r="AA12" s="12">
        <v>281</v>
      </c>
      <c r="AB12" s="12">
        <v>268</v>
      </c>
      <c r="AC12" s="12">
        <v>431</v>
      </c>
      <c r="AD12" s="12">
        <v>536</v>
      </c>
      <c r="AE12" s="12">
        <v>522</v>
      </c>
      <c r="AF12" s="12">
        <v>537</v>
      </c>
    </row>
    <row r="13" spans="1:32">
      <c r="A13" s="20"/>
      <c r="B13" s="13" t="s">
        <v>1288</v>
      </c>
      <c r="C13" s="14">
        <v>0.39</v>
      </c>
      <c r="D13" s="14">
        <v>0.49</v>
      </c>
      <c r="E13" s="14">
        <v>0.42</v>
      </c>
      <c r="F13" s="14">
        <v>0.28999999999999998</v>
      </c>
      <c r="G13" s="14">
        <v>0.68</v>
      </c>
      <c r="H13" s="14">
        <v>0.38</v>
      </c>
      <c r="I13" s="14">
        <v>0.39</v>
      </c>
      <c r="J13" s="14">
        <v>0.4</v>
      </c>
      <c r="K13" s="14">
        <v>0.34</v>
      </c>
      <c r="L13" s="14">
        <v>0.61</v>
      </c>
      <c r="M13" s="14">
        <v>0.54</v>
      </c>
      <c r="N13" s="14">
        <v>0.43</v>
      </c>
      <c r="O13" s="14">
        <v>0.43</v>
      </c>
      <c r="P13" s="14">
        <v>0.36</v>
      </c>
      <c r="Q13" s="14">
        <v>0.32</v>
      </c>
      <c r="R13" s="14">
        <v>0.63</v>
      </c>
      <c r="S13" s="14">
        <v>0.46</v>
      </c>
      <c r="T13" s="14">
        <v>0.32</v>
      </c>
      <c r="U13" s="14">
        <v>0.49</v>
      </c>
      <c r="V13" s="14">
        <v>0.32</v>
      </c>
      <c r="W13" s="14">
        <v>0.59</v>
      </c>
      <c r="X13" s="14">
        <v>0.64</v>
      </c>
      <c r="Y13" s="14">
        <v>0.39</v>
      </c>
      <c r="Z13" s="14">
        <v>0.23</v>
      </c>
      <c r="AA13" s="14">
        <v>0.27</v>
      </c>
      <c r="AB13" s="14">
        <v>0.26</v>
      </c>
      <c r="AC13" s="14">
        <v>0.43</v>
      </c>
      <c r="AD13" s="14">
        <v>0.53</v>
      </c>
      <c r="AE13" s="14">
        <v>0.52</v>
      </c>
      <c r="AF13" s="14">
        <v>0.53</v>
      </c>
    </row>
    <row r="14" spans="1:32">
      <c r="A14" s="20"/>
      <c r="B14" s="11" t="s">
        <v>1289</v>
      </c>
      <c r="C14" s="12">
        <v>11041</v>
      </c>
      <c r="D14" s="12">
        <v>386</v>
      </c>
      <c r="E14" s="12">
        <v>351</v>
      </c>
      <c r="F14" s="12">
        <v>427</v>
      </c>
      <c r="G14" s="12">
        <v>215</v>
      </c>
      <c r="H14" s="12">
        <v>524</v>
      </c>
      <c r="I14" s="12">
        <v>637</v>
      </c>
      <c r="J14" s="12">
        <v>113</v>
      </c>
      <c r="K14" s="12">
        <v>466</v>
      </c>
      <c r="L14" s="12">
        <v>307</v>
      </c>
      <c r="M14" s="12">
        <v>339</v>
      </c>
      <c r="N14" s="12">
        <v>420</v>
      </c>
      <c r="O14" s="12">
        <v>393</v>
      </c>
      <c r="P14" s="12">
        <v>450</v>
      </c>
      <c r="Q14" s="12">
        <v>508</v>
      </c>
      <c r="R14" s="12">
        <v>131</v>
      </c>
      <c r="S14" s="12">
        <v>347</v>
      </c>
      <c r="T14" s="12">
        <v>438</v>
      </c>
      <c r="U14" s="12">
        <v>191</v>
      </c>
      <c r="V14" s="12">
        <v>485</v>
      </c>
      <c r="W14" s="12">
        <v>134</v>
      </c>
      <c r="X14" s="12">
        <v>275</v>
      </c>
      <c r="Y14" s="12">
        <v>394</v>
      </c>
      <c r="Z14" s="12">
        <v>519</v>
      </c>
      <c r="AA14" s="12">
        <v>542</v>
      </c>
      <c r="AB14" s="12">
        <v>472</v>
      </c>
      <c r="AC14" s="12">
        <v>371</v>
      </c>
      <c r="AD14" s="12">
        <v>368</v>
      </c>
      <c r="AE14" s="12">
        <v>321</v>
      </c>
      <c r="AF14" s="12">
        <v>306</v>
      </c>
    </row>
    <row r="15" spans="1:32">
      <c r="A15" s="20"/>
      <c r="B15" s="13" t="s">
        <v>1290</v>
      </c>
      <c r="C15" s="14">
        <v>0.42</v>
      </c>
      <c r="D15" s="14">
        <v>0.38</v>
      </c>
      <c r="E15" s="14">
        <v>0.34</v>
      </c>
      <c r="F15" s="14">
        <v>0.42</v>
      </c>
      <c r="G15" s="14">
        <v>0.21</v>
      </c>
      <c r="H15" s="14">
        <v>0.43</v>
      </c>
      <c r="I15" s="14">
        <v>0.42</v>
      </c>
      <c r="J15" s="14">
        <v>0.38</v>
      </c>
      <c r="K15" s="14">
        <v>0.46</v>
      </c>
      <c r="L15" s="14">
        <v>0.31</v>
      </c>
      <c r="M15" s="14">
        <v>0.34</v>
      </c>
      <c r="N15" s="14">
        <v>0.42</v>
      </c>
      <c r="O15" s="14">
        <v>0.39</v>
      </c>
      <c r="P15" s="14">
        <v>0.44</v>
      </c>
      <c r="Q15" s="14">
        <v>0.5</v>
      </c>
      <c r="R15" s="14">
        <v>0.26</v>
      </c>
      <c r="S15" s="14">
        <v>0.34</v>
      </c>
      <c r="T15" s="14">
        <v>0.43</v>
      </c>
      <c r="U15" s="14">
        <v>0.38</v>
      </c>
      <c r="V15" s="14">
        <v>0.48</v>
      </c>
      <c r="W15" s="14">
        <v>0.27</v>
      </c>
      <c r="X15" s="14">
        <v>0.27</v>
      </c>
      <c r="Y15" s="14">
        <v>0.39</v>
      </c>
      <c r="Z15" s="14">
        <v>0.51</v>
      </c>
      <c r="AA15" s="14">
        <v>0.51</v>
      </c>
      <c r="AB15" s="14">
        <v>0.45</v>
      </c>
      <c r="AC15" s="14">
        <v>0.37</v>
      </c>
      <c r="AD15" s="14">
        <v>0.37</v>
      </c>
      <c r="AE15" s="14">
        <v>0.32</v>
      </c>
      <c r="AF15" s="14">
        <v>0.3</v>
      </c>
    </row>
    <row r="16" spans="1:32">
      <c r="A16" s="20"/>
      <c r="B16" s="11" t="s">
        <v>1291</v>
      </c>
      <c r="C16" s="12">
        <v>2770</v>
      </c>
      <c r="D16" s="12">
        <v>98</v>
      </c>
      <c r="E16" s="12">
        <v>100</v>
      </c>
      <c r="F16" s="12">
        <v>168</v>
      </c>
      <c r="G16" s="12">
        <v>54</v>
      </c>
      <c r="H16" s="12">
        <v>115</v>
      </c>
      <c r="I16" s="12">
        <v>157</v>
      </c>
      <c r="J16" s="12">
        <v>42</v>
      </c>
      <c r="K16" s="12">
        <v>103</v>
      </c>
      <c r="L16" s="12">
        <v>42</v>
      </c>
      <c r="M16" s="12">
        <v>46</v>
      </c>
      <c r="N16" s="12">
        <v>64</v>
      </c>
      <c r="O16" s="12">
        <v>97</v>
      </c>
      <c r="P16" s="12">
        <v>110</v>
      </c>
      <c r="Q16" s="12">
        <v>124</v>
      </c>
      <c r="R16" s="12">
        <v>21</v>
      </c>
      <c r="S16" s="12">
        <v>100</v>
      </c>
      <c r="T16" s="12">
        <v>114</v>
      </c>
      <c r="U16" s="12">
        <v>35</v>
      </c>
      <c r="V16" s="12">
        <v>123</v>
      </c>
      <c r="W16" s="12">
        <v>39</v>
      </c>
      <c r="X16" s="12">
        <v>77</v>
      </c>
      <c r="Y16" s="12">
        <v>106</v>
      </c>
      <c r="Z16" s="12">
        <v>168</v>
      </c>
      <c r="AA16" s="12">
        <v>100</v>
      </c>
      <c r="AB16" s="12">
        <v>160</v>
      </c>
      <c r="AC16" s="12">
        <v>99</v>
      </c>
      <c r="AD16" s="12">
        <v>50</v>
      </c>
      <c r="AE16" s="12">
        <v>106</v>
      </c>
      <c r="AF16" s="12">
        <v>125</v>
      </c>
    </row>
    <row r="17" spans="1:32">
      <c r="A17" s="20"/>
      <c r="B17" s="13" t="s">
        <v>1292</v>
      </c>
      <c r="C17" s="14">
        <v>0.11</v>
      </c>
      <c r="D17" s="14">
        <v>0.1</v>
      </c>
      <c r="E17" s="14">
        <v>0.1</v>
      </c>
      <c r="F17" s="14">
        <v>0.17</v>
      </c>
      <c r="G17" s="14">
        <v>0.05</v>
      </c>
      <c r="H17" s="14">
        <v>0.1</v>
      </c>
      <c r="I17" s="14">
        <v>0.1</v>
      </c>
      <c r="J17" s="14">
        <v>0.14000000000000001</v>
      </c>
      <c r="K17" s="14">
        <v>0.1</v>
      </c>
      <c r="L17" s="14">
        <v>0.04</v>
      </c>
      <c r="M17" s="14">
        <v>0.04</v>
      </c>
      <c r="N17" s="14">
        <v>0.06</v>
      </c>
      <c r="O17" s="14">
        <v>0.1</v>
      </c>
      <c r="P17" s="14">
        <v>0.11</v>
      </c>
      <c r="Q17" s="14">
        <v>0.12</v>
      </c>
      <c r="R17" s="14">
        <v>0.04</v>
      </c>
      <c r="S17" s="14">
        <v>0.1</v>
      </c>
      <c r="T17" s="14">
        <v>0.11</v>
      </c>
      <c r="U17" s="14">
        <v>7.0000000000000007E-2</v>
      </c>
      <c r="V17" s="14">
        <v>0.12</v>
      </c>
      <c r="W17" s="14">
        <v>0.08</v>
      </c>
      <c r="X17" s="14">
        <v>7.0000000000000007E-2</v>
      </c>
      <c r="Y17" s="14">
        <v>0.11</v>
      </c>
      <c r="Z17" s="14">
        <v>0.17</v>
      </c>
      <c r="AA17" s="14">
        <v>0.09</v>
      </c>
      <c r="AB17" s="14">
        <v>0.15</v>
      </c>
      <c r="AC17" s="14">
        <v>0.1</v>
      </c>
      <c r="AD17" s="14">
        <v>0.05</v>
      </c>
      <c r="AE17" s="14">
        <v>0.11</v>
      </c>
      <c r="AF17" s="14">
        <v>0.12</v>
      </c>
    </row>
    <row r="18" spans="1:32">
      <c r="A18" s="20"/>
      <c r="B18" s="11" t="s">
        <v>1293</v>
      </c>
      <c r="C18" s="12">
        <v>1223</v>
      </c>
      <c r="D18" s="12">
        <v>26</v>
      </c>
      <c r="E18" s="12">
        <v>79</v>
      </c>
      <c r="F18" s="12">
        <v>68</v>
      </c>
      <c r="G18" s="12">
        <v>15</v>
      </c>
      <c r="H18" s="12">
        <v>50</v>
      </c>
      <c r="I18" s="12">
        <v>62</v>
      </c>
      <c r="J18" s="12">
        <v>12</v>
      </c>
      <c r="K18" s="12">
        <v>56</v>
      </c>
      <c r="L18" s="12">
        <v>20</v>
      </c>
      <c r="M18" s="12">
        <v>37</v>
      </c>
      <c r="N18" s="12">
        <v>46</v>
      </c>
      <c r="O18" s="12">
        <v>50</v>
      </c>
      <c r="P18" s="12">
        <v>69</v>
      </c>
      <c r="Q18" s="12">
        <v>34</v>
      </c>
      <c r="R18" s="12">
        <v>16</v>
      </c>
      <c r="S18" s="12">
        <v>53</v>
      </c>
      <c r="T18" s="12">
        <v>55</v>
      </c>
      <c r="U18" s="12">
        <v>20</v>
      </c>
      <c r="V18" s="12">
        <v>52</v>
      </c>
      <c r="W18" s="12">
        <v>22</v>
      </c>
      <c r="X18" s="12">
        <v>12</v>
      </c>
      <c r="Y18" s="12">
        <v>78</v>
      </c>
      <c r="Z18" s="12">
        <v>61</v>
      </c>
      <c r="AA18" s="12">
        <v>81</v>
      </c>
      <c r="AB18" s="12">
        <v>103</v>
      </c>
      <c r="AC18" s="12">
        <v>87</v>
      </c>
      <c r="AD18" s="12">
        <v>15</v>
      </c>
      <c r="AE18" s="12">
        <v>27</v>
      </c>
      <c r="AF18" s="12">
        <v>33</v>
      </c>
    </row>
    <row r="19" spans="1:32">
      <c r="A19" s="20"/>
      <c r="B19" s="13" t="s">
        <v>1294</v>
      </c>
      <c r="C19" s="14">
        <v>0.05</v>
      </c>
      <c r="D19" s="14">
        <v>0.03</v>
      </c>
      <c r="E19" s="14">
        <v>0.08</v>
      </c>
      <c r="F19" s="14">
        <v>7.0000000000000007E-2</v>
      </c>
      <c r="G19" s="14">
        <v>0.02</v>
      </c>
      <c r="H19" s="14">
        <v>0.04</v>
      </c>
      <c r="I19" s="14">
        <v>0.04</v>
      </c>
      <c r="J19" s="14">
        <v>0.04</v>
      </c>
      <c r="K19" s="14">
        <v>0.06</v>
      </c>
      <c r="L19" s="14">
        <v>0.02</v>
      </c>
      <c r="M19" s="14">
        <v>0.04</v>
      </c>
      <c r="N19" s="14">
        <v>0.05</v>
      </c>
      <c r="O19" s="14">
        <v>0.05</v>
      </c>
      <c r="P19" s="14">
        <v>7.0000000000000007E-2</v>
      </c>
      <c r="Q19" s="14">
        <v>0.03</v>
      </c>
      <c r="R19" s="14">
        <v>0.03</v>
      </c>
      <c r="S19" s="14">
        <v>0.05</v>
      </c>
      <c r="T19" s="14">
        <v>0.06</v>
      </c>
      <c r="U19" s="14">
        <v>0.04</v>
      </c>
      <c r="V19" s="14">
        <v>0.05</v>
      </c>
      <c r="W19" s="14">
        <v>0.04</v>
      </c>
      <c r="X19" s="14">
        <v>0.01</v>
      </c>
      <c r="Y19" s="14">
        <v>0.08</v>
      </c>
      <c r="Z19" s="14">
        <v>0.06</v>
      </c>
      <c r="AA19" s="14">
        <v>0.08</v>
      </c>
      <c r="AB19" s="14">
        <v>0.1</v>
      </c>
      <c r="AC19" s="14">
        <v>0.08</v>
      </c>
      <c r="AD19" s="14">
        <v>0.01</v>
      </c>
      <c r="AE19" s="14">
        <v>0.03</v>
      </c>
      <c r="AF19" s="14">
        <v>0.03</v>
      </c>
    </row>
    <row r="20" spans="1:32">
      <c r="A20" s="20"/>
      <c r="B20" s="11" t="s">
        <v>468</v>
      </c>
      <c r="C20" s="12">
        <v>923</v>
      </c>
      <c r="D20" s="12">
        <v>2</v>
      </c>
      <c r="E20" s="12">
        <v>62</v>
      </c>
      <c r="F20" s="12">
        <v>46</v>
      </c>
      <c r="G20" s="12">
        <v>37</v>
      </c>
      <c r="H20" s="12">
        <v>62</v>
      </c>
      <c r="I20" s="12">
        <v>73</v>
      </c>
      <c r="J20" s="12">
        <v>10</v>
      </c>
      <c r="K20" s="12">
        <v>37</v>
      </c>
      <c r="L20" s="12">
        <v>20</v>
      </c>
      <c r="M20" s="12">
        <v>41</v>
      </c>
      <c r="N20" s="12">
        <v>39</v>
      </c>
      <c r="O20" s="12">
        <v>35</v>
      </c>
      <c r="P20" s="12">
        <v>18</v>
      </c>
      <c r="Q20" s="12">
        <v>29</v>
      </c>
      <c r="R20" s="12">
        <v>20</v>
      </c>
      <c r="S20" s="12">
        <v>47</v>
      </c>
      <c r="T20" s="12">
        <v>82</v>
      </c>
      <c r="U20" s="12">
        <v>10</v>
      </c>
      <c r="V20" s="12">
        <v>26</v>
      </c>
      <c r="W20" s="12">
        <v>9</v>
      </c>
      <c r="X20" s="12">
        <v>8</v>
      </c>
      <c r="Y20" s="12">
        <v>33</v>
      </c>
      <c r="Z20" s="12">
        <v>31</v>
      </c>
      <c r="AA20" s="12">
        <v>50</v>
      </c>
      <c r="AB20" s="12">
        <v>36</v>
      </c>
      <c r="AC20" s="12">
        <v>21</v>
      </c>
      <c r="AD20" s="12">
        <v>37</v>
      </c>
      <c r="AE20" s="12">
        <v>24</v>
      </c>
      <c r="AF20" s="12">
        <v>18</v>
      </c>
    </row>
    <row r="21" spans="1:32">
      <c r="A21" s="20"/>
      <c r="B21" s="13" t="s">
        <v>469</v>
      </c>
      <c r="C21" s="14">
        <v>0.03</v>
      </c>
      <c r="D21" s="15" t="s">
        <v>459</v>
      </c>
      <c r="E21" s="14">
        <v>0.06</v>
      </c>
      <c r="F21" s="14">
        <v>0.05</v>
      </c>
      <c r="G21" s="14">
        <v>0.04</v>
      </c>
      <c r="H21" s="14">
        <v>0.05</v>
      </c>
      <c r="I21" s="14">
        <v>0.05</v>
      </c>
      <c r="J21" s="14">
        <v>0.04</v>
      </c>
      <c r="K21" s="14">
        <v>0.04</v>
      </c>
      <c r="L21" s="14">
        <v>0.02</v>
      </c>
      <c r="M21" s="14">
        <v>0.04</v>
      </c>
      <c r="N21" s="14">
        <v>0.04</v>
      </c>
      <c r="O21" s="14">
        <v>0.03</v>
      </c>
      <c r="P21" s="14">
        <v>0.02</v>
      </c>
      <c r="Q21" s="14">
        <v>0.03</v>
      </c>
      <c r="R21" s="14">
        <v>0.04</v>
      </c>
      <c r="S21" s="14">
        <v>0.05</v>
      </c>
      <c r="T21" s="14">
        <v>0.08</v>
      </c>
      <c r="U21" s="14">
        <v>0.02</v>
      </c>
      <c r="V21" s="14">
        <v>0.03</v>
      </c>
      <c r="W21" s="14">
        <v>0.02</v>
      </c>
      <c r="X21" s="14">
        <v>0.01</v>
      </c>
      <c r="Y21" s="14">
        <v>0.03</v>
      </c>
      <c r="Z21" s="14">
        <v>0.03</v>
      </c>
      <c r="AA21" s="14">
        <v>0.05</v>
      </c>
      <c r="AB21" s="14">
        <v>0.04</v>
      </c>
      <c r="AC21" s="14">
        <v>0.02</v>
      </c>
      <c r="AD21" s="14">
        <v>0.04</v>
      </c>
      <c r="AE21" s="14">
        <v>0.02</v>
      </c>
      <c r="AF21" s="14">
        <v>0.02</v>
      </c>
    </row>
    <row r="22" spans="1:32">
      <c r="A22" s="20"/>
      <c r="B22" s="11" t="s">
        <v>1295</v>
      </c>
      <c r="C22" s="12">
        <v>21403</v>
      </c>
      <c r="D22" s="12">
        <v>877</v>
      </c>
      <c r="E22" s="12">
        <v>776</v>
      </c>
      <c r="F22" s="12">
        <v>722</v>
      </c>
      <c r="G22" s="12">
        <v>897</v>
      </c>
      <c r="H22" s="12">
        <v>989</v>
      </c>
      <c r="I22" s="12">
        <v>1218</v>
      </c>
      <c r="J22" s="12">
        <v>229</v>
      </c>
      <c r="K22" s="12">
        <v>811</v>
      </c>
      <c r="L22" s="12">
        <v>925</v>
      </c>
      <c r="M22" s="12">
        <v>879</v>
      </c>
      <c r="N22" s="12">
        <v>855</v>
      </c>
      <c r="O22" s="12">
        <v>821</v>
      </c>
      <c r="P22" s="12">
        <v>825</v>
      </c>
      <c r="Q22" s="12">
        <v>832</v>
      </c>
      <c r="R22" s="12">
        <v>443</v>
      </c>
      <c r="S22" s="12">
        <v>808</v>
      </c>
      <c r="T22" s="12">
        <v>763</v>
      </c>
      <c r="U22" s="12">
        <v>442</v>
      </c>
      <c r="V22" s="12">
        <v>816</v>
      </c>
      <c r="W22" s="12">
        <v>433</v>
      </c>
      <c r="X22" s="12">
        <v>924</v>
      </c>
      <c r="Y22" s="12">
        <v>791</v>
      </c>
      <c r="Z22" s="12">
        <v>748</v>
      </c>
      <c r="AA22" s="12">
        <v>823</v>
      </c>
      <c r="AB22" s="12">
        <v>740</v>
      </c>
      <c r="AC22" s="12">
        <v>802</v>
      </c>
      <c r="AD22" s="12">
        <v>904</v>
      </c>
      <c r="AE22" s="12">
        <v>843</v>
      </c>
      <c r="AF22" s="12">
        <v>843</v>
      </c>
    </row>
    <row r="23" spans="1:32">
      <c r="A23" s="20"/>
      <c r="B23" s="13" t="s">
        <v>1296</v>
      </c>
      <c r="C23" s="14">
        <v>0.81</v>
      </c>
      <c r="D23" s="14">
        <v>0.87</v>
      </c>
      <c r="E23" s="14">
        <v>0.76</v>
      </c>
      <c r="F23" s="14">
        <v>0.71</v>
      </c>
      <c r="G23" s="14">
        <v>0.89</v>
      </c>
      <c r="H23" s="14">
        <v>0.81</v>
      </c>
      <c r="I23" s="14">
        <v>0.81</v>
      </c>
      <c r="J23" s="14">
        <v>0.78</v>
      </c>
      <c r="K23" s="14">
        <v>0.8</v>
      </c>
      <c r="L23" s="14">
        <v>0.92</v>
      </c>
      <c r="M23" s="14">
        <v>0.88</v>
      </c>
      <c r="N23" s="14">
        <v>0.85</v>
      </c>
      <c r="O23" s="14">
        <v>0.82000000000000006</v>
      </c>
      <c r="P23" s="14">
        <v>0.8</v>
      </c>
      <c r="Q23" s="14">
        <v>0.82000000000000006</v>
      </c>
      <c r="R23" s="14">
        <v>0.89</v>
      </c>
      <c r="S23" s="14">
        <v>0.8</v>
      </c>
      <c r="T23" s="14">
        <v>0.75</v>
      </c>
      <c r="U23" s="14">
        <v>0.87</v>
      </c>
      <c r="V23" s="14">
        <v>0.8</v>
      </c>
      <c r="W23" s="14">
        <v>0.86</v>
      </c>
      <c r="X23" s="14">
        <v>0.91</v>
      </c>
      <c r="Y23" s="14">
        <v>0.78</v>
      </c>
      <c r="Z23" s="14">
        <v>0.74</v>
      </c>
      <c r="AA23" s="14">
        <v>0.78</v>
      </c>
      <c r="AB23" s="14">
        <v>0.71</v>
      </c>
      <c r="AC23" s="14">
        <v>0.8</v>
      </c>
      <c r="AD23" s="14">
        <v>0.9</v>
      </c>
      <c r="AE23" s="14">
        <v>0.84</v>
      </c>
      <c r="AF23" s="14">
        <v>0.83000000000000007</v>
      </c>
    </row>
    <row r="24" spans="1:32">
      <c r="A24" s="20"/>
      <c r="B24" s="11" t="s">
        <v>1297</v>
      </c>
      <c r="C24" s="12">
        <v>3993</v>
      </c>
      <c r="D24" s="12">
        <v>124</v>
      </c>
      <c r="E24" s="12">
        <v>179</v>
      </c>
      <c r="F24" s="12">
        <v>236</v>
      </c>
      <c r="G24" s="12">
        <v>69</v>
      </c>
      <c r="H24" s="12">
        <v>165</v>
      </c>
      <c r="I24" s="12">
        <v>219</v>
      </c>
      <c r="J24" s="12">
        <v>54</v>
      </c>
      <c r="K24" s="12">
        <v>159</v>
      </c>
      <c r="L24" s="12">
        <v>62</v>
      </c>
      <c r="M24" s="12">
        <v>83</v>
      </c>
      <c r="N24" s="12">
        <v>110</v>
      </c>
      <c r="O24" s="12">
        <v>147</v>
      </c>
      <c r="P24" s="12">
        <v>179</v>
      </c>
      <c r="Q24" s="12">
        <v>158</v>
      </c>
      <c r="R24" s="12">
        <v>37</v>
      </c>
      <c r="S24" s="12">
        <v>153</v>
      </c>
      <c r="T24" s="12">
        <v>169</v>
      </c>
      <c r="U24" s="12">
        <v>55</v>
      </c>
      <c r="V24" s="12">
        <v>175</v>
      </c>
      <c r="W24" s="12">
        <v>61</v>
      </c>
      <c r="X24" s="12">
        <v>89</v>
      </c>
      <c r="Y24" s="12">
        <v>184</v>
      </c>
      <c r="Z24" s="12">
        <v>229</v>
      </c>
      <c r="AA24" s="12">
        <v>181</v>
      </c>
      <c r="AB24" s="12">
        <v>263</v>
      </c>
      <c r="AC24" s="12">
        <v>186</v>
      </c>
      <c r="AD24" s="12">
        <v>65</v>
      </c>
      <c r="AE24" s="12">
        <v>133</v>
      </c>
      <c r="AF24" s="12">
        <v>158</v>
      </c>
    </row>
    <row r="25" spans="1:32">
      <c r="A25" s="20"/>
      <c r="B25" s="13" t="s">
        <v>1298</v>
      </c>
      <c r="C25" s="14">
        <v>0.16</v>
      </c>
      <c r="D25" s="14">
        <v>0.13</v>
      </c>
      <c r="E25" s="14">
        <v>0.18</v>
      </c>
      <c r="F25" s="14">
        <v>0.24</v>
      </c>
      <c r="G25" s="14">
        <v>7.0000000000000007E-2</v>
      </c>
      <c r="H25" s="14">
        <v>0.14000000000000001</v>
      </c>
      <c r="I25" s="14">
        <v>0.14000000000000001</v>
      </c>
      <c r="J25" s="14">
        <v>0.18</v>
      </c>
      <c r="K25" s="14">
        <v>0.16</v>
      </c>
      <c r="L25" s="14">
        <v>0.06</v>
      </c>
      <c r="M25" s="14">
        <v>0.08</v>
      </c>
      <c r="N25" s="14">
        <v>0.11</v>
      </c>
      <c r="O25" s="14">
        <v>0.15</v>
      </c>
      <c r="P25" s="14">
        <v>0.18</v>
      </c>
      <c r="Q25" s="14">
        <v>0.15</v>
      </c>
      <c r="R25" s="14">
        <v>7.0000000000000007E-2</v>
      </c>
      <c r="S25" s="14">
        <v>0.15</v>
      </c>
      <c r="T25" s="14">
        <v>0.17</v>
      </c>
      <c r="U25" s="14">
        <v>0.11</v>
      </c>
      <c r="V25" s="14">
        <v>0.17</v>
      </c>
      <c r="W25" s="14">
        <v>0.12</v>
      </c>
      <c r="X25" s="14">
        <v>0.08</v>
      </c>
      <c r="Y25" s="14">
        <v>0.19</v>
      </c>
      <c r="Z25" s="14">
        <v>0.23</v>
      </c>
      <c r="AA25" s="14">
        <v>0.17</v>
      </c>
      <c r="AB25" s="14">
        <v>0.25</v>
      </c>
      <c r="AC25" s="14">
        <v>0.18</v>
      </c>
      <c r="AD25" s="14">
        <v>0.06</v>
      </c>
      <c r="AE25" s="14">
        <v>0.14000000000000001</v>
      </c>
      <c r="AF25" s="14">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1307</v>
      </c>
      <c r="C3" s="18"/>
      <c r="D3" s="18"/>
      <c r="E3" s="18"/>
      <c r="F3" s="18"/>
      <c r="H3" s="18" t="s">
        <v>1308</v>
      </c>
      <c r="I3" s="18"/>
      <c r="J3" s="18"/>
      <c r="K3" s="18"/>
      <c r="L3" s="18"/>
    </row>
    <row r="4" spans="1:32" ht="27" customHeight="1">
      <c r="B4" s="18" t="s">
        <v>1309</v>
      </c>
      <c r="C4" s="18"/>
      <c r="D4" s="18"/>
      <c r="E4" s="18"/>
      <c r="F4" s="18"/>
      <c r="H4" s="18" t="s">
        <v>1310</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1287</v>
      </c>
      <c r="C12" s="12">
        <v>7392</v>
      </c>
      <c r="D12" s="12">
        <v>315</v>
      </c>
      <c r="E12" s="12">
        <v>355</v>
      </c>
      <c r="F12" s="12">
        <v>214</v>
      </c>
      <c r="G12" s="12">
        <v>316</v>
      </c>
      <c r="H12" s="12">
        <v>271</v>
      </c>
      <c r="I12" s="12">
        <v>344</v>
      </c>
      <c r="J12" s="12">
        <v>73</v>
      </c>
      <c r="K12" s="12">
        <v>247</v>
      </c>
      <c r="L12" s="12">
        <v>508</v>
      </c>
      <c r="M12" s="12">
        <v>449</v>
      </c>
      <c r="N12" s="12">
        <v>389</v>
      </c>
      <c r="O12" s="12">
        <v>273</v>
      </c>
      <c r="P12" s="12">
        <v>335</v>
      </c>
      <c r="Q12" s="12">
        <v>319</v>
      </c>
      <c r="R12" s="12">
        <v>314</v>
      </c>
      <c r="S12" s="12">
        <v>304</v>
      </c>
      <c r="T12" s="12">
        <v>306</v>
      </c>
      <c r="U12" s="12">
        <v>171</v>
      </c>
      <c r="V12" s="12">
        <v>270</v>
      </c>
      <c r="W12" s="12">
        <v>229</v>
      </c>
      <c r="X12" s="12">
        <v>225</v>
      </c>
      <c r="Y12" s="12">
        <v>308</v>
      </c>
      <c r="Z12" s="12">
        <v>192</v>
      </c>
      <c r="AA12" s="12">
        <v>247</v>
      </c>
      <c r="AB12" s="12">
        <v>229</v>
      </c>
      <c r="AC12" s="12">
        <v>327</v>
      </c>
      <c r="AD12" s="12">
        <v>443</v>
      </c>
      <c r="AE12" s="12">
        <v>263</v>
      </c>
      <c r="AF12" s="12">
        <v>180</v>
      </c>
    </row>
    <row r="13" spans="1:32">
      <c r="A13" s="20"/>
      <c r="B13" s="13" t="s">
        <v>1288</v>
      </c>
      <c r="C13" s="14">
        <v>0.28000000000000003</v>
      </c>
      <c r="D13" s="14">
        <v>0.31</v>
      </c>
      <c r="E13" s="14">
        <v>0.35</v>
      </c>
      <c r="F13" s="14">
        <v>0.21</v>
      </c>
      <c r="G13" s="14">
        <v>0.31</v>
      </c>
      <c r="H13" s="14">
        <v>0.22</v>
      </c>
      <c r="I13" s="14">
        <v>0.23</v>
      </c>
      <c r="J13" s="14">
        <v>0.25</v>
      </c>
      <c r="K13" s="14">
        <v>0.24</v>
      </c>
      <c r="L13" s="14">
        <v>0.5</v>
      </c>
      <c r="M13" s="14">
        <v>0.45</v>
      </c>
      <c r="N13" s="14">
        <v>0.39</v>
      </c>
      <c r="O13" s="14">
        <v>0.27</v>
      </c>
      <c r="P13" s="14">
        <v>0.33</v>
      </c>
      <c r="Q13" s="14">
        <v>0.31</v>
      </c>
      <c r="R13" s="14">
        <v>0.63</v>
      </c>
      <c r="S13" s="14">
        <v>0.3</v>
      </c>
      <c r="T13" s="14">
        <v>0.3</v>
      </c>
      <c r="U13" s="14">
        <v>0.34</v>
      </c>
      <c r="V13" s="14">
        <v>0.27</v>
      </c>
      <c r="W13" s="14">
        <v>0.45</v>
      </c>
      <c r="X13" s="14">
        <v>0.22</v>
      </c>
      <c r="Y13" s="14">
        <v>0.31</v>
      </c>
      <c r="Z13" s="14">
        <v>0.19</v>
      </c>
      <c r="AA13" s="14">
        <v>0.24</v>
      </c>
      <c r="AB13" s="14">
        <v>0.22</v>
      </c>
      <c r="AC13" s="14">
        <v>0.32</v>
      </c>
      <c r="AD13" s="14">
        <v>0.44</v>
      </c>
      <c r="AE13" s="14">
        <v>0.26</v>
      </c>
      <c r="AF13" s="14">
        <v>0.18</v>
      </c>
    </row>
    <row r="14" spans="1:32">
      <c r="A14" s="20"/>
      <c r="B14" s="11" t="s">
        <v>1289</v>
      </c>
      <c r="C14" s="12">
        <v>12259</v>
      </c>
      <c r="D14" s="12">
        <v>472</v>
      </c>
      <c r="E14" s="12">
        <v>399</v>
      </c>
      <c r="F14" s="12">
        <v>457</v>
      </c>
      <c r="G14" s="12">
        <v>389</v>
      </c>
      <c r="H14" s="12">
        <v>622</v>
      </c>
      <c r="I14" s="12">
        <v>751</v>
      </c>
      <c r="J14" s="12">
        <v>129</v>
      </c>
      <c r="K14" s="12">
        <v>520</v>
      </c>
      <c r="L14" s="12">
        <v>325</v>
      </c>
      <c r="M14" s="12">
        <v>404</v>
      </c>
      <c r="N14" s="12">
        <v>447</v>
      </c>
      <c r="O14" s="12">
        <v>427</v>
      </c>
      <c r="P14" s="12">
        <v>481</v>
      </c>
      <c r="Q14" s="12">
        <v>535</v>
      </c>
      <c r="R14" s="12">
        <v>129</v>
      </c>
      <c r="S14" s="12">
        <v>431</v>
      </c>
      <c r="T14" s="12">
        <v>447</v>
      </c>
      <c r="U14" s="12">
        <v>219</v>
      </c>
      <c r="V14" s="12">
        <v>519</v>
      </c>
      <c r="W14" s="12">
        <v>159</v>
      </c>
      <c r="X14" s="12">
        <v>437</v>
      </c>
      <c r="Y14" s="12">
        <v>407</v>
      </c>
      <c r="Z14" s="12">
        <v>543</v>
      </c>
      <c r="AA14" s="12">
        <v>557</v>
      </c>
      <c r="AB14" s="12">
        <v>467</v>
      </c>
      <c r="AC14" s="12">
        <v>432</v>
      </c>
      <c r="AD14" s="12">
        <v>454</v>
      </c>
      <c r="AE14" s="12">
        <v>346</v>
      </c>
      <c r="AF14" s="12">
        <v>352</v>
      </c>
    </row>
    <row r="15" spans="1:32">
      <c r="A15" s="20"/>
      <c r="B15" s="13" t="s">
        <v>1290</v>
      </c>
      <c r="C15" s="14">
        <v>0.47</v>
      </c>
      <c r="D15" s="14">
        <v>0.47</v>
      </c>
      <c r="E15" s="14">
        <v>0.39</v>
      </c>
      <c r="F15" s="14">
        <v>0.46</v>
      </c>
      <c r="G15" s="14">
        <v>0.39</v>
      </c>
      <c r="H15" s="14">
        <v>0.51</v>
      </c>
      <c r="I15" s="14">
        <v>0.5</v>
      </c>
      <c r="J15" s="14">
        <v>0.44</v>
      </c>
      <c r="K15" s="14">
        <v>0.52</v>
      </c>
      <c r="L15" s="14">
        <v>0.32</v>
      </c>
      <c r="M15" s="14">
        <v>0.4</v>
      </c>
      <c r="N15" s="14">
        <v>0.45</v>
      </c>
      <c r="O15" s="14">
        <v>0.43</v>
      </c>
      <c r="P15" s="14">
        <v>0.47</v>
      </c>
      <c r="Q15" s="14">
        <v>0.53</v>
      </c>
      <c r="R15" s="14">
        <v>0.26</v>
      </c>
      <c r="S15" s="14">
        <v>0.43</v>
      </c>
      <c r="T15" s="14">
        <v>0.44</v>
      </c>
      <c r="U15" s="14">
        <v>0.43</v>
      </c>
      <c r="V15" s="14">
        <v>0.51</v>
      </c>
      <c r="W15" s="14">
        <v>0.32</v>
      </c>
      <c r="X15" s="14">
        <v>0.43</v>
      </c>
      <c r="Y15" s="14">
        <v>0.4</v>
      </c>
      <c r="Z15" s="14">
        <v>0.54</v>
      </c>
      <c r="AA15" s="14">
        <v>0.53</v>
      </c>
      <c r="AB15" s="14">
        <v>0.45</v>
      </c>
      <c r="AC15" s="14">
        <v>0.43</v>
      </c>
      <c r="AD15" s="14">
        <v>0.45</v>
      </c>
      <c r="AE15" s="14">
        <v>0.35</v>
      </c>
      <c r="AF15" s="14">
        <v>0.34</v>
      </c>
    </row>
    <row r="16" spans="1:32">
      <c r="A16" s="20"/>
      <c r="B16" s="11" t="s">
        <v>1291</v>
      </c>
      <c r="C16" s="12">
        <v>4250</v>
      </c>
      <c r="D16" s="12">
        <v>160</v>
      </c>
      <c r="E16" s="12">
        <v>115</v>
      </c>
      <c r="F16" s="12">
        <v>196</v>
      </c>
      <c r="G16" s="12">
        <v>187</v>
      </c>
      <c r="H16" s="12">
        <v>195</v>
      </c>
      <c r="I16" s="12">
        <v>252</v>
      </c>
      <c r="J16" s="12">
        <v>57</v>
      </c>
      <c r="K16" s="12">
        <v>138</v>
      </c>
      <c r="L16" s="12">
        <v>89</v>
      </c>
      <c r="M16" s="12">
        <v>78</v>
      </c>
      <c r="N16" s="12">
        <v>95</v>
      </c>
      <c r="O16" s="12">
        <v>203</v>
      </c>
      <c r="P16" s="12">
        <v>117</v>
      </c>
      <c r="Q16" s="12">
        <v>126</v>
      </c>
      <c r="R16" s="12">
        <v>26</v>
      </c>
      <c r="S16" s="12">
        <v>139</v>
      </c>
      <c r="T16" s="12">
        <v>138</v>
      </c>
      <c r="U16" s="12">
        <v>73</v>
      </c>
      <c r="V16" s="12">
        <v>144</v>
      </c>
      <c r="W16" s="12">
        <v>47</v>
      </c>
      <c r="X16" s="12">
        <v>279</v>
      </c>
      <c r="Y16" s="12">
        <v>146</v>
      </c>
      <c r="Z16" s="12">
        <v>180</v>
      </c>
      <c r="AA16" s="12">
        <v>106</v>
      </c>
      <c r="AB16" s="12">
        <v>196</v>
      </c>
      <c r="AC16" s="12">
        <v>123</v>
      </c>
      <c r="AD16" s="12">
        <v>63</v>
      </c>
      <c r="AE16" s="12">
        <v>276</v>
      </c>
      <c r="AF16" s="12">
        <v>345</v>
      </c>
    </row>
    <row r="17" spans="1:32">
      <c r="A17" s="20"/>
      <c r="B17" s="13" t="s">
        <v>1292</v>
      </c>
      <c r="C17" s="14">
        <v>0.16</v>
      </c>
      <c r="D17" s="14">
        <v>0.16</v>
      </c>
      <c r="E17" s="14">
        <v>0.11</v>
      </c>
      <c r="F17" s="14">
        <v>0.2</v>
      </c>
      <c r="G17" s="14">
        <v>0.19</v>
      </c>
      <c r="H17" s="14">
        <v>0.16</v>
      </c>
      <c r="I17" s="14">
        <v>0.17</v>
      </c>
      <c r="J17" s="14">
        <v>0.19</v>
      </c>
      <c r="K17" s="14">
        <v>0.14000000000000001</v>
      </c>
      <c r="L17" s="14">
        <v>0.09</v>
      </c>
      <c r="M17" s="14">
        <v>0.08</v>
      </c>
      <c r="N17" s="14">
        <v>0.09</v>
      </c>
      <c r="O17" s="14">
        <v>0.2</v>
      </c>
      <c r="P17" s="14">
        <v>0.11</v>
      </c>
      <c r="Q17" s="14">
        <v>0.12</v>
      </c>
      <c r="R17" s="14">
        <v>0.05</v>
      </c>
      <c r="S17" s="14">
        <v>0.14000000000000001</v>
      </c>
      <c r="T17" s="14">
        <v>0.14000000000000001</v>
      </c>
      <c r="U17" s="14">
        <v>0.14000000000000001</v>
      </c>
      <c r="V17" s="14">
        <v>0.14000000000000001</v>
      </c>
      <c r="W17" s="14">
        <v>0.09</v>
      </c>
      <c r="X17" s="14">
        <v>0.27</v>
      </c>
      <c r="Y17" s="14">
        <v>0.15</v>
      </c>
      <c r="Z17" s="14">
        <v>0.18</v>
      </c>
      <c r="AA17" s="14">
        <v>0.1</v>
      </c>
      <c r="AB17" s="14">
        <v>0.19</v>
      </c>
      <c r="AC17" s="14">
        <v>0.12</v>
      </c>
      <c r="AD17" s="14">
        <v>0.06</v>
      </c>
      <c r="AE17" s="14">
        <v>0.28000000000000003</v>
      </c>
      <c r="AF17" s="14">
        <v>0.34</v>
      </c>
    </row>
    <row r="18" spans="1:32">
      <c r="A18" s="20"/>
      <c r="B18" s="11" t="s">
        <v>1293</v>
      </c>
      <c r="C18" s="12">
        <v>1725</v>
      </c>
      <c r="D18" s="12">
        <v>49</v>
      </c>
      <c r="E18" s="12">
        <v>93</v>
      </c>
      <c r="F18" s="12">
        <v>85</v>
      </c>
      <c r="G18" s="12">
        <v>76</v>
      </c>
      <c r="H18" s="12">
        <v>85</v>
      </c>
      <c r="I18" s="12">
        <v>113</v>
      </c>
      <c r="J18" s="12">
        <v>28</v>
      </c>
      <c r="K18" s="12">
        <v>69</v>
      </c>
      <c r="L18" s="12">
        <v>71</v>
      </c>
      <c r="M18" s="12">
        <v>60</v>
      </c>
      <c r="N18" s="12">
        <v>44</v>
      </c>
      <c r="O18" s="12">
        <v>71</v>
      </c>
      <c r="P18" s="12">
        <v>80</v>
      </c>
      <c r="Q18" s="12">
        <v>17</v>
      </c>
      <c r="R18" s="12">
        <v>16</v>
      </c>
      <c r="S18" s="12">
        <v>90</v>
      </c>
      <c r="T18" s="12">
        <v>64</v>
      </c>
      <c r="U18" s="12">
        <v>33</v>
      </c>
      <c r="V18" s="12">
        <v>65</v>
      </c>
      <c r="W18" s="12">
        <v>60</v>
      </c>
      <c r="X18" s="12">
        <v>72</v>
      </c>
      <c r="Y18" s="12">
        <v>123</v>
      </c>
      <c r="Z18" s="12">
        <v>71</v>
      </c>
      <c r="AA18" s="12">
        <v>99</v>
      </c>
      <c r="AB18" s="12">
        <v>110</v>
      </c>
      <c r="AC18" s="12">
        <v>108</v>
      </c>
      <c r="AD18" s="12">
        <v>25</v>
      </c>
      <c r="AE18" s="12">
        <v>92</v>
      </c>
      <c r="AF18" s="12">
        <v>138</v>
      </c>
    </row>
    <row r="19" spans="1:32">
      <c r="A19" s="20"/>
      <c r="B19" s="13" t="s">
        <v>1294</v>
      </c>
      <c r="C19" s="14">
        <v>0.06</v>
      </c>
      <c r="D19" s="14">
        <v>0.05</v>
      </c>
      <c r="E19" s="14">
        <v>0.09</v>
      </c>
      <c r="F19" s="14">
        <v>0.08</v>
      </c>
      <c r="G19" s="14">
        <v>7.0000000000000007E-2</v>
      </c>
      <c r="H19" s="14">
        <v>7.0000000000000007E-2</v>
      </c>
      <c r="I19" s="14">
        <v>7.0000000000000007E-2</v>
      </c>
      <c r="J19" s="14">
        <v>0.09</v>
      </c>
      <c r="K19" s="14">
        <v>7.0000000000000007E-2</v>
      </c>
      <c r="L19" s="14">
        <v>7.0000000000000007E-2</v>
      </c>
      <c r="M19" s="14">
        <v>0.06</v>
      </c>
      <c r="N19" s="14">
        <v>0.04</v>
      </c>
      <c r="O19" s="14">
        <v>7.0000000000000007E-2</v>
      </c>
      <c r="P19" s="14">
        <v>0.08</v>
      </c>
      <c r="Q19" s="14">
        <v>0.02</v>
      </c>
      <c r="R19" s="14">
        <v>0.03</v>
      </c>
      <c r="S19" s="14">
        <v>0.09</v>
      </c>
      <c r="T19" s="14">
        <v>0.06</v>
      </c>
      <c r="U19" s="14">
        <v>7.0000000000000007E-2</v>
      </c>
      <c r="V19" s="14">
        <v>0.06</v>
      </c>
      <c r="W19" s="14">
        <v>0.12</v>
      </c>
      <c r="X19" s="14">
        <v>7.0000000000000007E-2</v>
      </c>
      <c r="Y19" s="14">
        <v>0.12</v>
      </c>
      <c r="Z19" s="14">
        <v>7.0000000000000007E-2</v>
      </c>
      <c r="AA19" s="14">
        <v>0.09</v>
      </c>
      <c r="AB19" s="14">
        <v>0.1</v>
      </c>
      <c r="AC19" s="14">
        <v>0.11</v>
      </c>
      <c r="AD19" s="14">
        <v>0.03</v>
      </c>
      <c r="AE19" s="14">
        <v>0.09</v>
      </c>
      <c r="AF19" s="14">
        <v>0.14000000000000001</v>
      </c>
    </row>
    <row r="20" spans="1:32">
      <c r="A20" s="20"/>
      <c r="B20" s="11" t="s">
        <v>468</v>
      </c>
      <c r="C20" s="12">
        <v>694</v>
      </c>
      <c r="D20" s="12">
        <v>6</v>
      </c>
      <c r="E20" s="12">
        <v>55</v>
      </c>
      <c r="F20" s="12">
        <v>53</v>
      </c>
      <c r="G20" s="12">
        <v>37</v>
      </c>
      <c r="H20" s="12">
        <v>42</v>
      </c>
      <c r="I20" s="12">
        <v>50</v>
      </c>
      <c r="J20" s="12">
        <v>7</v>
      </c>
      <c r="K20" s="12">
        <v>32</v>
      </c>
      <c r="L20" s="12">
        <v>15</v>
      </c>
      <c r="M20" s="12">
        <v>12</v>
      </c>
      <c r="N20" s="12">
        <v>28</v>
      </c>
      <c r="O20" s="12">
        <v>28</v>
      </c>
      <c r="P20" s="12">
        <v>9</v>
      </c>
      <c r="Q20" s="12">
        <v>21</v>
      </c>
      <c r="R20" s="12">
        <v>14</v>
      </c>
      <c r="S20" s="12">
        <v>44</v>
      </c>
      <c r="T20" s="12">
        <v>58</v>
      </c>
      <c r="U20" s="12">
        <v>11</v>
      </c>
      <c r="V20" s="12">
        <v>19</v>
      </c>
      <c r="W20" s="12">
        <v>8</v>
      </c>
      <c r="X20" s="12">
        <v>8</v>
      </c>
      <c r="Y20" s="12">
        <v>23</v>
      </c>
      <c r="Z20" s="12">
        <v>22</v>
      </c>
      <c r="AA20" s="12">
        <v>43</v>
      </c>
      <c r="AB20" s="12">
        <v>37</v>
      </c>
      <c r="AC20" s="12">
        <v>20</v>
      </c>
      <c r="AD20" s="12">
        <v>22</v>
      </c>
      <c r="AE20" s="12">
        <v>24</v>
      </c>
      <c r="AF20" s="12">
        <v>4</v>
      </c>
    </row>
    <row r="21" spans="1:32">
      <c r="A21" s="20"/>
      <c r="B21" s="13" t="s">
        <v>469</v>
      </c>
      <c r="C21" s="14">
        <v>0.03</v>
      </c>
      <c r="D21" s="14">
        <v>0.01</v>
      </c>
      <c r="E21" s="14">
        <v>0.06</v>
      </c>
      <c r="F21" s="14">
        <v>0.05</v>
      </c>
      <c r="G21" s="14">
        <v>0.04</v>
      </c>
      <c r="H21" s="14">
        <v>0.04</v>
      </c>
      <c r="I21" s="14">
        <v>0.03</v>
      </c>
      <c r="J21" s="14">
        <v>0.03</v>
      </c>
      <c r="K21" s="14">
        <v>0.03</v>
      </c>
      <c r="L21" s="14">
        <v>0.02</v>
      </c>
      <c r="M21" s="14">
        <v>0.01</v>
      </c>
      <c r="N21" s="14">
        <v>0.03</v>
      </c>
      <c r="O21" s="14">
        <v>0.03</v>
      </c>
      <c r="P21" s="14">
        <v>0.01</v>
      </c>
      <c r="Q21" s="14">
        <v>0.02</v>
      </c>
      <c r="R21" s="14">
        <v>0.03</v>
      </c>
      <c r="S21" s="14">
        <v>0.04</v>
      </c>
      <c r="T21" s="14">
        <v>0.06</v>
      </c>
      <c r="U21" s="14">
        <v>0.02</v>
      </c>
      <c r="V21" s="14">
        <v>0.02</v>
      </c>
      <c r="W21" s="14">
        <v>0.02</v>
      </c>
      <c r="X21" s="14">
        <v>0.01</v>
      </c>
      <c r="Y21" s="14">
        <v>0.02</v>
      </c>
      <c r="Z21" s="14">
        <v>0.02</v>
      </c>
      <c r="AA21" s="14">
        <v>0.04</v>
      </c>
      <c r="AB21" s="14">
        <v>0.04</v>
      </c>
      <c r="AC21" s="14">
        <v>0.02</v>
      </c>
      <c r="AD21" s="14">
        <v>0.02</v>
      </c>
      <c r="AE21" s="14">
        <v>0.02</v>
      </c>
      <c r="AF21" s="15" t="s">
        <v>459</v>
      </c>
    </row>
    <row r="22" spans="1:32">
      <c r="A22" s="20"/>
      <c r="B22" s="11" t="s">
        <v>1295</v>
      </c>
      <c r="C22" s="12">
        <v>19651</v>
      </c>
      <c r="D22" s="12">
        <v>787</v>
      </c>
      <c r="E22" s="12">
        <v>754</v>
      </c>
      <c r="F22" s="12">
        <v>671</v>
      </c>
      <c r="G22" s="12">
        <v>705</v>
      </c>
      <c r="H22" s="12">
        <v>893</v>
      </c>
      <c r="I22" s="12">
        <v>1095</v>
      </c>
      <c r="J22" s="12">
        <v>202</v>
      </c>
      <c r="K22" s="12">
        <v>767</v>
      </c>
      <c r="L22" s="12">
        <v>833</v>
      </c>
      <c r="M22" s="12">
        <v>853</v>
      </c>
      <c r="N22" s="12">
        <v>836</v>
      </c>
      <c r="O22" s="12">
        <v>700</v>
      </c>
      <c r="P22" s="12">
        <v>816</v>
      </c>
      <c r="Q22" s="12">
        <v>854</v>
      </c>
      <c r="R22" s="12">
        <v>443</v>
      </c>
      <c r="S22" s="12">
        <v>735</v>
      </c>
      <c r="T22" s="12">
        <v>753</v>
      </c>
      <c r="U22" s="12">
        <v>390</v>
      </c>
      <c r="V22" s="12">
        <v>789</v>
      </c>
      <c r="W22" s="12">
        <v>388</v>
      </c>
      <c r="X22" s="12">
        <v>662</v>
      </c>
      <c r="Y22" s="12">
        <v>715</v>
      </c>
      <c r="Z22" s="12">
        <v>735</v>
      </c>
      <c r="AA22" s="12">
        <v>804</v>
      </c>
      <c r="AB22" s="12">
        <v>696</v>
      </c>
      <c r="AC22" s="12">
        <v>759</v>
      </c>
      <c r="AD22" s="12">
        <v>897</v>
      </c>
      <c r="AE22" s="12">
        <v>609</v>
      </c>
      <c r="AF22" s="12">
        <v>532</v>
      </c>
    </row>
    <row r="23" spans="1:32">
      <c r="A23" s="20"/>
      <c r="B23" s="13" t="s">
        <v>1296</v>
      </c>
      <c r="C23" s="14">
        <v>0.75</v>
      </c>
      <c r="D23" s="14">
        <v>0.78</v>
      </c>
      <c r="E23" s="14">
        <v>0.74</v>
      </c>
      <c r="F23" s="14">
        <v>0.67</v>
      </c>
      <c r="G23" s="14">
        <v>0.70000000000000007</v>
      </c>
      <c r="H23" s="14">
        <v>0.73</v>
      </c>
      <c r="I23" s="14">
        <v>0.73</v>
      </c>
      <c r="J23" s="14">
        <v>0.69000000000000006</v>
      </c>
      <c r="K23" s="14">
        <v>0.76</v>
      </c>
      <c r="L23" s="14">
        <v>0.82000000000000006</v>
      </c>
      <c r="M23" s="14">
        <v>0.85</v>
      </c>
      <c r="N23" s="14">
        <v>0.84</v>
      </c>
      <c r="O23" s="14">
        <v>0.70000000000000007</v>
      </c>
      <c r="P23" s="14">
        <v>0.8</v>
      </c>
      <c r="Q23" s="14">
        <v>0.84</v>
      </c>
      <c r="R23" s="14">
        <v>0.89</v>
      </c>
      <c r="S23" s="14">
        <v>0.73</v>
      </c>
      <c r="T23" s="14">
        <v>0.74</v>
      </c>
      <c r="U23" s="14">
        <v>0.77</v>
      </c>
      <c r="V23" s="14">
        <v>0.78</v>
      </c>
      <c r="W23" s="14">
        <v>0.77</v>
      </c>
      <c r="X23" s="14">
        <v>0.65</v>
      </c>
      <c r="Y23" s="14">
        <v>0.71</v>
      </c>
      <c r="Z23" s="14">
        <v>0.73</v>
      </c>
      <c r="AA23" s="14">
        <v>0.77</v>
      </c>
      <c r="AB23" s="14">
        <v>0.67</v>
      </c>
      <c r="AC23" s="14">
        <v>0.75</v>
      </c>
      <c r="AD23" s="14">
        <v>0.89</v>
      </c>
      <c r="AE23" s="14">
        <v>0.61</v>
      </c>
      <c r="AF23" s="14">
        <v>0.52</v>
      </c>
    </row>
    <row r="24" spans="1:32">
      <c r="A24" s="20"/>
      <c r="B24" s="11" t="s">
        <v>1297</v>
      </c>
      <c r="C24" s="12">
        <v>5975</v>
      </c>
      <c r="D24" s="12">
        <v>209</v>
      </c>
      <c r="E24" s="12">
        <v>208</v>
      </c>
      <c r="F24" s="12">
        <v>281</v>
      </c>
      <c r="G24" s="12">
        <v>263</v>
      </c>
      <c r="H24" s="12">
        <v>280</v>
      </c>
      <c r="I24" s="12">
        <v>365</v>
      </c>
      <c r="J24" s="12">
        <v>85</v>
      </c>
      <c r="K24" s="12">
        <v>207</v>
      </c>
      <c r="L24" s="12">
        <v>160</v>
      </c>
      <c r="M24" s="12">
        <v>138</v>
      </c>
      <c r="N24" s="12">
        <v>139</v>
      </c>
      <c r="O24" s="12">
        <v>274</v>
      </c>
      <c r="P24" s="12">
        <v>197</v>
      </c>
      <c r="Q24" s="12">
        <v>143</v>
      </c>
      <c r="R24" s="12">
        <v>42</v>
      </c>
      <c r="S24" s="12">
        <v>229</v>
      </c>
      <c r="T24" s="12">
        <v>202</v>
      </c>
      <c r="U24" s="12">
        <v>106</v>
      </c>
      <c r="V24" s="12">
        <v>209</v>
      </c>
      <c r="W24" s="12">
        <v>107</v>
      </c>
      <c r="X24" s="12">
        <v>351</v>
      </c>
      <c r="Y24" s="12">
        <v>269</v>
      </c>
      <c r="Z24" s="12">
        <v>251</v>
      </c>
      <c r="AA24" s="12">
        <v>205</v>
      </c>
      <c r="AB24" s="12">
        <v>306</v>
      </c>
      <c r="AC24" s="12">
        <v>231</v>
      </c>
      <c r="AD24" s="12">
        <v>88</v>
      </c>
      <c r="AE24" s="12">
        <v>368</v>
      </c>
      <c r="AF24" s="12">
        <v>483</v>
      </c>
    </row>
    <row r="25" spans="1:32">
      <c r="A25" s="20"/>
      <c r="B25" s="13" t="s">
        <v>1298</v>
      </c>
      <c r="C25" s="14">
        <v>0.22</v>
      </c>
      <c r="D25" s="14">
        <v>0.21</v>
      </c>
      <c r="E25" s="14">
        <v>0.2</v>
      </c>
      <c r="F25" s="14">
        <v>0.28000000000000003</v>
      </c>
      <c r="G25" s="14">
        <v>0.26</v>
      </c>
      <c r="H25" s="14">
        <v>0.23</v>
      </c>
      <c r="I25" s="14">
        <v>0.24</v>
      </c>
      <c r="J25" s="14">
        <v>0.28000000000000003</v>
      </c>
      <c r="K25" s="14">
        <v>0.21</v>
      </c>
      <c r="L25" s="14">
        <v>0.16</v>
      </c>
      <c r="M25" s="14">
        <v>0.14000000000000001</v>
      </c>
      <c r="N25" s="14">
        <v>0.13</v>
      </c>
      <c r="O25" s="14">
        <v>0.27</v>
      </c>
      <c r="P25" s="14">
        <v>0.19</v>
      </c>
      <c r="Q25" s="14">
        <v>0.14000000000000001</v>
      </c>
      <c r="R25" s="14">
        <v>0.08</v>
      </c>
      <c r="S25" s="14">
        <v>0.23</v>
      </c>
      <c r="T25" s="14">
        <v>0.2</v>
      </c>
      <c r="U25" s="14">
        <v>0.21</v>
      </c>
      <c r="V25" s="14">
        <v>0.2</v>
      </c>
      <c r="W25" s="14">
        <v>0.21</v>
      </c>
      <c r="X25" s="14">
        <v>0.34</v>
      </c>
      <c r="Y25" s="14">
        <v>0.27</v>
      </c>
      <c r="Z25" s="14">
        <v>0.25</v>
      </c>
      <c r="AA25" s="14">
        <v>0.19</v>
      </c>
      <c r="AB25" s="14">
        <v>0.28999999999999998</v>
      </c>
      <c r="AC25" s="14">
        <v>0.23</v>
      </c>
      <c r="AD25" s="14">
        <v>0.09</v>
      </c>
      <c r="AE25" s="14">
        <v>0.37</v>
      </c>
      <c r="AF25" s="14">
        <v>0.48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1311</v>
      </c>
      <c r="C3" s="18"/>
      <c r="D3" s="18"/>
      <c r="E3" s="18"/>
      <c r="F3" s="18"/>
      <c r="H3" s="18" t="s">
        <v>1312</v>
      </c>
      <c r="I3" s="18"/>
      <c r="J3" s="18"/>
      <c r="K3" s="18"/>
      <c r="L3" s="18"/>
    </row>
    <row r="4" spans="1:32" ht="27" customHeight="1">
      <c r="B4" s="18" t="s">
        <v>1313</v>
      </c>
      <c r="C4" s="18"/>
      <c r="D4" s="18"/>
      <c r="E4" s="18"/>
      <c r="F4" s="18"/>
      <c r="H4" s="18" t="s">
        <v>1314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1287</v>
      </c>
      <c r="C12" s="12">
        <v>7840</v>
      </c>
      <c r="D12" s="12">
        <v>348</v>
      </c>
      <c r="E12" s="12">
        <v>366</v>
      </c>
      <c r="F12" s="12">
        <v>233</v>
      </c>
      <c r="G12" s="12">
        <v>337</v>
      </c>
      <c r="H12" s="12">
        <v>339</v>
      </c>
      <c r="I12" s="12">
        <v>418</v>
      </c>
      <c r="J12" s="12">
        <v>79</v>
      </c>
      <c r="K12" s="12">
        <v>245</v>
      </c>
      <c r="L12" s="12">
        <v>503</v>
      </c>
      <c r="M12" s="12">
        <v>534</v>
      </c>
      <c r="N12" s="12">
        <v>377</v>
      </c>
      <c r="O12" s="12">
        <v>313</v>
      </c>
      <c r="P12" s="12">
        <v>331</v>
      </c>
      <c r="Q12" s="12">
        <v>328</v>
      </c>
      <c r="R12" s="12">
        <v>298</v>
      </c>
      <c r="S12" s="12">
        <v>285</v>
      </c>
      <c r="T12" s="12">
        <v>299</v>
      </c>
      <c r="U12" s="12">
        <v>158</v>
      </c>
      <c r="V12" s="12">
        <v>251</v>
      </c>
      <c r="W12" s="12">
        <v>241</v>
      </c>
      <c r="X12" s="12">
        <v>314</v>
      </c>
      <c r="Y12" s="12">
        <v>301</v>
      </c>
      <c r="Z12" s="12">
        <v>153</v>
      </c>
      <c r="AA12" s="12">
        <v>242</v>
      </c>
      <c r="AB12" s="12">
        <v>233</v>
      </c>
      <c r="AC12" s="12">
        <v>331</v>
      </c>
      <c r="AD12" s="12">
        <v>455</v>
      </c>
      <c r="AE12" s="12">
        <v>237</v>
      </c>
      <c r="AF12" s="12">
        <v>148</v>
      </c>
    </row>
    <row r="13" spans="1:32">
      <c r="A13" s="20"/>
      <c r="B13" s="13" t="s">
        <v>1288</v>
      </c>
      <c r="C13" s="14">
        <v>0.3</v>
      </c>
      <c r="D13" s="14">
        <v>0.35</v>
      </c>
      <c r="E13" s="14">
        <v>0.36</v>
      </c>
      <c r="F13" s="14">
        <v>0.23</v>
      </c>
      <c r="G13" s="14">
        <v>0.34</v>
      </c>
      <c r="H13" s="14">
        <v>0.28000000000000003</v>
      </c>
      <c r="I13" s="14">
        <v>0.28000000000000003</v>
      </c>
      <c r="J13" s="14">
        <v>0.27</v>
      </c>
      <c r="K13" s="14">
        <v>0.24</v>
      </c>
      <c r="L13" s="14">
        <v>0.5</v>
      </c>
      <c r="M13" s="14">
        <v>0.53</v>
      </c>
      <c r="N13" s="14">
        <v>0.37</v>
      </c>
      <c r="O13" s="14">
        <v>0.31</v>
      </c>
      <c r="P13" s="14">
        <v>0.32</v>
      </c>
      <c r="Q13" s="14">
        <v>0.32</v>
      </c>
      <c r="R13" s="14">
        <v>0.6</v>
      </c>
      <c r="S13" s="14">
        <v>0.28000000000000003</v>
      </c>
      <c r="T13" s="14">
        <v>0.3</v>
      </c>
      <c r="U13" s="14">
        <v>0.31</v>
      </c>
      <c r="V13" s="14">
        <v>0.25</v>
      </c>
      <c r="W13" s="14">
        <v>0.48</v>
      </c>
      <c r="X13" s="14">
        <v>0.31</v>
      </c>
      <c r="Y13" s="14">
        <v>0.3</v>
      </c>
      <c r="Z13" s="14">
        <v>0.15</v>
      </c>
      <c r="AA13" s="14">
        <v>0.23</v>
      </c>
      <c r="AB13" s="14">
        <v>0.22</v>
      </c>
      <c r="AC13" s="14">
        <v>0.33</v>
      </c>
      <c r="AD13" s="14">
        <v>0.45</v>
      </c>
      <c r="AE13" s="14">
        <v>0.24</v>
      </c>
      <c r="AF13" s="14">
        <v>0.14000000000000001</v>
      </c>
    </row>
    <row r="14" spans="1:32">
      <c r="A14" s="20"/>
      <c r="B14" s="11" t="s">
        <v>1289</v>
      </c>
      <c r="C14" s="12">
        <v>12274</v>
      </c>
      <c r="D14" s="12">
        <v>470</v>
      </c>
      <c r="E14" s="12">
        <v>428</v>
      </c>
      <c r="F14" s="12">
        <v>464</v>
      </c>
      <c r="G14" s="12">
        <v>329</v>
      </c>
      <c r="H14" s="12">
        <v>616</v>
      </c>
      <c r="I14" s="12">
        <v>755</v>
      </c>
      <c r="J14" s="12">
        <v>139</v>
      </c>
      <c r="K14" s="12">
        <v>522</v>
      </c>
      <c r="L14" s="12">
        <v>365</v>
      </c>
      <c r="M14" s="12">
        <v>350</v>
      </c>
      <c r="N14" s="12">
        <v>469</v>
      </c>
      <c r="O14" s="12">
        <v>417</v>
      </c>
      <c r="P14" s="12">
        <v>506</v>
      </c>
      <c r="Q14" s="12">
        <v>529</v>
      </c>
      <c r="R14" s="12">
        <v>147</v>
      </c>
      <c r="S14" s="12">
        <v>437</v>
      </c>
      <c r="T14" s="12">
        <v>468</v>
      </c>
      <c r="U14" s="12">
        <v>216</v>
      </c>
      <c r="V14" s="12">
        <v>552</v>
      </c>
      <c r="W14" s="12">
        <v>168</v>
      </c>
      <c r="X14" s="12">
        <v>435</v>
      </c>
      <c r="Y14" s="12">
        <v>428</v>
      </c>
      <c r="Z14" s="12">
        <v>556</v>
      </c>
      <c r="AA14" s="12">
        <v>582</v>
      </c>
      <c r="AB14" s="12">
        <v>464</v>
      </c>
      <c r="AC14" s="12">
        <v>451</v>
      </c>
      <c r="AD14" s="12">
        <v>445</v>
      </c>
      <c r="AE14" s="12">
        <v>326</v>
      </c>
      <c r="AF14" s="12">
        <v>283</v>
      </c>
    </row>
    <row r="15" spans="1:32">
      <c r="A15" s="20"/>
      <c r="B15" s="13" t="s">
        <v>1290</v>
      </c>
      <c r="C15" s="14">
        <v>0.47</v>
      </c>
      <c r="D15" s="14">
        <v>0.47</v>
      </c>
      <c r="E15" s="14">
        <v>0.42</v>
      </c>
      <c r="F15" s="14">
        <v>0.46</v>
      </c>
      <c r="G15" s="14">
        <v>0.33</v>
      </c>
      <c r="H15" s="14">
        <v>0.5</v>
      </c>
      <c r="I15" s="14">
        <v>0.5</v>
      </c>
      <c r="J15" s="14">
        <v>0.47</v>
      </c>
      <c r="K15" s="14">
        <v>0.52</v>
      </c>
      <c r="L15" s="14">
        <v>0.36</v>
      </c>
      <c r="M15" s="14">
        <v>0.35</v>
      </c>
      <c r="N15" s="14">
        <v>0.47</v>
      </c>
      <c r="O15" s="14">
        <v>0.42</v>
      </c>
      <c r="P15" s="14">
        <v>0.5</v>
      </c>
      <c r="Q15" s="14">
        <v>0.52</v>
      </c>
      <c r="R15" s="14">
        <v>0.28999999999999998</v>
      </c>
      <c r="S15" s="14">
        <v>0.43</v>
      </c>
      <c r="T15" s="14">
        <v>0.46</v>
      </c>
      <c r="U15" s="14">
        <v>0.43</v>
      </c>
      <c r="V15" s="14">
        <v>0.54</v>
      </c>
      <c r="W15" s="14">
        <v>0.34</v>
      </c>
      <c r="X15" s="14">
        <v>0.43</v>
      </c>
      <c r="Y15" s="14">
        <v>0.43</v>
      </c>
      <c r="Z15" s="14">
        <v>0.55000000000000004</v>
      </c>
      <c r="AA15" s="14">
        <v>0.55000000000000004</v>
      </c>
      <c r="AB15" s="14">
        <v>0.45</v>
      </c>
      <c r="AC15" s="14">
        <v>0.45</v>
      </c>
      <c r="AD15" s="14">
        <v>0.44</v>
      </c>
      <c r="AE15" s="14">
        <v>0.32</v>
      </c>
      <c r="AF15" s="14">
        <v>0.28000000000000003</v>
      </c>
    </row>
    <row r="16" spans="1:32">
      <c r="A16" s="20"/>
      <c r="B16" s="11" t="s">
        <v>1291</v>
      </c>
      <c r="C16" s="12">
        <v>3990</v>
      </c>
      <c r="D16" s="12">
        <v>139</v>
      </c>
      <c r="E16" s="12">
        <v>93</v>
      </c>
      <c r="F16" s="12">
        <v>190</v>
      </c>
      <c r="G16" s="12">
        <v>205</v>
      </c>
      <c r="H16" s="12">
        <v>181</v>
      </c>
      <c r="I16" s="12">
        <v>231</v>
      </c>
      <c r="J16" s="12">
        <v>50</v>
      </c>
      <c r="K16" s="12">
        <v>139</v>
      </c>
      <c r="L16" s="12">
        <v>77</v>
      </c>
      <c r="M16" s="12">
        <v>74</v>
      </c>
      <c r="N16" s="12">
        <v>88</v>
      </c>
      <c r="O16" s="12">
        <v>172</v>
      </c>
      <c r="P16" s="12">
        <v>120</v>
      </c>
      <c r="Q16" s="12">
        <v>122</v>
      </c>
      <c r="R16" s="12">
        <v>30</v>
      </c>
      <c r="S16" s="12">
        <v>158</v>
      </c>
      <c r="T16" s="12">
        <v>136</v>
      </c>
      <c r="U16" s="12">
        <v>89</v>
      </c>
      <c r="V16" s="12">
        <v>153</v>
      </c>
      <c r="W16" s="12">
        <v>52</v>
      </c>
      <c r="X16" s="12">
        <v>198</v>
      </c>
      <c r="Y16" s="12">
        <v>145</v>
      </c>
      <c r="Z16" s="12">
        <v>199</v>
      </c>
      <c r="AA16" s="12">
        <v>104</v>
      </c>
      <c r="AB16" s="12">
        <v>196</v>
      </c>
      <c r="AC16" s="12">
        <v>127</v>
      </c>
      <c r="AD16" s="12">
        <v>66</v>
      </c>
      <c r="AE16" s="12">
        <v>293</v>
      </c>
      <c r="AF16" s="12">
        <v>378</v>
      </c>
    </row>
    <row r="17" spans="1:32">
      <c r="A17" s="20"/>
      <c r="B17" s="13" t="s">
        <v>1292</v>
      </c>
      <c r="C17" s="14">
        <v>0.15</v>
      </c>
      <c r="D17" s="14">
        <v>0.14000000000000001</v>
      </c>
      <c r="E17" s="14">
        <v>0.09</v>
      </c>
      <c r="F17" s="14">
        <v>0.19</v>
      </c>
      <c r="G17" s="14">
        <v>0.2</v>
      </c>
      <c r="H17" s="14">
        <v>0.15</v>
      </c>
      <c r="I17" s="14">
        <v>0.15</v>
      </c>
      <c r="J17" s="14">
        <v>0.17</v>
      </c>
      <c r="K17" s="14">
        <v>0.14000000000000001</v>
      </c>
      <c r="L17" s="14">
        <v>0.08</v>
      </c>
      <c r="M17" s="14">
        <v>7.0000000000000007E-2</v>
      </c>
      <c r="N17" s="14">
        <v>0.09</v>
      </c>
      <c r="O17" s="14">
        <v>0.17</v>
      </c>
      <c r="P17" s="14">
        <v>0.12</v>
      </c>
      <c r="Q17" s="14">
        <v>0.12</v>
      </c>
      <c r="R17" s="14">
        <v>0.06</v>
      </c>
      <c r="S17" s="14">
        <v>0.16</v>
      </c>
      <c r="T17" s="14">
        <v>0.13</v>
      </c>
      <c r="U17" s="14">
        <v>0.17</v>
      </c>
      <c r="V17" s="14">
        <v>0.15</v>
      </c>
      <c r="W17" s="14">
        <v>0.1</v>
      </c>
      <c r="X17" s="14">
        <v>0.19</v>
      </c>
      <c r="Y17" s="14">
        <v>0.14000000000000001</v>
      </c>
      <c r="Z17" s="14">
        <v>0.2</v>
      </c>
      <c r="AA17" s="14">
        <v>0.1</v>
      </c>
      <c r="AB17" s="14">
        <v>0.19</v>
      </c>
      <c r="AC17" s="14">
        <v>0.12</v>
      </c>
      <c r="AD17" s="14">
        <v>7.0000000000000007E-2</v>
      </c>
      <c r="AE17" s="14">
        <v>0.28999999999999998</v>
      </c>
      <c r="AF17" s="14">
        <v>0.37</v>
      </c>
    </row>
    <row r="18" spans="1:32">
      <c r="A18" s="20"/>
      <c r="B18" s="11" t="s">
        <v>1293</v>
      </c>
      <c r="C18" s="12">
        <v>1559</v>
      </c>
      <c r="D18" s="12">
        <v>40</v>
      </c>
      <c r="E18" s="12">
        <v>72</v>
      </c>
      <c r="F18" s="12">
        <v>68</v>
      </c>
      <c r="G18" s="12">
        <v>100</v>
      </c>
      <c r="H18" s="12">
        <v>45</v>
      </c>
      <c r="I18" s="12">
        <v>62</v>
      </c>
      <c r="J18" s="12">
        <v>18</v>
      </c>
      <c r="K18" s="12">
        <v>67</v>
      </c>
      <c r="L18" s="12">
        <v>46</v>
      </c>
      <c r="M18" s="12">
        <v>39</v>
      </c>
      <c r="N18" s="12">
        <v>41</v>
      </c>
      <c r="O18" s="12">
        <v>73</v>
      </c>
      <c r="P18" s="12">
        <v>55</v>
      </c>
      <c r="Q18" s="12">
        <v>23</v>
      </c>
      <c r="R18" s="12">
        <v>12</v>
      </c>
      <c r="S18" s="12">
        <v>93</v>
      </c>
      <c r="T18" s="12">
        <v>67</v>
      </c>
      <c r="U18" s="12">
        <v>34</v>
      </c>
      <c r="V18" s="12">
        <v>46</v>
      </c>
      <c r="W18" s="12">
        <v>32</v>
      </c>
      <c r="X18" s="12">
        <v>66</v>
      </c>
      <c r="Y18" s="12">
        <v>112</v>
      </c>
      <c r="Z18" s="12">
        <v>78</v>
      </c>
      <c r="AA18" s="12">
        <v>89</v>
      </c>
      <c r="AB18" s="12">
        <v>107</v>
      </c>
      <c r="AC18" s="12">
        <v>85</v>
      </c>
      <c r="AD18" s="12">
        <v>15</v>
      </c>
      <c r="AE18" s="12">
        <v>126</v>
      </c>
      <c r="AF18" s="12">
        <v>205</v>
      </c>
    </row>
    <row r="19" spans="1:32">
      <c r="A19" s="20"/>
      <c r="B19" s="13" t="s">
        <v>1294</v>
      </c>
      <c r="C19" s="14">
        <v>0.06</v>
      </c>
      <c r="D19" s="14">
        <v>0.04</v>
      </c>
      <c r="E19" s="14">
        <v>7.0000000000000007E-2</v>
      </c>
      <c r="F19" s="14">
        <v>7.0000000000000007E-2</v>
      </c>
      <c r="G19" s="14">
        <v>0.1</v>
      </c>
      <c r="H19" s="14">
        <v>0.04</v>
      </c>
      <c r="I19" s="14">
        <v>0.04</v>
      </c>
      <c r="J19" s="14">
        <v>0.06</v>
      </c>
      <c r="K19" s="14">
        <v>7.0000000000000007E-2</v>
      </c>
      <c r="L19" s="14">
        <v>0.05</v>
      </c>
      <c r="M19" s="14">
        <v>0.04</v>
      </c>
      <c r="N19" s="14">
        <v>0.04</v>
      </c>
      <c r="O19" s="14">
        <v>7.0000000000000007E-2</v>
      </c>
      <c r="P19" s="14">
        <v>0.05</v>
      </c>
      <c r="Q19" s="14">
        <v>0.02</v>
      </c>
      <c r="R19" s="14">
        <v>0.02</v>
      </c>
      <c r="S19" s="14">
        <v>0.09</v>
      </c>
      <c r="T19" s="14">
        <v>7.0000000000000007E-2</v>
      </c>
      <c r="U19" s="14">
        <v>7.0000000000000007E-2</v>
      </c>
      <c r="V19" s="14">
        <v>0.05</v>
      </c>
      <c r="W19" s="14">
        <v>0.06</v>
      </c>
      <c r="X19" s="14">
        <v>0.06</v>
      </c>
      <c r="Y19" s="14">
        <v>0.11</v>
      </c>
      <c r="Z19" s="14">
        <v>0.08</v>
      </c>
      <c r="AA19" s="14">
        <v>0.08</v>
      </c>
      <c r="AB19" s="14">
        <v>0.1</v>
      </c>
      <c r="AC19" s="14">
        <v>0.08</v>
      </c>
      <c r="AD19" s="14">
        <v>0.01</v>
      </c>
      <c r="AE19" s="14">
        <v>0.13</v>
      </c>
      <c r="AF19" s="14">
        <v>0.2</v>
      </c>
    </row>
    <row r="20" spans="1:32">
      <c r="A20" s="20"/>
      <c r="B20" s="11" t="s">
        <v>468</v>
      </c>
      <c r="C20" s="12">
        <v>656</v>
      </c>
      <c r="D20" s="12">
        <v>6</v>
      </c>
      <c r="E20" s="12">
        <v>59</v>
      </c>
      <c r="F20" s="12">
        <v>50</v>
      </c>
      <c r="G20" s="12">
        <v>32</v>
      </c>
      <c r="H20" s="12">
        <v>36</v>
      </c>
      <c r="I20" s="12">
        <v>45</v>
      </c>
      <c r="J20" s="12">
        <v>9</v>
      </c>
      <c r="K20" s="12">
        <v>34</v>
      </c>
      <c r="L20" s="12">
        <v>16</v>
      </c>
      <c r="M20" s="12">
        <v>5</v>
      </c>
      <c r="N20" s="12">
        <v>29</v>
      </c>
      <c r="O20" s="12">
        <v>28</v>
      </c>
      <c r="P20" s="12">
        <v>10</v>
      </c>
      <c r="Q20" s="12">
        <v>17</v>
      </c>
      <c r="R20" s="12">
        <v>13</v>
      </c>
      <c r="S20" s="12">
        <v>36</v>
      </c>
      <c r="T20" s="12">
        <v>43</v>
      </c>
      <c r="U20" s="12">
        <v>10</v>
      </c>
      <c r="V20" s="12">
        <v>15</v>
      </c>
      <c r="W20" s="12">
        <v>10</v>
      </c>
      <c r="X20" s="12">
        <v>9</v>
      </c>
      <c r="Y20" s="12">
        <v>22</v>
      </c>
      <c r="Z20" s="12">
        <v>24</v>
      </c>
      <c r="AA20" s="12">
        <v>37</v>
      </c>
      <c r="AB20" s="12">
        <v>39</v>
      </c>
      <c r="AC20" s="12">
        <v>17</v>
      </c>
      <c r="AD20" s="12">
        <v>26</v>
      </c>
      <c r="AE20" s="12">
        <v>18</v>
      </c>
      <c r="AF20" s="12">
        <v>7</v>
      </c>
    </row>
    <row r="21" spans="1:32">
      <c r="A21" s="20"/>
      <c r="B21" s="13" t="s">
        <v>469</v>
      </c>
      <c r="C21" s="14">
        <v>0.02</v>
      </c>
      <c r="D21" s="15" t="s">
        <v>459</v>
      </c>
      <c r="E21" s="14">
        <v>0.06</v>
      </c>
      <c r="F21" s="14">
        <v>0.05</v>
      </c>
      <c r="G21" s="14">
        <v>0.03</v>
      </c>
      <c r="H21" s="14">
        <v>0.03</v>
      </c>
      <c r="I21" s="14">
        <v>0.03</v>
      </c>
      <c r="J21" s="14">
        <v>0.03</v>
      </c>
      <c r="K21" s="14">
        <v>0.03</v>
      </c>
      <c r="L21" s="14">
        <v>0.01</v>
      </c>
      <c r="M21" s="14">
        <v>0.01</v>
      </c>
      <c r="N21" s="14">
        <v>0.03</v>
      </c>
      <c r="O21" s="14">
        <v>0.03</v>
      </c>
      <c r="P21" s="14">
        <v>0.01</v>
      </c>
      <c r="Q21" s="14">
        <v>0.02</v>
      </c>
      <c r="R21" s="14">
        <v>0.03</v>
      </c>
      <c r="S21" s="14">
        <v>0.04</v>
      </c>
      <c r="T21" s="14">
        <v>0.04</v>
      </c>
      <c r="U21" s="14">
        <v>0.02</v>
      </c>
      <c r="V21" s="14">
        <v>0.01</v>
      </c>
      <c r="W21" s="14">
        <v>0.02</v>
      </c>
      <c r="X21" s="14">
        <v>0.01</v>
      </c>
      <c r="Y21" s="14">
        <v>0.02</v>
      </c>
      <c r="Z21" s="14">
        <v>0.02</v>
      </c>
      <c r="AA21" s="14">
        <v>0.04</v>
      </c>
      <c r="AB21" s="14">
        <v>0.04</v>
      </c>
      <c r="AC21" s="14">
        <v>0.02</v>
      </c>
      <c r="AD21" s="14">
        <v>0.03</v>
      </c>
      <c r="AE21" s="14">
        <v>0.02</v>
      </c>
      <c r="AF21" s="14">
        <v>0.01</v>
      </c>
    </row>
    <row r="22" spans="1:32">
      <c r="A22" s="20"/>
      <c r="B22" s="11" t="s">
        <v>1295</v>
      </c>
      <c r="C22" s="12">
        <v>20114</v>
      </c>
      <c r="D22" s="12">
        <v>818</v>
      </c>
      <c r="E22" s="12">
        <v>794</v>
      </c>
      <c r="F22" s="12">
        <v>697</v>
      </c>
      <c r="G22" s="12">
        <v>666</v>
      </c>
      <c r="H22" s="12">
        <v>955</v>
      </c>
      <c r="I22" s="12">
        <v>1173</v>
      </c>
      <c r="J22" s="12">
        <v>218</v>
      </c>
      <c r="K22" s="12">
        <v>767</v>
      </c>
      <c r="L22" s="12">
        <v>868</v>
      </c>
      <c r="M22" s="12">
        <v>884</v>
      </c>
      <c r="N22" s="12">
        <v>846</v>
      </c>
      <c r="O22" s="12">
        <v>730</v>
      </c>
      <c r="P22" s="12">
        <v>837</v>
      </c>
      <c r="Q22" s="12">
        <v>857</v>
      </c>
      <c r="R22" s="12">
        <v>445</v>
      </c>
      <c r="S22" s="12">
        <v>722</v>
      </c>
      <c r="T22" s="12">
        <v>767</v>
      </c>
      <c r="U22" s="12">
        <v>374</v>
      </c>
      <c r="V22" s="12">
        <v>803</v>
      </c>
      <c r="W22" s="12">
        <v>409</v>
      </c>
      <c r="X22" s="12">
        <v>749</v>
      </c>
      <c r="Y22" s="12">
        <v>729</v>
      </c>
      <c r="Z22" s="12">
        <v>709</v>
      </c>
      <c r="AA22" s="12">
        <v>824</v>
      </c>
      <c r="AB22" s="12">
        <v>697</v>
      </c>
      <c r="AC22" s="12">
        <v>782</v>
      </c>
      <c r="AD22" s="12">
        <v>900</v>
      </c>
      <c r="AE22" s="12">
        <v>563</v>
      </c>
      <c r="AF22" s="12">
        <v>431</v>
      </c>
    </row>
    <row r="23" spans="1:32">
      <c r="A23" s="20"/>
      <c r="B23" s="13" t="s">
        <v>1296</v>
      </c>
      <c r="C23" s="14">
        <v>0.77</v>
      </c>
      <c r="D23" s="14">
        <v>0.82000000000000006</v>
      </c>
      <c r="E23" s="14">
        <v>0.78</v>
      </c>
      <c r="F23" s="14">
        <v>0.69000000000000006</v>
      </c>
      <c r="G23" s="14">
        <v>0.67</v>
      </c>
      <c r="H23" s="14">
        <v>0.78</v>
      </c>
      <c r="I23" s="14">
        <v>0.78</v>
      </c>
      <c r="J23" s="14">
        <v>0.74</v>
      </c>
      <c r="K23" s="14">
        <v>0.76</v>
      </c>
      <c r="L23" s="14">
        <v>0.86</v>
      </c>
      <c r="M23" s="14">
        <v>0.88</v>
      </c>
      <c r="N23" s="14">
        <v>0.84</v>
      </c>
      <c r="O23" s="14">
        <v>0.73</v>
      </c>
      <c r="P23" s="14">
        <v>0.82000000000000006</v>
      </c>
      <c r="Q23" s="14">
        <v>0.84</v>
      </c>
      <c r="R23" s="14">
        <v>0.89</v>
      </c>
      <c r="S23" s="14">
        <v>0.71</v>
      </c>
      <c r="T23" s="14">
        <v>0.76</v>
      </c>
      <c r="U23" s="14">
        <v>0.74</v>
      </c>
      <c r="V23" s="14">
        <v>0.79</v>
      </c>
      <c r="W23" s="14">
        <v>0.82000000000000006</v>
      </c>
      <c r="X23" s="14">
        <v>0.74</v>
      </c>
      <c r="Y23" s="14">
        <v>0.73</v>
      </c>
      <c r="Z23" s="14">
        <v>0.70000000000000007</v>
      </c>
      <c r="AA23" s="14">
        <v>0.78</v>
      </c>
      <c r="AB23" s="14">
        <v>0.67</v>
      </c>
      <c r="AC23" s="14">
        <v>0.78</v>
      </c>
      <c r="AD23" s="14">
        <v>0.89</v>
      </c>
      <c r="AE23" s="14">
        <v>0.56000000000000005</v>
      </c>
      <c r="AF23" s="14">
        <v>0.42</v>
      </c>
    </row>
    <row r="24" spans="1:32">
      <c r="A24" s="20"/>
      <c r="B24" s="11" t="s">
        <v>1297</v>
      </c>
      <c r="C24" s="12">
        <v>5549</v>
      </c>
      <c r="D24" s="12">
        <v>179</v>
      </c>
      <c r="E24" s="12">
        <v>165</v>
      </c>
      <c r="F24" s="12">
        <v>258</v>
      </c>
      <c r="G24" s="12">
        <v>305</v>
      </c>
      <c r="H24" s="12">
        <v>226</v>
      </c>
      <c r="I24" s="12">
        <v>293</v>
      </c>
      <c r="J24" s="12">
        <v>68</v>
      </c>
      <c r="K24" s="12">
        <v>206</v>
      </c>
      <c r="L24" s="12">
        <v>123</v>
      </c>
      <c r="M24" s="12">
        <v>113</v>
      </c>
      <c r="N24" s="12">
        <v>129</v>
      </c>
      <c r="O24" s="12">
        <v>245</v>
      </c>
      <c r="P24" s="12">
        <v>175</v>
      </c>
      <c r="Q24" s="12">
        <v>145</v>
      </c>
      <c r="R24" s="12">
        <v>42</v>
      </c>
      <c r="S24" s="12">
        <v>251</v>
      </c>
      <c r="T24" s="12">
        <v>203</v>
      </c>
      <c r="U24" s="12">
        <v>123</v>
      </c>
      <c r="V24" s="12">
        <v>199</v>
      </c>
      <c r="W24" s="12">
        <v>84</v>
      </c>
      <c r="X24" s="12">
        <v>264</v>
      </c>
      <c r="Y24" s="12">
        <v>257</v>
      </c>
      <c r="Z24" s="12">
        <v>277</v>
      </c>
      <c r="AA24" s="12">
        <v>193</v>
      </c>
      <c r="AB24" s="12">
        <v>303</v>
      </c>
      <c r="AC24" s="12">
        <v>212</v>
      </c>
      <c r="AD24" s="12">
        <v>81</v>
      </c>
      <c r="AE24" s="12">
        <v>419</v>
      </c>
      <c r="AF24" s="12">
        <v>583</v>
      </c>
    </row>
    <row r="25" spans="1:32">
      <c r="A25" s="20"/>
      <c r="B25" s="13" t="s">
        <v>1298</v>
      </c>
      <c r="C25" s="14">
        <v>0.21</v>
      </c>
      <c r="D25" s="14">
        <v>0.18</v>
      </c>
      <c r="E25" s="14">
        <v>0.16</v>
      </c>
      <c r="F25" s="14">
        <v>0.26</v>
      </c>
      <c r="G25" s="14">
        <v>0.3</v>
      </c>
      <c r="H25" s="14">
        <v>0.19</v>
      </c>
      <c r="I25" s="14">
        <v>0.19</v>
      </c>
      <c r="J25" s="14">
        <v>0.23</v>
      </c>
      <c r="K25" s="14">
        <v>0.21</v>
      </c>
      <c r="L25" s="14">
        <v>0.13</v>
      </c>
      <c r="M25" s="14">
        <v>0.11</v>
      </c>
      <c r="N25" s="14">
        <v>0.13</v>
      </c>
      <c r="O25" s="14">
        <v>0.24</v>
      </c>
      <c r="P25" s="14">
        <v>0.17</v>
      </c>
      <c r="Q25" s="14">
        <v>0.14000000000000001</v>
      </c>
      <c r="R25" s="14">
        <v>0.08</v>
      </c>
      <c r="S25" s="14">
        <v>0.25</v>
      </c>
      <c r="T25" s="14">
        <v>0.2</v>
      </c>
      <c r="U25" s="14">
        <v>0.24</v>
      </c>
      <c r="V25" s="14">
        <v>0.2</v>
      </c>
      <c r="W25" s="14">
        <v>0.16</v>
      </c>
      <c r="X25" s="14">
        <v>0.25</v>
      </c>
      <c r="Y25" s="14">
        <v>0.25</v>
      </c>
      <c r="Z25" s="14">
        <v>0.28000000000000003</v>
      </c>
      <c r="AA25" s="14">
        <v>0.18</v>
      </c>
      <c r="AB25" s="14">
        <v>0.28999999999999998</v>
      </c>
      <c r="AC25" s="14">
        <v>0.2</v>
      </c>
      <c r="AD25" s="14">
        <v>0.08</v>
      </c>
      <c r="AE25" s="14">
        <v>0.42</v>
      </c>
      <c r="AF25" s="14">
        <v>0.57000000000000006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1315</v>
      </c>
      <c r="C3" s="18"/>
      <c r="D3" s="18"/>
      <c r="E3" s="18"/>
      <c r="F3" s="18"/>
      <c r="H3" s="18" t="s">
        <v>1316</v>
      </c>
      <c r="I3" s="18"/>
      <c r="J3" s="18"/>
      <c r="K3" s="18"/>
      <c r="L3" s="18"/>
    </row>
    <row r="4" spans="1:32" ht="27" customHeight="1">
      <c r="B4" s="18" t="s">
        <v>1317</v>
      </c>
      <c r="C4" s="18"/>
      <c r="D4" s="18"/>
      <c r="E4" s="18"/>
      <c r="F4" s="18"/>
      <c r="H4" s="18" t="s">
        <v>1318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HYPERLINK("#Content!A139","&lt;&lt;Back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12125</v>
      </c>
      <c r="D12" s="12">
        <v>445</v>
      </c>
      <c r="E12" s="12">
        <v>478</v>
      </c>
      <c r="F12" s="12">
        <v>370</v>
      </c>
      <c r="G12" s="12">
        <v>696</v>
      </c>
      <c r="H12" s="12">
        <v>544</v>
      </c>
      <c r="I12" s="12">
        <v>672</v>
      </c>
      <c r="J12" s="12">
        <v>128</v>
      </c>
      <c r="K12" s="12">
        <v>451</v>
      </c>
      <c r="L12" s="12">
        <v>643</v>
      </c>
      <c r="M12" s="12">
        <v>547</v>
      </c>
      <c r="N12" s="12">
        <v>601</v>
      </c>
      <c r="O12" s="12">
        <v>491</v>
      </c>
      <c r="P12" s="12">
        <v>379</v>
      </c>
      <c r="Q12" s="12">
        <v>413</v>
      </c>
      <c r="R12" s="12">
        <v>279</v>
      </c>
      <c r="S12" s="12">
        <v>457</v>
      </c>
      <c r="T12" s="12">
        <v>459</v>
      </c>
      <c r="U12" s="12">
        <v>263</v>
      </c>
      <c r="V12" s="12">
        <v>483</v>
      </c>
      <c r="W12" s="12">
        <v>339</v>
      </c>
      <c r="X12" s="12">
        <v>589</v>
      </c>
      <c r="Y12" s="12">
        <v>420</v>
      </c>
      <c r="Z12" s="12">
        <v>276</v>
      </c>
      <c r="AA12" s="12">
        <v>474</v>
      </c>
      <c r="AB12" s="12">
        <v>302</v>
      </c>
      <c r="AC12" s="12">
        <v>460</v>
      </c>
      <c r="AD12" s="12">
        <v>532</v>
      </c>
      <c r="AE12" s="12">
        <v>518</v>
      </c>
      <c r="AF12" s="12">
        <v>641</v>
      </c>
    </row>
    <row r="13" spans="1:32">
      <c r="A13" s="20"/>
      <c r="B13" s="13" t="s">
        <v>493</v>
      </c>
      <c r="C13" s="14">
        <v>0.46</v>
      </c>
      <c r="D13" s="14">
        <v>0.44</v>
      </c>
      <c r="E13" s="14">
        <v>0.47</v>
      </c>
      <c r="F13" s="14">
        <v>0.37</v>
      </c>
      <c r="G13" s="14">
        <v>0.69000000000000006</v>
      </c>
      <c r="H13" s="14">
        <v>0.45</v>
      </c>
      <c r="I13" s="14">
        <v>0.45</v>
      </c>
      <c r="J13" s="14">
        <v>0.44</v>
      </c>
      <c r="K13" s="14">
        <v>0.45</v>
      </c>
      <c r="L13" s="14">
        <v>0.64</v>
      </c>
      <c r="M13" s="14">
        <v>0.54</v>
      </c>
      <c r="N13" s="14">
        <v>0.6</v>
      </c>
      <c r="O13" s="14">
        <v>0.49</v>
      </c>
      <c r="P13" s="14">
        <v>0.37</v>
      </c>
      <c r="Q13" s="14">
        <v>0.41</v>
      </c>
      <c r="R13" s="14">
        <v>0.56000000000000005</v>
      </c>
      <c r="S13" s="14">
        <v>0.45</v>
      </c>
      <c r="T13" s="14">
        <v>0.45</v>
      </c>
      <c r="U13" s="14">
        <v>0.52</v>
      </c>
      <c r="V13" s="14">
        <v>0.48</v>
      </c>
      <c r="W13" s="14">
        <v>0.67</v>
      </c>
      <c r="X13" s="14">
        <v>0.57999999999999996</v>
      </c>
      <c r="Y13" s="14">
        <v>0.42</v>
      </c>
      <c r="Z13" s="14">
        <v>0.27</v>
      </c>
      <c r="AA13" s="14">
        <v>0.45</v>
      </c>
      <c r="AB13" s="14">
        <v>0.28999999999999998</v>
      </c>
      <c r="AC13" s="14">
        <v>0.46</v>
      </c>
      <c r="AD13" s="14">
        <v>0.53</v>
      </c>
      <c r="AE13" s="14">
        <v>0.52</v>
      </c>
      <c r="AF13" s="14">
        <v>0.63</v>
      </c>
    </row>
    <row r="14" spans="1:32">
      <c r="A14" s="20"/>
      <c r="B14" s="11" t="s">
        <v>643</v>
      </c>
      <c r="C14" s="12">
        <v>11188</v>
      </c>
      <c r="D14" s="12">
        <v>446</v>
      </c>
      <c r="E14" s="12">
        <v>382</v>
      </c>
      <c r="F14" s="12">
        <v>446</v>
      </c>
      <c r="G14" s="12">
        <v>263</v>
      </c>
      <c r="H14" s="12">
        <v>529</v>
      </c>
      <c r="I14" s="12">
        <v>663</v>
      </c>
      <c r="J14" s="12">
        <v>134</v>
      </c>
      <c r="K14" s="12">
        <v>443</v>
      </c>
      <c r="L14" s="12">
        <v>304</v>
      </c>
      <c r="M14" s="12">
        <v>362</v>
      </c>
      <c r="N14" s="12">
        <v>320</v>
      </c>
      <c r="O14" s="12">
        <v>399</v>
      </c>
      <c r="P14" s="12">
        <v>542</v>
      </c>
      <c r="Q14" s="12">
        <v>508</v>
      </c>
      <c r="R14" s="12">
        <v>159</v>
      </c>
      <c r="S14" s="12">
        <v>405</v>
      </c>
      <c r="T14" s="12">
        <v>429</v>
      </c>
      <c r="U14" s="12">
        <v>182</v>
      </c>
      <c r="V14" s="12">
        <v>442</v>
      </c>
      <c r="W14" s="12">
        <v>112</v>
      </c>
      <c r="X14" s="12">
        <v>362</v>
      </c>
      <c r="Y14" s="12">
        <v>435</v>
      </c>
      <c r="Z14" s="12">
        <v>563</v>
      </c>
      <c r="AA14" s="12">
        <v>460</v>
      </c>
      <c r="AB14" s="12">
        <v>504</v>
      </c>
      <c r="AC14" s="12">
        <v>404</v>
      </c>
      <c r="AD14" s="12">
        <v>388</v>
      </c>
      <c r="AE14" s="12">
        <v>411</v>
      </c>
      <c r="AF14" s="12">
        <v>313</v>
      </c>
    </row>
    <row r="15" spans="1:32">
      <c r="A15" s="20"/>
      <c r="B15" s="13" t="s">
        <v>495</v>
      </c>
      <c r="C15" s="14">
        <v>0.43</v>
      </c>
      <c r="D15" s="14">
        <v>0.44</v>
      </c>
      <c r="E15" s="14">
        <v>0.38</v>
      </c>
      <c r="F15" s="14">
        <v>0.44</v>
      </c>
      <c r="G15" s="14">
        <v>0.26</v>
      </c>
      <c r="H15" s="14">
        <v>0.44</v>
      </c>
      <c r="I15" s="14">
        <v>0.44</v>
      </c>
      <c r="J15" s="14">
        <v>0.46</v>
      </c>
      <c r="K15" s="14">
        <v>0.44</v>
      </c>
      <c r="L15" s="14">
        <v>0.3</v>
      </c>
      <c r="M15" s="14">
        <v>0.36</v>
      </c>
      <c r="N15" s="14">
        <v>0.32</v>
      </c>
      <c r="O15" s="14">
        <v>0.4</v>
      </c>
      <c r="P15" s="14">
        <v>0.53</v>
      </c>
      <c r="Q15" s="14">
        <v>0.5</v>
      </c>
      <c r="R15" s="14">
        <v>0.32</v>
      </c>
      <c r="S15" s="14">
        <v>0.4</v>
      </c>
      <c r="T15" s="14">
        <v>0.42</v>
      </c>
      <c r="U15" s="14">
        <v>0.36</v>
      </c>
      <c r="V15" s="14">
        <v>0.43</v>
      </c>
      <c r="W15" s="14">
        <v>0.22</v>
      </c>
      <c r="X15" s="14">
        <v>0.35</v>
      </c>
      <c r="Y15" s="14">
        <v>0.43</v>
      </c>
      <c r="Z15" s="14">
        <v>0.56000000000000005</v>
      </c>
      <c r="AA15" s="14">
        <v>0.44</v>
      </c>
      <c r="AB15" s="14">
        <v>0.49</v>
      </c>
      <c r="AC15" s="14">
        <v>0.4</v>
      </c>
      <c r="AD15" s="14">
        <v>0.39</v>
      </c>
      <c r="AE15" s="14">
        <v>0.41</v>
      </c>
      <c r="AF15" s="14">
        <v>0.31</v>
      </c>
    </row>
    <row r="16" spans="1:32">
      <c r="A16" s="20"/>
      <c r="B16" s="11" t="s">
        <v>644</v>
      </c>
      <c r="C16" s="12">
        <v>1662</v>
      </c>
      <c r="D16" s="12">
        <v>86</v>
      </c>
      <c r="E16" s="12">
        <v>76</v>
      </c>
      <c r="F16" s="12">
        <v>107</v>
      </c>
      <c r="G16" s="12">
        <v>8</v>
      </c>
      <c r="H16" s="12">
        <v>76</v>
      </c>
      <c r="I16" s="12">
        <v>94</v>
      </c>
      <c r="J16" s="12">
        <v>18</v>
      </c>
      <c r="K16" s="12">
        <v>45</v>
      </c>
      <c r="L16" s="12">
        <v>21</v>
      </c>
      <c r="M16" s="12">
        <v>25</v>
      </c>
      <c r="N16" s="12">
        <v>36</v>
      </c>
      <c r="O16" s="12">
        <v>57</v>
      </c>
      <c r="P16" s="12">
        <v>67</v>
      </c>
      <c r="Q16" s="12">
        <v>65</v>
      </c>
      <c r="R16" s="12">
        <v>24</v>
      </c>
      <c r="S16" s="12">
        <v>40</v>
      </c>
      <c r="T16" s="12">
        <v>35</v>
      </c>
      <c r="U16" s="12">
        <v>28</v>
      </c>
      <c r="V16" s="12">
        <v>69</v>
      </c>
      <c r="W16" s="12">
        <v>29</v>
      </c>
      <c r="X16" s="12">
        <v>49</v>
      </c>
      <c r="Y16" s="12">
        <v>86</v>
      </c>
      <c r="Z16" s="12">
        <v>102</v>
      </c>
      <c r="AA16" s="12">
        <v>40</v>
      </c>
      <c r="AB16" s="12">
        <v>140</v>
      </c>
      <c r="AC16" s="12">
        <v>86</v>
      </c>
      <c r="AD16" s="12">
        <v>43</v>
      </c>
      <c r="AE16" s="12">
        <v>38</v>
      </c>
      <c r="AF16" s="12">
        <v>54</v>
      </c>
    </row>
    <row r="17" spans="1:32">
      <c r="A17" s="20"/>
      <c r="B17" s="13" t="s">
        <v>497</v>
      </c>
      <c r="C17" s="14">
        <v>0.06</v>
      </c>
      <c r="D17" s="14">
        <v>0.09</v>
      </c>
      <c r="E17" s="14">
        <v>7.0000000000000007E-2</v>
      </c>
      <c r="F17" s="14">
        <v>0.11</v>
      </c>
      <c r="G17" s="14">
        <v>0.01</v>
      </c>
      <c r="H17" s="14">
        <v>0.06</v>
      </c>
      <c r="I17" s="14">
        <v>0.06</v>
      </c>
      <c r="J17" s="14">
        <v>0.06</v>
      </c>
      <c r="K17" s="14">
        <v>0.04</v>
      </c>
      <c r="L17" s="14">
        <v>0.02</v>
      </c>
      <c r="M17" s="14">
        <v>0.03</v>
      </c>
      <c r="N17" s="14">
        <v>0.03</v>
      </c>
      <c r="O17" s="14">
        <v>0.06</v>
      </c>
      <c r="P17" s="14">
        <v>7.0000000000000007E-2</v>
      </c>
      <c r="Q17" s="14">
        <v>0.06</v>
      </c>
      <c r="R17" s="14">
        <v>0.05</v>
      </c>
      <c r="S17" s="14">
        <v>0.04</v>
      </c>
      <c r="T17" s="14">
        <v>0.04</v>
      </c>
      <c r="U17" s="14">
        <v>0.05</v>
      </c>
      <c r="V17" s="14">
        <v>7.0000000000000007E-2</v>
      </c>
      <c r="W17" s="14">
        <v>0.06</v>
      </c>
      <c r="X17" s="14">
        <v>0.05</v>
      </c>
      <c r="Y17" s="14">
        <v>0.08</v>
      </c>
      <c r="Z17" s="14">
        <v>0.1</v>
      </c>
      <c r="AA17" s="14">
        <v>0.04</v>
      </c>
      <c r="AB17" s="14">
        <v>0.13</v>
      </c>
      <c r="AC17" s="14">
        <v>0.08</v>
      </c>
      <c r="AD17" s="14">
        <v>0.04</v>
      </c>
      <c r="AE17" s="14">
        <v>0.04</v>
      </c>
      <c r="AF17" s="14">
        <v>0.05</v>
      </c>
    </row>
    <row r="18" spans="1:32">
      <c r="A18" s="20"/>
      <c r="B18" s="11" t="s">
        <v>1319</v>
      </c>
      <c r="C18" s="12">
        <v>441</v>
      </c>
      <c r="D18" s="12">
        <v>20</v>
      </c>
      <c r="E18" s="12">
        <v>30</v>
      </c>
      <c r="F18" s="12">
        <v>29</v>
      </c>
      <c r="G18" s="12">
        <v>2</v>
      </c>
      <c r="H18" s="12">
        <v>17</v>
      </c>
      <c r="I18" s="12">
        <v>21</v>
      </c>
      <c r="J18" s="12">
        <v>4</v>
      </c>
      <c r="K18" s="12">
        <v>15</v>
      </c>
      <c r="L18" s="12">
        <v>9</v>
      </c>
      <c r="M18" s="12">
        <v>17</v>
      </c>
      <c r="N18" s="12">
        <v>11</v>
      </c>
      <c r="O18" s="12">
        <v>19</v>
      </c>
      <c r="P18" s="12">
        <v>9</v>
      </c>
      <c r="Q18" s="12">
        <v>15</v>
      </c>
      <c r="R18" s="12">
        <v>7</v>
      </c>
      <c r="S18" s="12">
        <v>16</v>
      </c>
      <c r="T18" s="12">
        <v>12</v>
      </c>
      <c r="U18" s="12">
        <v>13</v>
      </c>
      <c r="V18" s="12">
        <v>5</v>
      </c>
      <c r="W18" s="12">
        <v>14</v>
      </c>
      <c r="X18" s="12">
        <v>16</v>
      </c>
      <c r="Y18" s="12">
        <v>29</v>
      </c>
      <c r="Z18" s="12">
        <v>28</v>
      </c>
      <c r="AA18" s="12">
        <v>10</v>
      </c>
      <c r="AB18" s="12">
        <v>37</v>
      </c>
      <c r="AC18" s="12">
        <v>23</v>
      </c>
      <c r="AD18" s="12">
        <v>9</v>
      </c>
      <c r="AE18" s="12">
        <v>6</v>
      </c>
      <c r="AF18" s="12">
        <v>4</v>
      </c>
    </row>
    <row r="19" spans="1:32">
      <c r="A19" s="20"/>
      <c r="B19" s="13" t="s">
        <v>1232</v>
      </c>
      <c r="C19" s="14">
        <v>0.02</v>
      </c>
      <c r="D19" s="14">
        <v>0.02</v>
      </c>
      <c r="E19" s="14">
        <v>0.03</v>
      </c>
      <c r="F19" s="14">
        <v>0.03</v>
      </c>
      <c r="G19" s="15" t="s">
        <v>459</v>
      </c>
      <c r="H19" s="14">
        <v>0.01</v>
      </c>
      <c r="I19" s="14">
        <v>0.01</v>
      </c>
      <c r="J19" s="14">
        <v>0.01</v>
      </c>
      <c r="K19" s="14">
        <v>0.02</v>
      </c>
      <c r="L19" s="14">
        <v>0.01</v>
      </c>
      <c r="M19" s="14">
        <v>0.02</v>
      </c>
      <c r="N19" s="14">
        <v>0.01</v>
      </c>
      <c r="O19" s="14">
        <v>0.02</v>
      </c>
      <c r="P19" s="14">
        <v>0.01</v>
      </c>
      <c r="Q19" s="14">
        <v>0.01</v>
      </c>
      <c r="R19" s="14">
        <v>0.01</v>
      </c>
      <c r="S19" s="14">
        <v>0.02</v>
      </c>
      <c r="T19" s="14">
        <v>0.01</v>
      </c>
      <c r="U19" s="14">
        <v>0.03</v>
      </c>
      <c r="V19" s="15" t="s">
        <v>459</v>
      </c>
      <c r="W19" s="14">
        <v>0.03</v>
      </c>
      <c r="X19" s="14">
        <v>0.02</v>
      </c>
      <c r="Y19" s="14">
        <v>0.03</v>
      </c>
      <c r="Z19" s="14">
        <v>0.03</v>
      </c>
      <c r="AA19" s="14">
        <v>0.01</v>
      </c>
      <c r="AB19" s="14">
        <v>0.04</v>
      </c>
      <c r="AC19" s="14">
        <v>0.02</v>
      </c>
      <c r="AD19" s="14">
        <v>0.01</v>
      </c>
      <c r="AE19" s="15" t="s">
        <v>459</v>
      </c>
      <c r="AF19" s="15" t="s">
        <v>459</v>
      </c>
    </row>
    <row r="20" spans="1:32">
      <c r="A20" s="20"/>
      <c r="B20" s="11" t="s">
        <v>468</v>
      </c>
      <c r="C20" s="12">
        <v>904</v>
      </c>
      <c r="D20" s="12">
        <v>7</v>
      </c>
      <c r="E20" s="12">
        <v>51</v>
      </c>
      <c r="F20" s="12">
        <v>53</v>
      </c>
      <c r="G20" s="12">
        <v>35</v>
      </c>
      <c r="H20" s="12">
        <v>51</v>
      </c>
      <c r="I20" s="12">
        <v>60</v>
      </c>
      <c r="J20" s="12">
        <v>9</v>
      </c>
      <c r="K20" s="12">
        <v>52</v>
      </c>
      <c r="L20" s="12">
        <v>29</v>
      </c>
      <c r="M20" s="12">
        <v>52</v>
      </c>
      <c r="N20" s="12">
        <v>36</v>
      </c>
      <c r="O20" s="12">
        <v>37</v>
      </c>
      <c r="P20" s="12">
        <v>25</v>
      </c>
      <c r="Q20" s="12">
        <v>19</v>
      </c>
      <c r="R20" s="12">
        <v>32</v>
      </c>
      <c r="S20" s="12">
        <v>89</v>
      </c>
      <c r="T20" s="12">
        <v>79</v>
      </c>
      <c r="U20" s="12">
        <v>21</v>
      </c>
      <c r="V20" s="12">
        <v>18</v>
      </c>
      <c r="W20" s="12">
        <v>9</v>
      </c>
      <c r="X20" s="12">
        <v>5</v>
      </c>
      <c r="Y20" s="12">
        <v>38</v>
      </c>
      <c r="Z20" s="12">
        <v>38</v>
      </c>
      <c r="AA20" s="12">
        <v>69</v>
      </c>
      <c r="AB20" s="12">
        <v>57</v>
      </c>
      <c r="AC20" s="12">
        <v>37</v>
      </c>
      <c r="AD20" s="12">
        <v>35</v>
      </c>
      <c r="AE20" s="12">
        <v>27</v>
      </c>
      <c r="AF20" s="12">
        <v>8</v>
      </c>
    </row>
    <row r="21" spans="1:32">
      <c r="A21" s="20"/>
      <c r="B21" s="13" t="s">
        <v>469</v>
      </c>
      <c r="C21" s="14">
        <v>0.03</v>
      </c>
      <c r="D21" s="14">
        <v>0.01</v>
      </c>
      <c r="E21" s="14">
        <v>0.05</v>
      </c>
      <c r="F21" s="14">
        <v>0.05</v>
      </c>
      <c r="G21" s="14">
        <v>0.04</v>
      </c>
      <c r="H21" s="14">
        <v>0.04</v>
      </c>
      <c r="I21" s="14">
        <v>0.04</v>
      </c>
      <c r="J21" s="14">
        <v>0.03</v>
      </c>
      <c r="K21" s="14">
        <v>0.05</v>
      </c>
      <c r="L21" s="14">
        <v>0.03</v>
      </c>
      <c r="M21" s="14">
        <v>0.05</v>
      </c>
      <c r="N21" s="14">
        <v>0.04</v>
      </c>
      <c r="O21" s="14">
        <v>0.03</v>
      </c>
      <c r="P21" s="14">
        <v>0.02</v>
      </c>
      <c r="Q21" s="14">
        <v>0.02</v>
      </c>
      <c r="R21" s="14">
        <v>0.06</v>
      </c>
      <c r="S21" s="14">
        <v>0.09</v>
      </c>
      <c r="T21" s="14">
        <v>0.08</v>
      </c>
      <c r="U21" s="14">
        <v>0.04</v>
      </c>
      <c r="V21" s="14">
        <v>0.02</v>
      </c>
      <c r="W21" s="14">
        <v>0.02</v>
      </c>
      <c r="X21" s="15" t="s">
        <v>459</v>
      </c>
      <c r="Y21" s="14">
        <v>0.04</v>
      </c>
      <c r="Z21" s="14">
        <v>0.04</v>
      </c>
      <c r="AA21" s="14">
        <v>0.06</v>
      </c>
      <c r="AB21" s="14">
        <v>0.05</v>
      </c>
      <c r="AC21" s="14">
        <v>0.04</v>
      </c>
      <c r="AD21" s="14">
        <v>0.03</v>
      </c>
      <c r="AE21" s="14">
        <v>0.03</v>
      </c>
      <c r="AF21" s="14">
        <v>0.01</v>
      </c>
    </row>
    <row r="22" spans="1:32">
      <c r="A22" s="20"/>
      <c r="B22" s="11" t="s">
        <v>500</v>
      </c>
      <c r="C22" s="12">
        <v>23313</v>
      </c>
      <c r="D22" s="12">
        <v>891</v>
      </c>
      <c r="E22" s="12">
        <v>860</v>
      </c>
      <c r="F22" s="12">
        <v>816</v>
      </c>
      <c r="G22" s="12">
        <v>959</v>
      </c>
      <c r="H22" s="12">
        <v>1073</v>
      </c>
      <c r="I22" s="12">
        <v>1335</v>
      </c>
      <c r="J22" s="12">
        <v>262</v>
      </c>
      <c r="K22" s="12">
        <v>894</v>
      </c>
      <c r="L22" s="12">
        <v>947</v>
      </c>
      <c r="M22" s="12">
        <v>909</v>
      </c>
      <c r="N22" s="12">
        <v>921</v>
      </c>
      <c r="O22" s="12">
        <v>890</v>
      </c>
      <c r="P22" s="12">
        <v>921</v>
      </c>
      <c r="Q22" s="12">
        <v>921</v>
      </c>
      <c r="R22" s="12">
        <v>438</v>
      </c>
      <c r="S22" s="12">
        <v>862</v>
      </c>
      <c r="T22" s="12">
        <v>888</v>
      </c>
      <c r="U22" s="12">
        <v>445</v>
      </c>
      <c r="V22" s="12">
        <v>925</v>
      </c>
      <c r="W22" s="12">
        <v>451</v>
      </c>
      <c r="X22" s="12">
        <v>951</v>
      </c>
      <c r="Y22" s="12">
        <v>855</v>
      </c>
      <c r="Z22" s="12">
        <v>839</v>
      </c>
      <c r="AA22" s="12">
        <v>934</v>
      </c>
      <c r="AB22" s="12">
        <v>806</v>
      </c>
      <c r="AC22" s="12">
        <v>864</v>
      </c>
      <c r="AD22" s="12">
        <v>920</v>
      </c>
      <c r="AE22" s="12">
        <v>929</v>
      </c>
      <c r="AF22" s="12">
        <v>954</v>
      </c>
    </row>
    <row r="23" spans="1:32">
      <c r="A23" s="20"/>
      <c r="B23" s="13" t="s">
        <v>500</v>
      </c>
      <c r="C23" s="14">
        <v>0.89</v>
      </c>
      <c r="D23" s="14">
        <v>0.88</v>
      </c>
      <c r="E23" s="14">
        <v>0.85</v>
      </c>
      <c r="F23" s="14">
        <v>0.81</v>
      </c>
      <c r="G23" s="14">
        <v>0.95000000000000007</v>
      </c>
      <c r="H23" s="14">
        <v>0.89</v>
      </c>
      <c r="I23" s="14">
        <v>0.89</v>
      </c>
      <c r="J23" s="14">
        <v>0.9</v>
      </c>
      <c r="K23" s="14">
        <v>0.89</v>
      </c>
      <c r="L23" s="14">
        <v>0.94000000000000006</v>
      </c>
      <c r="M23" s="14">
        <v>0.9</v>
      </c>
      <c r="N23" s="14">
        <v>0.92</v>
      </c>
      <c r="O23" s="14">
        <v>0.89</v>
      </c>
      <c r="P23" s="14">
        <v>0.9</v>
      </c>
      <c r="Q23" s="14">
        <v>0.91</v>
      </c>
      <c r="R23" s="14">
        <v>0.88</v>
      </c>
      <c r="S23" s="14">
        <v>0.85</v>
      </c>
      <c r="T23" s="14">
        <v>0.87</v>
      </c>
      <c r="U23" s="14">
        <v>0.88</v>
      </c>
      <c r="V23" s="14">
        <v>0.91</v>
      </c>
      <c r="W23" s="14">
        <v>0.89</v>
      </c>
      <c r="X23" s="14">
        <v>0.93</v>
      </c>
      <c r="Y23" s="14">
        <v>0.85</v>
      </c>
      <c r="Z23" s="14">
        <v>0.83000000000000007</v>
      </c>
      <c r="AA23" s="14">
        <v>0.89</v>
      </c>
      <c r="AB23" s="14">
        <v>0.78</v>
      </c>
      <c r="AC23" s="14">
        <v>0.86</v>
      </c>
      <c r="AD23" s="14">
        <v>0.92</v>
      </c>
      <c r="AE23" s="14">
        <v>0.93</v>
      </c>
      <c r="AF23" s="14">
        <v>0.94000000000000006</v>
      </c>
    </row>
    <row r="24" spans="1:32">
      <c r="A24" s="20"/>
      <c r="B24" s="11" t="s">
        <v>501</v>
      </c>
      <c r="C24" s="12">
        <v>2103</v>
      </c>
      <c r="D24" s="12">
        <v>106</v>
      </c>
      <c r="E24" s="12">
        <v>106</v>
      </c>
      <c r="F24" s="12">
        <v>136</v>
      </c>
      <c r="G24" s="12">
        <v>10</v>
      </c>
      <c r="H24" s="12">
        <v>93</v>
      </c>
      <c r="I24" s="12">
        <v>115</v>
      </c>
      <c r="J24" s="12">
        <v>22</v>
      </c>
      <c r="K24" s="12">
        <v>60</v>
      </c>
      <c r="L24" s="12">
        <v>30</v>
      </c>
      <c r="M24" s="12">
        <v>42</v>
      </c>
      <c r="N24" s="12">
        <v>47</v>
      </c>
      <c r="O24" s="12">
        <v>76</v>
      </c>
      <c r="P24" s="12">
        <v>76</v>
      </c>
      <c r="Q24" s="12">
        <v>80</v>
      </c>
      <c r="R24" s="12">
        <v>31</v>
      </c>
      <c r="S24" s="12">
        <v>56</v>
      </c>
      <c r="T24" s="12">
        <v>47</v>
      </c>
      <c r="U24" s="12">
        <v>41</v>
      </c>
      <c r="V24" s="12">
        <v>74</v>
      </c>
      <c r="W24" s="12">
        <v>43</v>
      </c>
      <c r="X24" s="12">
        <v>65</v>
      </c>
      <c r="Y24" s="12">
        <v>115</v>
      </c>
      <c r="Z24" s="12">
        <v>130</v>
      </c>
      <c r="AA24" s="12">
        <v>50</v>
      </c>
      <c r="AB24" s="12">
        <v>177</v>
      </c>
      <c r="AC24" s="12">
        <v>109</v>
      </c>
      <c r="AD24" s="12">
        <v>52</v>
      </c>
      <c r="AE24" s="12">
        <v>44</v>
      </c>
      <c r="AF24" s="12">
        <v>58</v>
      </c>
    </row>
    <row r="25" spans="1:32">
      <c r="A25" s="20"/>
      <c r="B25" s="13" t="s">
        <v>502</v>
      </c>
      <c r="C25" s="14">
        <v>0.08</v>
      </c>
      <c r="D25" s="14">
        <v>0.11</v>
      </c>
      <c r="E25" s="14">
        <v>0.1</v>
      </c>
      <c r="F25" s="14">
        <v>0.14000000000000001</v>
      </c>
      <c r="G25" s="14">
        <v>0.01</v>
      </c>
      <c r="H25" s="14">
        <v>7.0000000000000007E-2</v>
      </c>
      <c r="I25" s="14">
        <v>7.0000000000000007E-2</v>
      </c>
      <c r="J25" s="14">
        <v>7.0000000000000007E-2</v>
      </c>
      <c r="K25" s="14">
        <v>0.06</v>
      </c>
      <c r="L25" s="14">
        <v>0.03</v>
      </c>
      <c r="M25" s="14">
        <v>0.05</v>
      </c>
      <c r="N25" s="14">
        <v>0.04</v>
      </c>
      <c r="O25" s="14">
        <v>0.08</v>
      </c>
      <c r="P25" s="14">
        <v>0.08</v>
      </c>
      <c r="Q25" s="14">
        <v>7.0000000000000007E-2</v>
      </c>
      <c r="R25" s="14">
        <v>0.06</v>
      </c>
      <c r="S25" s="14">
        <v>0.06</v>
      </c>
      <c r="T25" s="14">
        <v>0.05</v>
      </c>
      <c r="U25" s="14">
        <v>0.08</v>
      </c>
      <c r="V25" s="14">
        <v>7.0000000000000007E-2</v>
      </c>
      <c r="W25" s="14">
        <v>0.09</v>
      </c>
      <c r="X25" s="14">
        <v>7.0000000000000007E-2</v>
      </c>
      <c r="Y25" s="14">
        <v>0.11</v>
      </c>
      <c r="Z25" s="14">
        <v>0.13</v>
      </c>
      <c r="AA25" s="14">
        <v>0.05</v>
      </c>
      <c r="AB25" s="14">
        <v>0.17</v>
      </c>
      <c r="AC25" s="14">
        <v>0.1</v>
      </c>
      <c r="AD25" s="14">
        <v>0.05</v>
      </c>
      <c r="AE25" s="14">
        <v>0.04</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1320</v>
      </c>
      <c r="C3" s="18"/>
      <c r="D3" s="18"/>
      <c r="E3" s="18"/>
      <c r="F3" s="18"/>
      <c r="H3" s="18" t="s">
        <v>1321</v>
      </c>
      <c r="I3" s="18"/>
      <c r="J3" s="18"/>
      <c r="K3" s="18"/>
      <c r="L3" s="18"/>
    </row>
    <row r="4" spans="1:32" ht="27" customHeight="1">
      <c r="B4" s="18" t="s">
        <v>1322</v>
      </c>
      <c r="C4" s="18"/>
      <c r="D4" s="18"/>
      <c r="E4" s="18"/>
      <c r="F4" s="18"/>
      <c r="H4" s="18" t="s">
        <v>1323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10450</v>
      </c>
      <c r="D12" s="12">
        <v>413</v>
      </c>
      <c r="E12" s="12">
        <v>416</v>
      </c>
      <c r="F12" s="12">
        <v>381</v>
      </c>
      <c r="G12" s="12">
        <v>494</v>
      </c>
      <c r="H12" s="12">
        <v>508</v>
      </c>
      <c r="I12" s="12">
        <v>618</v>
      </c>
      <c r="J12" s="12">
        <v>110</v>
      </c>
      <c r="K12" s="12">
        <v>250</v>
      </c>
      <c r="L12" s="12">
        <v>617</v>
      </c>
      <c r="M12" s="12">
        <v>443</v>
      </c>
      <c r="N12" s="12">
        <v>491</v>
      </c>
      <c r="O12" s="12">
        <v>386</v>
      </c>
      <c r="P12" s="12">
        <v>373</v>
      </c>
      <c r="Q12" s="12">
        <v>395</v>
      </c>
      <c r="R12" s="12">
        <v>241</v>
      </c>
      <c r="S12" s="12">
        <v>354</v>
      </c>
      <c r="T12" s="12">
        <v>367</v>
      </c>
      <c r="U12" s="12">
        <v>245</v>
      </c>
      <c r="V12" s="12">
        <v>447</v>
      </c>
      <c r="W12" s="12">
        <v>283</v>
      </c>
      <c r="X12" s="12">
        <v>409</v>
      </c>
      <c r="Y12" s="12">
        <v>379</v>
      </c>
      <c r="Z12" s="12">
        <v>259</v>
      </c>
      <c r="AA12" s="12">
        <v>420</v>
      </c>
      <c r="AB12" s="12">
        <v>293</v>
      </c>
      <c r="AC12" s="12">
        <v>402</v>
      </c>
      <c r="AD12" s="12">
        <v>498</v>
      </c>
      <c r="AE12" s="12">
        <v>430</v>
      </c>
      <c r="AF12" s="12">
        <v>422</v>
      </c>
    </row>
    <row r="13" spans="1:32">
      <c r="A13" s="20"/>
      <c r="B13" s="13" t="s">
        <v>493</v>
      </c>
      <c r="C13" s="14">
        <v>0.4</v>
      </c>
      <c r="D13" s="14">
        <v>0.41</v>
      </c>
      <c r="E13" s="14">
        <v>0.41</v>
      </c>
      <c r="F13" s="14">
        <v>0.38</v>
      </c>
      <c r="G13" s="14">
        <v>0.49</v>
      </c>
      <c r="H13" s="14">
        <v>0.42</v>
      </c>
      <c r="I13" s="14">
        <v>0.41</v>
      </c>
      <c r="J13" s="14">
        <v>0.37</v>
      </c>
      <c r="K13" s="14">
        <v>0.25</v>
      </c>
      <c r="L13" s="14">
        <v>0.61</v>
      </c>
      <c r="M13" s="14">
        <v>0.44</v>
      </c>
      <c r="N13" s="14">
        <v>0.49</v>
      </c>
      <c r="O13" s="14">
        <v>0.38</v>
      </c>
      <c r="P13" s="14">
        <v>0.37</v>
      </c>
      <c r="Q13" s="14">
        <v>0.39</v>
      </c>
      <c r="R13" s="14">
        <v>0.48</v>
      </c>
      <c r="S13" s="14">
        <v>0.35</v>
      </c>
      <c r="T13" s="14">
        <v>0.36</v>
      </c>
      <c r="U13" s="14">
        <v>0.48</v>
      </c>
      <c r="V13" s="14">
        <v>0.44</v>
      </c>
      <c r="W13" s="14">
        <v>0.56000000000000005</v>
      </c>
      <c r="X13" s="14">
        <v>0.4</v>
      </c>
      <c r="Y13" s="14">
        <v>0.38</v>
      </c>
      <c r="Z13" s="14">
        <v>0.26</v>
      </c>
      <c r="AA13" s="14">
        <v>0.4</v>
      </c>
      <c r="AB13" s="14">
        <v>0.28000000000000003</v>
      </c>
      <c r="AC13" s="14">
        <v>0.4</v>
      </c>
      <c r="AD13" s="14">
        <v>0.49</v>
      </c>
      <c r="AE13" s="14">
        <v>0.43</v>
      </c>
      <c r="AF13" s="14">
        <v>0.41</v>
      </c>
    </row>
    <row r="14" spans="1:32">
      <c r="A14" s="20"/>
      <c r="B14" s="11" t="s">
        <v>643</v>
      </c>
      <c r="C14" s="12">
        <v>11737</v>
      </c>
      <c r="D14" s="12">
        <v>433</v>
      </c>
      <c r="E14" s="12">
        <v>414</v>
      </c>
      <c r="F14" s="12">
        <v>436</v>
      </c>
      <c r="G14" s="12">
        <v>392</v>
      </c>
      <c r="H14" s="12">
        <v>496</v>
      </c>
      <c r="I14" s="12">
        <v>628</v>
      </c>
      <c r="J14" s="12">
        <v>132</v>
      </c>
      <c r="K14" s="12">
        <v>439</v>
      </c>
      <c r="L14" s="12">
        <v>319</v>
      </c>
      <c r="M14" s="12">
        <v>393</v>
      </c>
      <c r="N14" s="12">
        <v>365</v>
      </c>
      <c r="O14" s="12">
        <v>443</v>
      </c>
      <c r="P14" s="12">
        <v>549</v>
      </c>
      <c r="Q14" s="12">
        <v>518</v>
      </c>
      <c r="R14" s="12">
        <v>197</v>
      </c>
      <c r="S14" s="12">
        <v>432</v>
      </c>
      <c r="T14" s="12">
        <v>435</v>
      </c>
      <c r="U14" s="12">
        <v>191</v>
      </c>
      <c r="V14" s="12">
        <v>470</v>
      </c>
      <c r="W14" s="12">
        <v>157</v>
      </c>
      <c r="X14" s="12">
        <v>436</v>
      </c>
      <c r="Y14" s="12">
        <v>447</v>
      </c>
      <c r="Z14" s="12">
        <v>582</v>
      </c>
      <c r="AA14" s="12">
        <v>516</v>
      </c>
      <c r="AB14" s="12">
        <v>504</v>
      </c>
      <c r="AC14" s="12">
        <v>423</v>
      </c>
      <c r="AD14" s="12">
        <v>390</v>
      </c>
      <c r="AE14" s="12">
        <v>456</v>
      </c>
      <c r="AF14" s="12">
        <v>418</v>
      </c>
    </row>
    <row r="15" spans="1:32">
      <c r="A15" s="20"/>
      <c r="B15" s="13" t="s">
        <v>495</v>
      </c>
      <c r="C15" s="14">
        <v>0.45</v>
      </c>
      <c r="D15" s="14">
        <v>0.43</v>
      </c>
      <c r="E15" s="14">
        <v>0.41</v>
      </c>
      <c r="F15" s="14">
        <v>0.43</v>
      </c>
      <c r="G15" s="14">
        <v>0.39</v>
      </c>
      <c r="H15" s="14">
        <v>0.41</v>
      </c>
      <c r="I15" s="14">
        <v>0.41</v>
      </c>
      <c r="J15" s="14">
        <v>0.45</v>
      </c>
      <c r="K15" s="14">
        <v>0.44</v>
      </c>
      <c r="L15" s="14">
        <v>0.32</v>
      </c>
      <c r="M15" s="14">
        <v>0.39</v>
      </c>
      <c r="N15" s="14">
        <v>0.36</v>
      </c>
      <c r="O15" s="14">
        <v>0.44</v>
      </c>
      <c r="P15" s="14">
        <v>0.54</v>
      </c>
      <c r="Q15" s="14">
        <v>0.51</v>
      </c>
      <c r="R15" s="14">
        <v>0.39</v>
      </c>
      <c r="S15" s="14">
        <v>0.43</v>
      </c>
      <c r="T15" s="14">
        <v>0.43</v>
      </c>
      <c r="U15" s="14">
        <v>0.38</v>
      </c>
      <c r="V15" s="14">
        <v>0.46</v>
      </c>
      <c r="W15" s="14">
        <v>0.31</v>
      </c>
      <c r="X15" s="14">
        <v>0.43</v>
      </c>
      <c r="Y15" s="14">
        <v>0.44</v>
      </c>
      <c r="Z15" s="14">
        <v>0.57999999999999996</v>
      </c>
      <c r="AA15" s="14">
        <v>0.49</v>
      </c>
      <c r="AB15" s="14">
        <v>0.49</v>
      </c>
      <c r="AC15" s="14">
        <v>0.42</v>
      </c>
      <c r="AD15" s="14">
        <v>0.39</v>
      </c>
      <c r="AE15" s="14">
        <v>0.45</v>
      </c>
      <c r="AF15" s="14">
        <v>0.41</v>
      </c>
    </row>
    <row r="16" spans="1:32">
      <c r="A16" s="20"/>
      <c r="B16" s="11" t="s">
        <v>644</v>
      </c>
      <c r="C16" s="12">
        <v>2341</v>
      </c>
      <c r="D16" s="12">
        <v>134</v>
      </c>
      <c r="E16" s="12">
        <v>76</v>
      </c>
      <c r="F16" s="12">
        <v>104</v>
      </c>
      <c r="G16" s="12">
        <v>55</v>
      </c>
      <c r="H16" s="12">
        <v>116</v>
      </c>
      <c r="I16" s="12">
        <v>147</v>
      </c>
      <c r="J16" s="12">
        <v>31</v>
      </c>
      <c r="K16" s="12">
        <v>137</v>
      </c>
      <c r="L16" s="12">
        <v>33</v>
      </c>
      <c r="M16" s="12">
        <v>96</v>
      </c>
      <c r="N16" s="12">
        <v>64</v>
      </c>
      <c r="O16" s="12">
        <v>90</v>
      </c>
      <c r="P16" s="12">
        <v>62</v>
      </c>
      <c r="Q16" s="12">
        <v>76</v>
      </c>
      <c r="R16" s="12">
        <v>22</v>
      </c>
      <c r="S16" s="12">
        <v>77</v>
      </c>
      <c r="T16" s="12">
        <v>59</v>
      </c>
      <c r="U16" s="12">
        <v>46</v>
      </c>
      <c r="V16" s="12">
        <v>70</v>
      </c>
      <c r="W16" s="12">
        <v>39</v>
      </c>
      <c r="X16" s="12">
        <v>141</v>
      </c>
      <c r="Y16" s="12">
        <v>105</v>
      </c>
      <c r="Z16" s="12">
        <v>102</v>
      </c>
      <c r="AA16" s="12">
        <v>29</v>
      </c>
      <c r="AB16" s="12">
        <v>126</v>
      </c>
      <c r="AC16" s="12">
        <v>99</v>
      </c>
      <c r="AD16" s="12">
        <v>57</v>
      </c>
      <c r="AE16" s="12">
        <v>68</v>
      </c>
      <c r="AF16" s="12">
        <v>135</v>
      </c>
    </row>
    <row r="17" spans="1:32">
      <c r="A17" s="20"/>
      <c r="B17" s="13" t="s">
        <v>497</v>
      </c>
      <c r="C17" s="14">
        <v>0.09</v>
      </c>
      <c r="D17" s="14">
        <v>0.13</v>
      </c>
      <c r="E17" s="14">
        <v>7.0000000000000007E-2</v>
      </c>
      <c r="F17" s="14">
        <v>0.1</v>
      </c>
      <c r="G17" s="14">
        <v>0.06</v>
      </c>
      <c r="H17" s="14">
        <v>0.09</v>
      </c>
      <c r="I17" s="14">
        <v>0.1</v>
      </c>
      <c r="J17" s="14">
        <v>0.11</v>
      </c>
      <c r="K17" s="14">
        <v>0.13</v>
      </c>
      <c r="L17" s="14">
        <v>0.03</v>
      </c>
      <c r="M17" s="14">
        <v>0.1</v>
      </c>
      <c r="N17" s="14">
        <v>7.0000000000000007E-2</v>
      </c>
      <c r="O17" s="14">
        <v>0.09</v>
      </c>
      <c r="P17" s="14">
        <v>0.06</v>
      </c>
      <c r="Q17" s="14">
        <v>7.0000000000000007E-2</v>
      </c>
      <c r="R17" s="14">
        <v>0.05</v>
      </c>
      <c r="S17" s="14">
        <v>7.0000000000000007E-2</v>
      </c>
      <c r="T17" s="14">
        <v>0.06</v>
      </c>
      <c r="U17" s="14">
        <v>0.09</v>
      </c>
      <c r="V17" s="14">
        <v>7.0000000000000007E-2</v>
      </c>
      <c r="W17" s="14">
        <v>0.08</v>
      </c>
      <c r="X17" s="14">
        <v>0.14000000000000001</v>
      </c>
      <c r="Y17" s="14">
        <v>0.11</v>
      </c>
      <c r="Z17" s="14">
        <v>0.1</v>
      </c>
      <c r="AA17" s="14">
        <v>0.03</v>
      </c>
      <c r="AB17" s="14">
        <v>0.12</v>
      </c>
      <c r="AC17" s="14">
        <v>0.1</v>
      </c>
      <c r="AD17" s="14">
        <v>0.06</v>
      </c>
      <c r="AE17" s="14">
        <v>7.0000000000000007E-2</v>
      </c>
      <c r="AF17" s="14">
        <v>0.13</v>
      </c>
    </row>
    <row r="18" spans="1:32">
      <c r="A18" s="20"/>
      <c r="B18" s="11" t="s">
        <v>1319</v>
      </c>
      <c r="C18" s="12">
        <v>608</v>
      </c>
      <c r="D18" s="12">
        <v>16</v>
      </c>
      <c r="E18" s="12">
        <v>28</v>
      </c>
      <c r="F18" s="12">
        <v>28</v>
      </c>
      <c r="G18" s="12">
        <v>9</v>
      </c>
      <c r="H18" s="12">
        <v>20</v>
      </c>
      <c r="I18" s="12">
        <v>28</v>
      </c>
      <c r="J18" s="12">
        <v>8</v>
      </c>
      <c r="K18" s="12">
        <v>42</v>
      </c>
      <c r="L18" s="12">
        <v>10</v>
      </c>
      <c r="M18" s="12">
        <v>17</v>
      </c>
      <c r="N18" s="12">
        <v>32</v>
      </c>
      <c r="O18" s="12">
        <v>36</v>
      </c>
      <c r="P18" s="12">
        <v>13</v>
      </c>
      <c r="Q18" s="12">
        <v>9</v>
      </c>
      <c r="R18" s="12">
        <v>6</v>
      </c>
      <c r="S18" s="12">
        <v>26</v>
      </c>
      <c r="T18" s="12">
        <v>23</v>
      </c>
      <c r="U18" s="12">
        <v>9</v>
      </c>
      <c r="V18" s="12">
        <v>12</v>
      </c>
      <c r="W18" s="12">
        <v>10</v>
      </c>
      <c r="X18" s="12">
        <v>26</v>
      </c>
      <c r="Y18" s="12">
        <v>32</v>
      </c>
      <c r="Z18" s="12">
        <v>23</v>
      </c>
      <c r="AA18" s="12">
        <v>12</v>
      </c>
      <c r="AB18" s="12">
        <v>50</v>
      </c>
      <c r="AC18" s="12">
        <v>28</v>
      </c>
      <c r="AD18" s="12">
        <v>17</v>
      </c>
      <c r="AE18" s="12">
        <v>8</v>
      </c>
      <c r="AF18" s="12">
        <v>20</v>
      </c>
    </row>
    <row r="19" spans="1:32">
      <c r="A19" s="20"/>
      <c r="B19" s="13" t="s">
        <v>1232</v>
      </c>
      <c r="C19" s="14">
        <v>0.02</v>
      </c>
      <c r="D19" s="14">
        <v>0.02</v>
      </c>
      <c r="E19" s="14">
        <v>0.03</v>
      </c>
      <c r="F19" s="14">
        <v>0.03</v>
      </c>
      <c r="G19" s="14">
        <v>0.01</v>
      </c>
      <c r="H19" s="14">
        <v>0.02</v>
      </c>
      <c r="I19" s="14">
        <v>0.02</v>
      </c>
      <c r="J19" s="14">
        <v>0.03</v>
      </c>
      <c r="K19" s="14">
        <v>0.04</v>
      </c>
      <c r="L19" s="14">
        <v>0.01</v>
      </c>
      <c r="M19" s="14">
        <v>0.02</v>
      </c>
      <c r="N19" s="14">
        <v>0.03</v>
      </c>
      <c r="O19" s="14">
        <v>0.04</v>
      </c>
      <c r="P19" s="14">
        <v>0.01</v>
      </c>
      <c r="Q19" s="14">
        <v>0.01</v>
      </c>
      <c r="R19" s="14">
        <v>0.01</v>
      </c>
      <c r="S19" s="14">
        <v>0.03</v>
      </c>
      <c r="T19" s="14">
        <v>0.02</v>
      </c>
      <c r="U19" s="14">
        <v>0.02</v>
      </c>
      <c r="V19" s="14">
        <v>0.01</v>
      </c>
      <c r="W19" s="14">
        <v>0.02</v>
      </c>
      <c r="X19" s="14">
        <v>0.02</v>
      </c>
      <c r="Y19" s="14">
        <v>0.03</v>
      </c>
      <c r="Z19" s="14">
        <v>0.02</v>
      </c>
      <c r="AA19" s="14">
        <v>0.01</v>
      </c>
      <c r="AB19" s="14">
        <v>0.05</v>
      </c>
      <c r="AC19" s="14">
        <v>0.02</v>
      </c>
      <c r="AD19" s="14">
        <v>0.02</v>
      </c>
      <c r="AE19" s="14">
        <v>0.01</v>
      </c>
      <c r="AF19" s="14">
        <v>0.02</v>
      </c>
    </row>
    <row r="20" spans="1:32">
      <c r="A20" s="20"/>
      <c r="B20" s="11" t="s">
        <v>468</v>
      </c>
      <c r="C20" s="12">
        <v>1183</v>
      </c>
      <c r="D20" s="12">
        <v>7</v>
      </c>
      <c r="E20" s="12">
        <v>84</v>
      </c>
      <c r="F20" s="12">
        <v>56</v>
      </c>
      <c r="G20" s="12">
        <v>54</v>
      </c>
      <c r="H20" s="12">
        <v>77</v>
      </c>
      <c r="I20" s="12">
        <v>90</v>
      </c>
      <c r="J20" s="12">
        <v>13</v>
      </c>
      <c r="K20" s="12">
        <v>138</v>
      </c>
      <c r="L20" s="12">
        <v>29</v>
      </c>
      <c r="M20" s="12">
        <v>54</v>
      </c>
      <c r="N20" s="12">
        <v>51</v>
      </c>
      <c r="O20" s="12">
        <v>48</v>
      </c>
      <c r="P20" s="12">
        <v>25</v>
      </c>
      <c r="Q20" s="12">
        <v>20</v>
      </c>
      <c r="R20" s="12">
        <v>34</v>
      </c>
      <c r="S20" s="12">
        <v>119</v>
      </c>
      <c r="T20" s="12">
        <v>129</v>
      </c>
      <c r="U20" s="12">
        <v>15</v>
      </c>
      <c r="V20" s="12">
        <v>17</v>
      </c>
      <c r="W20" s="12">
        <v>14</v>
      </c>
      <c r="X20" s="12">
        <v>10</v>
      </c>
      <c r="Y20" s="12">
        <v>44</v>
      </c>
      <c r="Z20" s="12">
        <v>42</v>
      </c>
      <c r="AA20" s="12">
        <v>76</v>
      </c>
      <c r="AB20" s="12">
        <v>66</v>
      </c>
      <c r="AC20" s="12">
        <v>58</v>
      </c>
      <c r="AD20" s="12">
        <v>45</v>
      </c>
      <c r="AE20" s="12">
        <v>39</v>
      </c>
      <c r="AF20" s="12">
        <v>25</v>
      </c>
    </row>
    <row r="21" spans="1:32">
      <c r="A21" s="20"/>
      <c r="B21" s="13" t="s">
        <v>469</v>
      </c>
      <c r="C21" s="14">
        <v>0.04</v>
      </c>
      <c r="D21" s="14">
        <v>0.01</v>
      </c>
      <c r="E21" s="14">
        <v>0.08</v>
      </c>
      <c r="F21" s="14">
        <v>0.06</v>
      </c>
      <c r="G21" s="14">
        <v>0.05</v>
      </c>
      <c r="H21" s="14">
        <v>0.06</v>
      </c>
      <c r="I21" s="14">
        <v>0.06</v>
      </c>
      <c r="J21" s="14">
        <v>0.04</v>
      </c>
      <c r="K21" s="14">
        <v>0.14000000000000001</v>
      </c>
      <c r="L21" s="14">
        <v>0.03</v>
      </c>
      <c r="M21" s="14">
        <v>0.05</v>
      </c>
      <c r="N21" s="14">
        <v>0.05</v>
      </c>
      <c r="O21" s="14">
        <v>0.05</v>
      </c>
      <c r="P21" s="14">
        <v>0.02</v>
      </c>
      <c r="Q21" s="14">
        <v>0.02</v>
      </c>
      <c r="R21" s="14">
        <v>7.0000000000000007E-2</v>
      </c>
      <c r="S21" s="14">
        <v>0.12</v>
      </c>
      <c r="T21" s="14">
        <v>0.13</v>
      </c>
      <c r="U21" s="14">
        <v>0.03</v>
      </c>
      <c r="V21" s="14">
        <v>0.02</v>
      </c>
      <c r="W21" s="14">
        <v>0.03</v>
      </c>
      <c r="X21" s="14">
        <v>0.01</v>
      </c>
      <c r="Y21" s="14">
        <v>0.04</v>
      </c>
      <c r="Z21" s="14">
        <v>0.04</v>
      </c>
      <c r="AA21" s="14">
        <v>7.0000000000000007E-2</v>
      </c>
      <c r="AB21" s="14">
        <v>0.06</v>
      </c>
      <c r="AC21" s="14">
        <v>0.06</v>
      </c>
      <c r="AD21" s="14">
        <v>0.04</v>
      </c>
      <c r="AE21" s="14">
        <v>0.04</v>
      </c>
      <c r="AF21" s="14">
        <v>0.03</v>
      </c>
    </row>
    <row r="22" spans="1:32">
      <c r="A22" s="20"/>
      <c r="B22" s="11" t="s">
        <v>500</v>
      </c>
      <c r="C22" s="12">
        <v>22187</v>
      </c>
      <c r="D22" s="12">
        <v>846</v>
      </c>
      <c r="E22" s="12">
        <v>830</v>
      </c>
      <c r="F22" s="12">
        <v>817</v>
      </c>
      <c r="G22" s="12">
        <v>886</v>
      </c>
      <c r="H22" s="12">
        <v>1004</v>
      </c>
      <c r="I22" s="12">
        <v>1246</v>
      </c>
      <c r="J22" s="12">
        <v>242</v>
      </c>
      <c r="K22" s="12">
        <v>689</v>
      </c>
      <c r="L22" s="12">
        <v>936</v>
      </c>
      <c r="M22" s="12">
        <v>836</v>
      </c>
      <c r="N22" s="12">
        <v>856</v>
      </c>
      <c r="O22" s="12">
        <v>829</v>
      </c>
      <c r="P22" s="12">
        <v>922</v>
      </c>
      <c r="Q22" s="12">
        <v>913</v>
      </c>
      <c r="R22" s="12">
        <v>438</v>
      </c>
      <c r="S22" s="12">
        <v>786</v>
      </c>
      <c r="T22" s="12">
        <v>802</v>
      </c>
      <c r="U22" s="12">
        <v>436</v>
      </c>
      <c r="V22" s="12">
        <v>917</v>
      </c>
      <c r="W22" s="12">
        <v>440</v>
      </c>
      <c r="X22" s="12">
        <v>845</v>
      </c>
      <c r="Y22" s="12">
        <v>826</v>
      </c>
      <c r="Z22" s="12">
        <v>841</v>
      </c>
      <c r="AA22" s="12">
        <v>936</v>
      </c>
      <c r="AB22" s="12">
        <v>797</v>
      </c>
      <c r="AC22" s="12">
        <v>825</v>
      </c>
      <c r="AD22" s="12">
        <v>888</v>
      </c>
      <c r="AE22" s="12">
        <v>886</v>
      </c>
      <c r="AF22" s="12">
        <v>840</v>
      </c>
    </row>
    <row r="23" spans="1:32">
      <c r="A23" s="20"/>
      <c r="B23" s="13" t="s">
        <v>500</v>
      </c>
      <c r="C23" s="14">
        <v>0.85</v>
      </c>
      <c r="D23" s="14">
        <v>0.84</v>
      </c>
      <c r="E23" s="14">
        <v>0.82000000000000006</v>
      </c>
      <c r="F23" s="14">
        <v>0.81</v>
      </c>
      <c r="G23" s="14">
        <v>0.88</v>
      </c>
      <c r="H23" s="14">
        <v>0.83000000000000007</v>
      </c>
      <c r="I23" s="14">
        <v>0.82000000000000006</v>
      </c>
      <c r="J23" s="14">
        <v>0.82000000000000006</v>
      </c>
      <c r="K23" s="14">
        <v>0.69000000000000006</v>
      </c>
      <c r="L23" s="14">
        <v>0.93</v>
      </c>
      <c r="M23" s="14">
        <v>0.83000000000000007</v>
      </c>
      <c r="N23" s="14">
        <v>0.85</v>
      </c>
      <c r="O23" s="14">
        <v>0.82000000000000006</v>
      </c>
      <c r="P23" s="14">
        <v>0.91</v>
      </c>
      <c r="Q23" s="14">
        <v>0.9</v>
      </c>
      <c r="R23" s="14">
        <v>0.87</v>
      </c>
      <c r="S23" s="14">
        <v>0.78</v>
      </c>
      <c r="T23" s="14">
        <v>0.79</v>
      </c>
      <c r="U23" s="14">
        <v>0.86</v>
      </c>
      <c r="V23" s="14">
        <v>0.9</v>
      </c>
      <c r="W23" s="14">
        <v>0.87</v>
      </c>
      <c r="X23" s="14">
        <v>0.83000000000000007</v>
      </c>
      <c r="Y23" s="14">
        <v>0.82000000000000006</v>
      </c>
      <c r="Z23" s="14">
        <v>0.84</v>
      </c>
      <c r="AA23" s="14">
        <v>0.89</v>
      </c>
      <c r="AB23" s="14">
        <v>0.77</v>
      </c>
      <c r="AC23" s="14">
        <v>0.82000000000000006</v>
      </c>
      <c r="AD23" s="14">
        <v>0.88</v>
      </c>
      <c r="AE23" s="14">
        <v>0.88</v>
      </c>
      <c r="AF23" s="14">
        <v>0.82000000000000006</v>
      </c>
    </row>
    <row r="24" spans="1:32">
      <c r="A24" s="20"/>
      <c r="B24" s="11" t="s">
        <v>501</v>
      </c>
      <c r="C24" s="12">
        <v>2949</v>
      </c>
      <c r="D24" s="12">
        <v>150</v>
      </c>
      <c r="E24" s="12">
        <v>104</v>
      </c>
      <c r="F24" s="12">
        <v>132</v>
      </c>
      <c r="G24" s="12">
        <v>64</v>
      </c>
      <c r="H24" s="12">
        <v>136</v>
      </c>
      <c r="I24" s="12">
        <v>175</v>
      </c>
      <c r="J24" s="12">
        <v>39</v>
      </c>
      <c r="K24" s="12">
        <v>179</v>
      </c>
      <c r="L24" s="12">
        <v>43</v>
      </c>
      <c r="M24" s="12">
        <v>113</v>
      </c>
      <c r="N24" s="12">
        <v>96</v>
      </c>
      <c r="O24" s="12">
        <v>126</v>
      </c>
      <c r="P24" s="12">
        <v>75</v>
      </c>
      <c r="Q24" s="12">
        <v>85</v>
      </c>
      <c r="R24" s="12">
        <v>28</v>
      </c>
      <c r="S24" s="12">
        <v>103</v>
      </c>
      <c r="T24" s="12">
        <v>82</v>
      </c>
      <c r="U24" s="12">
        <v>55</v>
      </c>
      <c r="V24" s="12">
        <v>82</v>
      </c>
      <c r="W24" s="12">
        <v>49</v>
      </c>
      <c r="X24" s="12">
        <v>167</v>
      </c>
      <c r="Y24" s="12">
        <v>137</v>
      </c>
      <c r="Z24" s="12">
        <v>125</v>
      </c>
      <c r="AA24" s="12">
        <v>41</v>
      </c>
      <c r="AB24" s="12">
        <v>176</v>
      </c>
      <c r="AC24" s="12">
        <v>127</v>
      </c>
      <c r="AD24" s="12">
        <v>74</v>
      </c>
      <c r="AE24" s="12">
        <v>76</v>
      </c>
      <c r="AF24" s="12">
        <v>155</v>
      </c>
    </row>
    <row r="25" spans="1:32">
      <c r="A25" s="20"/>
      <c r="B25" s="13" t="s">
        <v>502</v>
      </c>
      <c r="C25" s="14">
        <v>0.11</v>
      </c>
      <c r="D25" s="14">
        <v>0.15</v>
      </c>
      <c r="E25" s="14">
        <v>0.1</v>
      </c>
      <c r="F25" s="14">
        <v>0.13</v>
      </c>
      <c r="G25" s="14">
        <v>7.0000000000000007E-2</v>
      </c>
      <c r="H25" s="14">
        <v>0.11</v>
      </c>
      <c r="I25" s="14">
        <v>0.12</v>
      </c>
      <c r="J25" s="14">
        <v>0.14000000000000001</v>
      </c>
      <c r="K25" s="14">
        <v>0.17</v>
      </c>
      <c r="L25" s="14">
        <v>0.04</v>
      </c>
      <c r="M25" s="14">
        <v>0.12</v>
      </c>
      <c r="N25" s="14">
        <v>0.1</v>
      </c>
      <c r="O25" s="14">
        <v>0.13</v>
      </c>
      <c r="P25" s="14">
        <v>7.0000000000000007E-2</v>
      </c>
      <c r="Q25" s="14">
        <v>0.08</v>
      </c>
      <c r="R25" s="14">
        <v>0.06</v>
      </c>
      <c r="S25" s="14">
        <v>0.1</v>
      </c>
      <c r="T25" s="14">
        <v>0.08</v>
      </c>
      <c r="U25" s="14">
        <v>0.11</v>
      </c>
      <c r="V25" s="14">
        <v>0.08</v>
      </c>
      <c r="W25" s="14">
        <v>0.1</v>
      </c>
      <c r="X25" s="14">
        <v>0.16</v>
      </c>
      <c r="Y25" s="14">
        <v>0.14000000000000001</v>
      </c>
      <c r="Z25" s="14">
        <v>0.12</v>
      </c>
      <c r="AA25" s="14">
        <v>0.04</v>
      </c>
      <c r="AB25" s="14">
        <v>0.17</v>
      </c>
      <c r="AC25" s="14">
        <v>0.12</v>
      </c>
      <c r="AD25" s="14">
        <v>0.08</v>
      </c>
      <c r="AE25" s="14">
        <v>0.08</v>
      </c>
      <c r="AF25" s="14">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1324</v>
      </c>
      <c r="C3" s="18"/>
      <c r="D3" s="18"/>
      <c r="E3" s="18"/>
      <c r="F3" s="18"/>
      <c r="H3" s="18" t="s">
        <v>1325</v>
      </c>
      <c r="I3" s="18"/>
      <c r="J3" s="18"/>
      <c r="K3" s="18"/>
      <c r="L3" s="18"/>
    </row>
    <row r="4" spans="1:32" ht="27" customHeight="1">
      <c r="B4" s="18" t="s">
        <v>1326</v>
      </c>
      <c r="C4" s="18"/>
      <c r="D4" s="18"/>
      <c r="E4" s="18"/>
      <c r="F4" s="18"/>
      <c r="H4" s="18" t="s">
        <v>1327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10663</v>
      </c>
      <c r="D12" s="12">
        <v>450</v>
      </c>
      <c r="E12" s="12">
        <v>453</v>
      </c>
      <c r="F12" s="12">
        <v>341</v>
      </c>
      <c r="G12" s="12">
        <v>504</v>
      </c>
      <c r="H12" s="12">
        <v>469</v>
      </c>
      <c r="I12" s="12">
        <v>574</v>
      </c>
      <c r="J12" s="12">
        <v>104</v>
      </c>
      <c r="K12" s="12">
        <v>339</v>
      </c>
      <c r="L12" s="12">
        <v>668</v>
      </c>
      <c r="M12" s="12">
        <v>404</v>
      </c>
      <c r="N12" s="12">
        <v>500</v>
      </c>
      <c r="O12" s="12">
        <v>417</v>
      </c>
      <c r="P12" s="12">
        <v>314</v>
      </c>
      <c r="Q12" s="12">
        <v>353</v>
      </c>
      <c r="R12" s="12">
        <v>261</v>
      </c>
      <c r="S12" s="12">
        <v>347</v>
      </c>
      <c r="T12" s="12">
        <v>404</v>
      </c>
      <c r="U12" s="12">
        <v>276</v>
      </c>
      <c r="V12" s="12">
        <v>423</v>
      </c>
      <c r="W12" s="12">
        <v>310</v>
      </c>
      <c r="X12" s="12">
        <v>557</v>
      </c>
      <c r="Y12" s="12">
        <v>403</v>
      </c>
      <c r="Z12" s="12">
        <v>215</v>
      </c>
      <c r="AA12" s="12">
        <v>468</v>
      </c>
      <c r="AB12" s="12">
        <v>322</v>
      </c>
      <c r="AC12" s="12">
        <v>364</v>
      </c>
      <c r="AD12" s="12">
        <v>473</v>
      </c>
      <c r="AE12" s="12">
        <v>662</v>
      </c>
      <c r="AF12" s="12">
        <v>693</v>
      </c>
    </row>
    <row r="13" spans="1:32">
      <c r="A13" s="20"/>
      <c r="B13" s="13" t="s">
        <v>493</v>
      </c>
      <c r="C13" s="14">
        <v>0.41</v>
      </c>
      <c r="D13" s="14">
        <v>0.45</v>
      </c>
      <c r="E13" s="14">
        <v>0.44</v>
      </c>
      <c r="F13" s="14">
        <v>0.34</v>
      </c>
      <c r="G13" s="14">
        <v>0.5</v>
      </c>
      <c r="H13" s="14">
        <v>0.38</v>
      </c>
      <c r="I13" s="14">
        <v>0.38</v>
      </c>
      <c r="J13" s="14">
        <v>0.35</v>
      </c>
      <c r="K13" s="14">
        <v>0.34</v>
      </c>
      <c r="L13" s="14">
        <v>0.66</v>
      </c>
      <c r="M13" s="14">
        <v>0.4</v>
      </c>
      <c r="N13" s="14">
        <v>0.5</v>
      </c>
      <c r="O13" s="14">
        <v>0.42</v>
      </c>
      <c r="P13" s="14">
        <v>0.31</v>
      </c>
      <c r="Q13" s="14">
        <v>0.35</v>
      </c>
      <c r="R13" s="14">
        <v>0.52</v>
      </c>
      <c r="S13" s="14">
        <v>0.34</v>
      </c>
      <c r="T13" s="14">
        <v>0.4</v>
      </c>
      <c r="U13" s="14">
        <v>0.55000000000000004</v>
      </c>
      <c r="V13" s="14">
        <v>0.42</v>
      </c>
      <c r="W13" s="14">
        <v>0.62</v>
      </c>
      <c r="X13" s="14">
        <v>0.55000000000000004</v>
      </c>
      <c r="Y13" s="14">
        <v>0.4</v>
      </c>
      <c r="Z13" s="14">
        <v>0.21</v>
      </c>
      <c r="AA13" s="14">
        <v>0.44</v>
      </c>
      <c r="AB13" s="14">
        <v>0.31</v>
      </c>
      <c r="AC13" s="14">
        <v>0.36</v>
      </c>
      <c r="AD13" s="14">
        <v>0.47</v>
      </c>
      <c r="AE13" s="14">
        <v>0.66</v>
      </c>
      <c r="AF13" s="14">
        <v>0.68</v>
      </c>
    </row>
    <row r="14" spans="1:32">
      <c r="A14" s="20"/>
      <c r="B14" s="11" t="s">
        <v>643</v>
      </c>
      <c r="C14" s="12">
        <v>10980</v>
      </c>
      <c r="D14" s="12">
        <v>409</v>
      </c>
      <c r="E14" s="12">
        <v>363</v>
      </c>
      <c r="F14" s="12">
        <v>416</v>
      </c>
      <c r="G14" s="12">
        <v>372</v>
      </c>
      <c r="H14" s="12">
        <v>506</v>
      </c>
      <c r="I14" s="12">
        <v>622</v>
      </c>
      <c r="J14" s="12">
        <v>116</v>
      </c>
      <c r="K14" s="12">
        <v>440</v>
      </c>
      <c r="L14" s="12">
        <v>271</v>
      </c>
      <c r="M14" s="12">
        <v>424</v>
      </c>
      <c r="N14" s="12">
        <v>327</v>
      </c>
      <c r="O14" s="12">
        <v>377</v>
      </c>
      <c r="P14" s="12">
        <v>557</v>
      </c>
      <c r="Q14" s="12">
        <v>532</v>
      </c>
      <c r="R14" s="12">
        <v>149</v>
      </c>
      <c r="S14" s="12">
        <v>410</v>
      </c>
      <c r="T14" s="12">
        <v>374</v>
      </c>
      <c r="U14" s="12">
        <v>154</v>
      </c>
      <c r="V14" s="12">
        <v>475</v>
      </c>
      <c r="W14" s="12">
        <v>127</v>
      </c>
      <c r="X14" s="12">
        <v>342</v>
      </c>
      <c r="Y14" s="12">
        <v>398</v>
      </c>
      <c r="Z14" s="12">
        <v>582</v>
      </c>
      <c r="AA14" s="12">
        <v>448</v>
      </c>
      <c r="AB14" s="12">
        <v>489</v>
      </c>
      <c r="AC14" s="12">
        <v>441</v>
      </c>
      <c r="AD14" s="12">
        <v>394</v>
      </c>
      <c r="AE14" s="12">
        <v>228</v>
      </c>
      <c r="AF14" s="12">
        <v>246</v>
      </c>
    </row>
    <row r="15" spans="1:32">
      <c r="A15" s="20"/>
      <c r="B15" s="13" t="s">
        <v>495</v>
      </c>
      <c r="C15" s="14">
        <v>0.42</v>
      </c>
      <c r="D15" s="14">
        <v>0.41</v>
      </c>
      <c r="E15" s="14">
        <v>0.36</v>
      </c>
      <c r="F15" s="14">
        <v>0.41</v>
      </c>
      <c r="G15" s="14">
        <v>0.37</v>
      </c>
      <c r="H15" s="14">
        <v>0.42</v>
      </c>
      <c r="I15" s="14">
        <v>0.41</v>
      </c>
      <c r="J15" s="14">
        <v>0.4</v>
      </c>
      <c r="K15" s="14">
        <v>0.44</v>
      </c>
      <c r="L15" s="14">
        <v>0.27</v>
      </c>
      <c r="M15" s="14">
        <v>0.42</v>
      </c>
      <c r="N15" s="14">
        <v>0.32</v>
      </c>
      <c r="O15" s="14">
        <v>0.37</v>
      </c>
      <c r="P15" s="14">
        <v>0.55000000000000004</v>
      </c>
      <c r="Q15" s="14">
        <v>0.52</v>
      </c>
      <c r="R15" s="14">
        <v>0.3</v>
      </c>
      <c r="S15" s="14">
        <v>0.41</v>
      </c>
      <c r="T15" s="14">
        <v>0.37</v>
      </c>
      <c r="U15" s="14">
        <v>0.3</v>
      </c>
      <c r="V15" s="14">
        <v>0.47</v>
      </c>
      <c r="W15" s="14">
        <v>0.25</v>
      </c>
      <c r="X15" s="14">
        <v>0.33</v>
      </c>
      <c r="Y15" s="14">
        <v>0.39</v>
      </c>
      <c r="Z15" s="14">
        <v>0.57999999999999996</v>
      </c>
      <c r="AA15" s="14">
        <v>0.43</v>
      </c>
      <c r="AB15" s="14">
        <v>0.47</v>
      </c>
      <c r="AC15" s="14">
        <v>0.44</v>
      </c>
      <c r="AD15" s="14">
        <v>0.39</v>
      </c>
      <c r="AE15" s="14">
        <v>0.23</v>
      </c>
      <c r="AF15" s="14">
        <v>0.24</v>
      </c>
    </row>
    <row r="16" spans="1:32">
      <c r="A16" s="20"/>
      <c r="B16" s="11" t="s">
        <v>644</v>
      </c>
      <c r="C16" s="12">
        <v>2488</v>
      </c>
      <c r="D16" s="12">
        <v>107</v>
      </c>
      <c r="E16" s="12">
        <v>89</v>
      </c>
      <c r="F16" s="12">
        <v>151</v>
      </c>
      <c r="G16" s="12">
        <v>62</v>
      </c>
      <c r="H16" s="12">
        <v>131</v>
      </c>
      <c r="I16" s="12">
        <v>176</v>
      </c>
      <c r="J16" s="12">
        <v>45</v>
      </c>
      <c r="K16" s="12">
        <v>107</v>
      </c>
      <c r="L16" s="12">
        <v>26</v>
      </c>
      <c r="M16" s="12">
        <v>77</v>
      </c>
      <c r="N16" s="12">
        <v>67</v>
      </c>
      <c r="O16" s="12">
        <v>101</v>
      </c>
      <c r="P16" s="12">
        <v>102</v>
      </c>
      <c r="Q16" s="12">
        <v>93</v>
      </c>
      <c r="R16" s="12">
        <v>43</v>
      </c>
      <c r="S16" s="12">
        <v>107</v>
      </c>
      <c r="T16" s="12">
        <v>61</v>
      </c>
      <c r="U16" s="12">
        <v>32</v>
      </c>
      <c r="V16" s="12">
        <v>83</v>
      </c>
      <c r="W16" s="12">
        <v>41</v>
      </c>
      <c r="X16" s="12">
        <v>78</v>
      </c>
      <c r="Y16" s="12">
        <v>90</v>
      </c>
      <c r="Z16" s="12">
        <v>123</v>
      </c>
      <c r="AA16" s="12">
        <v>33</v>
      </c>
      <c r="AB16" s="12">
        <v>120</v>
      </c>
      <c r="AC16" s="12">
        <v>107</v>
      </c>
      <c r="AD16" s="12">
        <v>68</v>
      </c>
      <c r="AE16" s="12">
        <v>72</v>
      </c>
      <c r="AF16" s="12">
        <v>44</v>
      </c>
    </row>
    <row r="17" spans="1:32">
      <c r="A17" s="20"/>
      <c r="B17" s="13" t="s">
        <v>497</v>
      </c>
      <c r="C17" s="14">
        <v>0.09</v>
      </c>
      <c r="D17" s="14">
        <v>0.1</v>
      </c>
      <c r="E17" s="14">
        <v>0.09</v>
      </c>
      <c r="F17" s="14">
        <v>0.15</v>
      </c>
      <c r="G17" s="14">
        <v>0.06</v>
      </c>
      <c r="H17" s="14">
        <v>0.11</v>
      </c>
      <c r="I17" s="14">
        <v>0.12</v>
      </c>
      <c r="J17" s="14">
        <v>0.15</v>
      </c>
      <c r="K17" s="14">
        <v>0.1</v>
      </c>
      <c r="L17" s="14">
        <v>0.03</v>
      </c>
      <c r="M17" s="14">
        <v>0.08</v>
      </c>
      <c r="N17" s="14">
        <v>7.0000000000000007E-2</v>
      </c>
      <c r="O17" s="14">
        <v>0.1</v>
      </c>
      <c r="P17" s="14">
        <v>0.1</v>
      </c>
      <c r="Q17" s="14">
        <v>0.09</v>
      </c>
      <c r="R17" s="14">
        <v>0.09</v>
      </c>
      <c r="S17" s="14">
        <v>0.11</v>
      </c>
      <c r="T17" s="14">
        <v>0.06</v>
      </c>
      <c r="U17" s="14">
        <v>0.06</v>
      </c>
      <c r="V17" s="14">
        <v>0.08</v>
      </c>
      <c r="W17" s="14">
        <v>0.08</v>
      </c>
      <c r="X17" s="14">
        <v>0.08</v>
      </c>
      <c r="Y17" s="14">
        <v>0.09</v>
      </c>
      <c r="Z17" s="14">
        <v>0.12</v>
      </c>
      <c r="AA17" s="14">
        <v>0.03</v>
      </c>
      <c r="AB17" s="14">
        <v>0.12</v>
      </c>
      <c r="AC17" s="14">
        <v>0.1</v>
      </c>
      <c r="AD17" s="14">
        <v>7.0000000000000007E-2</v>
      </c>
      <c r="AE17" s="14">
        <v>7.0000000000000007E-2</v>
      </c>
      <c r="AF17" s="14">
        <v>0.04</v>
      </c>
    </row>
    <row r="18" spans="1:32">
      <c r="A18" s="20"/>
      <c r="B18" s="11" t="s">
        <v>1319</v>
      </c>
      <c r="C18" s="12">
        <v>900</v>
      </c>
      <c r="D18" s="12">
        <v>28</v>
      </c>
      <c r="E18" s="12">
        <v>42</v>
      </c>
      <c r="F18" s="12">
        <v>37</v>
      </c>
      <c r="G18" s="12">
        <v>17</v>
      </c>
      <c r="H18" s="12">
        <v>44</v>
      </c>
      <c r="I18" s="12">
        <v>59</v>
      </c>
      <c r="J18" s="12">
        <v>15</v>
      </c>
      <c r="K18" s="12">
        <v>43</v>
      </c>
      <c r="L18" s="12">
        <v>12</v>
      </c>
      <c r="M18" s="12">
        <v>30</v>
      </c>
      <c r="N18" s="12">
        <v>42</v>
      </c>
      <c r="O18" s="12">
        <v>60</v>
      </c>
      <c r="P18" s="12">
        <v>13</v>
      </c>
      <c r="Q18" s="12">
        <v>10</v>
      </c>
      <c r="R18" s="12">
        <v>10</v>
      </c>
      <c r="S18" s="12">
        <v>22</v>
      </c>
      <c r="T18" s="12">
        <v>28</v>
      </c>
      <c r="U18" s="12">
        <v>25</v>
      </c>
      <c r="V18" s="12">
        <v>12</v>
      </c>
      <c r="W18" s="12">
        <v>11</v>
      </c>
      <c r="X18" s="12">
        <v>24</v>
      </c>
      <c r="Y18" s="12">
        <v>60</v>
      </c>
      <c r="Z18" s="12">
        <v>36</v>
      </c>
      <c r="AA18" s="12">
        <v>11</v>
      </c>
      <c r="AB18" s="12">
        <v>45</v>
      </c>
      <c r="AC18" s="12">
        <v>39</v>
      </c>
      <c r="AD18" s="12">
        <v>13</v>
      </c>
      <c r="AE18" s="12">
        <v>12</v>
      </c>
      <c r="AF18" s="12">
        <v>19</v>
      </c>
    </row>
    <row r="19" spans="1:32">
      <c r="A19" s="20"/>
      <c r="B19" s="13" t="s">
        <v>1232</v>
      </c>
      <c r="C19" s="14">
        <v>0.03</v>
      </c>
      <c r="D19" s="14">
        <v>0.03</v>
      </c>
      <c r="E19" s="14">
        <v>0.04</v>
      </c>
      <c r="F19" s="14">
        <v>0.04</v>
      </c>
      <c r="G19" s="14">
        <v>0.02</v>
      </c>
      <c r="H19" s="14">
        <v>0.04</v>
      </c>
      <c r="I19" s="14">
        <v>0.04</v>
      </c>
      <c r="J19" s="14">
        <v>0.05</v>
      </c>
      <c r="K19" s="14">
        <v>0.04</v>
      </c>
      <c r="L19" s="14">
        <v>0.01</v>
      </c>
      <c r="M19" s="14">
        <v>0.03</v>
      </c>
      <c r="N19" s="14">
        <v>0.04</v>
      </c>
      <c r="O19" s="14">
        <v>0.06</v>
      </c>
      <c r="P19" s="14">
        <v>0.01</v>
      </c>
      <c r="Q19" s="14">
        <v>0.01</v>
      </c>
      <c r="R19" s="14">
        <v>0.02</v>
      </c>
      <c r="S19" s="14">
        <v>0.02</v>
      </c>
      <c r="T19" s="14">
        <v>0.03</v>
      </c>
      <c r="U19" s="14">
        <v>0.05</v>
      </c>
      <c r="V19" s="14">
        <v>0.01</v>
      </c>
      <c r="W19" s="14">
        <v>0.02</v>
      </c>
      <c r="X19" s="14">
        <v>0.02</v>
      </c>
      <c r="Y19" s="14">
        <v>0.06</v>
      </c>
      <c r="Z19" s="14">
        <v>0.04</v>
      </c>
      <c r="AA19" s="14">
        <v>0.01</v>
      </c>
      <c r="AB19" s="14">
        <v>0.04</v>
      </c>
      <c r="AC19" s="14">
        <v>0.04</v>
      </c>
      <c r="AD19" s="14">
        <v>0.01</v>
      </c>
      <c r="AE19" s="14">
        <v>0.01</v>
      </c>
      <c r="AF19" s="14">
        <v>0.02</v>
      </c>
    </row>
    <row r="20" spans="1:32">
      <c r="A20" s="20"/>
      <c r="B20" s="11" t="s">
        <v>468</v>
      </c>
      <c r="C20" s="12">
        <v>1288</v>
      </c>
      <c r="D20" s="12">
        <v>9</v>
      </c>
      <c r="E20" s="12">
        <v>71</v>
      </c>
      <c r="F20" s="12">
        <v>59</v>
      </c>
      <c r="G20" s="12">
        <v>49</v>
      </c>
      <c r="H20" s="12">
        <v>66</v>
      </c>
      <c r="I20" s="12">
        <v>80</v>
      </c>
      <c r="J20" s="12">
        <v>14</v>
      </c>
      <c r="K20" s="12">
        <v>77</v>
      </c>
      <c r="L20" s="12">
        <v>29</v>
      </c>
      <c r="M20" s="12">
        <v>69</v>
      </c>
      <c r="N20" s="12">
        <v>67</v>
      </c>
      <c r="O20" s="12">
        <v>48</v>
      </c>
      <c r="P20" s="12">
        <v>35</v>
      </c>
      <c r="Q20" s="12">
        <v>31</v>
      </c>
      <c r="R20" s="12">
        <v>37</v>
      </c>
      <c r="S20" s="12">
        <v>122</v>
      </c>
      <c r="T20" s="12">
        <v>147</v>
      </c>
      <c r="U20" s="12">
        <v>20</v>
      </c>
      <c r="V20" s="12">
        <v>25</v>
      </c>
      <c r="W20" s="12">
        <v>15</v>
      </c>
      <c r="X20" s="12">
        <v>20</v>
      </c>
      <c r="Y20" s="12">
        <v>57</v>
      </c>
      <c r="Z20" s="12">
        <v>52</v>
      </c>
      <c r="AA20" s="12">
        <v>92</v>
      </c>
      <c r="AB20" s="12">
        <v>63</v>
      </c>
      <c r="AC20" s="12">
        <v>58</v>
      </c>
      <c r="AD20" s="12">
        <v>57</v>
      </c>
      <c r="AE20" s="12">
        <v>27</v>
      </c>
      <c r="AF20" s="12">
        <v>18</v>
      </c>
    </row>
    <row r="21" spans="1:32">
      <c r="A21" s="20"/>
      <c r="B21" s="13" t="s">
        <v>469</v>
      </c>
      <c r="C21" s="14">
        <v>0.05</v>
      </c>
      <c r="D21" s="14">
        <v>0.01</v>
      </c>
      <c r="E21" s="14">
        <v>7.0000000000000007E-2</v>
      </c>
      <c r="F21" s="14">
        <v>0.06</v>
      </c>
      <c r="G21" s="14">
        <v>0.05</v>
      </c>
      <c r="H21" s="14">
        <v>0.05</v>
      </c>
      <c r="I21" s="14">
        <v>0.05</v>
      </c>
      <c r="J21" s="14">
        <v>0.05</v>
      </c>
      <c r="K21" s="14">
        <v>0.08</v>
      </c>
      <c r="L21" s="14">
        <v>0.03</v>
      </c>
      <c r="M21" s="14">
        <v>7.0000000000000007E-2</v>
      </c>
      <c r="N21" s="14">
        <v>7.0000000000000007E-2</v>
      </c>
      <c r="O21" s="14">
        <v>0.05</v>
      </c>
      <c r="P21" s="14">
        <v>0.03</v>
      </c>
      <c r="Q21" s="14">
        <v>0.03</v>
      </c>
      <c r="R21" s="14">
        <v>7.0000000000000007E-2</v>
      </c>
      <c r="S21" s="14">
        <v>0.12</v>
      </c>
      <c r="T21" s="14">
        <v>0.14000000000000001</v>
      </c>
      <c r="U21" s="14">
        <v>0.04</v>
      </c>
      <c r="V21" s="14">
        <v>0.02</v>
      </c>
      <c r="W21" s="14">
        <v>0.03</v>
      </c>
      <c r="X21" s="14">
        <v>0.02</v>
      </c>
      <c r="Y21" s="14">
        <v>0.06</v>
      </c>
      <c r="Z21" s="14">
        <v>0.05</v>
      </c>
      <c r="AA21" s="14">
        <v>0.09</v>
      </c>
      <c r="AB21" s="14">
        <v>0.06</v>
      </c>
      <c r="AC21" s="14">
        <v>0.06</v>
      </c>
      <c r="AD21" s="14">
        <v>0.06</v>
      </c>
      <c r="AE21" s="14">
        <v>0.03</v>
      </c>
      <c r="AF21" s="14">
        <v>0.02</v>
      </c>
    </row>
    <row r="22" spans="1:32">
      <c r="A22" s="20"/>
      <c r="B22" s="11" t="s">
        <v>500</v>
      </c>
      <c r="C22" s="12">
        <v>21643</v>
      </c>
      <c r="D22" s="12">
        <v>859</v>
      </c>
      <c r="E22" s="12">
        <v>816</v>
      </c>
      <c r="F22" s="12">
        <v>757</v>
      </c>
      <c r="G22" s="12">
        <v>876</v>
      </c>
      <c r="H22" s="12">
        <v>975</v>
      </c>
      <c r="I22" s="12">
        <v>1196</v>
      </c>
      <c r="J22" s="12">
        <v>220</v>
      </c>
      <c r="K22" s="12">
        <v>779</v>
      </c>
      <c r="L22" s="12">
        <v>939</v>
      </c>
      <c r="M22" s="12">
        <v>828</v>
      </c>
      <c r="N22" s="12">
        <v>827</v>
      </c>
      <c r="O22" s="12">
        <v>794</v>
      </c>
      <c r="P22" s="12">
        <v>871</v>
      </c>
      <c r="Q22" s="12">
        <v>885</v>
      </c>
      <c r="R22" s="12">
        <v>410</v>
      </c>
      <c r="S22" s="12">
        <v>757</v>
      </c>
      <c r="T22" s="12">
        <v>778</v>
      </c>
      <c r="U22" s="12">
        <v>430</v>
      </c>
      <c r="V22" s="12">
        <v>898</v>
      </c>
      <c r="W22" s="12">
        <v>437</v>
      </c>
      <c r="X22" s="12">
        <v>899</v>
      </c>
      <c r="Y22" s="12">
        <v>801</v>
      </c>
      <c r="Z22" s="12">
        <v>797</v>
      </c>
      <c r="AA22" s="12">
        <v>916</v>
      </c>
      <c r="AB22" s="12">
        <v>811</v>
      </c>
      <c r="AC22" s="12">
        <v>805</v>
      </c>
      <c r="AD22" s="12">
        <v>867</v>
      </c>
      <c r="AE22" s="12">
        <v>890</v>
      </c>
      <c r="AF22" s="12">
        <v>939</v>
      </c>
    </row>
    <row r="23" spans="1:32">
      <c r="A23" s="20"/>
      <c r="B23" s="13" t="s">
        <v>500</v>
      </c>
      <c r="C23" s="14">
        <v>0.83000000000000007</v>
      </c>
      <c r="D23" s="14">
        <v>0.86</v>
      </c>
      <c r="E23" s="14">
        <v>0.8</v>
      </c>
      <c r="F23" s="14">
        <v>0.75</v>
      </c>
      <c r="G23" s="14">
        <v>0.87</v>
      </c>
      <c r="H23" s="14">
        <v>0.8</v>
      </c>
      <c r="I23" s="14">
        <v>0.79</v>
      </c>
      <c r="J23" s="14">
        <v>0.75</v>
      </c>
      <c r="K23" s="14">
        <v>0.78</v>
      </c>
      <c r="L23" s="14">
        <v>0.93</v>
      </c>
      <c r="M23" s="14">
        <v>0.82000000000000006</v>
      </c>
      <c r="N23" s="14">
        <v>0.82000000000000006</v>
      </c>
      <c r="O23" s="14">
        <v>0.79</v>
      </c>
      <c r="P23" s="14">
        <v>0.86</v>
      </c>
      <c r="Q23" s="14">
        <v>0.87</v>
      </c>
      <c r="R23" s="14">
        <v>0.82000000000000006</v>
      </c>
      <c r="S23" s="14">
        <v>0.75</v>
      </c>
      <c r="T23" s="14">
        <v>0.77</v>
      </c>
      <c r="U23" s="14">
        <v>0.85</v>
      </c>
      <c r="V23" s="14">
        <v>0.89</v>
      </c>
      <c r="W23" s="14">
        <v>0.87</v>
      </c>
      <c r="X23" s="14">
        <v>0.88</v>
      </c>
      <c r="Y23" s="14">
        <v>0.79</v>
      </c>
      <c r="Z23" s="14">
        <v>0.79</v>
      </c>
      <c r="AA23" s="14">
        <v>0.87</v>
      </c>
      <c r="AB23" s="14">
        <v>0.78</v>
      </c>
      <c r="AC23" s="14">
        <v>0.8</v>
      </c>
      <c r="AD23" s="14">
        <v>0.86</v>
      </c>
      <c r="AE23" s="14">
        <v>0.89</v>
      </c>
      <c r="AF23" s="14">
        <v>0.92</v>
      </c>
    </row>
    <row r="24" spans="1:32">
      <c r="A24" s="20"/>
      <c r="B24" s="11" t="s">
        <v>501</v>
      </c>
      <c r="C24" s="12">
        <v>3388</v>
      </c>
      <c r="D24" s="12">
        <v>135</v>
      </c>
      <c r="E24" s="12">
        <v>131</v>
      </c>
      <c r="F24" s="12">
        <v>188</v>
      </c>
      <c r="G24" s="12">
        <v>79</v>
      </c>
      <c r="H24" s="12">
        <v>175</v>
      </c>
      <c r="I24" s="12">
        <v>235</v>
      </c>
      <c r="J24" s="12">
        <v>60</v>
      </c>
      <c r="K24" s="12">
        <v>150</v>
      </c>
      <c r="L24" s="12">
        <v>38</v>
      </c>
      <c r="M24" s="12">
        <v>107</v>
      </c>
      <c r="N24" s="12">
        <v>109</v>
      </c>
      <c r="O24" s="12">
        <v>161</v>
      </c>
      <c r="P24" s="12">
        <v>115</v>
      </c>
      <c r="Q24" s="12">
        <v>103</v>
      </c>
      <c r="R24" s="12">
        <v>53</v>
      </c>
      <c r="S24" s="12">
        <v>129</v>
      </c>
      <c r="T24" s="12">
        <v>89</v>
      </c>
      <c r="U24" s="12">
        <v>57</v>
      </c>
      <c r="V24" s="12">
        <v>95</v>
      </c>
      <c r="W24" s="12">
        <v>52</v>
      </c>
      <c r="X24" s="12">
        <v>102</v>
      </c>
      <c r="Y24" s="12">
        <v>150</v>
      </c>
      <c r="Z24" s="12">
        <v>159</v>
      </c>
      <c r="AA24" s="12">
        <v>44</v>
      </c>
      <c r="AB24" s="12">
        <v>165</v>
      </c>
      <c r="AC24" s="12">
        <v>146</v>
      </c>
      <c r="AD24" s="12">
        <v>81</v>
      </c>
      <c r="AE24" s="12">
        <v>84</v>
      </c>
      <c r="AF24" s="12">
        <v>63</v>
      </c>
    </row>
    <row r="25" spans="1:32">
      <c r="A25" s="20"/>
      <c r="B25" s="13" t="s">
        <v>502</v>
      </c>
      <c r="C25" s="14">
        <v>0.12</v>
      </c>
      <c r="D25" s="14">
        <v>0.13</v>
      </c>
      <c r="E25" s="14">
        <v>0.13</v>
      </c>
      <c r="F25" s="14">
        <v>0.19</v>
      </c>
      <c r="G25" s="14">
        <v>0.08</v>
      </c>
      <c r="H25" s="14">
        <v>0.15</v>
      </c>
      <c r="I25" s="14">
        <v>0.16</v>
      </c>
      <c r="J25" s="14">
        <v>0.2</v>
      </c>
      <c r="K25" s="14">
        <v>0.14000000000000001</v>
      </c>
      <c r="L25" s="14">
        <v>0.04</v>
      </c>
      <c r="M25" s="14">
        <v>0.11</v>
      </c>
      <c r="N25" s="14">
        <v>0.11</v>
      </c>
      <c r="O25" s="14">
        <v>0.16</v>
      </c>
      <c r="P25" s="14">
        <v>0.11</v>
      </c>
      <c r="Q25" s="14">
        <v>0.1</v>
      </c>
      <c r="R25" s="14">
        <v>0.11</v>
      </c>
      <c r="S25" s="14">
        <v>0.13</v>
      </c>
      <c r="T25" s="14">
        <v>0.09</v>
      </c>
      <c r="U25" s="14">
        <v>0.11</v>
      </c>
      <c r="V25" s="14">
        <v>0.09</v>
      </c>
      <c r="W25" s="14">
        <v>0.1</v>
      </c>
      <c r="X25" s="14">
        <v>0.1</v>
      </c>
      <c r="Y25" s="14">
        <v>0.15</v>
      </c>
      <c r="Z25" s="14">
        <v>0.16</v>
      </c>
      <c r="AA25" s="14">
        <v>0.04</v>
      </c>
      <c r="AB25" s="14">
        <v>0.16</v>
      </c>
      <c r="AC25" s="14">
        <v>0.14000000000000001</v>
      </c>
      <c r="AD25" s="14">
        <v>0.08</v>
      </c>
      <c r="AE25" s="14">
        <v>0.08</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1328</v>
      </c>
      <c r="C3" s="18"/>
      <c r="D3" s="18"/>
      <c r="E3" s="18"/>
      <c r="F3" s="18"/>
      <c r="H3" s="18" t="s">
        <v>1329</v>
      </c>
      <c r="I3" s="18"/>
      <c r="J3" s="18"/>
      <c r="K3" s="18"/>
      <c r="L3" s="18"/>
    </row>
    <row r="4" spans="1:32" ht="27" customHeight="1">
      <c r="B4" s="18" t="s">
        <v>1330</v>
      </c>
      <c r="C4" s="18"/>
      <c r="D4" s="18"/>
      <c r="E4" s="18"/>
      <c r="F4" s="18"/>
      <c r="H4" s="18" t="s">
        <v>1331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12105</v>
      </c>
      <c r="D12" s="12">
        <v>464</v>
      </c>
      <c r="E12" s="12">
        <v>517</v>
      </c>
      <c r="F12" s="12">
        <v>355</v>
      </c>
      <c r="G12" s="12">
        <v>638</v>
      </c>
      <c r="H12" s="12">
        <v>544</v>
      </c>
      <c r="I12" s="12">
        <v>675</v>
      </c>
      <c r="J12" s="12">
        <v>131</v>
      </c>
      <c r="K12" s="12">
        <v>361</v>
      </c>
      <c r="L12" s="12">
        <v>699</v>
      </c>
      <c r="M12" s="12">
        <v>547</v>
      </c>
      <c r="N12" s="12">
        <v>595</v>
      </c>
      <c r="O12" s="12">
        <v>454</v>
      </c>
      <c r="P12" s="12">
        <v>390</v>
      </c>
      <c r="Q12" s="12">
        <v>464</v>
      </c>
      <c r="R12" s="12">
        <v>296</v>
      </c>
      <c r="S12" s="12">
        <v>416</v>
      </c>
      <c r="T12" s="12">
        <v>419</v>
      </c>
      <c r="U12" s="12">
        <v>259</v>
      </c>
      <c r="V12" s="12">
        <v>441</v>
      </c>
      <c r="W12" s="12">
        <v>304</v>
      </c>
      <c r="X12" s="12">
        <v>562</v>
      </c>
      <c r="Y12" s="12">
        <v>492</v>
      </c>
      <c r="Z12" s="12">
        <v>261</v>
      </c>
      <c r="AA12" s="12">
        <v>496</v>
      </c>
      <c r="AB12" s="12">
        <v>302</v>
      </c>
      <c r="AC12" s="12">
        <v>443</v>
      </c>
      <c r="AD12" s="12">
        <v>509</v>
      </c>
      <c r="AE12" s="12">
        <v>426</v>
      </c>
      <c r="AF12" s="12">
        <v>677</v>
      </c>
    </row>
    <row r="13" spans="1:32">
      <c r="A13" s="20"/>
      <c r="B13" s="13" t="s">
        <v>493</v>
      </c>
      <c r="C13" s="14">
        <v>0.46</v>
      </c>
      <c r="D13" s="14">
        <v>0.46</v>
      </c>
      <c r="E13" s="14">
        <v>0.51</v>
      </c>
      <c r="F13" s="14">
        <v>0.35</v>
      </c>
      <c r="G13" s="14">
        <v>0.64</v>
      </c>
      <c r="H13" s="14">
        <v>0.45</v>
      </c>
      <c r="I13" s="14">
        <v>0.45</v>
      </c>
      <c r="J13" s="14">
        <v>0.44</v>
      </c>
      <c r="K13" s="14">
        <v>0.36</v>
      </c>
      <c r="L13" s="14">
        <v>0.70000000000000007</v>
      </c>
      <c r="M13" s="14">
        <v>0.54</v>
      </c>
      <c r="N13" s="14">
        <v>0.59</v>
      </c>
      <c r="O13" s="14">
        <v>0.45</v>
      </c>
      <c r="P13" s="14">
        <v>0.38</v>
      </c>
      <c r="Q13" s="14">
        <v>0.46</v>
      </c>
      <c r="R13" s="14">
        <v>0.59</v>
      </c>
      <c r="S13" s="14">
        <v>0.41</v>
      </c>
      <c r="T13" s="14">
        <v>0.42</v>
      </c>
      <c r="U13" s="14">
        <v>0.51</v>
      </c>
      <c r="V13" s="14">
        <v>0.43</v>
      </c>
      <c r="W13" s="14">
        <v>0.6</v>
      </c>
      <c r="X13" s="14">
        <v>0.55000000000000004</v>
      </c>
      <c r="Y13" s="14">
        <v>0.49</v>
      </c>
      <c r="Z13" s="14">
        <v>0.26</v>
      </c>
      <c r="AA13" s="14">
        <v>0.47</v>
      </c>
      <c r="AB13" s="14">
        <v>0.28999999999999998</v>
      </c>
      <c r="AC13" s="14">
        <v>0.44</v>
      </c>
      <c r="AD13" s="14">
        <v>0.51</v>
      </c>
      <c r="AE13" s="14">
        <v>0.43</v>
      </c>
      <c r="AF13" s="14">
        <v>0.66</v>
      </c>
    </row>
    <row r="14" spans="1:32">
      <c r="A14" s="20"/>
      <c r="B14" s="11" t="s">
        <v>643</v>
      </c>
      <c r="C14" s="12">
        <v>11394</v>
      </c>
      <c r="D14" s="12">
        <v>443</v>
      </c>
      <c r="E14" s="12">
        <v>368</v>
      </c>
      <c r="F14" s="12">
        <v>459</v>
      </c>
      <c r="G14" s="12">
        <v>303</v>
      </c>
      <c r="H14" s="12">
        <v>544</v>
      </c>
      <c r="I14" s="12">
        <v>675</v>
      </c>
      <c r="J14" s="12">
        <v>131</v>
      </c>
      <c r="K14" s="12">
        <v>464</v>
      </c>
      <c r="L14" s="12">
        <v>264</v>
      </c>
      <c r="M14" s="12">
        <v>376</v>
      </c>
      <c r="N14" s="12">
        <v>332</v>
      </c>
      <c r="O14" s="12">
        <v>434</v>
      </c>
      <c r="P14" s="12">
        <v>540</v>
      </c>
      <c r="Q14" s="12">
        <v>483</v>
      </c>
      <c r="R14" s="12">
        <v>154</v>
      </c>
      <c r="S14" s="12">
        <v>438</v>
      </c>
      <c r="T14" s="12">
        <v>470</v>
      </c>
      <c r="U14" s="12">
        <v>204</v>
      </c>
      <c r="V14" s="12">
        <v>480</v>
      </c>
      <c r="W14" s="12">
        <v>130</v>
      </c>
      <c r="X14" s="12">
        <v>374</v>
      </c>
      <c r="Y14" s="12">
        <v>389</v>
      </c>
      <c r="Z14" s="12">
        <v>577</v>
      </c>
      <c r="AA14" s="12">
        <v>451</v>
      </c>
      <c r="AB14" s="12">
        <v>519</v>
      </c>
      <c r="AC14" s="12">
        <v>428</v>
      </c>
      <c r="AD14" s="12">
        <v>410</v>
      </c>
      <c r="AE14" s="12">
        <v>465</v>
      </c>
      <c r="AF14" s="12">
        <v>283</v>
      </c>
    </row>
    <row r="15" spans="1:32">
      <c r="A15" s="20"/>
      <c r="B15" s="13" t="s">
        <v>495</v>
      </c>
      <c r="C15" s="14">
        <v>0.43</v>
      </c>
      <c r="D15" s="14">
        <v>0.44</v>
      </c>
      <c r="E15" s="14">
        <v>0.36</v>
      </c>
      <c r="F15" s="14">
        <v>0.46</v>
      </c>
      <c r="G15" s="14">
        <v>0.3</v>
      </c>
      <c r="H15" s="14">
        <v>0.45</v>
      </c>
      <c r="I15" s="14">
        <v>0.45</v>
      </c>
      <c r="J15" s="14">
        <v>0.45</v>
      </c>
      <c r="K15" s="14">
        <v>0.46</v>
      </c>
      <c r="L15" s="14">
        <v>0.26</v>
      </c>
      <c r="M15" s="14">
        <v>0.38</v>
      </c>
      <c r="N15" s="14">
        <v>0.33</v>
      </c>
      <c r="O15" s="14">
        <v>0.43</v>
      </c>
      <c r="P15" s="14">
        <v>0.53</v>
      </c>
      <c r="Q15" s="14">
        <v>0.47</v>
      </c>
      <c r="R15" s="14">
        <v>0.31</v>
      </c>
      <c r="S15" s="14">
        <v>0.44</v>
      </c>
      <c r="T15" s="14">
        <v>0.46</v>
      </c>
      <c r="U15" s="14">
        <v>0.4</v>
      </c>
      <c r="V15" s="14">
        <v>0.47</v>
      </c>
      <c r="W15" s="14">
        <v>0.26</v>
      </c>
      <c r="X15" s="14">
        <v>0.37</v>
      </c>
      <c r="Y15" s="14">
        <v>0.38</v>
      </c>
      <c r="Z15" s="14">
        <v>0.57000000000000006</v>
      </c>
      <c r="AA15" s="14">
        <v>0.43</v>
      </c>
      <c r="AB15" s="14">
        <v>0.5</v>
      </c>
      <c r="AC15" s="14">
        <v>0.42</v>
      </c>
      <c r="AD15" s="14">
        <v>0.41</v>
      </c>
      <c r="AE15" s="14">
        <v>0.47</v>
      </c>
      <c r="AF15" s="14">
        <v>0.28000000000000003</v>
      </c>
    </row>
    <row r="16" spans="1:32">
      <c r="A16" s="20"/>
      <c r="B16" s="11" t="s">
        <v>644</v>
      </c>
      <c r="C16" s="12">
        <v>1602</v>
      </c>
      <c r="D16" s="12">
        <v>78</v>
      </c>
      <c r="E16" s="12">
        <v>54</v>
      </c>
      <c r="F16" s="12">
        <v>116</v>
      </c>
      <c r="G16" s="12">
        <v>26</v>
      </c>
      <c r="H16" s="12">
        <v>61</v>
      </c>
      <c r="I16" s="12">
        <v>81</v>
      </c>
      <c r="J16" s="12">
        <v>20</v>
      </c>
      <c r="K16" s="12">
        <v>82</v>
      </c>
      <c r="L16" s="12">
        <v>17</v>
      </c>
      <c r="M16" s="12">
        <v>36</v>
      </c>
      <c r="N16" s="12">
        <v>34</v>
      </c>
      <c r="O16" s="12">
        <v>62</v>
      </c>
      <c r="P16" s="12">
        <v>53</v>
      </c>
      <c r="Q16" s="12">
        <v>53</v>
      </c>
      <c r="R16" s="12">
        <v>22</v>
      </c>
      <c r="S16" s="12">
        <v>50</v>
      </c>
      <c r="T16" s="12">
        <v>41</v>
      </c>
      <c r="U16" s="12">
        <v>20</v>
      </c>
      <c r="V16" s="12">
        <v>68</v>
      </c>
      <c r="W16" s="12">
        <v>40</v>
      </c>
      <c r="X16" s="12">
        <v>64</v>
      </c>
      <c r="Y16" s="12">
        <v>67</v>
      </c>
      <c r="Z16" s="12">
        <v>109</v>
      </c>
      <c r="AA16" s="12">
        <v>29</v>
      </c>
      <c r="AB16" s="12">
        <v>124</v>
      </c>
      <c r="AC16" s="12">
        <v>70</v>
      </c>
      <c r="AD16" s="12">
        <v>46</v>
      </c>
      <c r="AE16" s="12">
        <v>75</v>
      </c>
      <c r="AF16" s="12">
        <v>46</v>
      </c>
    </row>
    <row r="17" spans="1:32">
      <c r="A17" s="20"/>
      <c r="B17" s="13" t="s">
        <v>497</v>
      </c>
      <c r="C17" s="14">
        <v>0.06</v>
      </c>
      <c r="D17" s="14">
        <v>0.08</v>
      </c>
      <c r="E17" s="14">
        <v>0.05</v>
      </c>
      <c r="F17" s="14">
        <v>0.12</v>
      </c>
      <c r="G17" s="14">
        <v>0.03</v>
      </c>
      <c r="H17" s="14">
        <v>0.05</v>
      </c>
      <c r="I17" s="14">
        <v>0.05</v>
      </c>
      <c r="J17" s="14">
        <v>7.0000000000000007E-2</v>
      </c>
      <c r="K17" s="14">
        <v>0.08</v>
      </c>
      <c r="L17" s="14">
        <v>0.02</v>
      </c>
      <c r="M17" s="14">
        <v>0.04</v>
      </c>
      <c r="N17" s="14">
        <v>0.04</v>
      </c>
      <c r="O17" s="14">
        <v>0.06</v>
      </c>
      <c r="P17" s="14">
        <v>0.05</v>
      </c>
      <c r="Q17" s="14">
        <v>0.05</v>
      </c>
      <c r="R17" s="14">
        <v>0.04</v>
      </c>
      <c r="S17" s="14">
        <v>0.05</v>
      </c>
      <c r="T17" s="14">
        <v>0.04</v>
      </c>
      <c r="U17" s="14">
        <v>0.04</v>
      </c>
      <c r="V17" s="14">
        <v>7.0000000000000007E-2</v>
      </c>
      <c r="W17" s="14">
        <v>0.08</v>
      </c>
      <c r="X17" s="14">
        <v>0.06</v>
      </c>
      <c r="Y17" s="14">
        <v>7.0000000000000007E-2</v>
      </c>
      <c r="Z17" s="14">
        <v>0.11</v>
      </c>
      <c r="AA17" s="14">
        <v>0.03</v>
      </c>
      <c r="AB17" s="14">
        <v>0.12</v>
      </c>
      <c r="AC17" s="14">
        <v>7.0000000000000007E-2</v>
      </c>
      <c r="AD17" s="14">
        <v>0.04</v>
      </c>
      <c r="AE17" s="14">
        <v>7.0000000000000007E-2</v>
      </c>
      <c r="AF17" s="14">
        <v>0.05</v>
      </c>
    </row>
    <row r="18" spans="1:32">
      <c r="A18" s="20"/>
      <c r="B18" s="11" t="s">
        <v>1319</v>
      </c>
      <c r="C18" s="12">
        <v>419</v>
      </c>
      <c r="D18" s="12">
        <v>14</v>
      </c>
      <c r="E18" s="12">
        <v>23</v>
      </c>
      <c r="F18" s="12">
        <v>24</v>
      </c>
      <c r="G18" s="12">
        <v>4</v>
      </c>
      <c r="H18" s="12">
        <v>24</v>
      </c>
      <c r="I18" s="12">
        <v>29</v>
      </c>
      <c r="J18" s="12">
        <v>5</v>
      </c>
      <c r="K18" s="12">
        <v>24</v>
      </c>
      <c r="L18" s="12">
        <v>3</v>
      </c>
      <c r="M18" s="12">
        <v>12</v>
      </c>
      <c r="N18" s="12">
        <v>13</v>
      </c>
      <c r="O18" s="12">
        <v>17</v>
      </c>
      <c r="P18" s="12">
        <v>14</v>
      </c>
      <c r="Q18" s="12">
        <v>7</v>
      </c>
      <c r="R18" s="12">
        <v>4</v>
      </c>
      <c r="S18" s="12">
        <v>14</v>
      </c>
      <c r="T18" s="12">
        <v>12</v>
      </c>
      <c r="U18" s="12">
        <v>9</v>
      </c>
      <c r="V18" s="12">
        <v>9</v>
      </c>
      <c r="W18" s="12">
        <v>18</v>
      </c>
      <c r="X18" s="12">
        <v>10</v>
      </c>
      <c r="Y18" s="12">
        <v>38</v>
      </c>
      <c r="Z18" s="12">
        <v>18</v>
      </c>
      <c r="AA18" s="12">
        <v>9</v>
      </c>
      <c r="AB18" s="12">
        <v>41</v>
      </c>
      <c r="AC18" s="12">
        <v>23</v>
      </c>
      <c r="AD18" s="12">
        <v>8</v>
      </c>
      <c r="AE18" s="12">
        <v>12</v>
      </c>
      <c r="AF18" s="12">
        <v>9</v>
      </c>
    </row>
    <row r="19" spans="1:32">
      <c r="A19" s="20"/>
      <c r="B19" s="13" t="s">
        <v>1232</v>
      </c>
      <c r="C19" s="14">
        <v>0.02</v>
      </c>
      <c r="D19" s="14">
        <v>0.02</v>
      </c>
      <c r="E19" s="14">
        <v>0.02</v>
      </c>
      <c r="F19" s="14">
        <v>0.02</v>
      </c>
      <c r="G19" s="15" t="s">
        <v>459</v>
      </c>
      <c r="H19" s="14">
        <v>0.02</v>
      </c>
      <c r="I19" s="14">
        <v>0.02</v>
      </c>
      <c r="J19" s="14">
        <v>0.02</v>
      </c>
      <c r="K19" s="14">
        <v>0.03</v>
      </c>
      <c r="L19" s="15" t="s">
        <v>459</v>
      </c>
      <c r="M19" s="14">
        <v>0.01</v>
      </c>
      <c r="N19" s="14">
        <v>0.01</v>
      </c>
      <c r="O19" s="14">
        <v>0.02</v>
      </c>
      <c r="P19" s="14">
        <v>0.02</v>
      </c>
      <c r="Q19" s="14">
        <v>0.01</v>
      </c>
      <c r="R19" s="14">
        <v>0.01</v>
      </c>
      <c r="S19" s="14">
        <v>0.01</v>
      </c>
      <c r="T19" s="14">
        <v>0.01</v>
      </c>
      <c r="U19" s="14">
        <v>0.02</v>
      </c>
      <c r="V19" s="14">
        <v>0.01</v>
      </c>
      <c r="W19" s="14">
        <v>0.04</v>
      </c>
      <c r="X19" s="14">
        <v>0.01</v>
      </c>
      <c r="Y19" s="14">
        <v>0.04</v>
      </c>
      <c r="Z19" s="14">
        <v>0.02</v>
      </c>
      <c r="AA19" s="14">
        <v>0.01</v>
      </c>
      <c r="AB19" s="14">
        <v>0.04</v>
      </c>
      <c r="AC19" s="14">
        <v>0.02</v>
      </c>
      <c r="AD19" s="14">
        <v>0.01</v>
      </c>
      <c r="AE19" s="14">
        <v>0.01</v>
      </c>
      <c r="AF19" s="14">
        <v>0.01</v>
      </c>
    </row>
    <row r="20" spans="1:32">
      <c r="A20" s="20"/>
      <c r="B20" s="11" t="s">
        <v>468</v>
      </c>
      <c r="C20" s="12">
        <v>799</v>
      </c>
      <c r="D20" s="12">
        <v>3</v>
      </c>
      <c r="E20" s="12">
        <v>56</v>
      </c>
      <c r="F20" s="12">
        <v>51</v>
      </c>
      <c r="G20" s="12">
        <v>33</v>
      </c>
      <c r="H20" s="12">
        <v>43</v>
      </c>
      <c r="I20" s="12">
        <v>49</v>
      </c>
      <c r="J20" s="12">
        <v>7</v>
      </c>
      <c r="K20" s="12">
        <v>74</v>
      </c>
      <c r="L20" s="12">
        <v>24</v>
      </c>
      <c r="M20" s="12">
        <v>32</v>
      </c>
      <c r="N20" s="12">
        <v>30</v>
      </c>
      <c r="O20" s="12">
        <v>35</v>
      </c>
      <c r="P20" s="12">
        <v>24</v>
      </c>
      <c r="Q20" s="12">
        <v>11</v>
      </c>
      <c r="R20" s="12">
        <v>24</v>
      </c>
      <c r="S20" s="12">
        <v>90</v>
      </c>
      <c r="T20" s="12">
        <v>72</v>
      </c>
      <c r="U20" s="12">
        <v>15</v>
      </c>
      <c r="V20" s="12">
        <v>19</v>
      </c>
      <c r="W20" s="12">
        <v>11</v>
      </c>
      <c r="X20" s="12">
        <v>11</v>
      </c>
      <c r="Y20" s="12">
        <v>22</v>
      </c>
      <c r="Z20" s="12">
        <v>43</v>
      </c>
      <c r="AA20" s="12">
        <v>67</v>
      </c>
      <c r="AB20" s="12">
        <v>52</v>
      </c>
      <c r="AC20" s="12">
        <v>45</v>
      </c>
      <c r="AD20" s="12">
        <v>33</v>
      </c>
      <c r="AE20" s="12">
        <v>22</v>
      </c>
      <c r="AF20" s="12">
        <v>4</v>
      </c>
    </row>
    <row r="21" spans="1:32">
      <c r="A21" s="20"/>
      <c r="B21" s="13" t="s">
        <v>469</v>
      </c>
      <c r="C21" s="14">
        <v>0.03</v>
      </c>
      <c r="D21" s="15" t="s">
        <v>459</v>
      </c>
      <c r="E21" s="14">
        <v>0.06</v>
      </c>
      <c r="F21" s="14">
        <v>0.05</v>
      </c>
      <c r="G21" s="14">
        <v>0.03</v>
      </c>
      <c r="H21" s="14">
        <v>0.03</v>
      </c>
      <c r="I21" s="14">
        <v>0.03</v>
      </c>
      <c r="J21" s="14">
        <v>0.02</v>
      </c>
      <c r="K21" s="14">
        <v>7.0000000000000007E-2</v>
      </c>
      <c r="L21" s="14">
        <v>0.02</v>
      </c>
      <c r="M21" s="14">
        <v>0.03</v>
      </c>
      <c r="N21" s="14">
        <v>0.03</v>
      </c>
      <c r="O21" s="14">
        <v>0.04</v>
      </c>
      <c r="P21" s="14">
        <v>0.02</v>
      </c>
      <c r="Q21" s="14">
        <v>0.01</v>
      </c>
      <c r="R21" s="14">
        <v>0.05</v>
      </c>
      <c r="S21" s="14">
        <v>0.09</v>
      </c>
      <c r="T21" s="14">
        <v>7.0000000000000007E-2</v>
      </c>
      <c r="U21" s="14">
        <v>0.03</v>
      </c>
      <c r="V21" s="14">
        <v>0.02</v>
      </c>
      <c r="W21" s="14">
        <v>0.02</v>
      </c>
      <c r="X21" s="14">
        <v>0.01</v>
      </c>
      <c r="Y21" s="14">
        <v>0.02</v>
      </c>
      <c r="Z21" s="14">
        <v>0.04</v>
      </c>
      <c r="AA21" s="14">
        <v>0.06</v>
      </c>
      <c r="AB21" s="14">
        <v>0.05</v>
      </c>
      <c r="AC21" s="14">
        <v>0.05</v>
      </c>
      <c r="AD21" s="14">
        <v>0.03</v>
      </c>
      <c r="AE21" s="14">
        <v>0.02</v>
      </c>
      <c r="AF21" s="15" t="s">
        <v>459</v>
      </c>
    </row>
    <row r="22" spans="1:32">
      <c r="A22" s="20"/>
      <c r="B22" s="11" t="s">
        <v>500</v>
      </c>
      <c r="C22" s="12">
        <v>23499</v>
      </c>
      <c r="D22" s="12">
        <v>907</v>
      </c>
      <c r="E22" s="12">
        <v>885</v>
      </c>
      <c r="F22" s="12">
        <v>814</v>
      </c>
      <c r="G22" s="12">
        <v>941</v>
      </c>
      <c r="H22" s="12">
        <v>1088</v>
      </c>
      <c r="I22" s="12">
        <v>1350</v>
      </c>
      <c r="J22" s="12">
        <v>262</v>
      </c>
      <c r="K22" s="12">
        <v>825</v>
      </c>
      <c r="L22" s="12">
        <v>963</v>
      </c>
      <c r="M22" s="12">
        <v>923</v>
      </c>
      <c r="N22" s="12">
        <v>927</v>
      </c>
      <c r="O22" s="12">
        <v>888</v>
      </c>
      <c r="P22" s="12">
        <v>930</v>
      </c>
      <c r="Q22" s="12">
        <v>947</v>
      </c>
      <c r="R22" s="12">
        <v>450</v>
      </c>
      <c r="S22" s="12">
        <v>854</v>
      </c>
      <c r="T22" s="12">
        <v>889</v>
      </c>
      <c r="U22" s="12">
        <v>463</v>
      </c>
      <c r="V22" s="12">
        <v>921</v>
      </c>
      <c r="W22" s="12">
        <v>434</v>
      </c>
      <c r="X22" s="12">
        <v>936</v>
      </c>
      <c r="Y22" s="12">
        <v>881</v>
      </c>
      <c r="Z22" s="12">
        <v>838</v>
      </c>
      <c r="AA22" s="12">
        <v>947</v>
      </c>
      <c r="AB22" s="12">
        <v>821</v>
      </c>
      <c r="AC22" s="12">
        <v>871</v>
      </c>
      <c r="AD22" s="12">
        <v>919</v>
      </c>
      <c r="AE22" s="12">
        <v>891</v>
      </c>
      <c r="AF22" s="12">
        <v>960</v>
      </c>
    </row>
    <row r="23" spans="1:32">
      <c r="A23" s="20"/>
      <c r="B23" s="13" t="s">
        <v>500</v>
      </c>
      <c r="C23" s="14">
        <v>0.89</v>
      </c>
      <c r="D23" s="14">
        <v>0.9</v>
      </c>
      <c r="E23" s="14">
        <v>0.87</v>
      </c>
      <c r="F23" s="14">
        <v>0.81</v>
      </c>
      <c r="G23" s="14">
        <v>0.94000000000000006</v>
      </c>
      <c r="H23" s="14">
        <v>0.9</v>
      </c>
      <c r="I23" s="14">
        <v>0.9</v>
      </c>
      <c r="J23" s="14">
        <v>0.89</v>
      </c>
      <c r="K23" s="14">
        <v>0.82000000000000006</v>
      </c>
      <c r="L23" s="14">
        <v>0.96</v>
      </c>
      <c r="M23" s="14">
        <v>0.92</v>
      </c>
      <c r="N23" s="14">
        <v>0.92</v>
      </c>
      <c r="O23" s="14">
        <v>0.88</v>
      </c>
      <c r="P23" s="14">
        <v>0.91</v>
      </c>
      <c r="Q23" s="14">
        <v>0.93</v>
      </c>
      <c r="R23" s="14">
        <v>0.9</v>
      </c>
      <c r="S23" s="14">
        <v>0.85</v>
      </c>
      <c r="T23" s="14">
        <v>0.88</v>
      </c>
      <c r="U23" s="14">
        <v>0.91</v>
      </c>
      <c r="V23" s="14">
        <v>0.9</v>
      </c>
      <c r="W23" s="14">
        <v>0.86</v>
      </c>
      <c r="X23" s="14">
        <v>0.92</v>
      </c>
      <c r="Y23" s="14">
        <v>0.87</v>
      </c>
      <c r="Z23" s="14">
        <v>0.83000000000000007</v>
      </c>
      <c r="AA23" s="14">
        <v>0.9</v>
      </c>
      <c r="AB23" s="14">
        <v>0.79</v>
      </c>
      <c r="AC23" s="14">
        <v>0.86</v>
      </c>
      <c r="AD23" s="14">
        <v>0.92</v>
      </c>
      <c r="AE23" s="14">
        <v>0.9</v>
      </c>
      <c r="AF23" s="14">
        <v>0.94000000000000006</v>
      </c>
    </row>
    <row r="24" spans="1:32">
      <c r="A24" s="20"/>
      <c r="B24" s="11" t="s">
        <v>501</v>
      </c>
      <c r="C24" s="12">
        <v>2021</v>
      </c>
      <c r="D24" s="12">
        <v>92</v>
      </c>
      <c r="E24" s="12">
        <v>77</v>
      </c>
      <c r="F24" s="12">
        <v>140</v>
      </c>
      <c r="G24" s="12">
        <v>30</v>
      </c>
      <c r="H24" s="12">
        <v>85</v>
      </c>
      <c r="I24" s="12">
        <v>110</v>
      </c>
      <c r="J24" s="12">
        <v>25</v>
      </c>
      <c r="K24" s="12">
        <v>106</v>
      </c>
      <c r="L24" s="12">
        <v>20</v>
      </c>
      <c r="M24" s="12">
        <v>48</v>
      </c>
      <c r="N24" s="12">
        <v>47</v>
      </c>
      <c r="O24" s="12">
        <v>79</v>
      </c>
      <c r="P24" s="12">
        <v>67</v>
      </c>
      <c r="Q24" s="12">
        <v>60</v>
      </c>
      <c r="R24" s="12">
        <v>26</v>
      </c>
      <c r="S24" s="12">
        <v>64</v>
      </c>
      <c r="T24" s="12">
        <v>53</v>
      </c>
      <c r="U24" s="12">
        <v>29</v>
      </c>
      <c r="V24" s="12">
        <v>77</v>
      </c>
      <c r="W24" s="12">
        <v>58</v>
      </c>
      <c r="X24" s="12">
        <v>74</v>
      </c>
      <c r="Y24" s="12">
        <v>105</v>
      </c>
      <c r="Z24" s="12">
        <v>127</v>
      </c>
      <c r="AA24" s="12">
        <v>38</v>
      </c>
      <c r="AB24" s="12">
        <v>165</v>
      </c>
      <c r="AC24" s="12">
        <v>93</v>
      </c>
      <c r="AD24" s="12">
        <v>54</v>
      </c>
      <c r="AE24" s="12">
        <v>87</v>
      </c>
      <c r="AF24" s="12">
        <v>55</v>
      </c>
    </row>
    <row r="25" spans="1:32">
      <c r="A25" s="20"/>
      <c r="B25" s="13" t="s">
        <v>502</v>
      </c>
      <c r="C25" s="14">
        <v>0.08</v>
      </c>
      <c r="D25" s="14">
        <v>0.1</v>
      </c>
      <c r="E25" s="14">
        <v>7.0000000000000007E-2</v>
      </c>
      <c r="F25" s="14">
        <v>0.14000000000000001</v>
      </c>
      <c r="G25" s="14">
        <v>0.03</v>
      </c>
      <c r="H25" s="14">
        <v>7.0000000000000007E-2</v>
      </c>
      <c r="I25" s="14">
        <v>7.0000000000000007E-2</v>
      </c>
      <c r="J25" s="14">
        <v>0.09</v>
      </c>
      <c r="K25" s="14">
        <v>0.11</v>
      </c>
      <c r="L25" s="14">
        <v>0.02</v>
      </c>
      <c r="M25" s="14">
        <v>0.05</v>
      </c>
      <c r="N25" s="14">
        <v>0.05</v>
      </c>
      <c r="O25" s="14">
        <v>0.08</v>
      </c>
      <c r="P25" s="14">
        <v>7.0000000000000007E-2</v>
      </c>
      <c r="Q25" s="14">
        <v>0.06</v>
      </c>
      <c r="R25" s="14">
        <v>0.05</v>
      </c>
      <c r="S25" s="14">
        <v>0.06</v>
      </c>
      <c r="T25" s="14">
        <v>0.05</v>
      </c>
      <c r="U25" s="14">
        <v>0.06</v>
      </c>
      <c r="V25" s="14">
        <v>0.08</v>
      </c>
      <c r="W25" s="14">
        <v>0.12</v>
      </c>
      <c r="X25" s="14">
        <v>7.0000000000000007E-2</v>
      </c>
      <c r="Y25" s="14">
        <v>0.11</v>
      </c>
      <c r="Z25" s="14">
        <v>0.13</v>
      </c>
      <c r="AA25" s="14">
        <v>0.04</v>
      </c>
      <c r="AB25" s="14">
        <v>0.16</v>
      </c>
      <c r="AC25" s="14">
        <v>0.09</v>
      </c>
      <c r="AD25" s="14">
        <v>0.05</v>
      </c>
      <c r="AE25" s="14">
        <v>0.08</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1332</v>
      </c>
      <c r="C3" s="18"/>
      <c r="D3" s="18"/>
      <c r="E3" s="18"/>
      <c r="F3" s="18"/>
      <c r="H3" s="18" t="s">
        <v>1333</v>
      </c>
      <c r="I3" s="18"/>
      <c r="J3" s="18"/>
      <c r="K3" s="18"/>
      <c r="L3" s="18"/>
    </row>
    <row r="4" spans="1:32" ht="27" customHeight="1">
      <c r="B4" s="18" t="s">
        <v>1334</v>
      </c>
      <c r="C4" s="18"/>
      <c r="D4" s="18"/>
      <c r="E4" s="18"/>
      <c r="F4" s="18"/>
      <c r="H4" s="18" t="s">
        <v>1335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9077</v>
      </c>
      <c r="D12" s="12">
        <v>343</v>
      </c>
      <c r="E12" s="12">
        <v>349</v>
      </c>
      <c r="F12" s="12">
        <v>234</v>
      </c>
      <c r="G12" s="12">
        <v>540</v>
      </c>
      <c r="H12" s="12">
        <v>405</v>
      </c>
      <c r="I12" s="12">
        <v>482</v>
      </c>
      <c r="J12" s="12">
        <v>77</v>
      </c>
      <c r="K12" s="12">
        <v>171</v>
      </c>
      <c r="L12" s="12">
        <v>574</v>
      </c>
      <c r="M12" s="12">
        <v>408</v>
      </c>
      <c r="N12" s="12">
        <v>440</v>
      </c>
      <c r="O12" s="12">
        <v>381</v>
      </c>
      <c r="P12" s="12">
        <v>320</v>
      </c>
      <c r="Q12" s="12">
        <v>302</v>
      </c>
      <c r="R12" s="12">
        <v>244</v>
      </c>
      <c r="S12" s="12">
        <v>238</v>
      </c>
      <c r="T12" s="12">
        <v>302</v>
      </c>
      <c r="U12" s="12">
        <v>200</v>
      </c>
      <c r="V12" s="12">
        <v>368</v>
      </c>
      <c r="W12" s="12">
        <v>275</v>
      </c>
      <c r="X12" s="12">
        <v>428</v>
      </c>
      <c r="Y12" s="12">
        <v>370</v>
      </c>
      <c r="Z12" s="12">
        <v>193</v>
      </c>
      <c r="AA12" s="12">
        <v>393</v>
      </c>
      <c r="AB12" s="12">
        <v>223</v>
      </c>
      <c r="AC12" s="12">
        <v>344</v>
      </c>
      <c r="AD12" s="12">
        <v>439</v>
      </c>
      <c r="AE12" s="12">
        <v>352</v>
      </c>
      <c r="AF12" s="12">
        <v>586</v>
      </c>
    </row>
    <row r="13" spans="1:32">
      <c r="A13" s="20"/>
      <c r="B13" s="13" t="s">
        <v>493</v>
      </c>
      <c r="C13" s="14">
        <v>0.35</v>
      </c>
      <c r="D13" s="14">
        <v>0.34</v>
      </c>
      <c r="E13" s="14">
        <v>0.34</v>
      </c>
      <c r="F13" s="14">
        <v>0.23</v>
      </c>
      <c r="G13" s="14">
        <v>0.54</v>
      </c>
      <c r="H13" s="14">
        <v>0.33</v>
      </c>
      <c r="I13" s="14">
        <v>0.32</v>
      </c>
      <c r="J13" s="14">
        <v>0.26</v>
      </c>
      <c r="K13" s="14">
        <v>0.17</v>
      </c>
      <c r="L13" s="14">
        <v>0.57000000000000006</v>
      </c>
      <c r="M13" s="14">
        <v>0.41</v>
      </c>
      <c r="N13" s="14">
        <v>0.44</v>
      </c>
      <c r="O13" s="14">
        <v>0.38</v>
      </c>
      <c r="P13" s="14">
        <v>0.31</v>
      </c>
      <c r="Q13" s="14">
        <v>0.3</v>
      </c>
      <c r="R13" s="14">
        <v>0.49</v>
      </c>
      <c r="S13" s="14">
        <v>0.24</v>
      </c>
      <c r="T13" s="14">
        <v>0.3</v>
      </c>
      <c r="U13" s="14">
        <v>0.39</v>
      </c>
      <c r="V13" s="14">
        <v>0.36</v>
      </c>
      <c r="W13" s="14">
        <v>0.55000000000000004</v>
      </c>
      <c r="X13" s="14">
        <v>0.42</v>
      </c>
      <c r="Y13" s="14">
        <v>0.37</v>
      </c>
      <c r="Z13" s="14">
        <v>0.19</v>
      </c>
      <c r="AA13" s="14">
        <v>0.37</v>
      </c>
      <c r="AB13" s="14">
        <v>0.21</v>
      </c>
      <c r="AC13" s="14">
        <v>0.34</v>
      </c>
      <c r="AD13" s="14">
        <v>0.44</v>
      </c>
      <c r="AE13" s="14">
        <v>0.35</v>
      </c>
      <c r="AF13" s="14">
        <v>0.57000000000000006</v>
      </c>
    </row>
    <row r="14" spans="1:32">
      <c r="A14" s="20"/>
      <c r="B14" s="11" t="s">
        <v>643</v>
      </c>
      <c r="C14" s="12">
        <v>11949</v>
      </c>
      <c r="D14" s="12">
        <v>441</v>
      </c>
      <c r="E14" s="12">
        <v>402</v>
      </c>
      <c r="F14" s="12">
        <v>467</v>
      </c>
      <c r="G14" s="12">
        <v>331</v>
      </c>
      <c r="H14" s="12">
        <v>560</v>
      </c>
      <c r="I14" s="12">
        <v>710</v>
      </c>
      <c r="J14" s="12">
        <v>150</v>
      </c>
      <c r="K14" s="12">
        <v>391</v>
      </c>
      <c r="L14" s="12">
        <v>304</v>
      </c>
      <c r="M14" s="12">
        <v>411</v>
      </c>
      <c r="N14" s="12">
        <v>405</v>
      </c>
      <c r="O14" s="12">
        <v>422</v>
      </c>
      <c r="P14" s="12">
        <v>546</v>
      </c>
      <c r="Q14" s="12">
        <v>529</v>
      </c>
      <c r="R14" s="12">
        <v>191</v>
      </c>
      <c r="S14" s="12">
        <v>438</v>
      </c>
      <c r="T14" s="12">
        <v>486</v>
      </c>
      <c r="U14" s="12">
        <v>210</v>
      </c>
      <c r="V14" s="12">
        <v>498</v>
      </c>
      <c r="W14" s="12">
        <v>155</v>
      </c>
      <c r="X14" s="12">
        <v>420</v>
      </c>
      <c r="Y14" s="12">
        <v>394</v>
      </c>
      <c r="Z14" s="12">
        <v>574</v>
      </c>
      <c r="AA14" s="12">
        <v>485</v>
      </c>
      <c r="AB14" s="12">
        <v>487</v>
      </c>
      <c r="AC14" s="12">
        <v>450</v>
      </c>
      <c r="AD14" s="12">
        <v>398</v>
      </c>
      <c r="AE14" s="12">
        <v>421</v>
      </c>
      <c r="AF14" s="12">
        <v>333</v>
      </c>
    </row>
    <row r="15" spans="1:32">
      <c r="A15" s="20"/>
      <c r="B15" s="13" t="s">
        <v>495</v>
      </c>
      <c r="C15" s="14">
        <v>0.45</v>
      </c>
      <c r="D15" s="14">
        <v>0.44</v>
      </c>
      <c r="E15" s="14">
        <v>0.4</v>
      </c>
      <c r="F15" s="14">
        <v>0.47</v>
      </c>
      <c r="G15" s="14">
        <v>0.33</v>
      </c>
      <c r="H15" s="14">
        <v>0.46</v>
      </c>
      <c r="I15" s="14">
        <v>0.47</v>
      </c>
      <c r="J15" s="14">
        <v>0.51</v>
      </c>
      <c r="K15" s="14">
        <v>0.39</v>
      </c>
      <c r="L15" s="14">
        <v>0.3</v>
      </c>
      <c r="M15" s="14">
        <v>0.41</v>
      </c>
      <c r="N15" s="14">
        <v>0.4</v>
      </c>
      <c r="O15" s="14">
        <v>0.42</v>
      </c>
      <c r="P15" s="14">
        <v>0.54</v>
      </c>
      <c r="Q15" s="14">
        <v>0.52</v>
      </c>
      <c r="R15" s="14">
        <v>0.38</v>
      </c>
      <c r="S15" s="14">
        <v>0.44</v>
      </c>
      <c r="T15" s="14">
        <v>0.48</v>
      </c>
      <c r="U15" s="14">
        <v>0.42</v>
      </c>
      <c r="V15" s="14">
        <v>0.49</v>
      </c>
      <c r="W15" s="14">
        <v>0.31</v>
      </c>
      <c r="X15" s="14">
        <v>0.41</v>
      </c>
      <c r="Y15" s="14">
        <v>0.39</v>
      </c>
      <c r="Z15" s="14">
        <v>0.57000000000000006</v>
      </c>
      <c r="AA15" s="14">
        <v>0.46</v>
      </c>
      <c r="AB15" s="14">
        <v>0.47</v>
      </c>
      <c r="AC15" s="14">
        <v>0.45</v>
      </c>
      <c r="AD15" s="14">
        <v>0.4</v>
      </c>
      <c r="AE15" s="14">
        <v>0.42</v>
      </c>
      <c r="AF15" s="14">
        <v>0.33</v>
      </c>
    </row>
    <row r="16" spans="1:32">
      <c r="A16" s="20"/>
      <c r="B16" s="11" t="s">
        <v>644</v>
      </c>
      <c r="C16" s="12">
        <v>2999</v>
      </c>
      <c r="D16" s="12">
        <v>167</v>
      </c>
      <c r="E16" s="12">
        <v>103</v>
      </c>
      <c r="F16" s="12">
        <v>170</v>
      </c>
      <c r="G16" s="12">
        <v>76</v>
      </c>
      <c r="H16" s="12">
        <v>132</v>
      </c>
      <c r="I16" s="12">
        <v>174</v>
      </c>
      <c r="J16" s="12">
        <v>43</v>
      </c>
      <c r="K16" s="12">
        <v>211</v>
      </c>
      <c r="L16" s="12">
        <v>59</v>
      </c>
      <c r="M16" s="12">
        <v>98</v>
      </c>
      <c r="N16" s="12">
        <v>60</v>
      </c>
      <c r="O16" s="12">
        <v>111</v>
      </c>
      <c r="P16" s="12">
        <v>115</v>
      </c>
      <c r="Q16" s="12">
        <v>135</v>
      </c>
      <c r="R16" s="12">
        <v>28</v>
      </c>
      <c r="S16" s="12">
        <v>156</v>
      </c>
      <c r="T16" s="12">
        <v>86</v>
      </c>
      <c r="U16" s="12">
        <v>52</v>
      </c>
      <c r="V16" s="12">
        <v>96</v>
      </c>
      <c r="W16" s="12">
        <v>37</v>
      </c>
      <c r="X16" s="12">
        <v>118</v>
      </c>
      <c r="Y16" s="12">
        <v>127</v>
      </c>
      <c r="Z16" s="12">
        <v>139</v>
      </c>
      <c r="AA16" s="12">
        <v>77</v>
      </c>
      <c r="AB16" s="12">
        <v>190</v>
      </c>
      <c r="AC16" s="12">
        <v>125</v>
      </c>
      <c r="AD16" s="12">
        <v>80</v>
      </c>
      <c r="AE16" s="12">
        <v>148</v>
      </c>
      <c r="AF16" s="12">
        <v>67</v>
      </c>
    </row>
    <row r="17" spans="1:32">
      <c r="A17" s="20"/>
      <c r="B17" s="13" t="s">
        <v>497</v>
      </c>
      <c r="C17" s="14">
        <v>0.11</v>
      </c>
      <c r="D17" s="14">
        <v>0.17</v>
      </c>
      <c r="E17" s="14">
        <v>0.1</v>
      </c>
      <c r="F17" s="14">
        <v>0.17</v>
      </c>
      <c r="G17" s="14">
        <v>0.08</v>
      </c>
      <c r="H17" s="14">
        <v>0.11</v>
      </c>
      <c r="I17" s="14">
        <v>0.11</v>
      </c>
      <c r="J17" s="14">
        <v>0.15</v>
      </c>
      <c r="K17" s="14">
        <v>0.21</v>
      </c>
      <c r="L17" s="14">
        <v>0.06</v>
      </c>
      <c r="M17" s="14">
        <v>0.1</v>
      </c>
      <c r="N17" s="14">
        <v>0.06</v>
      </c>
      <c r="O17" s="14">
        <v>0.11</v>
      </c>
      <c r="P17" s="14">
        <v>0.11</v>
      </c>
      <c r="Q17" s="14">
        <v>0.13</v>
      </c>
      <c r="R17" s="14">
        <v>0.05</v>
      </c>
      <c r="S17" s="14">
        <v>0.15</v>
      </c>
      <c r="T17" s="14">
        <v>0.08</v>
      </c>
      <c r="U17" s="14">
        <v>0.1</v>
      </c>
      <c r="V17" s="14">
        <v>0.09</v>
      </c>
      <c r="W17" s="14">
        <v>7.0000000000000007E-2</v>
      </c>
      <c r="X17" s="14">
        <v>0.12</v>
      </c>
      <c r="Y17" s="14">
        <v>0.12</v>
      </c>
      <c r="Z17" s="14">
        <v>0.14000000000000001</v>
      </c>
      <c r="AA17" s="14">
        <v>7.0000000000000007E-2</v>
      </c>
      <c r="AB17" s="14">
        <v>0.18</v>
      </c>
      <c r="AC17" s="14">
        <v>0.12</v>
      </c>
      <c r="AD17" s="14">
        <v>0.08</v>
      </c>
      <c r="AE17" s="14">
        <v>0.15</v>
      </c>
      <c r="AF17" s="14">
        <v>7.0000000000000007E-2</v>
      </c>
    </row>
    <row r="18" spans="1:32">
      <c r="A18" s="20"/>
      <c r="B18" s="11" t="s">
        <v>1319</v>
      </c>
      <c r="C18" s="12">
        <v>1035</v>
      </c>
      <c r="D18" s="12">
        <v>38</v>
      </c>
      <c r="E18" s="12">
        <v>61</v>
      </c>
      <c r="F18" s="12">
        <v>62</v>
      </c>
      <c r="G18" s="12">
        <v>15</v>
      </c>
      <c r="H18" s="12">
        <v>54</v>
      </c>
      <c r="I18" s="12">
        <v>70</v>
      </c>
      <c r="J18" s="12">
        <v>17</v>
      </c>
      <c r="K18" s="12">
        <v>135</v>
      </c>
      <c r="L18" s="12">
        <v>34</v>
      </c>
      <c r="M18" s="12">
        <v>22</v>
      </c>
      <c r="N18" s="12">
        <v>25</v>
      </c>
      <c r="O18" s="12">
        <v>43</v>
      </c>
      <c r="P18" s="12">
        <v>13</v>
      </c>
      <c r="Q18" s="12">
        <v>23</v>
      </c>
      <c r="R18" s="12">
        <v>8</v>
      </c>
      <c r="S18" s="12">
        <v>42</v>
      </c>
      <c r="T18" s="12">
        <v>37</v>
      </c>
      <c r="U18" s="12">
        <v>19</v>
      </c>
      <c r="V18" s="12">
        <v>26</v>
      </c>
      <c r="W18" s="12">
        <v>23</v>
      </c>
      <c r="X18" s="12">
        <v>40</v>
      </c>
      <c r="Y18" s="12">
        <v>79</v>
      </c>
      <c r="Z18" s="12">
        <v>58</v>
      </c>
      <c r="AA18" s="12">
        <v>15</v>
      </c>
      <c r="AB18" s="12">
        <v>69</v>
      </c>
      <c r="AC18" s="12">
        <v>44</v>
      </c>
      <c r="AD18" s="12">
        <v>35</v>
      </c>
      <c r="AE18" s="12">
        <v>40</v>
      </c>
      <c r="AF18" s="12">
        <v>24</v>
      </c>
    </row>
    <row r="19" spans="1:32">
      <c r="A19" s="20"/>
      <c r="B19" s="13" t="s">
        <v>1232</v>
      </c>
      <c r="C19" s="14">
        <v>0.04</v>
      </c>
      <c r="D19" s="14">
        <v>0.04</v>
      </c>
      <c r="E19" s="14">
        <v>0.06</v>
      </c>
      <c r="F19" s="14">
        <v>0.06</v>
      </c>
      <c r="G19" s="14">
        <v>0.01</v>
      </c>
      <c r="H19" s="14">
        <v>0.04</v>
      </c>
      <c r="I19" s="14">
        <v>0.05</v>
      </c>
      <c r="J19" s="14">
        <v>0.06</v>
      </c>
      <c r="K19" s="14">
        <v>0.13</v>
      </c>
      <c r="L19" s="14">
        <v>0.03</v>
      </c>
      <c r="M19" s="14">
        <v>0.02</v>
      </c>
      <c r="N19" s="14">
        <v>0.03</v>
      </c>
      <c r="O19" s="14">
        <v>0.04</v>
      </c>
      <c r="P19" s="14">
        <v>0.01</v>
      </c>
      <c r="Q19" s="14">
        <v>0.02</v>
      </c>
      <c r="R19" s="14">
        <v>0.02</v>
      </c>
      <c r="S19" s="14">
        <v>0.04</v>
      </c>
      <c r="T19" s="14">
        <v>0.04</v>
      </c>
      <c r="U19" s="14">
        <v>0.04</v>
      </c>
      <c r="V19" s="14">
        <v>0.03</v>
      </c>
      <c r="W19" s="14">
        <v>0.04</v>
      </c>
      <c r="X19" s="14">
        <v>0.04</v>
      </c>
      <c r="Y19" s="14">
        <v>0.08</v>
      </c>
      <c r="Z19" s="14">
        <v>0.06</v>
      </c>
      <c r="AA19" s="14">
        <v>0.02</v>
      </c>
      <c r="AB19" s="14">
        <v>7.0000000000000007E-2</v>
      </c>
      <c r="AC19" s="14">
        <v>0.04</v>
      </c>
      <c r="AD19" s="14">
        <v>0.03</v>
      </c>
      <c r="AE19" s="14">
        <v>0.04</v>
      </c>
      <c r="AF19" s="14">
        <v>0.02</v>
      </c>
    </row>
    <row r="20" spans="1:32">
      <c r="A20" s="20"/>
      <c r="B20" s="11" t="s">
        <v>468</v>
      </c>
      <c r="C20" s="12">
        <v>1258</v>
      </c>
      <c r="D20" s="12">
        <v>14</v>
      </c>
      <c r="E20" s="12">
        <v>103</v>
      </c>
      <c r="F20" s="12">
        <v>73</v>
      </c>
      <c r="G20" s="12">
        <v>41</v>
      </c>
      <c r="H20" s="12">
        <v>66</v>
      </c>
      <c r="I20" s="12">
        <v>73</v>
      </c>
      <c r="J20" s="12">
        <v>7</v>
      </c>
      <c r="K20" s="12">
        <v>97</v>
      </c>
      <c r="L20" s="12">
        <v>36</v>
      </c>
      <c r="M20" s="12">
        <v>65</v>
      </c>
      <c r="N20" s="12">
        <v>75</v>
      </c>
      <c r="O20" s="12">
        <v>46</v>
      </c>
      <c r="P20" s="12">
        <v>27</v>
      </c>
      <c r="Q20" s="12">
        <v>30</v>
      </c>
      <c r="R20" s="12">
        <v>30</v>
      </c>
      <c r="S20" s="12">
        <v>134</v>
      </c>
      <c r="T20" s="12">
        <v>103</v>
      </c>
      <c r="U20" s="12">
        <v>27</v>
      </c>
      <c r="V20" s="12">
        <v>29</v>
      </c>
      <c r="W20" s="12">
        <v>14</v>
      </c>
      <c r="X20" s="12">
        <v>15</v>
      </c>
      <c r="Y20" s="12">
        <v>38</v>
      </c>
      <c r="Z20" s="12">
        <v>44</v>
      </c>
      <c r="AA20" s="12">
        <v>83</v>
      </c>
      <c r="AB20" s="12">
        <v>71</v>
      </c>
      <c r="AC20" s="12">
        <v>47</v>
      </c>
      <c r="AD20" s="12">
        <v>55</v>
      </c>
      <c r="AE20" s="12">
        <v>40</v>
      </c>
      <c r="AF20" s="12">
        <v>9</v>
      </c>
    </row>
    <row r="21" spans="1:32">
      <c r="A21" s="20"/>
      <c r="B21" s="13" t="s">
        <v>469</v>
      </c>
      <c r="C21" s="14">
        <v>0.05</v>
      </c>
      <c r="D21" s="14">
        <v>0.01</v>
      </c>
      <c r="E21" s="14">
        <v>0.1</v>
      </c>
      <c r="F21" s="14">
        <v>7.0000000000000007E-2</v>
      </c>
      <c r="G21" s="14">
        <v>0.04</v>
      </c>
      <c r="H21" s="14">
        <v>0.06</v>
      </c>
      <c r="I21" s="14">
        <v>0.05</v>
      </c>
      <c r="J21" s="14">
        <v>0.02</v>
      </c>
      <c r="K21" s="14">
        <v>0.1</v>
      </c>
      <c r="L21" s="14">
        <v>0.04</v>
      </c>
      <c r="M21" s="14">
        <v>0.06</v>
      </c>
      <c r="N21" s="14">
        <v>7.0000000000000007E-2</v>
      </c>
      <c r="O21" s="14">
        <v>0.05</v>
      </c>
      <c r="P21" s="14">
        <v>0.03</v>
      </c>
      <c r="Q21" s="14">
        <v>0.03</v>
      </c>
      <c r="R21" s="14">
        <v>0.06</v>
      </c>
      <c r="S21" s="14">
        <v>0.13</v>
      </c>
      <c r="T21" s="14">
        <v>0.1</v>
      </c>
      <c r="U21" s="14">
        <v>0.05</v>
      </c>
      <c r="V21" s="14">
        <v>0.03</v>
      </c>
      <c r="W21" s="14">
        <v>0.03</v>
      </c>
      <c r="X21" s="14">
        <v>0.01</v>
      </c>
      <c r="Y21" s="14">
        <v>0.04</v>
      </c>
      <c r="Z21" s="14">
        <v>0.04</v>
      </c>
      <c r="AA21" s="14">
        <v>0.08</v>
      </c>
      <c r="AB21" s="14">
        <v>7.0000000000000007E-2</v>
      </c>
      <c r="AC21" s="14">
        <v>0.05</v>
      </c>
      <c r="AD21" s="14">
        <v>0.05</v>
      </c>
      <c r="AE21" s="14">
        <v>0.04</v>
      </c>
      <c r="AF21" s="14">
        <v>0.01</v>
      </c>
    </row>
    <row r="22" spans="1:32">
      <c r="A22" s="20"/>
      <c r="B22" s="11" t="s">
        <v>500</v>
      </c>
      <c r="C22" s="12">
        <v>21026</v>
      </c>
      <c r="D22" s="12">
        <v>784</v>
      </c>
      <c r="E22" s="12">
        <v>751</v>
      </c>
      <c r="F22" s="12">
        <v>701</v>
      </c>
      <c r="G22" s="12">
        <v>871</v>
      </c>
      <c r="H22" s="12">
        <v>965</v>
      </c>
      <c r="I22" s="12">
        <v>1192</v>
      </c>
      <c r="J22" s="12">
        <v>227</v>
      </c>
      <c r="K22" s="12">
        <v>562</v>
      </c>
      <c r="L22" s="12">
        <v>878</v>
      </c>
      <c r="M22" s="12">
        <v>819</v>
      </c>
      <c r="N22" s="12">
        <v>845</v>
      </c>
      <c r="O22" s="12">
        <v>803</v>
      </c>
      <c r="P22" s="12">
        <v>866</v>
      </c>
      <c r="Q22" s="12">
        <v>831</v>
      </c>
      <c r="R22" s="12">
        <v>435</v>
      </c>
      <c r="S22" s="12">
        <v>676</v>
      </c>
      <c r="T22" s="12">
        <v>788</v>
      </c>
      <c r="U22" s="12">
        <v>410</v>
      </c>
      <c r="V22" s="12">
        <v>866</v>
      </c>
      <c r="W22" s="12">
        <v>430</v>
      </c>
      <c r="X22" s="12">
        <v>848</v>
      </c>
      <c r="Y22" s="12">
        <v>764</v>
      </c>
      <c r="Z22" s="12">
        <v>767</v>
      </c>
      <c r="AA22" s="12">
        <v>878</v>
      </c>
      <c r="AB22" s="12">
        <v>710</v>
      </c>
      <c r="AC22" s="12">
        <v>794</v>
      </c>
      <c r="AD22" s="12">
        <v>837</v>
      </c>
      <c r="AE22" s="12">
        <v>773</v>
      </c>
      <c r="AF22" s="12">
        <v>919</v>
      </c>
    </row>
    <row r="23" spans="1:32">
      <c r="A23" s="20"/>
      <c r="B23" s="13" t="s">
        <v>500</v>
      </c>
      <c r="C23" s="14">
        <v>0.8</v>
      </c>
      <c r="D23" s="14">
        <v>0.78</v>
      </c>
      <c r="E23" s="14">
        <v>0.74</v>
      </c>
      <c r="F23" s="14">
        <v>0.70000000000000007</v>
      </c>
      <c r="G23" s="14">
        <v>0.87</v>
      </c>
      <c r="H23" s="14">
        <v>0.79</v>
      </c>
      <c r="I23" s="14">
        <v>0.79</v>
      </c>
      <c r="J23" s="14">
        <v>0.77</v>
      </c>
      <c r="K23" s="14">
        <v>0.56000000000000005</v>
      </c>
      <c r="L23" s="14">
        <v>0.87</v>
      </c>
      <c r="M23" s="14">
        <v>0.82000000000000006</v>
      </c>
      <c r="N23" s="14">
        <v>0.84</v>
      </c>
      <c r="O23" s="14">
        <v>0.8</v>
      </c>
      <c r="P23" s="14">
        <v>0.85</v>
      </c>
      <c r="Q23" s="14">
        <v>0.82000000000000006</v>
      </c>
      <c r="R23" s="14">
        <v>0.87</v>
      </c>
      <c r="S23" s="14">
        <v>0.68</v>
      </c>
      <c r="T23" s="14">
        <v>0.78</v>
      </c>
      <c r="U23" s="14">
        <v>0.81</v>
      </c>
      <c r="V23" s="14">
        <v>0.85</v>
      </c>
      <c r="W23" s="14">
        <v>0.86</v>
      </c>
      <c r="X23" s="14">
        <v>0.83000000000000007</v>
      </c>
      <c r="Y23" s="14">
        <v>0.76</v>
      </c>
      <c r="Z23" s="14">
        <v>0.76</v>
      </c>
      <c r="AA23" s="14">
        <v>0.83000000000000007</v>
      </c>
      <c r="AB23" s="14">
        <v>0.68</v>
      </c>
      <c r="AC23" s="14">
        <v>0.79</v>
      </c>
      <c r="AD23" s="14">
        <v>0.84</v>
      </c>
      <c r="AE23" s="14">
        <v>0.77</v>
      </c>
      <c r="AF23" s="14">
        <v>0.9</v>
      </c>
    </row>
    <row r="24" spans="1:32">
      <c r="A24" s="20"/>
      <c r="B24" s="11" t="s">
        <v>501</v>
      </c>
      <c r="C24" s="12">
        <v>4034</v>
      </c>
      <c r="D24" s="12">
        <v>205</v>
      </c>
      <c r="E24" s="12">
        <v>164</v>
      </c>
      <c r="F24" s="12">
        <v>232</v>
      </c>
      <c r="G24" s="12">
        <v>91</v>
      </c>
      <c r="H24" s="12">
        <v>186</v>
      </c>
      <c r="I24" s="12">
        <v>244</v>
      </c>
      <c r="J24" s="12">
        <v>60</v>
      </c>
      <c r="K24" s="12">
        <v>346</v>
      </c>
      <c r="L24" s="12">
        <v>93</v>
      </c>
      <c r="M24" s="12">
        <v>120</v>
      </c>
      <c r="N24" s="12">
        <v>85</v>
      </c>
      <c r="O24" s="12">
        <v>154</v>
      </c>
      <c r="P24" s="12">
        <v>128</v>
      </c>
      <c r="Q24" s="12">
        <v>158</v>
      </c>
      <c r="R24" s="12">
        <v>36</v>
      </c>
      <c r="S24" s="12">
        <v>198</v>
      </c>
      <c r="T24" s="12">
        <v>123</v>
      </c>
      <c r="U24" s="12">
        <v>71</v>
      </c>
      <c r="V24" s="12">
        <v>122</v>
      </c>
      <c r="W24" s="12">
        <v>60</v>
      </c>
      <c r="X24" s="12">
        <v>158</v>
      </c>
      <c r="Y24" s="12">
        <v>206</v>
      </c>
      <c r="Z24" s="12">
        <v>197</v>
      </c>
      <c r="AA24" s="12">
        <v>92</v>
      </c>
      <c r="AB24" s="12">
        <v>259</v>
      </c>
      <c r="AC24" s="12">
        <v>169</v>
      </c>
      <c r="AD24" s="12">
        <v>115</v>
      </c>
      <c r="AE24" s="12">
        <v>188</v>
      </c>
      <c r="AF24" s="12">
        <v>91</v>
      </c>
    </row>
    <row r="25" spans="1:32">
      <c r="A25" s="20"/>
      <c r="B25" s="13" t="s">
        <v>502</v>
      </c>
      <c r="C25" s="14">
        <v>0.15</v>
      </c>
      <c r="D25" s="14">
        <v>0.21</v>
      </c>
      <c r="E25" s="14">
        <v>0.16</v>
      </c>
      <c r="F25" s="14">
        <v>0.23</v>
      </c>
      <c r="G25" s="14">
        <v>0.09</v>
      </c>
      <c r="H25" s="14">
        <v>0.15</v>
      </c>
      <c r="I25" s="14">
        <v>0.16</v>
      </c>
      <c r="J25" s="14">
        <v>0.21</v>
      </c>
      <c r="K25" s="14">
        <v>0.34</v>
      </c>
      <c r="L25" s="14">
        <v>0.09</v>
      </c>
      <c r="M25" s="14">
        <v>0.12</v>
      </c>
      <c r="N25" s="14">
        <v>0.09</v>
      </c>
      <c r="O25" s="14">
        <v>0.15</v>
      </c>
      <c r="P25" s="14">
        <v>0.12</v>
      </c>
      <c r="Q25" s="14">
        <v>0.15</v>
      </c>
      <c r="R25" s="14">
        <v>7.0000000000000007E-2</v>
      </c>
      <c r="S25" s="14">
        <v>0.19</v>
      </c>
      <c r="T25" s="14">
        <v>0.12</v>
      </c>
      <c r="U25" s="14">
        <v>0.14000000000000001</v>
      </c>
      <c r="V25" s="14">
        <v>0.12</v>
      </c>
      <c r="W25" s="14">
        <v>0.11</v>
      </c>
      <c r="X25" s="14">
        <v>0.16</v>
      </c>
      <c r="Y25" s="14">
        <v>0.2</v>
      </c>
      <c r="Z25" s="14">
        <v>0.2</v>
      </c>
      <c r="AA25" s="14">
        <v>0.09</v>
      </c>
      <c r="AB25" s="14">
        <v>0.25</v>
      </c>
      <c r="AC25" s="14">
        <v>0.16</v>
      </c>
      <c r="AD25" s="14">
        <v>0.11</v>
      </c>
      <c r="AE25" s="14">
        <v>0.19</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1336</v>
      </c>
      <c r="C3" s="18"/>
      <c r="D3" s="18"/>
      <c r="E3" s="18"/>
      <c r="F3" s="18"/>
      <c r="H3" s="18" t="s">
        <v>1337</v>
      </c>
      <c r="I3" s="18"/>
      <c r="J3" s="18"/>
      <c r="K3" s="18"/>
      <c r="L3" s="18"/>
    </row>
    <row r="4" spans="1:32" ht="27" customHeight="1">
      <c r="B4" s="18" t="s">
        <v>1338</v>
      </c>
      <c r="C4" s="18"/>
      <c r="D4" s="18"/>
      <c r="E4" s="18"/>
      <c r="F4" s="18"/>
      <c r="H4" s="18" t="s">
        <v>1339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10695</v>
      </c>
      <c r="D12" s="12">
        <v>372</v>
      </c>
      <c r="E12" s="12">
        <v>466</v>
      </c>
      <c r="F12" s="12">
        <v>301</v>
      </c>
      <c r="G12" s="12">
        <v>646</v>
      </c>
      <c r="H12" s="12">
        <v>464</v>
      </c>
      <c r="I12" s="12">
        <v>571</v>
      </c>
      <c r="J12" s="12">
        <v>107</v>
      </c>
      <c r="K12" s="12">
        <v>350</v>
      </c>
      <c r="L12" s="12">
        <v>614</v>
      </c>
      <c r="M12" s="12">
        <v>480</v>
      </c>
      <c r="N12" s="12">
        <v>498</v>
      </c>
      <c r="O12" s="12">
        <v>391</v>
      </c>
      <c r="P12" s="12">
        <v>384</v>
      </c>
      <c r="Q12" s="12">
        <v>380</v>
      </c>
      <c r="R12" s="12">
        <v>249</v>
      </c>
      <c r="S12" s="12">
        <v>375</v>
      </c>
      <c r="T12" s="12">
        <v>427</v>
      </c>
      <c r="U12" s="12">
        <v>254</v>
      </c>
      <c r="V12" s="12">
        <v>453</v>
      </c>
      <c r="W12" s="12">
        <v>321</v>
      </c>
      <c r="X12" s="12">
        <v>579</v>
      </c>
      <c r="Y12" s="12">
        <v>392</v>
      </c>
      <c r="Z12" s="12">
        <v>230</v>
      </c>
      <c r="AA12" s="12">
        <v>448</v>
      </c>
      <c r="AB12" s="12">
        <v>323</v>
      </c>
      <c r="AC12" s="12">
        <v>468</v>
      </c>
      <c r="AD12" s="12">
        <v>504</v>
      </c>
      <c r="AE12" s="12">
        <v>591</v>
      </c>
      <c r="AF12" s="12">
        <v>653</v>
      </c>
    </row>
    <row r="13" spans="1:32">
      <c r="A13" s="20"/>
      <c r="B13" s="13" t="s">
        <v>493</v>
      </c>
      <c r="C13" s="14">
        <v>0.41</v>
      </c>
      <c r="D13" s="14">
        <v>0.37</v>
      </c>
      <c r="E13" s="14">
        <v>0.46</v>
      </c>
      <c r="F13" s="14">
        <v>0.3</v>
      </c>
      <c r="G13" s="14">
        <v>0.64</v>
      </c>
      <c r="H13" s="14">
        <v>0.38</v>
      </c>
      <c r="I13" s="14">
        <v>0.38</v>
      </c>
      <c r="J13" s="14">
        <v>0.36</v>
      </c>
      <c r="K13" s="14">
        <v>0.35</v>
      </c>
      <c r="L13" s="14">
        <v>0.61</v>
      </c>
      <c r="M13" s="14">
        <v>0.48</v>
      </c>
      <c r="N13" s="14">
        <v>0.5</v>
      </c>
      <c r="O13" s="14">
        <v>0.39</v>
      </c>
      <c r="P13" s="14">
        <v>0.38</v>
      </c>
      <c r="Q13" s="14">
        <v>0.37</v>
      </c>
      <c r="R13" s="14">
        <v>0.5</v>
      </c>
      <c r="S13" s="14">
        <v>0.37</v>
      </c>
      <c r="T13" s="14">
        <v>0.42</v>
      </c>
      <c r="U13" s="14">
        <v>0.5</v>
      </c>
      <c r="V13" s="14">
        <v>0.44</v>
      </c>
      <c r="W13" s="14">
        <v>0.64</v>
      </c>
      <c r="X13" s="14">
        <v>0.57000000000000006</v>
      </c>
      <c r="Y13" s="14">
        <v>0.39</v>
      </c>
      <c r="Z13" s="14">
        <v>0.23</v>
      </c>
      <c r="AA13" s="14">
        <v>0.43</v>
      </c>
      <c r="AB13" s="14">
        <v>0.31</v>
      </c>
      <c r="AC13" s="14">
        <v>0.46</v>
      </c>
      <c r="AD13" s="14">
        <v>0.5</v>
      </c>
      <c r="AE13" s="14">
        <v>0.59</v>
      </c>
      <c r="AF13" s="14">
        <v>0.64</v>
      </c>
    </row>
    <row r="14" spans="1:32">
      <c r="A14" s="20"/>
      <c r="B14" s="11" t="s">
        <v>643</v>
      </c>
      <c r="C14" s="12">
        <v>11811</v>
      </c>
      <c r="D14" s="12">
        <v>462</v>
      </c>
      <c r="E14" s="12">
        <v>385</v>
      </c>
      <c r="F14" s="12">
        <v>465</v>
      </c>
      <c r="G14" s="12">
        <v>277</v>
      </c>
      <c r="H14" s="12">
        <v>578</v>
      </c>
      <c r="I14" s="12">
        <v>721</v>
      </c>
      <c r="J14" s="12">
        <v>143</v>
      </c>
      <c r="K14" s="12">
        <v>513</v>
      </c>
      <c r="L14" s="12">
        <v>298</v>
      </c>
      <c r="M14" s="12">
        <v>376</v>
      </c>
      <c r="N14" s="12">
        <v>365</v>
      </c>
      <c r="O14" s="12">
        <v>437</v>
      </c>
      <c r="P14" s="12">
        <v>542</v>
      </c>
      <c r="Q14" s="12">
        <v>523</v>
      </c>
      <c r="R14" s="12">
        <v>178</v>
      </c>
      <c r="S14" s="12">
        <v>458</v>
      </c>
      <c r="T14" s="12">
        <v>429</v>
      </c>
      <c r="U14" s="12">
        <v>186</v>
      </c>
      <c r="V14" s="12">
        <v>464</v>
      </c>
      <c r="W14" s="12">
        <v>128</v>
      </c>
      <c r="X14" s="12">
        <v>361</v>
      </c>
      <c r="Y14" s="12">
        <v>435</v>
      </c>
      <c r="Z14" s="12">
        <v>599</v>
      </c>
      <c r="AA14" s="12">
        <v>475</v>
      </c>
      <c r="AB14" s="12">
        <v>488</v>
      </c>
      <c r="AC14" s="12">
        <v>405</v>
      </c>
      <c r="AD14" s="12">
        <v>429</v>
      </c>
      <c r="AE14" s="12">
        <v>326</v>
      </c>
      <c r="AF14" s="12">
        <v>305</v>
      </c>
    </row>
    <row r="15" spans="1:32">
      <c r="A15" s="20"/>
      <c r="B15" s="13" t="s">
        <v>495</v>
      </c>
      <c r="C15" s="14">
        <v>0.45</v>
      </c>
      <c r="D15" s="14">
        <v>0.46</v>
      </c>
      <c r="E15" s="14">
        <v>0.38</v>
      </c>
      <c r="F15" s="14">
        <v>0.46</v>
      </c>
      <c r="G15" s="14">
        <v>0.27</v>
      </c>
      <c r="H15" s="14">
        <v>0.48</v>
      </c>
      <c r="I15" s="14">
        <v>0.48</v>
      </c>
      <c r="J15" s="14">
        <v>0.49</v>
      </c>
      <c r="K15" s="14">
        <v>0.51</v>
      </c>
      <c r="L15" s="14">
        <v>0.3</v>
      </c>
      <c r="M15" s="14">
        <v>0.38</v>
      </c>
      <c r="N15" s="14">
        <v>0.36</v>
      </c>
      <c r="O15" s="14">
        <v>0.44</v>
      </c>
      <c r="P15" s="14">
        <v>0.53</v>
      </c>
      <c r="Q15" s="14">
        <v>0.51</v>
      </c>
      <c r="R15" s="14">
        <v>0.35</v>
      </c>
      <c r="S15" s="14">
        <v>0.45</v>
      </c>
      <c r="T15" s="14">
        <v>0.42</v>
      </c>
      <c r="U15" s="14">
        <v>0.37</v>
      </c>
      <c r="V15" s="14">
        <v>0.46</v>
      </c>
      <c r="W15" s="14">
        <v>0.25</v>
      </c>
      <c r="X15" s="14">
        <v>0.35</v>
      </c>
      <c r="Y15" s="14">
        <v>0.43</v>
      </c>
      <c r="Z15" s="14">
        <v>0.59</v>
      </c>
      <c r="AA15" s="14">
        <v>0.45</v>
      </c>
      <c r="AB15" s="14">
        <v>0.47</v>
      </c>
      <c r="AC15" s="14">
        <v>0.4</v>
      </c>
      <c r="AD15" s="14">
        <v>0.43</v>
      </c>
      <c r="AE15" s="14">
        <v>0.33</v>
      </c>
      <c r="AF15" s="14">
        <v>0.3</v>
      </c>
    </row>
    <row r="16" spans="1:32">
      <c r="A16" s="20"/>
      <c r="B16" s="11" t="s">
        <v>644</v>
      </c>
      <c r="C16" s="12">
        <v>1813</v>
      </c>
      <c r="D16" s="12">
        <v>125</v>
      </c>
      <c r="E16" s="12">
        <v>59</v>
      </c>
      <c r="F16" s="12">
        <v>138</v>
      </c>
      <c r="G16" s="12">
        <v>26</v>
      </c>
      <c r="H16" s="12">
        <v>72</v>
      </c>
      <c r="I16" s="12">
        <v>95</v>
      </c>
      <c r="J16" s="12">
        <v>23</v>
      </c>
      <c r="K16" s="12">
        <v>66</v>
      </c>
      <c r="L16" s="12">
        <v>36</v>
      </c>
      <c r="M16" s="12">
        <v>34</v>
      </c>
      <c r="N16" s="12">
        <v>49</v>
      </c>
      <c r="O16" s="12">
        <v>72</v>
      </c>
      <c r="P16" s="12">
        <v>53</v>
      </c>
      <c r="Q16" s="12">
        <v>76</v>
      </c>
      <c r="R16" s="12">
        <v>23</v>
      </c>
      <c r="S16" s="12">
        <v>45</v>
      </c>
      <c r="T16" s="12">
        <v>37</v>
      </c>
      <c r="U16" s="12">
        <v>25</v>
      </c>
      <c r="V16" s="12">
        <v>66</v>
      </c>
      <c r="W16" s="12">
        <v>24</v>
      </c>
      <c r="X16" s="12">
        <v>51</v>
      </c>
      <c r="Y16" s="12">
        <v>84</v>
      </c>
      <c r="Z16" s="12">
        <v>102</v>
      </c>
      <c r="AA16" s="12">
        <v>37</v>
      </c>
      <c r="AB16" s="12">
        <v>118</v>
      </c>
      <c r="AC16" s="12">
        <v>58</v>
      </c>
      <c r="AD16" s="12">
        <v>33</v>
      </c>
      <c r="AE16" s="12">
        <v>42</v>
      </c>
      <c r="AF16" s="12">
        <v>38</v>
      </c>
    </row>
    <row r="17" spans="1:32">
      <c r="A17" s="20"/>
      <c r="B17" s="13" t="s">
        <v>497</v>
      </c>
      <c r="C17" s="14">
        <v>7.0000000000000007E-2</v>
      </c>
      <c r="D17" s="14">
        <v>0.13</v>
      </c>
      <c r="E17" s="14">
        <v>0.06</v>
      </c>
      <c r="F17" s="14">
        <v>0.14000000000000001</v>
      </c>
      <c r="G17" s="14">
        <v>0.03</v>
      </c>
      <c r="H17" s="14">
        <v>0.06</v>
      </c>
      <c r="I17" s="14">
        <v>0.06</v>
      </c>
      <c r="J17" s="14">
        <v>0.08</v>
      </c>
      <c r="K17" s="14">
        <v>0.06</v>
      </c>
      <c r="L17" s="14">
        <v>0.03</v>
      </c>
      <c r="M17" s="14">
        <v>0.03</v>
      </c>
      <c r="N17" s="14">
        <v>0.05</v>
      </c>
      <c r="O17" s="14">
        <v>7.0000000000000007E-2</v>
      </c>
      <c r="P17" s="14">
        <v>0.05</v>
      </c>
      <c r="Q17" s="14">
        <v>0.08</v>
      </c>
      <c r="R17" s="14">
        <v>0.05</v>
      </c>
      <c r="S17" s="14">
        <v>0.05</v>
      </c>
      <c r="T17" s="14">
        <v>0.04</v>
      </c>
      <c r="U17" s="14">
        <v>0.05</v>
      </c>
      <c r="V17" s="14">
        <v>7.0000000000000007E-2</v>
      </c>
      <c r="W17" s="14">
        <v>0.05</v>
      </c>
      <c r="X17" s="14">
        <v>0.05</v>
      </c>
      <c r="Y17" s="14">
        <v>0.08</v>
      </c>
      <c r="Z17" s="14">
        <v>0.1</v>
      </c>
      <c r="AA17" s="14">
        <v>0.03</v>
      </c>
      <c r="AB17" s="14">
        <v>0.11</v>
      </c>
      <c r="AC17" s="14">
        <v>0.06</v>
      </c>
      <c r="AD17" s="14">
        <v>0.03</v>
      </c>
      <c r="AE17" s="14">
        <v>0.04</v>
      </c>
      <c r="AF17" s="14">
        <v>0.04</v>
      </c>
    </row>
    <row r="18" spans="1:32">
      <c r="A18" s="20"/>
      <c r="B18" s="11" t="s">
        <v>1319</v>
      </c>
      <c r="C18" s="12">
        <v>540</v>
      </c>
      <c r="D18" s="12">
        <v>23</v>
      </c>
      <c r="E18" s="12">
        <v>26</v>
      </c>
      <c r="F18" s="12">
        <v>29</v>
      </c>
      <c r="G18" s="12">
        <v>8</v>
      </c>
      <c r="H18" s="12">
        <v>25</v>
      </c>
      <c r="I18" s="12">
        <v>28</v>
      </c>
      <c r="J18" s="12">
        <v>4</v>
      </c>
      <c r="K18" s="12">
        <v>17</v>
      </c>
      <c r="L18" s="12">
        <v>16</v>
      </c>
      <c r="M18" s="12">
        <v>10</v>
      </c>
      <c r="N18" s="12">
        <v>17</v>
      </c>
      <c r="O18" s="12">
        <v>31</v>
      </c>
      <c r="P18" s="12">
        <v>11</v>
      </c>
      <c r="Q18" s="12">
        <v>10</v>
      </c>
      <c r="R18" s="12">
        <v>7</v>
      </c>
      <c r="S18" s="12">
        <v>19</v>
      </c>
      <c r="T18" s="12">
        <v>19</v>
      </c>
      <c r="U18" s="12">
        <v>15</v>
      </c>
      <c r="V18" s="12">
        <v>10</v>
      </c>
      <c r="W18" s="12">
        <v>16</v>
      </c>
      <c r="X18" s="12">
        <v>12</v>
      </c>
      <c r="Y18" s="12">
        <v>29</v>
      </c>
      <c r="Z18" s="12">
        <v>36</v>
      </c>
      <c r="AA18" s="12">
        <v>13</v>
      </c>
      <c r="AB18" s="12">
        <v>43</v>
      </c>
      <c r="AC18" s="12">
        <v>27</v>
      </c>
      <c r="AD18" s="12">
        <v>9</v>
      </c>
      <c r="AE18" s="12">
        <v>8</v>
      </c>
      <c r="AF18" s="12">
        <v>11</v>
      </c>
    </row>
    <row r="19" spans="1:32">
      <c r="A19" s="20"/>
      <c r="B19" s="13" t="s">
        <v>1232</v>
      </c>
      <c r="C19" s="14">
        <v>0.02</v>
      </c>
      <c r="D19" s="14">
        <v>0.02</v>
      </c>
      <c r="E19" s="14">
        <v>0.02</v>
      </c>
      <c r="F19" s="14">
        <v>0.03</v>
      </c>
      <c r="G19" s="14">
        <v>0.01</v>
      </c>
      <c r="H19" s="14">
        <v>0.02</v>
      </c>
      <c r="I19" s="14">
        <v>0.02</v>
      </c>
      <c r="J19" s="14">
        <v>0.01</v>
      </c>
      <c r="K19" s="14">
        <v>0.02</v>
      </c>
      <c r="L19" s="14">
        <v>0.02</v>
      </c>
      <c r="M19" s="14">
        <v>0.01</v>
      </c>
      <c r="N19" s="14">
        <v>0.02</v>
      </c>
      <c r="O19" s="14">
        <v>0.03</v>
      </c>
      <c r="P19" s="14">
        <v>0.01</v>
      </c>
      <c r="Q19" s="14">
        <v>0.01</v>
      </c>
      <c r="R19" s="14">
        <v>0.01</v>
      </c>
      <c r="S19" s="14">
        <v>0.02</v>
      </c>
      <c r="T19" s="14">
        <v>0.02</v>
      </c>
      <c r="U19" s="14">
        <v>0.03</v>
      </c>
      <c r="V19" s="14">
        <v>0.01</v>
      </c>
      <c r="W19" s="14">
        <v>0.03</v>
      </c>
      <c r="X19" s="14">
        <v>0.01</v>
      </c>
      <c r="Y19" s="14">
        <v>0.03</v>
      </c>
      <c r="Z19" s="14">
        <v>0.04</v>
      </c>
      <c r="AA19" s="14">
        <v>0.01</v>
      </c>
      <c r="AB19" s="14">
        <v>0.04</v>
      </c>
      <c r="AC19" s="14">
        <v>0.03</v>
      </c>
      <c r="AD19" s="14">
        <v>0.01</v>
      </c>
      <c r="AE19" s="14">
        <v>0.01</v>
      </c>
      <c r="AF19" s="14">
        <v>0.01</v>
      </c>
    </row>
    <row r="20" spans="1:32">
      <c r="A20" s="20"/>
      <c r="B20" s="11" t="s">
        <v>468</v>
      </c>
      <c r="C20" s="12">
        <v>1460</v>
      </c>
      <c r="D20" s="12">
        <v>22</v>
      </c>
      <c r="E20" s="12">
        <v>82</v>
      </c>
      <c r="F20" s="12">
        <v>72</v>
      </c>
      <c r="G20" s="12">
        <v>46</v>
      </c>
      <c r="H20" s="12">
        <v>78</v>
      </c>
      <c r="I20" s="12">
        <v>95</v>
      </c>
      <c r="J20" s="12">
        <v>18</v>
      </c>
      <c r="K20" s="12">
        <v>60</v>
      </c>
      <c r="L20" s="12">
        <v>42</v>
      </c>
      <c r="M20" s="12">
        <v>103</v>
      </c>
      <c r="N20" s="12">
        <v>76</v>
      </c>
      <c r="O20" s="12">
        <v>73</v>
      </c>
      <c r="P20" s="12">
        <v>32</v>
      </c>
      <c r="Q20" s="12">
        <v>31</v>
      </c>
      <c r="R20" s="12">
        <v>43</v>
      </c>
      <c r="S20" s="12">
        <v>111</v>
      </c>
      <c r="T20" s="12">
        <v>102</v>
      </c>
      <c r="U20" s="12">
        <v>27</v>
      </c>
      <c r="V20" s="12">
        <v>24</v>
      </c>
      <c r="W20" s="12">
        <v>14</v>
      </c>
      <c r="X20" s="12">
        <v>18</v>
      </c>
      <c r="Y20" s="12">
        <v>69</v>
      </c>
      <c r="Z20" s="12">
        <v>41</v>
      </c>
      <c r="AA20" s="12">
        <v>80</v>
      </c>
      <c r="AB20" s="12">
        <v>67</v>
      </c>
      <c r="AC20" s="12">
        <v>52</v>
      </c>
      <c r="AD20" s="12">
        <v>31</v>
      </c>
      <c r="AE20" s="12">
        <v>35</v>
      </c>
      <c r="AF20" s="12">
        <v>14</v>
      </c>
    </row>
    <row r="21" spans="1:32">
      <c r="A21" s="20"/>
      <c r="B21" s="13" t="s">
        <v>469</v>
      </c>
      <c r="C21" s="14">
        <v>0.05</v>
      </c>
      <c r="D21" s="14">
        <v>0.02</v>
      </c>
      <c r="E21" s="14">
        <v>0.08</v>
      </c>
      <c r="F21" s="14">
        <v>7.0000000000000007E-2</v>
      </c>
      <c r="G21" s="14">
        <v>0.05</v>
      </c>
      <c r="H21" s="14">
        <v>0.06</v>
      </c>
      <c r="I21" s="14">
        <v>0.06</v>
      </c>
      <c r="J21" s="14">
        <v>0.06</v>
      </c>
      <c r="K21" s="14">
        <v>0.06</v>
      </c>
      <c r="L21" s="14">
        <v>0.04</v>
      </c>
      <c r="M21" s="14">
        <v>0.1</v>
      </c>
      <c r="N21" s="14">
        <v>7.0000000000000007E-2</v>
      </c>
      <c r="O21" s="14">
        <v>7.0000000000000007E-2</v>
      </c>
      <c r="P21" s="14">
        <v>0.03</v>
      </c>
      <c r="Q21" s="14">
        <v>0.03</v>
      </c>
      <c r="R21" s="14">
        <v>0.09</v>
      </c>
      <c r="S21" s="14">
        <v>0.11</v>
      </c>
      <c r="T21" s="14">
        <v>0.1</v>
      </c>
      <c r="U21" s="14">
        <v>0.05</v>
      </c>
      <c r="V21" s="14">
        <v>0.02</v>
      </c>
      <c r="W21" s="14">
        <v>0.03</v>
      </c>
      <c r="X21" s="14">
        <v>0.02</v>
      </c>
      <c r="Y21" s="14">
        <v>7.0000000000000007E-2</v>
      </c>
      <c r="Z21" s="14">
        <v>0.04</v>
      </c>
      <c r="AA21" s="14">
        <v>0.08</v>
      </c>
      <c r="AB21" s="14">
        <v>7.0000000000000007E-2</v>
      </c>
      <c r="AC21" s="14">
        <v>0.05</v>
      </c>
      <c r="AD21" s="14">
        <v>0.03</v>
      </c>
      <c r="AE21" s="14">
        <v>0.03</v>
      </c>
      <c r="AF21" s="14">
        <v>0.01</v>
      </c>
    </row>
    <row r="22" spans="1:32">
      <c r="A22" s="20"/>
      <c r="B22" s="11" t="s">
        <v>500</v>
      </c>
      <c r="C22" s="12">
        <v>22506</v>
      </c>
      <c r="D22" s="12">
        <v>834</v>
      </c>
      <c r="E22" s="12">
        <v>851</v>
      </c>
      <c r="F22" s="12">
        <v>766</v>
      </c>
      <c r="G22" s="12">
        <v>923</v>
      </c>
      <c r="H22" s="12">
        <v>1042</v>
      </c>
      <c r="I22" s="12">
        <v>1292</v>
      </c>
      <c r="J22" s="12">
        <v>250</v>
      </c>
      <c r="K22" s="12">
        <v>863</v>
      </c>
      <c r="L22" s="12">
        <v>912</v>
      </c>
      <c r="M22" s="12">
        <v>856</v>
      </c>
      <c r="N22" s="12">
        <v>863</v>
      </c>
      <c r="O22" s="12">
        <v>828</v>
      </c>
      <c r="P22" s="12">
        <v>926</v>
      </c>
      <c r="Q22" s="12">
        <v>903</v>
      </c>
      <c r="R22" s="12">
        <v>427</v>
      </c>
      <c r="S22" s="12">
        <v>833</v>
      </c>
      <c r="T22" s="12">
        <v>856</v>
      </c>
      <c r="U22" s="12">
        <v>440</v>
      </c>
      <c r="V22" s="12">
        <v>917</v>
      </c>
      <c r="W22" s="12">
        <v>449</v>
      </c>
      <c r="X22" s="12">
        <v>940</v>
      </c>
      <c r="Y22" s="12">
        <v>827</v>
      </c>
      <c r="Z22" s="12">
        <v>829</v>
      </c>
      <c r="AA22" s="12">
        <v>923</v>
      </c>
      <c r="AB22" s="12">
        <v>811</v>
      </c>
      <c r="AC22" s="12">
        <v>873</v>
      </c>
      <c r="AD22" s="12">
        <v>933</v>
      </c>
      <c r="AE22" s="12">
        <v>917</v>
      </c>
      <c r="AF22" s="12">
        <v>958</v>
      </c>
    </row>
    <row r="23" spans="1:32">
      <c r="A23" s="20"/>
      <c r="B23" s="13" t="s">
        <v>500</v>
      </c>
      <c r="C23" s="14">
        <v>0.86</v>
      </c>
      <c r="D23" s="14">
        <v>0.83000000000000007</v>
      </c>
      <c r="E23" s="14">
        <v>0.84</v>
      </c>
      <c r="F23" s="14">
        <v>0.76</v>
      </c>
      <c r="G23" s="14">
        <v>0.91</v>
      </c>
      <c r="H23" s="14">
        <v>0.86</v>
      </c>
      <c r="I23" s="14">
        <v>0.86</v>
      </c>
      <c r="J23" s="14">
        <v>0.85</v>
      </c>
      <c r="K23" s="14">
        <v>0.86</v>
      </c>
      <c r="L23" s="14">
        <v>0.91</v>
      </c>
      <c r="M23" s="14">
        <v>0.86</v>
      </c>
      <c r="N23" s="14">
        <v>0.86</v>
      </c>
      <c r="O23" s="14">
        <v>0.83000000000000007</v>
      </c>
      <c r="P23" s="14">
        <v>0.91</v>
      </c>
      <c r="Q23" s="14">
        <v>0.88</v>
      </c>
      <c r="R23" s="14">
        <v>0.85</v>
      </c>
      <c r="S23" s="14">
        <v>0.82000000000000006</v>
      </c>
      <c r="T23" s="14">
        <v>0.84</v>
      </c>
      <c r="U23" s="14">
        <v>0.87</v>
      </c>
      <c r="V23" s="14">
        <v>0.9</v>
      </c>
      <c r="W23" s="14">
        <v>0.89</v>
      </c>
      <c r="X23" s="14">
        <v>0.92</v>
      </c>
      <c r="Y23" s="14">
        <v>0.82000000000000006</v>
      </c>
      <c r="Z23" s="14">
        <v>0.82000000000000006</v>
      </c>
      <c r="AA23" s="14">
        <v>0.88</v>
      </c>
      <c r="AB23" s="14">
        <v>0.78</v>
      </c>
      <c r="AC23" s="14">
        <v>0.86</v>
      </c>
      <c r="AD23" s="14">
        <v>0.93</v>
      </c>
      <c r="AE23" s="14">
        <v>0.92</v>
      </c>
      <c r="AF23" s="14">
        <v>0.94000000000000006</v>
      </c>
    </row>
    <row r="24" spans="1:32">
      <c r="A24" s="20"/>
      <c r="B24" s="11" t="s">
        <v>501</v>
      </c>
      <c r="C24" s="12">
        <v>2353</v>
      </c>
      <c r="D24" s="12">
        <v>148</v>
      </c>
      <c r="E24" s="12">
        <v>85</v>
      </c>
      <c r="F24" s="12">
        <v>167</v>
      </c>
      <c r="G24" s="12">
        <v>34</v>
      </c>
      <c r="H24" s="12">
        <v>97</v>
      </c>
      <c r="I24" s="12">
        <v>123</v>
      </c>
      <c r="J24" s="12">
        <v>27</v>
      </c>
      <c r="K24" s="12">
        <v>83</v>
      </c>
      <c r="L24" s="12">
        <v>52</v>
      </c>
      <c r="M24" s="12">
        <v>44</v>
      </c>
      <c r="N24" s="12">
        <v>66</v>
      </c>
      <c r="O24" s="12">
        <v>103</v>
      </c>
      <c r="P24" s="12">
        <v>64</v>
      </c>
      <c r="Q24" s="12">
        <v>86</v>
      </c>
      <c r="R24" s="12">
        <v>30</v>
      </c>
      <c r="S24" s="12">
        <v>64</v>
      </c>
      <c r="T24" s="12">
        <v>56</v>
      </c>
      <c r="U24" s="12">
        <v>40</v>
      </c>
      <c r="V24" s="12">
        <v>76</v>
      </c>
      <c r="W24" s="12">
        <v>40</v>
      </c>
      <c r="X24" s="12">
        <v>63</v>
      </c>
      <c r="Y24" s="12">
        <v>113</v>
      </c>
      <c r="Z24" s="12">
        <v>138</v>
      </c>
      <c r="AA24" s="12">
        <v>50</v>
      </c>
      <c r="AB24" s="12">
        <v>161</v>
      </c>
      <c r="AC24" s="12">
        <v>85</v>
      </c>
      <c r="AD24" s="12">
        <v>42</v>
      </c>
      <c r="AE24" s="12">
        <v>50</v>
      </c>
      <c r="AF24" s="12">
        <v>49</v>
      </c>
    </row>
    <row r="25" spans="1:32">
      <c r="A25" s="20"/>
      <c r="B25" s="13" t="s">
        <v>502</v>
      </c>
      <c r="C25" s="14">
        <v>0.09</v>
      </c>
      <c r="D25" s="14">
        <v>0.15</v>
      </c>
      <c r="E25" s="14">
        <v>0.08</v>
      </c>
      <c r="F25" s="14">
        <v>0.17</v>
      </c>
      <c r="G25" s="14">
        <v>0.04</v>
      </c>
      <c r="H25" s="14">
        <v>0.08</v>
      </c>
      <c r="I25" s="14">
        <v>0.08</v>
      </c>
      <c r="J25" s="14">
        <v>0.09</v>
      </c>
      <c r="K25" s="14">
        <v>0.08</v>
      </c>
      <c r="L25" s="14">
        <v>0.05</v>
      </c>
      <c r="M25" s="14">
        <v>0.04</v>
      </c>
      <c r="N25" s="14">
        <v>7.0000000000000007E-2</v>
      </c>
      <c r="O25" s="14">
        <v>0.1</v>
      </c>
      <c r="P25" s="14">
        <v>0.06</v>
      </c>
      <c r="Q25" s="14">
        <v>0.09</v>
      </c>
      <c r="R25" s="14">
        <v>0.06</v>
      </c>
      <c r="S25" s="14">
        <v>7.0000000000000007E-2</v>
      </c>
      <c r="T25" s="14">
        <v>0.06</v>
      </c>
      <c r="U25" s="14">
        <v>0.08</v>
      </c>
      <c r="V25" s="14">
        <v>0.08</v>
      </c>
      <c r="W25" s="14">
        <v>0.08</v>
      </c>
      <c r="X25" s="14">
        <v>0.06</v>
      </c>
      <c r="Y25" s="14">
        <v>0.11</v>
      </c>
      <c r="Z25" s="14">
        <v>0.14000000000000001</v>
      </c>
      <c r="AA25" s="14">
        <v>0.04</v>
      </c>
      <c r="AB25" s="14">
        <v>0.15</v>
      </c>
      <c r="AC25" s="14">
        <v>0.09</v>
      </c>
      <c r="AD25" s="14">
        <v>0.04</v>
      </c>
      <c r="AE25" s="14">
        <v>0.05</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1340</v>
      </c>
      <c r="C3" s="18"/>
      <c r="D3" s="18"/>
      <c r="E3" s="18"/>
      <c r="F3" s="18"/>
      <c r="H3" s="18" t="s">
        <v>1341</v>
      </c>
      <c r="I3" s="18"/>
      <c r="J3" s="18"/>
      <c r="K3" s="18"/>
      <c r="L3" s="18"/>
    </row>
    <row r="4" spans="1:32" ht="27" customHeight="1">
      <c r="B4" s="18" t="s">
        <v>1342</v>
      </c>
      <c r="C4" s="18"/>
      <c r="D4" s="18"/>
      <c r="E4" s="18"/>
      <c r="F4" s="18"/>
      <c r="H4" s="18" t="s">
        <v>1343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642</v>
      </c>
      <c r="C12" s="12">
        <v>14035</v>
      </c>
      <c r="D12" s="12">
        <v>552</v>
      </c>
      <c r="E12" s="12">
        <v>571</v>
      </c>
      <c r="F12" s="12">
        <v>386</v>
      </c>
      <c r="G12" s="12">
        <v>763</v>
      </c>
      <c r="H12" s="12">
        <v>687</v>
      </c>
      <c r="I12" s="12">
        <v>865</v>
      </c>
      <c r="J12" s="12">
        <v>178</v>
      </c>
      <c r="K12" s="12">
        <v>494</v>
      </c>
      <c r="L12" s="12">
        <v>673</v>
      </c>
      <c r="M12" s="12">
        <v>628</v>
      </c>
      <c r="N12" s="12">
        <v>609</v>
      </c>
      <c r="O12" s="12">
        <v>579</v>
      </c>
      <c r="P12" s="12">
        <v>418</v>
      </c>
      <c r="Q12" s="12">
        <v>442</v>
      </c>
      <c r="R12" s="12">
        <v>314</v>
      </c>
      <c r="S12" s="12">
        <v>575</v>
      </c>
      <c r="T12" s="12">
        <v>548</v>
      </c>
      <c r="U12" s="12">
        <v>296</v>
      </c>
      <c r="V12" s="12">
        <v>522</v>
      </c>
      <c r="W12" s="12">
        <v>350</v>
      </c>
      <c r="X12" s="12">
        <v>741</v>
      </c>
      <c r="Y12" s="12">
        <v>541</v>
      </c>
      <c r="Z12" s="12">
        <v>296</v>
      </c>
      <c r="AA12" s="12">
        <v>469</v>
      </c>
      <c r="AB12" s="12">
        <v>346</v>
      </c>
      <c r="AC12" s="12">
        <v>618</v>
      </c>
      <c r="AD12" s="12">
        <v>589</v>
      </c>
      <c r="AE12" s="12">
        <v>759</v>
      </c>
      <c r="AF12" s="12">
        <v>854</v>
      </c>
    </row>
    <row r="13" spans="1:32">
      <c r="A13" s="20"/>
      <c r="B13" s="13" t="s">
        <v>493</v>
      </c>
      <c r="C13" s="14">
        <v>0.53</v>
      </c>
      <c r="D13" s="14">
        <v>0.55000000000000004</v>
      </c>
      <c r="E13" s="14">
        <v>0.56000000000000005</v>
      </c>
      <c r="F13" s="14">
        <v>0.38</v>
      </c>
      <c r="G13" s="14">
        <v>0.76</v>
      </c>
      <c r="H13" s="14">
        <v>0.57000000000000006</v>
      </c>
      <c r="I13" s="14">
        <v>0.57000000000000006</v>
      </c>
      <c r="J13" s="14">
        <v>0.61</v>
      </c>
      <c r="K13" s="14">
        <v>0.49</v>
      </c>
      <c r="L13" s="14">
        <v>0.67</v>
      </c>
      <c r="M13" s="14">
        <v>0.63</v>
      </c>
      <c r="N13" s="14">
        <v>0.61</v>
      </c>
      <c r="O13" s="14">
        <v>0.57999999999999996</v>
      </c>
      <c r="P13" s="14">
        <v>0.41</v>
      </c>
      <c r="Q13" s="14">
        <v>0.43</v>
      </c>
      <c r="R13" s="14">
        <v>0.63</v>
      </c>
      <c r="S13" s="14">
        <v>0.57000000000000006</v>
      </c>
      <c r="T13" s="14">
        <v>0.54</v>
      </c>
      <c r="U13" s="14">
        <v>0.59</v>
      </c>
      <c r="V13" s="14">
        <v>0.51</v>
      </c>
      <c r="W13" s="14">
        <v>0.70000000000000007</v>
      </c>
      <c r="X13" s="14">
        <v>0.72</v>
      </c>
      <c r="Y13" s="14">
        <v>0.54</v>
      </c>
      <c r="Z13" s="14">
        <v>0.3</v>
      </c>
      <c r="AA13" s="14">
        <v>0.45</v>
      </c>
      <c r="AB13" s="14">
        <v>0.33</v>
      </c>
      <c r="AC13" s="14">
        <v>0.61</v>
      </c>
      <c r="AD13" s="14">
        <v>0.57999999999999996</v>
      </c>
      <c r="AE13" s="14">
        <v>0.76</v>
      </c>
      <c r="AF13" s="14">
        <v>0.84</v>
      </c>
    </row>
    <row r="14" spans="1:32">
      <c r="A14" s="20"/>
      <c r="B14" s="11" t="s">
        <v>643</v>
      </c>
      <c r="C14" s="12">
        <v>9238</v>
      </c>
      <c r="D14" s="12">
        <v>318</v>
      </c>
      <c r="E14" s="12">
        <v>308</v>
      </c>
      <c r="F14" s="12">
        <v>408</v>
      </c>
      <c r="G14" s="12">
        <v>182</v>
      </c>
      <c r="H14" s="12">
        <v>375</v>
      </c>
      <c r="I14" s="12">
        <v>462</v>
      </c>
      <c r="J14" s="12">
        <v>87</v>
      </c>
      <c r="K14" s="12">
        <v>393</v>
      </c>
      <c r="L14" s="12">
        <v>252</v>
      </c>
      <c r="M14" s="12">
        <v>296</v>
      </c>
      <c r="N14" s="12">
        <v>315</v>
      </c>
      <c r="O14" s="12">
        <v>311</v>
      </c>
      <c r="P14" s="12">
        <v>505</v>
      </c>
      <c r="Q14" s="12">
        <v>474</v>
      </c>
      <c r="R14" s="12">
        <v>140</v>
      </c>
      <c r="S14" s="12">
        <v>289</v>
      </c>
      <c r="T14" s="12">
        <v>366</v>
      </c>
      <c r="U14" s="12">
        <v>147</v>
      </c>
      <c r="V14" s="12">
        <v>405</v>
      </c>
      <c r="W14" s="12">
        <v>103</v>
      </c>
      <c r="X14" s="12">
        <v>179</v>
      </c>
      <c r="Y14" s="12">
        <v>330</v>
      </c>
      <c r="Z14" s="12">
        <v>547</v>
      </c>
      <c r="AA14" s="12">
        <v>464</v>
      </c>
      <c r="AB14" s="12">
        <v>462</v>
      </c>
      <c r="AC14" s="12">
        <v>288</v>
      </c>
      <c r="AD14" s="12">
        <v>348</v>
      </c>
      <c r="AE14" s="12">
        <v>156</v>
      </c>
      <c r="AF14" s="12">
        <v>129</v>
      </c>
    </row>
    <row r="15" spans="1:32">
      <c r="A15" s="20"/>
      <c r="B15" s="13" t="s">
        <v>495</v>
      </c>
      <c r="C15" s="14">
        <v>0.35</v>
      </c>
      <c r="D15" s="14">
        <v>0.32</v>
      </c>
      <c r="E15" s="14">
        <v>0.3</v>
      </c>
      <c r="F15" s="14">
        <v>0.4</v>
      </c>
      <c r="G15" s="14">
        <v>0.18</v>
      </c>
      <c r="H15" s="14">
        <v>0.31</v>
      </c>
      <c r="I15" s="14">
        <v>0.31</v>
      </c>
      <c r="J15" s="14">
        <v>0.3</v>
      </c>
      <c r="K15" s="14">
        <v>0.39</v>
      </c>
      <c r="L15" s="14">
        <v>0.25</v>
      </c>
      <c r="M15" s="14">
        <v>0.28999999999999998</v>
      </c>
      <c r="N15" s="14">
        <v>0.31</v>
      </c>
      <c r="O15" s="14">
        <v>0.31</v>
      </c>
      <c r="P15" s="14">
        <v>0.49</v>
      </c>
      <c r="Q15" s="14">
        <v>0.47</v>
      </c>
      <c r="R15" s="14">
        <v>0.28000000000000003</v>
      </c>
      <c r="S15" s="14">
        <v>0.28999999999999998</v>
      </c>
      <c r="T15" s="14">
        <v>0.36</v>
      </c>
      <c r="U15" s="14">
        <v>0.28999999999999998</v>
      </c>
      <c r="V15" s="14">
        <v>0.4</v>
      </c>
      <c r="W15" s="14">
        <v>0.2</v>
      </c>
      <c r="X15" s="14">
        <v>0.18</v>
      </c>
      <c r="Y15" s="14">
        <v>0.33</v>
      </c>
      <c r="Z15" s="14">
        <v>0.54</v>
      </c>
      <c r="AA15" s="14">
        <v>0.44</v>
      </c>
      <c r="AB15" s="14">
        <v>0.44</v>
      </c>
      <c r="AC15" s="14">
        <v>0.28999999999999998</v>
      </c>
      <c r="AD15" s="14">
        <v>0.35</v>
      </c>
      <c r="AE15" s="14">
        <v>0.16</v>
      </c>
      <c r="AF15" s="14">
        <v>0.13</v>
      </c>
    </row>
    <row r="16" spans="1:32">
      <c r="A16" s="20"/>
      <c r="B16" s="11" t="s">
        <v>644</v>
      </c>
      <c r="C16" s="12">
        <v>1666</v>
      </c>
      <c r="D16" s="12">
        <v>99</v>
      </c>
      <c r="E16" s="12">
        <v>64</v>
      </c>
      <c r="F16" s="12">
        <v>127</v>
      </c>
      <c r="G16" s="12">
        <v>19</v>
      </c>
      <c r="H16" s="12">
        <v>75</v>
      </c>
      <c r="I16" s="12">
        <v>96</v>
      </c>
      <c r="J16" s="12">
        <v>20</v>
      </c>
      <c r="K16" s="12">
        <v>62</v>
      </c>
      <c r="L16" s="12">
        <v>25</v>
      </c>
      <c r="M16" s="12">
        <v>27</v>
      </c>
      <c r="N16" s="12">
        <v>35</v>
      </c>
      <c r="O16" s="12">
        <v>54</v>
      </c>
      <c r="P16" s="12">
        <v>67</v>
      </c>
      <c r="Q16" s="12">
        <v>74</v>
      </c>
      <c r="R16" s="12">
        <v>24</v>
      </c>
      <c r="S16" s="12">
        <v>32</v>
      </c>
      <c r="T16" s="12">
        <v>35</v>
      </c>
      <c r="U16" s="12">
        <v>32</v>
      </c>
      <c r="V16" s="12">
        <v>68</v>
      </c>
      <c r="W16" s="12">
        <v>28</v>
      </c>
      <c r="X16" s="12">
        <v>59</v>
      </c>
      <c r="Y16" s="12">
        <v>66</v>
      </c>
      <c r="Z16" s="12">
        <v>94</v>
      </c>
      <c r="AA16" s="12">
        <v>37</v>
      </c>
      <c r="AB16" s="12">
        <v>140</v>
      </c>
      <c r="AC16" s="12">
        <v>52</v>
      </c>
      <c r="AD16" s="12">
        <v>39</v>
      </c>
      <c r="AE16" s="12">
        <v>41</v>
      </c>
      <c r="AF16" s="12">
        <v>20</v>
      </c>
    </row>
    <row r="17" spans="1:32">
      <c r="A17" s="20"/>
      <c r="B17" s="13" t="s">
        <v>497</v>
      </c>
      <c r="C17" s="14">
        <v>7.0000000000000007E-2</v>
      </c>
      <c r="D17" s="14">
        <v>0.1</v>
      </c>
      <c r="E17" s="14">
        <v>7.0000000000000007E-2</v>
      </c>
      <c r="F17" s="14">
        <v>0.13</v>
      </c>
      <c r="G17" s="14">
        <v>0.02</v>
      </c>
      <c r="H17" s="14">
        <v>0.06</v>
      </c>
      <c r="I17" s="14">
        <v>0.06</v>
      </c>
      <c r="J17" s="14">
        <v>7.0000000000000007E-2</v>
      </c>
      <c r="K17" s="14">
        <v>0.06</v>
      </c>
      <c r="L17" s="14">
        <v>0.02</v>
      </c>
      <c r="M17" s="14">
        <v>0.03</v>
      </c>
      <c r="N17" s="14">
        <v>0.04</v>
      </c>
      <c r="O17" s="14">
        <v>0.05</v>
      </c>
      <c r="P17" s="14">
        <v>7.0000000000000007E-2</v>
      </c>
      <c r="Q17" s="14">
        <v>7.0000000000000007E-2</v>
      </c>
      <c r="R17" s="14">
        <v>0.05</v>
      </c>
      <c r="S17" s="14">
        <v>0.03</v>
      </c>
      <c r="T17" s="14">
        <v>0.04</v>
      </c>
      <c r="U17" s="14">
        <v>0.06</v>
      </c>
      <c r="V17" s="14">
        <v>7.0000000000000007E-2</v>
      </c>
      <c r="W17" s="14">
        <v>0.06</v>
      </c>
      <c r="X17" s="14">
        <v>0.06</v>
      </c>
      <c r="Y17" s="14">
        <v>7.0000000000000007E-2</v>
      </c>
      <c r="Z17" s="14">
        <v>0.09</v>
      </c>
      <c r="AA17" s="14">
        <v>0.03</v>
      </c>
      <c r="AB17" s="14">
        <v>0.14000000000000001</v>
      </c>
      <c r="AC17" s="14">
        <v>0.05</v>
      </c>
      <c r="AD17" s="14">
        <v>0.04</v>
      </c>
      <c r="AE17" s="14">
        <v>0.04</v>
      </c>
      <c r="AF17" s="14">
        <v>0.02</v>
      </c>
    </row>
    <row r="18" spans="1:32">
      <c r="A18" s="20"/>
      <c r="B18" s="11" t="s">
        <v>1319</v>
      </c>
      <c r="C18" s="12">
        <v>589</v>
      </c>
      <c r="D18" s="12">
        <v>28</v>
      </c>
      <c r="E18" s="12">
        <v>31</v>
      </c>
      <c r="F18" s="12">
        <v>38</v>
      </c>
      <c r="G18" s="12">
        <v>6</v>
      </c>
      <c r="H18" s="12">
        <v>28</v>
      </c>
      <c r="I18" s="12">
        <v>32</v>
      </c>
      <c r="J18" s="12">
        <v>4</v>
      </c>
      <c r="K18" s="12">
        <v>19</v>
      </c>
      <c r="L18" s="12">
        <v>27</v>
      </c>
      <c r="M18" s="12">
        <v>12</v>
      </c>
      <c r="N18" s="12">
        <v>11</v>
      </c>
      <c r="O18" s="12">
        <v>27</v>
      </c>
      <c r="P18" s="12">
        <v>19</v>
      </c>
      <c r="Q18" s="12">
        <v>12</v>
      </c>
      <c r="R18" s="12">
        <v>5</v>
      </c>
      <c r="S18" s="12">
        <v>25</v>
      </c>
      <c r="T18" s="12">
        <v>12</v>
      </c>
      <c r="U18" s="12">
        <v>10</v>
      </c>
      <c r="V18" s="12">
        <v>11</v>
      </c>
      <c r="W18" s="12">
        <v>12</v>
      </c>
      <c r="X18" s="12">
        <v>33</v>
      </c>
      <c r="Y18" s="12">
        <v>46</v>
      </c>
      <c r="Z18" s="12">
        <v>39</v>
      </c>
      <c r="AA18" s="12">
        <v>12</v>
      </c>
      <c r="AB18" s="12">
        <v>42</v>
      </c>
      <c r="AC18" s="12">
        <v>21</v>
      </c>
      <c r="AD18" s="12">
        <v>13</v>
      </c>
      <c r="AE18" s="12">
        <v>22</v>
      </c>
      <c r="AF18" s="12">
        <v>15</v>
      </c>
    </row>
    <row r="19" spans="1:32">
      <c r="A19" s="20"/>
      <c r="B19" s="13" t="s">
        <v>1232</v>
      </c>
      <c r="C19" s="14">
        <v>0.02</v>
      </c>
      <c r="D19" s="14">
        <v>0.03</v>
      </c>
      <c r="E19" s="14">
        <v>0.03</v>
      </c>
      <c r="F19" s="14">
        <v>0.04</v>
      </c>
      <c r="G19" s="14">
        <v>0.01</v>
      </c>
      <c r="H19" s="14">
        <v>0.02</v>
      </c>
      <c r="I19" s="14">
        <v>0.02</v>
      </c>
      <c r="J19" s="14">
        <v>0.01</v>
      </c>
      <c r="K19" s="14">
        <v>0.02</v>
      </c>
      <c r="L19" s="14">
        <v>0.03</v>
      </c>
      <c r="M19" s="14">
        <v>0.01</v>
      </c>
      <c r="N19" s="14">
        <v>0.01</v>
      </c>
      <c r="O19" s="14">
        <v>0.03</v>
      </c>
      <c r="P19" s="14">
        <v>0.02</v>
      </c>
      <c r="Q19" s="14">
        <v>0.01</v>
      </c>
      <c r="R19" s="14">
        <v>0.01</v>
      </c>
      <c r="S19" s="14">
        <v>0.02</v>
      </c>
      <c r="T19" s="14">
        <v>0.01</v>
      </c>
      <c r="U19" s="14">
        <v>0.02</v>
      </c>
      <c r="V19" s="14">
        <v>0.01</v>
      </c>
      <c r="W19" s="14">
        <v>0.02</v>
      </c>
      <c r="X19" s="14">
        <v>0.03</v>
      </c>
      <c r="Y19" s="14">
        <v>0.04</v>
      </c>
      <c r="Z19" s="14">
        <v>0.04</v>
      </c>
      <c r="AA19" s="14">
        <v>0.01</v>
      </c>
      <c r="AB19" s="14">
        <v>0.04</v>
      </c>
      <c r="AC19" s="14">
        <v>0.02</v>
      </c>
      <c r="AD19" s="14">
        <v>0.01</v>
      </c>
      <c r="AE19" s="14">
        <v>0.02</v>
      </c>
      <c r="AF19" s="14">
        <v>0.01</v>
      </c>
    </row>
    <row r="20" spans="1:32">
      <c r="A20" s="20"/>
      <c r="B20" s="11" t="s">
        <v>468</v>
      </c>
      <c r="C20" s="12">
        <v>791</v>
      </c>
      <c r="D20" s="12">
        <v>6</v>
      </c>
      <c r="E20" s="12">
        <v>44</v>
      </c>
      <c r="F20" s="12">
        <v>47</v>
      </c>
      <c r="G20" s="12">
        <v>35</v>
      </c>
      <c r="H20" s="12">
        <v>51</v>
      </c>
      <c r="I20" s="12">
        <v>55</v>
      </c>
      <c r="J20" s="12">
        <v>4</v>
      </c>
      <c r="K20" s="12">
        <v>38</v>
      </c>
      <c r="L20" s="12">
        <v>29</v>
      </c>
      <c r="M20" s="12">
        <v>39</v>
      </c>
      <c r="N20" s="12">
        <v>34</v>
      </c>
      <c r="O20" s="12">
        <v>31</v>
      </c>
      <c r="P20" s="12">
        <v>13</v>
      </c>
      <c r="Q20" s="12">
        <v>17</v>
      </c>
      <c r="R20" s="12">
        <v>18</v>
      </c>
      <c r="S20" s="12">
        <v>86</v>
      </c>
      <c r="T20" s="12">
        <v>54</v>
      </c>
      <c r="U20" s="12">
        <v>22</v>
      </c>
      <c r="V20" s="12">
        <v>11</v>
      </c>
      <c r="W20" s="12">
        <v>10</v>
      </c>
      <c r="X20" s="12">
        <v>9</v>
      </c>
      <c r="Y20" s="12">
        <v>25</v>
      </c>
      <c r="Z20" s="12">
        <v>32</v>
      </c>
      <c r="AA20" s="12">
        <v>71</v>
      </c>
      <c r="AB20" s="12">
        <v>49</v>
      </c>
      <c r="AC20" s="12">
        <v>31</v>
      </c>
      <c r="AD20" s="12">
        <v>16</v>
      </c>
      <c r="AE20" s="12">
        <v>23</v>
      </c>
      <c r="AF20" s="12">
        <v>3</v>
      </c>
    </row>
    <row r="21" spans="1:32">
      <c r="A21" s="20"/>
      <c r="B21" s="13" t="s">
        <v>469</v>
      </c>
      <c r="C21" s="14">
        <v>0.03</v>
      </c>
      <c r="D21" s="15" t="s">
        <v>459</v>
      </c>
      <c r="E21" s="14">
        <v>0.04</v>
      </c>
      <c r="F21" s="14">
        <v>0.05</v>
      </c>
      <c r="G21" s="14">
        <v>0.03</v>
      </c>
      <c r="H21" s="14">
        <v>0.04</v>
      </c>
      <c r="I21" s="14">
        <v>0.04</v>
      </c>
      <c r="J21" s="14">
        <v>0.01</v>
      </c>
      <c r="K21" s="14">
        <v>0.04</v>
      </c>
      <c r="L21" s="14">
        <v>0.03</v>
      </c>
      <c r="M21" s="14">
        <v>0.04</v>
      </c>
      <c r="N21" s="14">
        <v>0.03</v>
      </c>
      <c r="O21" s="14">
        <v>0.03</v>
      </c>
      <c r="P21" s="14">
        <v>0.01</v>
      </c>
      <c r="Q21" s="14">
        <v>0.02</v>
      </c>
      <c r="R21" s="14">
        <v>0.03</v>
      </c>
      <c r="S21" s="14">
        <v>0.09</v>
      </c>
      <c r="T21" s="14">
        <v>0.05</v>
      </c>
      <c r="U21" s="14">
        <v>0.04</v>
      </c>
      <c r="V21" s="14">
        <v>0.01</v>
      </c>
      <c r="W21" s="14">
        <v>0.02</v>
      </c>
      <c r="X21" s="14">
        <v>0.01</v>
      </c>
      <c r="Y21" s="14">
        <v>0.02</v>
      </c>
      <c r="Z21" s="14">
        <v>0.03</v>
      </c>
      <c r="AA21" s="14">
        <v>7.0000000000000007E-2</v>
      </c>
      <c r="AB21" s="14">
        <v>0.05</v>
      </c>
      <c r="AC21" s="14">
        <v>0.03</v>
      </c>
      <c r="AD21" s="14">
        <v>0.02</v>
      </c>
      <c r="AE21" s="14">
        <v>0.02</v>
      </c>
      <c r="AF21" s="15" t="s">
        <v>459</v>
      </c>
    </row>
    <row r="22" spans="1:32">
      <c r="A22" s="20"/>
      <c r="B22" s="11" t="s">
        <v>500</v>
      </c>
      <c r="C22" s="12">
        <v>23273</v>
      </c>
      <c r="D22" s="12">
        <v>870</v>
      </c>
      <c r="E22" s="12">
        <v>879</v>
      </c>
      <c r="F22" s="12">
        <v>794</v>
      </c>
      <c r="G22" s="12">
        <v>945</v>
      </c>
      <c r="H22" s="12">
        <v>1062</v>
      </c>
      <c r="I22" s="12">
        <v>1327</v>
      </c>
      <c r="J22" s="12">
        <v>265</v>
      </c>
      <c r="K22" s="12">
        <v>887</v>
      </c>
      <c r="L22" s="12">
        <v>925</v>
      </c>
      <c r="M22" s="12">
        <v>924</v>
      </c>
      <c r="N22" s="12">
        <v>924</v>
      </c>
      <c r="O22" s="12">
        <v>890</v>
      </c>
      <c r="P22" s="12">
        <v>923</v>
      </c>
      <c r="Q22" s="12">
        <v>916</v>
      </c>
      <c r="R22" s="12">
        <v>454</v>
      </c>
      <c r="S22" s="12">
        <v>864</v>
      </c>
      <c r="T22" s="12">
        <v>914</v>
      </c>
      <c r="U22" s="12">
        <v>443</v>
      </c>
      <c r="V22" s="12">
        <v>927</v>
      </c>
      <c r="W22" s="12">
        <v>453</v>
      </c>
      <c r="X22" s="12">
        <v>920</v>
      </c>
      <c r="Y22" s="12">
        <v>871</v>
      </c>
      <c r="Z22" s="12">
        <v>843</v>
      </c>
      <c r="AA22" s="12">
        <v>933</v>
      </c>
      <c r="AB22" s="12">
        <v>808</v>
      </c>
      <c r="AC22" s="12">
        <v>906</v>
      </c>
      <c r="AD22" s="12">
        <v>937</v>
      </c>
      <c r="AE22" s="12">
        <v>915</v>
      </c>
      <c r="AF22" s="12">
        <v>983</v>
      </c>
    </row>
    <row r="23" spans="1:32">
      <c r="A23" s="20"/>
      <c r="B23" s="13" t="s">
        <v>500</v>
      </c>
      <c r="C23" s="14">
        <v>0.88</v>
      </c>
      <c r="D23" s="14">
        <v>0.87</v>
      </c>
      <c r="E23" s="14">
        <v>0.86</v>
      </c>
      <c r="F23" s="14">
        <v>0.78</v>
      </c>
      <c r="G23" s="14">
        <v>0.94000000000000006</v>
      </c>
      <c r="H23" s="14">
        <v>0.88</v>
      </c>
      <c r="I23" s="14">
        <v>0.88</v>
      </c>
      <c r="J23" s="14">
        <v>0.91</v>
      </c>
      <c r="K23" s="14">
        <v>0.88</v>
      </c>
      <c r="L23" s="14">
        <v>0.92</v>
      </c>
      <c r="M23" s="14">
        <v>0.92</v>
      </c>
      <c r="N23" s="14">
        <v>0.92</v>
      </c>
      <c r="O23" s="14">
        <v>0.89</v>
      </c>
      <c r="P23" s="14">
        <v>0.9</v>
      </c>
      <c r="Q23" s="14">
        <v>0.9</v>
      </c>
      <c r="R23" s="14">
        <v>0.91</v>
      </c>
      <c r="S23" s="14">
        <v>0.86</v>
      </c>
      <c r="T23" s="14">
        <v>0.9</v>
      </c>
      <c r="U23" s="14">
        <v>0.88</v>
      </c>
      <c r="V23" s="14">
        <v>0.91</v>
      </c>
      <c r="W23" s="14">
        <v>0.9</v>
      </c>
      <c r="X23" s="14">
        <v>0.9</v>
      </c>
      <c r="Y23" s="14">
        <v>0.87</v>
      </c>
      <c r="Z23" s="14">
        <v>0.84</v>
      </c>
      <c r="AA23" s="14">
        <v>0.89</v>
      </c>
      <c r="AB23" s="14">
        <v>0.77</v>
      </c>
      <c r="AC23" s="14">
        <v>0.9</v>
      </c>
      <c r="AD23" s="14">
        <v>0.93</v>
      </c>
      <c r="AE23" s="14">
        <v>0.92</v>
      </c>
      <c r="AF23" s="14">
        <v>0.97</v>
      </c>
    </row>
    <row r="24" spans="1:32">
      <c r="A24" s="20"/>
      <c r="B24" s="11" t="s">
        <v>501</v>
      </c>
      <c r="C24" s="12">
        <v>2255</v>
      </c>
      <c r="D24" s="12">
        <v>127</v>
      </c>
      <c r="E24" s="12">
        <v>95</v>
      </c>
      <c r="F24" s="12">
        <v>165</v>
      </c>
      <c r="G24" s="12">
        <v>25</v>
      </c>
      <c r="H24" s="12">
        <v>103</v>
      </c>
      <c r="I24" s="12">
        <v>128</v>
      </c>
      <c r="J24" s="12">
        <v>24</v>
      </c>
      <c r="K24" s="12">
        <v>81</v>
      </c>
      <c r="L24" s="12">
        <v>52</v>
      </c>
      <c r="M24" s="12">
        <v>39</v>
      </c>
      <c r="N24" s="12">
        <v>46</v>
      </c>
      <c r="O24" s="12">
        <v>81</v>
      </c>
      <c r="P24" s="12">
        <v>86</v>
      </c>
      <c r="Q24" s="12">
        <v>86</v>
      </c>
      <c r="R24" s="12">
        <v>29</v>
      </c>
      <c r="S24" s="12">
        <v>57</v>
      </c>
      <c r="T24" s="12">
        <v>47</v>
      </c>
      <c r="U24" s="12">
        <v>42</v>
      </c>
      <c r="V24" s="12">
        <v>79</v>
      </c>
      <c r="W24" s="12">
        <v>40</v>
      </c>
      <c r="X24" s="12">
        <v>92</v>
      </c>
      <c r="Y24" s="12">
        <v>112</v>
      </c>
      <c r="Z24" s="12">
        <v>133</v>
      </c>
      <c r="AA24" s="12">
        <v>49</v>
      </c>
      <c r="AB24" s="12">
        <v>182</v>
      </c>
      <c r="AC24" s="12">
        <v>73</v>
      </c>
      <c r="AD24" s="12">
        <v>52</v>
      </c>
      <c r="AE24" s="12">
        <v>63</v>
      </c>
      <c r="AF24" s="12">
        <v>35</v>
      </c>
    </row>
    <row r="25" spans="1:32">
      <c r="A25" s="20"/>
      <c r="B25" s="13" t="s">
        <v>502</v>
      </c>
      <c r="C25" s="14">
        <v>0.09</v>
      </c>
      <c r="D25" s="14">
        <v>0.13</v>
      </c>
      <c r="E25" s="14">
        <v>0.1</v>
      </c>
      <c r="F25" s="14">
        <v>0.17</v>
      </c>
      <c r="G25" s="14">
        <v>0.03</v>
      </c>
      <c r="H25" s="14">
        <v>0.08</v>
      </c>
      <c r="I25" s="14">
        <v>0.08</v>
      </c>
      <c r="J25" s="14">
        <v>0.08</v>
      </c>
      <c r="K25" s="14">
        <v>0.08</v>
      </c>
      <c r="L25" s="14">
        <v>0.05</v>
      </c>
      <c r="M25" s="14">
        <v>0.04</v>
      </c>
      <c r="N25" s="14">
        <v>0.05</v>
      </c>
      <c r="O25" s="14">
        <v>0.08</v>
      </c>
      <c r="P25" s="14">
        <v>0.09</v>
      </c>
      <c r="Q25" s="14">
        <v>0.08</v>
      </c>
      <c r="R25" s="14">
        <v>0.06</v>
      </c>
      <c r="S25" s="14">
        <v>0.05</v>
      </c>
      <c r="T25" s="14">
        <v>0.05</v>
      </c>
      <c r="U25" s="14">
        <v>0.08</v>
      </c>
      <c r="V25" s="14">
        <v>0.08</v>
      </c>
      <c r="W25" s="14">
        <v>0.08</v>
      </c>
      <c r="X25" s="14">
        <v>0.09</v>
      </c>
      <c r="Y25" s="14">
        <v>0.11</v>
      </c>
      <c r="Z25" s="14">
        <v>0.13</v>
      </c>
      <c r="AA25" s="14">
        <v>0.04</v>
      </c>
      <c r="AB25" s="14">
        <v>0.18</v>
      </c>
      <c r="AC25" s="14">
        <v>7.0000000000000007E-2</v>
      </c>
      <c r="AD25" s="14">
        <v>0.05</v>
      </c>
      <c r="AE25" s="14">
        <v>0.06</v>
      </c>
      <c r="AF25" s="14">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289</v>
      </c>
      <c r="C3" s="18"/>
      <c r="D3" s="18"/>
      <c r="E3" s="18"/>
      <c r="F3" s="18"/>
      <c r="H3" s="18" t="s">
        <v>290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1344</v>
      </c>
      <c r="C12" s="12">
        <v>3629</v>
      </c>
      <c r="D12" s="12">
        <v>223</v>
      </c>
      <c r="E12" s="12">
        <v>85</v>
      </c>
      <c r="F12" s="12">
        <v>160</v>
      </c>
      <c r="G12" s="12">
        <v>151</v>
      </c>
      <c r="H12" s="12">
        <v>158</v>
      </c>
      <c r="I12" s="12">
        <v>191</v>
      </c>
      <c r="J12" s="12">
        <v>33</v>
      </c>
      <c r="K12" s="12">
        <v>190</v>
      </c>
      <c r="L12" s="12">
        <v>285</v>
      </c>
      <c r="M12" s="12">
        <v>28</v>
      </c>
      <c r="N12" s="12">
        <v>100</v>
      </c>
      <c r="O12" s="12">
        <v>139</v>
      </c>
      <c r="P12" s="12">
        <v>138</v>
      </c>
      <c r="Q12" s="12">
        <v>125</v>
      </c>
      <c r="R12" s="12">
        <v>66</v>
      </c>
      <c r="S12" s="12">
        <v>203</v>
      </c>
      <c r="T12" s="12">
        <v>176</v>
      </c>
      <c r="U12" s="12">
        <v>96</v>
      </c>
      <c r="V12" s="12">
        <v>96</v>
      </c>
      <c r="W12" s="12">
        <v>127</v>
      </c>
      <c r="X12" s="12">
        <v>223</v>
      </c>
      <c r="Y12" s="12">
        <v>189</v>
      </c>
      <c r="Z12" s="12">
        <v>104</v>
      </c>
      <c r="AA12" s="12">
        <v>139</v>
      </c>
      <c r="AB12" s="12">
        <v>191</v>
      </c>
      <c r="AC12" s="12">
        <v>227</v>
      </c>
      <c r="AD12" s="12">
        <v>118</v>
      </c>
      <c r="AE12" s="12">
        <v>178</v>
      </c>
      <c r="AF12" s="12">
        <v>291</v>
      </c>
    </row>
    <row r="13" spans="1:32">
      <c r="A13" s="20"/>
      <c r="B13" s="13" t="s">
        <v>1345</v>
      </c>
      <c r="C13" s="14">
        <v>0.14000000000000001</v>
      </c>
      <c r="D13" s="14">
        <v>0.22</v>
      </c>
      <c r="E13" s="14">
        <v>0.08</v>
      </c>
      <c r="F13" s="14">
        <v>0.16</v>
      </c>
      <c r="G13" s="14">
        <v>0.15</v>
      </c>
      <c r="H13" s="14">
        <v>0.13</v>
      </c>
      <c r="I13" s="14">
        <v>0.13</v>
      </c>
      <c r="J13" s="14">
        <v>0.11</v>
      </c>
      <c r="K13" s="14">
        <v>0.19</v>
      </c>
      <c r="L13" s="14">
        <v>0.28000000000000003</v>
      </c>
      <c r="M13" s="14">
        <v>0.03</v>
      </c>
      <c r="N13" s="14">
        <v>0.1</v>
      </c>
      <c r="O13" s="14">
        <v>0.14000000000000001</v>
      </c>
      <c r="P13" s="14">
        <v>0.13</v>
      </c>
      <c r="Q13" s="14">
        <v>0.12</v>
      </c>
      <c r="R13" s="14">
        <v>0.13</v>
      </c>
      <c r="S13" s="14">
        <v>0.2</v>
      </c>
      <c r="T13" s="14">
        <v>0.17</v>
      </c>
      <c r="U13" s="14">
        <v>0.19</v>
      </c>
      <c r="V13" s="14">
        <v>0.09</v>
      </c>
      <c r="W13" s="14">
        <v>0.25</v>
      </c>
      <c r="X13" s="14">
        <v>0.22</v>
      </c>
      <c r="Y13" s="14">
        <v>0.19</v>
      </c>
      <c r="Z13" s="14">
        <v>0.1</v>
      </c>
      <c r="AA13" s="14">
        <v>0.13</v>
      </c>
      <c r="AB13" s="14">
        <v>0.18</v>
      </c>
      <c r="AC13" s="14">
        <v>0.22</v>
      </c>
      <c r="AD13" s="14">
        <v>0.12</v>
      </c>
      <c r="AE13" s="14">
        <v>0.18</v>
      </c>
      <c r="AF13" s="14">
        <v>0.28999999999999998</v>
      </c>
    </row>
    <row r="14" spans="1:32" ht="24.95">
      <c r="A14" s="20"/>
      <c r="B14" s="11" t="s">
        <v>1346</v>
      </c>
      <c r="C14" s="12">
        <v>6465</v>
      </c>
      <c r="D14" s="12">
        <v>290</v>
      </c>
      <c r="E14" s="12">
        <v>131</v>
      </c>
      <c r="F14" s="12">
        <v>247</v>
      </c>
      <c r="G14" s="12">
        <v>223</v>
      </c>
      <c r="H14" s="12">
        <v>293</v>
      </c>
      <c r="I14" s="12">
        <v>361</v>
      </c>
      <c r="J14" s="12">
        <v>68</v>
      </c>
      <c r="K14" s="12">
        <v>340</v>
      </c>
      <c r="L14" s="12">
        <v>246</v>
      </c>
      <c r="M14" s="12">
        <v>210</v>
      </c>
      <c r="N14" s="12">
        <v>254</v>
      </c>
      <c r="O14" s="12">
        <v>289</v>
      </c>
      <c r="P14" s="12">
        <v>191</v>
      </c>
      <c r="Q14" s="12">
        <v>210</v>
      </c>
      <c r="R14" s="12">
        <v>84</v>
      </c>
      <c r="S14" s="12">
        <v>378</v>
      </c>
      <c r="T14" s="12">
        <v>250</v>
      </c>
      <c r="U14" s="12">
        <v>231</v>
      </c>
      <c r="V14" s="12">
        <v>153</v>
      </c>
      <c r="W14" s="12">
        <v>167</v>
      </c>
      <c r="X14" s="12">
        <v>366</v>
      </c>
      <c r="Y14" s="12">
        <v>237</v>
      </c>
      <c r="Z14" s="12">
        <v>248</v>
      </c>
      <c r="AA14" s="12">
        <v>170</v>
      </c>
      <c r="AB14" s="12">
        <v>175</v>
      </c>
      <c r="AC14" s="12">
        <v>301</v>
      </c>
      <c r="AD14" s="12">
        <v>257</v>
      </c>
      <c r="AE14" s="12">
        <v>269</v>
      </c>
      <c r="AF14" s="12">
        <v>388</v>
      </c>
    </row>
    <row r="15" spans="1:32">
      <c r="A15" s="20"/>
      <c r="B15" s="13" t="s">
        <v>1347</v>
      </c>
      <c r="C15" s="14">
        <v>0.25</v>
      </c>
      <c r="D15" s="14">
        <v>0.28999999999999998</v>
      </c>
      <c r="E15" s="14">
        <v>0.13</v>
      </c>
      <c r="F15" s="14">
        <v>0.25</v>
      </c>
      <c r="G15" s="14">
        <v>0.22</v>
      </c>
      <c r="H15" s="14">
        <v>0.24</v>
      </c>
      <c r="I15" s="14">
        <v>0.24</v>
      </c>
      <c r="J15" s="14">
        <v>0.23</v>
      </c>
      <c r="K15" s="14">
        <v>0.34</v>
      </c>
      <c r="L15" s="14">
        <v>0.24</v>
      </c>
      <c r="M15" s="14">
        <v>0.21</v>
      </c>
      <c r="N15" s="14">
        <v>0.25</v>
      </c>
      <c r="O15" s="14">
        <v>0.28999999999999998</v>
      </c>
      <c r="P15" s="14">
        <v>0.19</v>
      </c>
      <c r="Q15" s="14">
        <v>0.21</v>
      </c>
      <c r="R15" s="14">
        <v>0.17</v>
      </c>
      <c r="S15" s="14">
        <v>0.37</v>
      </c>
      <c r="T15" s="14">
        <v>0.25</v>
      </c>
      <c r="U15" s="14">
        <v>0.46</v>
      </c>
      <c r="V15" s="14">
        <v>0.15</v>
      </c>
      <c r="W15" s="14">
        <v>0.33</v>
      </c>
      <c r="X15" s="14">
        <v>0.36</v>
      </c>
      <c r="Y15" s="14">
        <v>0.23</v>
      </c>
      <c r="Z15" s="14">
        <v>0.25</v>
      </c>
      <c r="AA15" s="14">
        <v>0.16</v>
      </c>
      <c r="AB15" s="14">
        <v>0.17</v>
      </c>
      <c r="AC15" s="14">
        <v>0.3</v>
      </c>
      <c r="AD15" s="14">
        <v>0.26</v>
      </c>
      <c r="AE15" s="14">
        <v>0.27</v>
      </c>
      <c r="AF15" s="14">
        <v>0.38</v>
      </c>
    </row>
    <row r="16" spans="1:32">
      <c r="A16" s="20"/>
      <c r="B16" s="11" t="s">
        <v>1348</v>
      </c>
      <c r="C16" s="12">
        <v>3076</v>
      </c>
      <c r="D16" s="12">
        <v>111</v>
      </c>
      <c r="E16" s="12">
        <v>91</v>
      </c>
      <c r="F16" s="12">
        <v>148</v>
      </c>
      <c r="G16" s="12">
        <v>102</v>
      </c>
      <c r="H16" s="12">
        <v>128</v>
      </c>
      <c r="I16" s="12">
        <v>166</v>
      </c>
      <c r="J16" s="12">
        <v>37</v>
      </c>
      <c r="K16" s="12">
        <v>173</v>
      </c>
      <c r="L16" s="12">
        <v>164</v>
      </c>
      <c r="M16" s="12">
        <v>79</v>
      </c>
      <c r="N16" s="12">
        <v>107</v>
      </c>
      <c r="O16" s="12">
        <v>115</v>
      </c>
      <c r="P16" s="12">
        <v>157</v>
      </c>
      <c r="Q16" s="12">
        <v>145</v>
      </c>
      <c r="R16" s="12">
        <v>66</v>
      </c>
      <c r="S16" s="12">
        <v>140</v>
      </c>
      <c r="T16" s="12">
        <v>126</v>
      </c>
      <c r="U16" s="12">
        <v>112</v>
      </c>
      <c r="V16" s="12">
        <v>84</v>
      </c>
      <c r="W16" s="12">
        <v>80</v>
      </c>
      <c r="X16" s="12">
        <v>155</v>
      </c>
      <c r="Y16" s="12">
        <v>121</v>
      </c>
      <c r="Z16" s="12">
        <v>103</v>
      </c>
      <c r="AA16" s="12">
        <v>58</v>
      </c>
      <c r="AB16" s="12">
        <v>72</v>
      </c>
      <c r="AC16" s="12">
        <v>208</v>
      </c>
      <c r="AD16" s="12">
        <v>178</v>
      </c>
      <c r="AE16" s="12">
        <v>151</v>
      </c>
      <c r="AF16" s="12">
        <v>181</v>
      </c>
    </row>
    <row r="17" spans="1:32">
      <c r="A17" s="20"/>
      <c r="B17" s="13" t="s">
        <v>1349</v>
      </c>
      <c r="C17" s="14">
        <v>0.12</v>
      </c>
      <c r="D17" s="14">
        <v>0.11</v>
      </c>
      <c r="E17" s="14">
        <v>0.09</v>
      </c>
      <c r="F17" s="14">
        <v>0.15</v>
      </c>
      <c r="G17" s="14">
        <v>0.1</v>
      </c>
      <c r="H17" s="14">
        <v>0.11</v>
      </c>
      <c r="I17" s="14">
        <v>0.11</v>
      </c>
      <c r="J17" s="14">
        <v>0.13</v>
      </c>
      <c r="K17" s="14">
        <v>0.17</v>
      </c>
      <c r="L17" s="14">
        <v>0.16</v>
      </c>
      <c r="M17" s="14">
        <v>0.08</v>
      </c>
      <c r="N17" s="14">
        <v>0.11</v>
      </c>
      <c r="O17" s="14">
        <v>0.11</v>
      </c>
      <c r="P17" s="14">
        <v>0.15</v>
      </c>
      <c r="Q17" s="14">
        <v>0.14000000000000001</v>
      </c>
      <c r="R17" s="14">
        <v>0.13</v>
      </c>
      <c r="S17" s="14">
        <v>0.14000000000000001</v>
      </c>
      <c r="T17" s="14">
        <v>0.12</v>
      </c>
      <c r="U17" s="14">
        <v>0.22</v>
      </c>
      <c r="V17" s="14">
        <v>0.08</v>
      </c>
      <c r="W17" s="14">
        <v>0.16</v>
      </c>
      <c r="X17" s="14">
        <v>0.15</v>
      </c>
      <c r="Y17" s="14">
        <v>0.12</v>
      </c>
      <c r="Z17" s="14">
        <v>0.1</v>
      </c>
      <c r="AA17" s="14">
        <v>0.05</v>
      </c>
      <c r="AB17" s="14">
        <v>7.0000000000000007E-2</v>
      </c>
      <c r="AC17" s="14">
        <v>0.21</v>
      </c>
      <c r="AD17" s="14">
        <v>0.18</v>
      </c>
      <c r="AE17" s="14">
        <v>0.15</v>
      </c>
      <c r="AF17" s="14">
        <v>0.18</v>
      </c>
    </row>
    <row r="18" spans="1:32" ht="48.95">
      <c r="A18" s="20"/>
      <c r="B18" s="11" t="s">
        <v>1350</v>
      </c>
      <c r="C18" s="12">
        <v>8830</v>
      </c>
      <c r="D18" s="12">
        <v>321</v>
      </c>
      <c r="E18" s="12">
        <v>419</v>
      </c>
      <c r="F18" s="12">
        <v>389</v>
      </c>
      <c r="G18" s="12">
        <v>341</v>
      </c>
      <c r="H18" s="12">
        <v>524</v>
      </c>
      <c r="I18" s="12">
        <v>630</v>
      </c>
      <c r="J18" s="12">
        <v>106</v>
      </c>
      <c r="K18" s="12">
        <v>292</v>
      </c>
      <c r="L18" s="12">
        <v>283</v>
      </c>
      <c r="M18" s="12">
        <v>495</v>
      </c>
      <c r="N18" s="12">
        <v>258</v>
      </c>
      <c r="O18" s="12">
        <v>287</v>
      </c>
      <c r="P18" s="12">
        <v>455</v>
      </c>
      <c r="Q18" s="12">
        <v>404</v>
      </c>
      <c r="R18" s="12">
        <v>172</v>
      </c>
      <c r="S18" s="12">
        <v>242</v>
      </c>
      <c r="T18" s="12">
        <v>268</v>
      </c>
      <c r="U18" s="12">
        <v>113</v>
      </c>
      <c r="V18" s="12">
        <v>349</v>
      </c>
      <c r="W18" s="12">
        <v>146</v>
      </c>
      <c r="X18" s="12">
        <v>227</v>
      </c>
      <c r="Y18" s="12">
        <v>365</v>
      </c>
      <c r="Z18" s="12">
        <v>257</v>
      </c>
      <c r="AA18" s="12">
        <v>484</v>
      </c>
      <c r="AB18" s="12">
        <v>321</v>
      </c>
      <c r="AC18" s="12">
        <v>343</v>
      </c>
      <c r="AD18" s="12">
        <v>368</v>
      </c>
      <c r="AE18" s="12">
        <v>199</v>
      </c>
      <c r="AF18" s="12">
        <v>228</v>
      </c>
    </row>
    <row r="19" spans="1:32" ht="36.950000000000003">
      <c r="A19" s="20"/>
      <c r="B19" s="13" t="s">
        <v>1351</v>
      </c>
      <c r="C19" s="14">
        <v>0.34</v>
      </c>
      <c r="D19" s="14">
        <v>0.32</v>
      </c>
      <c r="E19" s="14">
        <v>0.41</v>
      </c>
      <c r="F19" s="14">
        <v>0.39</v>
      </c>
      <c r="G19" s="14">
        <v>0.34</v>
      </c>
      <c r="H19" s="14">
        <v>0.43</v>
      </c>
      <c r="I19" s="14">
        <v>0.42</v>
      </c>
      <c r="J19" s="14">
        <v>0.36</v>
      </c>
      <c r="K19" s="14">
        <v>0.28999999999999998</v>
      </c>
      <c r="L19" s="14">
        <v>0.28000000000000003</v>
      </c>
      <c r="M19" s="14">
        <v>0.49</v>
      </c>
      <c r="N19" s="14">
        <v>0.26</v>
      </c>
      <c r="O19" s="14">
        <v>0.28999999999999998</v>
      </c>
      <c r="P19" s="14">
        <v>0.45</v>
      </c>
      <c r="Q19" s="14">
        <v>0.4</v>
      </c>
      <c r="R19" s="14">
        <v>0.34</v>
      </c>
      <c r="S19" s="14">
        <v>0.24</v>
      </c>
      <c r="T19" s="14">
        <v>0.26</v>
      </c>
      <c r="U19" s="14">
        <v>0.22</v>
      </c>
      <c r="V19" s="14">
        <v>0.34</v>
      </c>
      <c r="W19" s="14">
        <v>0.28999999999999998</v>
      </c>
      <c r="X19" s="14">
        <v>0.22</v>
      </c>
      <c r="Y19" s="14">
        <v>0.36</v>
      </c>
      <c r="Z19" s="14">
        <v>0.26</v>
      </c>
      <c r="AA19" s="14">
        <v>0.46</v>
      </c>
      <c r="AB19" s="14">
        <v>0.31</v>
      </c>
      <c r="AC19" s="14">
        <v>0.34</v>
      </c>
      <c r="AD19" s="14">
        <v>0.37</v>
      </c>
      <c r="AE19" s="14">
        <v>0.2</v>
      </c>
      <c r="AF19" s="14">
        <v>0.22</v>
      </c>
    </row>
    <row r="20" spans="1:32" ht="60.95">
      <c r="A20" s="20"/>
      <c r="B20" s="11" t="s">
        <v>1352</v>
      </c>
      <c r="C20" s="12">
        <v>7886</v>
      </c>
      <c r="D20" s="12">
        <v>245</v>
      </c>
      <c r="E20" s="12">
        <v>360</v>
      </c>
      <c r="F20" s="12">
        <v>236</v>
      </c>
      <c r="G20" s="12">
        <v>311</v>
      </c>
      <c r="H20" s="12">
        <v>273</v>
      </c>
      <c r="I20" s="12">
        <v>364</v>
      </c>
      <c r="J20" s="12">
        <v>91</v>
      </c>
      <c r="K20" s="12">
        <v>240</v>
      </c>
      <c r="L20" s="12">
        <v>277</v>
      </c>
      <c r="M20" s="12">
        <v>252</v>
      </c>
      <c r="N20" s="12">
        <v>381</v>
      </c>
      <c r="O20" s="12">
        <v>330</v>
      </c>
      <c r="P20" s="12">
        <v>199</v>
      </c>
      <c r="Q20" s="12">
        <v>283</v>
      </c>
      <c r="R20" s="12">
        <v>112</v>
      </c>
      <c r="S20" s="12">
        <v>243</v>
      </c>
      <c r="T20" s="12">
        <v>376</v>
      </c>
      <c r="U20" s="12">
        <v>87</v>
      </c>
      <c r="V20" s="12">
        <v>374</v>
      </c>
      <c r="W20" s="12">
        <v>70</v>
      </c>
      <c r="X20" s="12">
        <v>278</v>
      </c>
      <c r="Y20" s="12">
        <v>272</v>
      </c>
      <c r="Z20" s="12">
        <v>400</v>
      </c>
      <c r="AA20" s="12">
        <v>258</v>
      </c>
      <c r="AB20" s="12">
        <v>330</v>
      </c>
      <c r="AC20" s="12">
        <v>223</v>
      </c>
      <c r="AD20" s="12">
        <v>254</v>
      </c>
      <c r="AE20" s="12">
        <v>364</v>
      </c>
      <c r="AF20" s="12">
        <v>250</v>
      </c>
    </row>
    <row r="21" spans="1:32" ht="60.95">
      <c r="A21" s="20"/>
      <c r="B21" s="13" t="s">
        <v>1353</v>
      </c>
      <c r="C21" s="14">
        <v>0.3</v>
      </c>
      <c r="D21" s="14">
        <v>0.24</v>
      </c>
      <c r="E21" s="14">
        <v>0.35</v>
      </c>
      <c r="F21" s="14">
        <v>0.23</v>
      </c>
      <c r="G21" s="14">
        <v>0.31</v>
      </c>
      <c r="H21" s="14">
        <v>0.23</v>
      </c>
      <c r="I21" s="14">
        <v>0.24</v>
      </c>
      <c r="J21" s="14">
        <v>0.31000000000000011</v>
      </c>
      <c r="K21" s="14">
        <v>0.24</v>
      </c>
      <c r="L21" s="14">
        <v>0.27</v>
      </c>
      <c r="M21" s="14">
        <v>0.25</v>
      </c>
      <c r="N21" s="14">
        <v>0.38</v>
      </c>
      <c r="O21" s="14">
        <v>0.32</v>
      </c>
      <c r="P21" s="14">
        <v>0.19</v>
      </c>
      <c r="Q21" s="14">
        <v>0.27</v>
      </c>
      <c r="R21" s="14">
        <v>0.23</v>
      </c>
      <c r="S21" s="14">
        <v>0.24</v>
      </c>
      <c r="T21" s="14">
        <v>0.37</v>
      </c>
      <c r="U21" s="14">
        <v>0.17</v>
      </c>
      <c r="V21" s="14">
        <v>0.36999999999999988</v>
      </c>
      <c r="W21" s="14">
        <v>0.14000000000000001</v>
      </c>
      <c r="X21" s="14">
        <v>0.28000000000000003</v>
      </c>
      <c r="Y21" s="14">
        <v>0.27</v>
      </c>
      <c r="Z21" s="14">
        <v>0.39</v>
      </c>
      <c r="AA21" s="14">
        <v>0.24</v>
      </c>
      <c r="AB21" s="14">
        <v>0.32</v>
      </c>
      <c r="AC21" s="14">
        <v>0.22</v>
      </c>
      <c r="AD21" s="14">
        <v>0.25</v>
      </c>
      <c r="AE21" s="14">
        <v>0.36</v>
      </c>
      <c r="AF21" s="14">
        <v>0.25</v>
      </c>
    </row>
    <row r="22" spans="1:32">
      <c r="A22" s="20"/>
      <c r="B22" s="11" t="s">
        <v>468</v>
      </c>
      <c r="C22" s="12">
        <v>528</v>
      </c>
      <c r="D22" s="12">
        <v>8</v>
      </c>
      <c r="E22" s="12">
        <v>27</v>
      </c>
      <c r="F22" s="12">
        <v>23</v>
      </c>
      <c r="G22" s="12">
        <v>36</v>
      </c>
      <c r="H22" s="12">
        <v>26</v>
      </c>
      <c r="I22" s="12">
        <v>31</v>
      </c>
      <c r="J22" s="12">
        <v>4</v>
      </c>
      <c r="K22" s="12">
        <v>35</v>
      </c>
      <c r="L22" s="12">
        <v>17</v>
      </c>
      <c r="M22" s="12">
        <v>17</v>
      </c>
      <c r="N22" s="12">
        <v>26</v>
      </c>
      <c r="O22" s="12">
        <v>19</v>
      </c>
      <c r="P22" s="12">
        <v>29</v>
      </c>
      <c r="Q22" s="12">
        <v>18</v>
      </c>
      <c r="R22" s="12">
        <v>66</v>
      </c>
      <c r="S22" s="12">
        <v>46</v>
      </c>
      <c r="T22" s="12">
        <v>31</v>
      </c>
      <c r="U22" s="12">
        <v>9</v>
      </c>
      <c r="V22" s="12">
        <v>22</v>
      </c>
      <c r="W22" s="12">
        <v>11</v>
      </c>
      <c r="X22" s="12">
        <v>12</v>
      </c>
      <c r="Y22" s="12">
        <v>10</v>
      </c>
      <c r="Z22" s="12">
        <v>17</v>
      </c>
      <c r="AA22" s="12">
        <v>28</v>
      </c>
      <c r="AB22" s="12">
        <v>14</v>
      </c>
      <c r="AC22" s="12">
        <v>10</v>
      </c>
      <c r="AD22" s="12">
        <v>32</v>
      </c>
      <c r="AE22" s="12">
        <v>33</v>
      </c>
      <c r="AF22" s="12">
        <v>21</v>
      </c>
    </row>
    <row r="23" spans="1:32">
      <c r="A23" s="20"/>
      <c r="B23" s="13" t="s">
        <v>469</v>
      </c>
      <c r="C23" s="14">
        <v>0.02</v>
      </c>
      <c r="D23" s="14">
        <v>0.01</v>
      </c>
      <c r="E23" s="14">
        <v>0.03</v>
      </c>
      <c r="F23" s="14">
        <v>0.02</v>
      </c>
      <c r="G23" s="14">
        <v>0.04</v>
      </c>
      <c r="H23" s="14">
        <v>0.02</v>
      </c>
      <c r="I23" s="14">
        <v>0.02</v>
      </c>
      <c r="J23" s="14">
        <v>0.02</v>
      </c>
      <c r="K23" s="14">
        <v>0.03</v>
      </c>
      <c r="L23" s="14">
        <v>0.02</v>
      </c>
      <c r="M23" s="14">
        <v>0.02</v>
      </c>
      <c r="N23" s="14">
        <v>0.02</v>
      </c>
      <c r="O23" s="14">
        <v>0.02</v>
      </c>
      <c r="P23" s="14">
        <v>0.03</v>
      </c>
      <c r="Q23" s="14">
        <v>0.02</v>
      </c>
      <c r="R23" s="14">
        <v>0.13</v>
      </c>
      <c r="S23" s="14">
        <v>0.05</v>
      </c>
      <c r="T23" s="14">
        <v>0.03</v>
      </c>
      <c r="U23" s="14">
        <v>0.02</v>
      </c>
      <c r="V23" s="14">
        <v>0.02</v>
      </c>
      <c r="W23" s="14">
        <v>0.02</v>
      </c>
      <c r="X23" s="14">
        <v>0.01</v>
      </c>
      <c r="Y23" s="14">
        <v>0.01</v>
      </c>
      <c r="Z23" s="14">
        <v>0.02</v>
      </c>
      <c r="AA23" s="14">
        <v>0.03</v>
      </c>
      <c r="AB23" s="14">
        <v>0.01</v>
      </c>
      <c r="AC23" s="14">
        <v>0.01</v>
      </c>
      <c r="AD23" s="14">
        <v>0.03</v>
      </c>
      <c r="AE23" s="14">
        <v>0.03</v>
      </c>
      <c r="AF23" s="14">
        <v>0.02</v>
      </c>
    </row>
    <row r="24" spans="1:32">
      <c r="A24" s="20"/>
      <c r="B24" s="11" t="s">
        <v>470</v>
      </c>
      <c r="C24" s="12">
        <v>9075</v>
      </c>
      <c r="D24" s="12">
        <v>430</v>
      </c>
      <c r="E24" s="12">
        <v>212</v>
      </c>
      <c r="F24" s="12">
        <v>357</v>
      </c>
      <c r="G24" s="12">
        <v>316</v>
      </c>
      <c r="H24" s="12">
        <v>393</v>
      </c>
      <c r="I24" s="12">
        <v>485</v>
      </c>
      <c r="J24" s="12">
        <v>92</v>
      </c>
      <c r="K24" s="12">
        <v>440</v>
      </c>
      <c r="L24" s="12">
        <v>431</v>
      </c>
      <c r="M24" s="12">
        <v>239</v>
      </c>
      <c r="N24" s="12">
        <v>340</v>
      </c>
      <c r="O24" s="12">
        <v>368</v>
      </c>
      <c r="P24" s="12">
        <v>339</v>
      </c>
      <c r="Q24" s="12">
        <v>314</v>
      </c>
      <c r="R24" s="12">
        <v>150</v>
      </c>
      <c r="S24" s="12">
        <v>477</v>
      </c>
      <c r="T24" s="12">
        <v>340</v>
      </c>
      <c r="U24" s="12">
        <v>298</v>
      </c>
      <c r="V24" s="12">
        <v>272</v>
      </c>
      <c r="W24" s="12">
        <v>275</v>
      </c>
      <c r="X24" s="12">
        <v>503</v>
      </c>
      <c r="Y24" s="12">
        <v>361</v>
      </c>
      <c r="Z24" s="12">
        <v>333</v>
      </c>
      <c r="AA24" s="12">
        <v>284</v>
      </c>
      <c r="AB24" s="12">
        <v>374</v>
      </c>
      <c r="AC24" s="12">
        <v>434</v>
      </c>
      <c r="AD24" s="12">
        <v>353</v>
      </c>
      <c r="AE24" s="12">
        <v>405</v>
      </c>
      <c r="AF24" s="12">
        <v>521</v>
      </c>
    </row>
    <row r="25" spans="1:32">
      <c r="A25" s="20"/>
      <c r="B25" s="13" t="s">
        <v>471</v>
      </c>
      <c r="C25" s="14">
        <v>0.34</v>
      </c>
      <c r="D25" s="14">
        <v>0.43</v>
      </c>
      <c r="E25" s="14">
        <v>0.21</v>
      </c>
      <c r="F25" s="14">
        <v>0.36</v>
      </c>
      <c r="G25" s="14">
        <v>0.31</v>
      </c>
      <c r="H25" s="14">
        <v>0.32</v>
      </c>
      <c r="I25" s="14">
        <v>0.32</v>
      </c>
      <c r="J25" s="14">
        <v>0.31</v>
      </c>
      <c r="K25" s="14">
        <v>0.44</v>
      </c>
      <c r="L25" s="14">
        <v>0.43</v>
      </c>
      <c r="M25" s="14">
        <v>0.24</v>
      </c>
      <c r="N25" s="14">
        <v>0.34</v>
      </c>
      <c r="O25" s="14">
        <v>0.37</v>
      </c>
      <c r="P25" s="14">
        <v>0.33</v>
      </c>
      <c r="Q25" s="14">
        <v>0.31</v>
      </c>
      <c r="R25" s="14">
        <v>0.3</v>
      </c>
      <c r="S25" s="14">
        <v>0.47</v>
      </c>
      <c r="T25" s="14">
        <v>0.34</v>
      </c>
      <c r="U25" s="14">
        <v>0.59</v>
      </c>
      <c r="V25" s="14">
        <v>0.27</v>
      </c>
      <c r="W25" s="14">
        <v>0.55000000000000004</v>
      </c>
      <c r="X25" s="14">
        <v>0.49</v>
      </c>
      <c r="Y25" s="14">
        <v>0.36</v>
      </c>
      <c r="Z25" s="14">
        <v>0.33</v>
      </c>
      <c r="AA25" s="14">
        <v>0.27</v>
      </c>
      <c r="AB25" s="14">
        <v>0.36</v>
      </c>
      <c r="AC25" s="14">
        <v>0.43</v>
      </c>
      <c r="AD25" s="14">
        <v>0.35</v>
      </c>
      <c r="AE25" s="14">
        <v>0.41</v>
      </c>
      <c r="AF25" s="14">
        <v>0.51</v>
      </c>
    </row>
    <row r="26" spans="1:32">
      <c r="A26" s="20"/>
      <c r="B26" s="11" t="s">
        <v>743</v>
      </c>
      <c r="C26" s="12">
        <v>16716</v>
      </c>
      <c r="D26" s="12">
        <v>565</v>
      </c>
      <c r="E26" s="12">
        <v>779</v>
      </c>
      <c r="F26" s="12">
        <v>625</v>
      </c>
      <c r="G26" s="12">
        <v>652</v>
      </c>
      <c r="H26" s="12">
        <v>797</v>
      </c>
      <c r="I26" s="12">
        <v>994</v>
      </c>
      <c r="J26" s="12">
        <v>197</v>
      </c>
      <c r="K26" s="12">
        <v>532</v>
      </c>
      <c r="L26" s="12">
        <v>559</v>
      </c>
      <c r="M26" s="12">
        <v>747</v>
      </c>
      <c r="N26" s="12">
        <v>638</v>
      </c>
      <c r="O26" s="12">
        <v>617</v>
      </c>
      <c r="P26" s="12">
        <v>654</v>
      </c>
      <c r="Q26" s="12">
        <v>687</v>
      </c>
      <c r="R26" s="12">
        <v>284</v>
      </c>
      <c r="S26" s="12">
        <v>485</v>
      </c>
      <c r="T26" s="12">
        <v>644</v>
      </c>
      <c r="U26" s="12">
        <v>200</v>
      </c>
      <c r="V26" s="12">
        <v>723</v>
      </c>
      <c r="W26" s="12">
        <v>217</v>
      </c>
      <c r="X26" s="12">
        <v>505</v>
      </c>
      <c r="Y26" s="12">
        <v>637</v>
      </c>
      <c r="Z26" s="12">
        <v>657</v>
      </c>
      <c r="AA26" s="12">
        <v>742</v>
      </c>
      <c r="AB26" s="12">
        <v>651</v>
      </c>
      <c r="AC26" s="12">
        <v>566</v>
      </c>
      <c r="AD26" s="12">
        <v>622</v>
      </c>
      <c r="AE26" s="12">
        <v>563</v>
      </c>
      <c r="AF26" s="12">
        <v>478</v>
      </c>
    </row>
    <row r="27" spans="1:32">
      <c r="A27" s="20"/>
      <c r="B27" s="13" t="s">
        <v>744</v>
      </c>
      <c r="C27" s="14">
        <v>0.64</v>
      </c>
      <c r="D27" s="14">
        <v>0.56000000000000005</v>
      </c>
      <c r="E27" s="14">
        <v>0.76</v>
      </c>
      <c r="F27" s="14">
        <v>0.62</v>
      </c>
      <c r="G27" s="14">
        <v>0.65</v>
      </c>
      <c r="H27" s="14">
        <v>0.66</v>
      </c>
      <c r="I27" s="14">
        <v>0.66</v>
      </c>
      <c r="J27" s="14">
        <v>0.67</v>
      </c>
      <c r="K27" s="14">
        <v>0.53</v>
      </c>
      <c r="L27" s="14">
        <v>0.55000000000000004</v>
      </c>
      <c r="M27" s="14">
        <v>0.74</v>
      </c>
      <c r="N27" s="14">
        <v>0.64</v>
      </c>
      <c r="O27" s="14">
        <v>0.61</v>
      </c>
      <c r="P27" s="14">
        <v>0.64</v>
      </c>
      <c r="Q27" s="14">
        <v>0.67</v>
      </c>
      <c r="R27" s="14">
        <v>0.57000000000000006</v>
      </c>
      <c r="S27" s="14">
        <v>0.48</v>
      </c>
      <c r="T27" s="14">
        <v>0.63</v>
      </c>
      <c r="U27" s="14">
        <v>0.39</v>
      </c>
      <c r="V27" s="14">
        <v>0.71</v>
      </c>
      <c r="W27" s="14">
        <v>0.43</v>
      </c>
      <c r="X27" s="14">
        <v>0.5</v>
      </c>
      <c r="Y27" s="14">
        <v>0.63</v>
      </c>
      <c r="Z27" s="14">
        <v>0.65</v>
      </c>
      <c r="AA27" s="14">
        <v>0.70000000000000007</v>
      </c>
      <c r="AB27" s="14">
        <v>0.63</v>
      </c>
      <c r="AC27" s="14">
        <v>0.56000000000000005</v>
      </c>
      <c r="AD27" s="14">
        <v>0.62</v>
      </c>
      <c r="AE27" s="14">
        <v>0.56000000000000005</v>
      </c>
      <c r="AF27" s="14">
        <v>0.47</v>
      </c>
    </row>
    <row r="28" spans="1:32">
      <c r="A28" s="19"/>
    </row>
    <row r="29" spans="1:32">
      <c r="A29" s="19"/>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1354</v>
      </c>
      <c r="C3" s="18"/>
      <c r="D3" s="18"/>
      <c r="E3" s="18"/>
      <c r="F3" s="18"/>
      <c r="H3" s="18" t="s">
        <v>1355</v>
      </c>
      <c r="I3" s="18"/>
      <c r="J3" s="18"/>
      <c r="K3" s="18"/>
      <c r="L3" s="18"/>
    </row>
    <row r="4" spans="1:32" ht="27" customHeight="1">
      <c r="B4" s="18" t="s">
        <v>1356</v>
      </c>
      <c r="C4" s="18"/>
      <c r="D4" s="18"/>
      <c r="E4" s="18"/>
      <c r="F4" s="18"/>
      <c r="H4" s="18" t="s">
        <v>1357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16894</v>
      </c>
      <c r="D12" s="12">
        <v>663</v>
      </c>
      <c r="E12" s="12">
        <v>680</v>
      </c>
      <c r="F12" s="12">
        <v>602</v>
      </c>
      <c r="G12" s="12">
        <v>730</v>
      </c>
      <c r="H12" s="12">
        <v>849</v>
      </c>
      <c r="I12" s="12">
        <v>1057</v>
      </c>
      <c r="J12" s="12">
        <v>209</v>
      </c>
      <c r="K12" s="12">
        <v>593</v>
      </c>
      <c r="L12" s="12">
        <v>844</v>
      </c>
      <c r="M12" s="12">
        <v>671</v>
      </c>
      <c r="N12" s="12">
        <v>687</v>
      </c>
      <c r="O12" s="12">
        <v>774</v>
      </c>
      <c r="P12" s="12">
        <v>397</v>
      </c>
      <c r="Q12" s="12">
        <v>552</v>
      </c>
      <c r="R12" s="12">
        <v>439</v>
      </c>
      <c r="S12" s="12">
        <v>621</v>
      </c>
      <c r="T12" s="12">
        <v>771</v>
      </c>
      <c r="U12" s="12">
        <v>429</v>
      </c>
      <c r="V12" s="12">
        <v>601</v>
      </c>
      <c r="W12" s="12">
        <v>392</v>
      </c>
      <c r="X12" s="12">
        <v>659</v>
      </c>
      <c r="Y12" s="12">
        <v>615</v>
      </c>
      <c r="Z12" s="12">
        <v>383</v>
      </c>
      <c r="AA12" s="12">
        <v>741</v>
      </c>
      <c r="AB12" s="12">
        <v>409</v>
      </c>
      <c r="AC12" s="12">
        <v>838</v>
      </c>
      <c r="AD12" s="12">
        <v>691</v>
      </c>
      <c r="AE12" s="12">
        <v>797</v>
      </c>
      <c r="AF12" s="12">
        <v>836</v>
      </c>
    </row>
    <row r="13" spans="1:32">
      <c r="A13" s="20"/>
      <c r="B13" s="13" t="s">
        <v>1358</v>
      </c>
      <c r="C13" s="14">
        <v>0.64</v>
      </c>
      <c r="D13" s="14">
        <v>0.66</v>
      </c>
      <c r="E13" s="14">
        <v>0.67</v>
      </c>
      <c r="F13" s="14">
        <v>0.6</v>
      </c>
      <c r="G13" s="14">
        <v>0.73</v>
      </c>
      <c r="H13" s="14">
        <v>0.70000000000000007</v>
      </c>
      <c r="I13" s="14">
        <v>0.70000000000000007</v>
      </c>
      <c r="J13" s="14">
        <v>0.71</v>
      </c>
      <c r="K13" s="14">
        <v>0.59</v>
      </c>
      <c r="L13" s="14">
        <v>0.84</v>
      </c>
      <c r="M13" s="14">
        <v>0.67</v>
      </c>
      <c r="N13" s="14">
        <v>0.69000000000000006</v>
      </c>
      <c r="O13" s="14">
        <v>0.77</v>
      </c>
      <c r="P13" s="14">
        <v>0.39</v>
      </c>
      <c r="Q13" s="14">
        <v>0.54</v>
      </c>
      <c r="R13" s="14">
        <v>0.88</v>
      </c>
      <c r="S13" s="14">
        <v>0.62</v>
      </c>
      <c r="T13" s="14">
        <v>0.76</v>
      </c>
      <c r="U13" s="14">
        <v>0.85</v>
      </c>
      <c r="V13" s="14">
        <v>0.59</v>
      </c>
      <c r="W13" s="14">
        <v>0.78</v>
      </c>
      <c r="X13" s="14">
        <v>0.65</v>
      </c>
      <c r="Y13" s="14">
        <v>0.61</v>
      </c>
      <c r="Z13" s="14">
        <v>0.38</v>
      </c>
      <c r="AA13" s="14">
        <v>0.70000000000000007</v>
      </c>
      <c r="AB13" s="14">
        <v>0.39</v>
      </c>
      <c r="AC13" s="14">
        <v>0.83000000000000007</v>
      </c>
      <c r="AD13" s="14">
        <v>0.69000000000000006</v>
      </c>
      <c r="AE13" s="14">
        <v>0.8</v>
      </c>
      <c r="AF13" s="14">
        <v>0.82000000000000006</v>
      </c>
    </row>
    <row r="14" spans="1:32">
      <c r="A14" s="20"/>
      <c r="B14" s="11" t="s">
        <v>1190</v>
      </c>
      <c r="C14" s="12">
        <v>7367</v>
      </c>
      <c r="D14" s="12">
        <v>260</v>
      </c>
      <c r="E14" s="12">
        <v>221</v>
      </c>
      <c r="F14" s="12">
        <v>268</v>
      </c>
      <c r="G14" s="12">
        <v>197</v>
      </c>
      <c r="H14" s="12">
        <v>291</v>
      </c>
      <c r="I14" s="12">
        <v>349</v>
      </c>
      <c r="J14" s="12">
        <v>58</v>
      </c>
      <c r="K14" s="12">
        <v>288</v>
      </c>
      <c r="L14" s="12">
        <v>130</v>
      </c>
      <c r="M14" s="12">
        <v>292</v>
      </c>
      <c r="N14" s="12">
        <v>265</v>
      </c>
      <c r="O14" s="12">
        <v>193</v>
      </c>
      <c r="P14" s="12">
        <v>357</v>
      </c>
      <c r="Q14" s="12">
        <v>395</v>
      </c>
      <c r="R14" s="12">
        <v>31</v>
      </c>
      <c r="S14" s="12">
        <v>264</v>
      </c>
      <c r="T14" s="12">
        <v>211</v>
      </c>
      <c r="U14" s="12">
        <v>61</v>
      </c>
      <c r="V14" s="12">
        <v>349</v>
      </c>
      <c r="W14" s="12">
        <v>78</v>
      </c>
      <c r="X14" s="12">
        <v>285</v>
      </c>
      <c r="Y14" s="12">
        <v>314</v>
      </c>
      <c r="Z14" s="12">
        <v>467</v>
      </c>
      <c r="AA14" s="12">
        <v>249</v>
      </c>
      <c r="AB14" s="12">
        <v>393</v>
      </c>
      <c r="AC14" s="12">
        <v>135</v>
      </c>
      <c r="AD14" s="12">
        <v>266</v>
      </c>
      <c r="AE14" s="12">
        <v>158</v>
      </c>
      <c r="AF14" s="12">
        <v>141</v>
      </c>
    </row>
    <row r="15" spans="1:32">
      <c r="A15" s="20"/>
      <c r="B15" s="13" t="s">
        <v>1359</v>
      </c>
      <c r="C15" s="14">
        <v>0.28000000000000003</v>
      </c>
      <c r="D15" s="14">
        <v>0.26</v>
      </c>
      <c r="E15" s="14">
        <v>0.22</v>
      </c>
      <c r="F15" s="14">
        <v>0.27</v>
      </c>
      <c r="G15" s="14">
        <v>0.2</v>
      </c>
      <c r="H15" s="14">
        <v>0.24</v>
      </c>
      <c r="I15" s="14">
        <v>0.23</v>
      </c>
      <c r="J15" s="14">
        <v>0.2</v>
      </c>
      <c r="K15" s="14">
        <v>0.28999999999999998</v>
      </c>
      <c r="L15" s="14">
        <v>0.13</v>
      </c>
      <c r="M15" s="14">
        <v>0.28999999999999998</v>
      </c>
      <c r="N15" s="14">
        <v>0.26</v>
      </c>
      <c r="O15" s="14">
        <v>0.19</v>
      </c>
      <c r="P15" s="14">
        <v>0.35</v>
      </c>
      <c r="Q15" s="14">
        <v>0.39</v>
      </c>
      <c r="R15" s="14">
        <v>0.06</v>
      </c>
      <c r="S15" s="14">
        <v>0.26</v>
      </c>
      <c r="T15" s="14">
        <v>0.21</v>
      </c>
      <c r="U15" s="14">
        <v>0.12</v>
      </c>
      <c r="V15" s="14">
        <v>0.34</v>
      </c>
      <c r="W15" s="14">
        <v>0.15</v>
      </c>
      <c r="X15" s="14">
        <v>0.28000000000000003</v>
      </c>
      <c r="Y15" s="14">
        <v>0.31</v>
      </c>
      <c r="Z15" s="14">
        <v>0.46</v>
      </c>
      <c r="AA15" s="14">
        <v>0.24</v>
      </c>
      <c r="AB15" s="14">
        <v>0.38</v>
      </c>
      <c r="AC15" s="14">
        <v>0.13</v>
      </c>
      <c r="AD15" s="14">
        <v>0.26</v>
      </c>
      <c r="AE15" s="14">
        <v>0.16</v>
      </c>
      <c r="AF15" s="14">
        <v>0.14000000000000001</v>
      </c>
    </row>
    <row r="16" spans="1:32">
      <c r="A16" s="20"/>
      <c r="B16" s="11" t="s">
        <v>1192</v>
      </c>
      <c r="C16" s="12">
        <v>1290</v>
      </c>
      <c r="D16" s="12">
        <v>69</v>
      </c>
      <c r="E16" s="12">
        <v>52</v>
      </c>
      <c r="F16" s="12">
        <v>96</v>
      </c>
      <c r="G16" s="12">
        <v>42</v>
      </c>
      <c r="H16" s="12">
        <v>45</v>
      </c>
      <c r="I16" s="12">
        <v>63</v>
      </c>
      <c r="J16" s="12">
        <v>18</v>
      </c>
      <c r="K16" s="12">
        <v>74</v>
      </c>
      <c r="L16" s="12">
        <v>14</v>
      </c>
      <c r="M16" s="12">
        <v>20</v>
      </c>
      <c r="N16" s="12">
        <v>21</v>
      </c>
      <c r="O16" s="12">
        <v>20</v>
      </c>
      <c r="P16" s="12">
        <v>185</v>
      </c>
      <c r="Q16" s="12">
        <v>51</v>
      </c>
      <c r="R16" s="12">
        <v>19</v>
      </c>
      <c r="S16" s="12">
        <v>58</v>
      </c>
      <c r="T16" s="12">
        <v>13</v>
      </c>
      <c r="U16" s="12">
        <v>10</v>
      </c>
      <c r="V16" s="12">
        <v>52</v>
      </c>
      <c r="W16" s="12">
        <v>14</v>
      </c>
      <c r="X16" s="12">
        <v>53</v>
      </c>
      <c r="Y16" s="12">
        <v>55</v>
      </c>
      <c r="Z16" s="12">
        <v>113</v>
      </c>
      <c r="AA16" s="12">
        <v>31</v>
      </c>
      <c r="AB16" s="12">
        <v>131</v>
      </c>
      <c r="AC16" s="12">
        <v>22</v>
      </c>
      <c r="AD16" s="12">
        <v>37</v>
      </c>
      <c r="AE16" s="12">
        <v>32</v>
      </c>
      <c r="AF16" s="12">
        <v>35</v>
      </c>
    </row>
    <row r="17" spans="1:32">
      <c r="A17" s="20"/>
      <c r="B17" s="13" t="s">
        <v>1360</v>
      </c>
      <c r="C17" s="14">
        <v>0.05</v>
      </c>
      <c r="D17" s="14">
        <v>7.0000000000000007E-2</v>
      </c>
      <c r="E17" s="14">
        <v>0.05</v>
      </c>
      <c r="F17" s="14">
        <v>0.09</v>
      </c>
      <c r="G17" s="14">
        <v>0.04</v>
      </c>
      <c r="H17" s="14">
        <v>0.03</v>
      </c>
      <c r="I17" s="14">
        <v>0.04</v>
      </c>
      <c r="J17" s="14">
        <v>0.06</v>
      </c>
      <c r="K17" s="14">
        <v>7.0000000000000007E-2</v>
      </c>
      <c r="L17" s="14">
        <v>0.01</v>
      </c>
      <c r="M17" s="14">
        <v>0.02</v>
      </c>
      <c r="N17" s="14">
        <v>0.02</v>
      </c>
      <c r="O17" s="14">
        <v>0.02</v>
      </c>
      <c r="P17" s="14">
        <v>0.18</v>
      </c>
      <c r="Q17" s="14">
        <v>0.05</v>
      </c>
      <c r="R17" s="14">
        <v>0.04</v>
      </c>
      <c r="S17" s="14">
        <v>0.06</v>
      </c>
      <c r="T17" s="14">
        <v>0.01</v>
      </c>
      <c r="U17" s="14">
        <v>0.02</v>
      </c>
      <c r="V17" s="14">
        <v>0.05</v>
      </c>
      <c r="W17" s="14">
        <v>0.03</v>
      </c>
      <c r="X17" s="14">
        <v>0.05</v>
      </c>
      <c r="Y17" s="14">
        <v>0.05</v>
      </c>
      <c r="Z17" s="14">
        <v>0.11</v>
      </c>
      <c r="AA17" s="14">
        <v>0.03</v>
      </c>
      <c r="AB17" s="14">
        <v>0.13</v>
      </c>
      <c r="AC17" s="14">
        <v>0.02</v>
      </c>
      <c r="AD17" s="14">
        <v>0.04</v>
      </c>
      <c r="AE17" s="14">
        <v>0.03</v>
      </c>
      <c r="AF17" s="14">
        <v>0.03</v>
      </c>
    </row>
    <row r="18" spans="1:32">
      <c r="A18" s="20"/>
      <c r="B18" s="11" t="s">
        <v>1194</v>
      </c>
      <c r="C18" s="12">
        <v>272</v>
      </c>
      <c r="D18" s="12">
        <v>8</v>
      </c>
      <c r="E18" s="12">
        <v>22</v>
      </c>
      <c r="F18" s="12">
        <v>21</v>
      </c>
      <c r="G18" s="12">
        <v>16</v>
      </c>
      <c r="H18" s="12">
        <v>10</v>
      </c>
      <c r="I18" s="12">
        <v>17</v>
      </c>
      <c r="J18" s="12">
        <v>7</v>
      </c>
      <c r="K18" s="12">
        <v>16</v>
      </c>
      <c r="L18" s="12">
        <v>5</v>
      </c>
      <c r="M18" s="12">
        <v>4</v>
      </c>
      <c r="N18" s="12">
        <v>9</v>
      </c>
      <c r="O18" s="12">
        <v>3</v>
      </c>
      <c r="P18" s="12">
        <v>46</v>
      </c>
      <c r="Q18" s="12">
        <v>10</v>
      </c>
      <c r="R18" s="12">
        <v>8</v>
      </c>
      <c r="S18" s="12">
        <v>5</v>
      </c>
      <c r="T18" s="12">
        <v>8</v>
      </c>
      <c r="U18" s="12">
        <v>6</v>
      </c>
      <c r="V18" s="12">
        <v>4</v>
      </c>
      <c r="W18" s="12">
        <v>9</v>
      </c>
      <c r="X18" s="12">
        <v>20</v>
      </c>
      <c r="Y18" s="12">
        <v>8</v>
      </c>
      <c r="Z18" s="12">
        <v>15</v>
      </c>
      <c r="AA18" s="12">
        <v>8</v>
      </c>
      <c r="AB18" s="12">
        <v>20</v>
      </c>
      <c r="AC18" s="12">
        <v>9</v>
      </c>
      <c r="AD18" s="12">
        <v>4</v>
      </c>
      <c r="AE18" s="12">
        <v>5</v>
      </c>
      <c r="AF18" s="12">
        <v>6</v>
      </c>
    </row>
    <row r="19" spans="1:32">
      <c r="A19" s="20"/>
      <c r="B19" s="13" t="s">
        <v>1195</v>
      </c>
      <c r="C19" s="14">
        <v>0.01</v>
      </c>
      <c r="D19" s="14">
        <v>0.01</v>
      </c>
      <c r="E19" s="14">
        <v>0.02</v>
      </c>
      <c r="F19" s="14">
        <v>0.02</v>
      </c>
      <c r="G19" s="14">
        <v>0.01</v>
      </c>
      <c r="H19" s="14">
        <v>0.01</v>
      </c>
      <c r="I19" s="14">
        <v>0.01</v>
      </c>
      <c r="J19" s="14">
        <v>0.02</v>
      </c>
      <c r="K19" s="14">
        <v>0.01</v>
      </c>
      <c r="L19" s="14">
        <v>0.01</v>
      </c>
      <c r="M19" s="15" t="s">
        <v>459</v>
      </c>
      <c r="N19" s="14">
        <v>0.01</v>
      </c>
      <c r="O19" s="14">
        <v>0.01</v>
      </c>
      <c r="P19" s="14">
        <v>0.04</v>
      </c>
      <c r="Q19" s="14">
        <v>0.01</v>
      </c>
      <c r="R19" s="14">
        <v>0.01</v>
      </c>
      <c r="S19" s="15" t="s">
        <v>459</v>
      </c>
      <c r="T19" s="14">
        <v>0.01</v>
      </c>
      <c r="U19" s="14">
        <v>0.01</v>
      </c>
      <c r="V19" s="14">
        <v>0.01</v>
      </c>
      <c r="W19" s="14">
        <v>0.02</v>
      </c>
      <c r="X19" s="14">
        <v>0.02</v>
      </c>
      <c r="Y19" s="14">
        <v>0.01</v>
      </c>
      <c r="Z19" s="14">
        <v>0.02</v>
      </c>
      <c r="AA19" s="14">
        <v>0.01</v>
      </c>
      <c r="AB19" s="14">
        <v>0.02</v>
      </c>
      <c r="AC19" s="14">
        <v>0.01</v>
      </c>
      <c r="AD19" s="15" t="s">
        <v>459</v>
      </c>
      <c r="AE19" s="15" t="s">
        <v>459</v>
      </c>
      <c r="AF19" s="14">
        <v>0.01</v>
      </c>
    </row>
    <row r="20" spans="1:32">
      <c r="A20" s="20"/>
      <c r="B20" s="11" t="s">
        <v>468</v>
      </c>
      <c r="C20" s="12">
        <v>497</v>
      </c>
      <c r="D20" s="12">
        <v>2</v>
      </c>
      <c r="E20" s="12">
        <v>42</v>
      </c>
      <c r="F20" s="12">
        <v>18</v>
      </c>
      <c r="G20" s="12">
        <v>19</v>
      </c>
      <c r="H20" s="12">
        <v>22</v>
      </c>
      <c r="I20" s="12">
        <v>24</v>
      </c>
      <c r="J20" s="12">
        <v>2</v>
      </c>
      <c r="K20" s="12">
        <v>36</v>
      </c>
      <c r="L20" s="12">
        <v>15</v>
      </c>
      <c r="M20" s="12">
        <v>17</v>
      </c>
      <c r="N20" s="12">
        <v>22</v>
      </c>
      <c r="O20" s="12">
        <v>13</v>
      </c>
      <c r="P20" s="12">
        <v>36</v>
      </c>
      <c r="Q20" s="12">
        <v>10</v>
      </c>
      <c r="R20" s="12">
        <v>4</v>
      </c>
      <c r="S20" s="12">
        <v>61</v>
      </c>
      <c r="T20" s="12">
        <v>12</v>
      </c>
      <c r="U20" s="12">
        <v>2</v>
      </c>
      <c r="V20" s="12">
        <v>12</v>
      </c>
      <c r="W20" s="12">
        <v>11</v>
      </c>
      <c r="X20" s="12">
        <v>5</v>
      </c>
      <c r="Y20" s="12">
        <v>16</v>
      </c>
      <c r="Z20" s="12">
        <v>31</v>
      </c>
      <c r="AA20" s="12">
        <v>24</v>
      </c>
      <c r="AB20" s="12">
        <v>86</v>
      </c>
      <c r="AC20" s="12">
        <v>6</v>
      </c>
      <c r="AD20" s="12">
        <v>8</v>
      </c>
      <c r="AE20" s="12">
        <v>10</v>
      </c>
      <c r="AF20" s="12">
        <v>2</v>
      </c>
    </row>
    <row r="21" spans="1:32">
      <c r="A21" s="20"/>
      <c r="B21" s="13" t="s">
        <v>469</v>
      </c>
      <c r="C21" s="14">
        <v>0.02</v>
      </c>
      <c r="D21" s="15" t="s">
        <v>459</v>
      </c>
      <c r="E21" s="14">
        <v>0.04</v>
      </c>
      <c r="F21" s="14">
        <v>0.02</v>
      </c>
      <c r="G21" s="14">
        <v>0.02</v>
      </c>
      <c r="H21" s="14">
        <v>0.02</v>
      </c>
      <c r="I21" s="14">
        <v>0.02</v>
      </c>
      <c r="J21" s="14">
        <v>0.01</v>
      </c>
      <c r="K21" s="14">
        <v>0.04</v>
      </c>
      <c r="L21" s="14">
        <v>0.01</v>
      </c>
      <c r="M21" s="14">
        <v>0.02</v>
      </c>
      <c r="N21" s="14">
        <v>0.02</v>
      </c>
      <c r="O21" s="14">
        <v>0.01</v>
      </c>
      <c r="P21" s="14">
        <v>0.04</v>
      </c>
      <c r="Q21" s="14">
        <v>0.01</v>
      </c>
      <c r="R21" s="14">
        <v>0.01</v>
      </c>
      <c r="S21" s="14">
        <v>0.06</v>
      </c>
      <c r="T21" s="14">
        <v>0.01</v>
      </c>
      <c r="U21" s="15" t="s">
        <v>459</v>
      </c>
      <c r="V21" s="14">
        <v>0.01</v>
      </c>
      <c r="W21" s="14">
        <v>0.02</v>
      </c>
      <c r="X21" s="15" t="s">
        <v>459</v>
      </c>
      <c r="Y21" s="14">
        <v>0.02</v>
      </c>
      <c r="Z21" s="14">
        <v>0.03</v>
      </c>
      <c r="AA21" s="14">
        <v>0.02</v>
      </c>
      <c r="AB21" s="14">
        <v>0.08</v>
      </c>
      <c r="AC21" s="14">
        <v>0.01</v>
      </c>
      <c r="AD21" s="14">
        <v>0.01</v>
      </c>
      <c r="AE21" s="14">
        <v>0.01</v>
      </c>
      <c r="AF21" s="15" t="s">
        <v>459</v>
      </c>
    </row>
    <row r="22" spans="1:32">
      <c r="A22" s="20"/>
      <c r="B22" s="11" t="s">
        <v>1196</v>
      </c>
      <c r="C22" s="12">
        <v>24261</v>
      </c>
      <c r="D22" s="12">
        <v>923</v>
      </c>
      <c r="E22" s="12">
        <v>901</v>
      </c>
      <c r="F22" s="12">
        <v>870</v>
      </c>
      <c r="G22" s="12">
        <v>927</v>
      </c>
      <c r="H22" s="12">
        <v>1140</v>
      </c>
      <c r="I22" s="12">
        <v>1406</v>
      </c>
      <c r="J22" s="12">
        <v>267</v>
      </c>
      <c r="K22" s="12">
        <v>881</v>
      </c>
      <c r="L22" s="12">
        <v>974</v>
      </c>
      <c r="M22" s="12">
        <v>963</v>
      </c>
      <c r="N22" s="12">
        <v>952</v>
      </c>
      <c r="O22" s="12">
        <v>967</v>
      </c>
      <c r="P22" s="12">
        <v>754</v>
      </c>
      <c r="Q22" s="12">
        <v>947</v>
      </c>
      <c r="R22" s="12">
        <v>470</v>
      </c>
      <c r="S22" s="12">
        <v>885</v>
      </c>
      <c r="T22" s="12">
        <v>982</v>
      </c>
      <c r="U22" s="12">
        <v>490</v>
      </c>
      <c r="V22" s="12">
        <v>950</v>
      </c>
      <c r="W22" s="12">
        <v>470</v>
      </c>
      <c r="X22" s="12">
        <v>944</v>
      </c>
      <c r="Y22" s="12">
        <v>929</v>
      </c>
      <c r="Z22" s="12">
        <v>850</v>
      </c>
      <c r="AA22" s="12">
        <v>990</v>
      </c>
      <c r="AB22" s="12">
        <v>802</v>
      </c>
      <c r="AC22" s="12">
        <v>973</v>
      </c>
      <c r="AD22" s="12">
        <v>957</v>
      </c>
      <c r="AE22" s="12">
        <v>955</v>
      </c>
      <c r="AF22" s="12">
        <v>977</v>
      </c>
    </row>
    <row r="23" spans="1:32">
      <c r="A23" s="20"/>
      <c r="B23" s="13" t="s">
        <v>1196</v>
      </c>
      <c r="C23" s="14">
        <v>0.92</v>
      </c>
      <c r="D23" s="14">
        <v>0.92</v>
      </c>
      <c r="E23" s="14">
        <v>0.89</v>
      </c>
      <c r="F23" s="14">
        <v>0.87</v>
      </c>
      <c r="G23" s="14">
        <v>0.93</v>
      </c>
      <c r="H23" s="14">
        <v>0.94000000000000006</v>
      </c>
      <c r="I23" s="14">
        <v>0.93</v>
      </c>
      <c r="J23" s="14">
        <v>0.91</v>
      </c>
      <c r="K23" s="14">
        <v>0.88</v>
      </c>
      <c r="L23" s="14">
        <v>0.97</v>
      </c>
      <c r="M23" s="14">
        <v>0.96</v>
      </c>
      <c r="N23" s="14">
        <v>0.95000000000000007</v>
      </c>
      <c r="O23" s="14">
        <v>0.96</v>
      </c>
      <c r="P23" s="14">
        <v>0.74</v>
      </c>
      <c r="Q23" s="14">
        <v>0.93</v>
      </c>
      <c r="R23" s="14">
        <v>0.94000000000000006</v>
      </c>
      <c r="S23" s="14">
        <v>0.88</v>
      </c>
      <c r="T23" s="14">
        <v>0.97</v>
      </c>
      <c r="U23" s="14">
        <v>0.97</v>
      </c>
      <c r="V23" s="14">
        <v>0.93</v>
      </c>
      <c r="W23" s="14">
        <v>0.93</v>
      </c>
      <c r="X23" s="14">
        <v>0.93</v>
      </c>
      <c r="Y23" s="14">
        <v>0.92</v>
      </c>
      <c r="Z23" s="14">
        <v>0.84</v>
      </c>
      <c r="AA23" s="14">
        <v>0.94000000000000006</v>
      </c>
      <c r="AB23" s="14">
        <v>0.77</v>
      </c>
      <c r="AC23" s="14">
        <v>0.96</v>
      </c>
      <c r="AD23" s="14">
        <v>0.95000000000000007</v>
      </c>
      <c r="AE23" s="14">
        <v>0.96</v>
      </c>
      <c r="AF23" s="14">
        <v>0.96</v>
      </c>
    </row>
    <row r="24" spans="1:32">
      <c r="A24" s="20"/>
      <c r="B24" s="11" t="s">
        <v>1197</v>
      </c>
      <c r="C24" s="12">
        <v>1562</v>
      </c>
      <c r="D24" s="12">
        <v>77</v>
      </c>
      <c r="E24" s="12">
        <v>74</v>
      </c>
      <c r="F24" s="12">
        <v>117</v>
      </c>
      <c r="G24" s="12">
        <v>58</v>
      </c>
      <c r="H24" s="12">
        <v>55</v>
      </c>
      <c r="I24" s="12">
        <v>80</v>
      </c>
      <c r="J24" s="12">
        <v>25</v>
      </c>
      <c r="K24" s="12">
        <v>90</v>
      </c>
      <c r="L24" s="12">
        <v>19</v>
      </c>
      <c r="M24" s="12">
        <v>24</v>
      </c>
      <c r="N24" s="12">
        <v>30</v>
      </c>
      <c r="O24" s="12">
        <v>23</v>
      </c>
      <c r="P24" s="12">
        <v>231</v>
      </c>
      <c r="Q24" s="12">
        <v>61</v>
      </c>
      <c r="R24" s="12">
        <v>27</v>
      </c>
      <c r="S24" s="12">
        <v>63</v>
      </c>
      <c r="T24" s="12">
        <v>21</v>
      </c>
      <c r="U24" s="12">
        <v>16</v>
      </c>
      <c r="V24" s="12">
        <v>56</v>
      </c>
      <c r="W24" s="12">
        <v>23</v>
      </c>
      <c r="X24" s="12">
        <v>73</v>
      </c>
      <c r="Y24" s="12">
        <v>63</v>
      </c>
      <c r="Z24" s="12">
        <v>128</v>
      </c>
      <c r="AA24" s="12">
        <v>39</v>
      </c>
      <c r="AB24" s="12">
        <v>151</v>
      </c>
      <c r="AC24" s="12">
        <v>31</v>
      </c>
      <c r="AD24" s="12">
        <v>41</v>
      </c>
      <c r="AE24" s="12">
        <v>37</v>
      </c>
      <c r="AF24" s="12">
        <v>41</v>
      </c>
    </row>
    <row r="25" spans="1:32">
      <c r="A25" s="20"/>
      <c r="B25" s="13" t="s">
        <v>1198</v>
      </c>
      <c r="C25" s="14">
        <v>0.06</v>
      </c>
      <c r="D25" s="14">
        <v>0.08</v>
      </c>
      <c r="E25" s="14">
        <v>7.0000000000000007E-2</v>
      </c>
      <c r="F25" s="14">
        <v>0.11</v>
      </c>
      <c r="G25" s="14">
        <v>0.05</v>
      </c>
      <c r="H25" s="14">
        <v>0.04</v>
      </c>
      <c r="I25" s="14">
        <v>0.05</v>
      </c>
      <c r="J25" s="14">
        <v>0.08</v>
      </c>
      <c r="K25" s="14">
        <v>0.08</v>
      </c>
      <c r="L25" s="14">
        <v>0.02</v>
      </c>
      <c r="M25" s="14">
        <v>0.02</v>
      </c>
      <c r="N25" s="14">
        <v>0.03</v>
      </c>
      <c r="O25" s="14">
        <v>0.03</v>
      </c>
      <c r="P25" s="14">
        <v>0.22</v>
      </c>
      <c r="Q25" s="14">
        <v>0.06</v>
      </c>
      <c r="R25" s="14">
        <v>0.05</v>
      </c>
      <c r="S25" s="14">
        <v>0.06</v>
      </c>
      <c r="T25" s="14">
        <v>0.02</v>
      </c>
      <c r="U25" s="14">
        <v>0.03</v>
      </c>
      <c r="V25" s="14">
        <v>0.06</v>
      </c>
      <c r="W25" s="14">
        <v>0.05</v>
      </c>
      <c r="X25" s="14">
        <v>7.0000000000000007E-2</v>
      </c>
      <c r="Y25" s="14">
        <v>0.06</v>
      </c>
      <c r="Z25" s="14">
        <v>0.13</v>
      </c>
      <c r="AA25" s="14">
        <v>0.04</v>
      </c>
      <c r="AB25" s="14">
        <v>0.15</v>
      </c>
      <c r="AC25" s="14">
        <v>0.03</v>
      </c>
      <c r="AD25" s="14">
        <v>0.04</v>
      </c>
      <c r="AE25" s="14">
        <v>0.03</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1361</v>
      </c>
      <c r="C3" s="18"/>
      <c r="D3" s="18"/>
      <c r="E3" s="18"/>
      <c r="F3" s="18"/>
      <c r="H3" s="18" t="s">
        <v>1362</v>
      </c>
      <c r="I3" s="18"/>
      <c r="J3" s="18"/>
      <c r="K3" s="18"/>
      <c r="L3" s="18"/>
    </row>
    <row r="4" spans="1:32" ht="27" customHeight="1">
      <c r="B4" s="18" t="s">
        <v>1363</v>
      </c>
      <c r="C4" s="18"/>
      <c r="D4" s="18"/>
      <c r="E4" s="18"/>
      <c r="F4" s="18"/>
      <c r="H4" s="18" t="s">
        <v>1364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16824</v>
      </c>
      <c r="D12" s="12">
        <v>626</v>
      </c>
      <c r="E12" s="12">
        <v>723</v>
      </c>
      <c r="F12" s="12">
        <v>581</v>
      </c>
      <c r="G12" s="12">
        <v>643</v>
      </c>
      <c r="H12" s="12">
        <v>788</v>
      </c>
      <c r="I12" s="12">
        <v>977</v>
      </c>
      <c r="J12" s="12">
        <v>189</v>
      </c>
      <c r="K12" s="12">
        <v>563</v>
      </c>
      <c r="L12" s="12">
        <v>855</v>
      </c>
      <c r="M12" s="12">
        <v>734</v>
      </c>
      <c r="N12" s="12">
        <v>663</v>
      </c>
      <c r="O12" s="12">
        <v>767</v>
      </c>
      <c r="P12" s="12">
        <v>379</v>
      </c>
      <c r="Q12" s="12">
        <v>655</v>
      </c>
      <c r="R12" s="12">
        <v>439</v>
      </c>
      <c r="S12" s="12">
        <v>602</v>
      </c>
      <c r="T12" s="12">
        <v>754</v>
      </c>
      <c r="U12" s="12">
        <v>424</v>
      </c>
      <c r="V12" s="12">
        <v>649</v>
      </c>
      <c r="W12" s="12">
        <v>398</v>
      </c>
      <c r="X12" s="12">
        <v>555</v>
      </c>
      <c r="Y12" s="12">
        <v>662</v>
      </c>
      <c r="Z12" s="12">
        <v>447</v>
      </c>
      <c r="AA12" s="12">
        <v>729</v>
      </c>
      <c r="AB12" s="12">
        <v>450</v>
      </c>
      <c r="AC12" s="12">
        <v>819</v>
      </c>
      <c r="AD12" s="12">
        <v>712</v>
      </c>
      <c r="AE12" s="12">
        <v>646</v>
      </c>
      <c r="AF12" s="12">
        <v>634</v>
      </c>
    </row>
    <row r="13" spans="1:32">
      <c r="A13" s="20"/>
      <c r="B13" s="13" t="s">
        <v>1358</v>
      </c>
      <c r="C13" s="14">
        <v>0.64</v>
      </c>
      <c r="D13" s="14">
        <v>0.62</v>
      </c>
      <c r="E13" s="14">
        <v>0.71</v>
      </c>
      <c r="F13" s="14">
        <v>0.57999999999999996</v>
      </c>
      <c r="G13" s="14">
        <v>0.64</v>
      </c>
      <c r="H13" s="14">
        <v>0.65</v>
      </c>
      <c r="I13" s="14">
        <v>0.65</v>
      </c>
      <c r="J13" s="14">
        <v>0.64</v>
      </c>
      <c r="K13" s="14">
        <v>0.56000000000000005</v>
      </c>
      <c r="L13" s="14">
        <v>0.85</v>
      </c>
      <c r="M13" s="14">
        <v>0.73</v>
      </c>
      <c r="N13" s="14">
        <v>0.66</v>
      </c>
      <c r="O13" s="14">
        <v>0.76</v>
      </c>
      <c r="P13" s="14">
        <v>0.37</v>
      </c>
      <c r="Q13" s="14">
        <v>0.64</v>
      </c>
      <c r="R13" s="14">
        <v>0.88</v>
      </c>
      <c r="S13" s="14">
        <v>0.6</v>
      </c>
      <c r="T13" s="14">
        <v>0.74</v>
      </c>
      <c r="U13" s="14">
        <v>0.84</v>
      </c>
      <c r="V13" s="14">
        <v>0.64</v>
      </c>
      <c r="W13" s="14">
        <v>0.79</v>
      </c>
      <c r="X13" s="14">
        <v>0.54</v>
      </c>
      <c r="Y13" s="14">
        <v>0.66</v>
      </c>
      <c r="Z13" s="14">
        <v>0.45</v>
      </c>
      <c r="AA13" s="14">
        <v>0.69000000000000006</v>
      </c>
      <c r="AB13" s="14">
        <v>0.43</v>
      </c>
      <c r="AC13" s="14">
        <v>0.81</v>
      </c>
      <c r="AD13" s="14">
        <v>0.71</v>
      </c>
      <c r="AE13" s="14">
        <v>0.65</v>
      </c>
      <c r="AF13" s="14">
        <v>0.62</v>
      </c>
    </row>
    <row r="14" spans="1:32">
      <c r="A14" s="20"/>
      <c r="B14" s="11" t="s">
        <v>1190</v>
      </c>
      <c r="C14" s="12">
        <v>7406</v>
      </c>
      <c r="D14" s="12">
        <v>291</v>
      </c>
      <c r="E14" s="12">
        <v>180</v>
      </c>
      <c r="F14" s="12">
        <v>282</v>
      </c>
      <c r="G14" s="12">
        <v>243</v>
      </c>
      <c r="H14" s="12">
        <v>351</v>
      </c>
      <c r="I14" s="12">
        <v>426</v>
      </c>
      <c r="J14" s="12">
        <v>76</v>
      </c>
      <c r="K14" s="12">
        <v>313</v>
      </c>
      <c r="L14" s="12">
        <v>120</v>
      </c>
      <c r="M14" s="12">
        <v>237</v>
      </c>
      <c r="N14" s="12">
        <v>289</v>
      </c>
      <c r="O14" s="12">
        <v>187</v>
      </c>
      <c r="P14" s="12">
        <v>373</v>
      </c>
      <c r="Q14" s="12">
        <v>314</v>
      </c>
      <c r="R14" s="12">
        <v>37</v>
      </c>
      <c r="S14" s="12">
        <v>265</v>
      </c>
      <c r="T14" s="12">
        <v>211</v>
      </c>
      <c r="U14" s="12">
        <v>56</v>
      </c>
      <c r="V14" s="12">
        <v>274</v>
      </c>
      <c r="W14" s="12">
        <v>69</v>
      </c>
      <c r="X14" s="12">
        <v>345</v>
      </c>
      <c r="Y14" s="12">
        <v>266</v>
      </c>
      <c r="Z14" s="12">
        <v>415</v>
      </c>
      <c r="AA14" s="12">
        <v>279</v>
      </c>
      <c r="AB14" s="12">
        <v>409</v>
      </c>
      <c r="AC14" s="12">
        <v>148</v>
      </c>
      <c r="AD14" s="12">
        <v>241</v>
      </c>
      <c r="AE14" s="12">
        <v>251</v>
      </c>
      <c r="AF14" s="12">
        <v>285</v>
      </c>
    </row>
    <row r="15" spans="1:32">
      <c r="A15" s="20"/>
      <c r="B15" s="13" t="s">
        <v>1359</v>
      </c>
      <c r="C15" s="14">
        <v>0.28000000000000003</v>
      </c>
      <c r="D15" s="14">
        <v>0.28999999999999998</v>
      </c>
      <c r="E15" s="14">
        <v>0.18</v>
      </c>
      <c r="F15" s="14">
        <v>0.28000000000000003</v>
      </c>
      <c r="G15" s="14">
        <v>0.24</v>
      </c>
      <c r="H15" s="14">
        <v>0.28999999999999998</v>
      </c>
      <c r="I15" s="14">
        <v>0.28000000000000003</v>
      </c>
      <c r="J15" s="14">
        <v>0.26</v>
      </c>
      <c r="K15" s="14">
        <v>0.31</v>
      </c>
      <c r="L15" s="14">
        <v>0.12</v>
      </c>
      <c r="M15" s="14">
        <v>0.24</v>
      </c>
      <c r="N15" s="14">
        <v>0.28999999999999998</v>
      </c>
      <c r="O15" s="14">
        <v>0.19</v>
      </c>
      <c r="P15" s="14">
        <v>0.36</v>
      </c>
      <c r="Q15" s="14">
        <v>0.31</v>
      </c>
      <c r="R15" s="14">
        <v>0.08</v>
      </c>
      <c r="S15" s="14">
        <v>0.26</v>
      </c>
      <c r="T15" s="14">
        <v>0.21</v>
      </c>
      <c r="U15" s="14">
        <v>0.11</v>
      </c>
      <c r="V15" s="14">
        <v>0.27</v>
      </c>
      <c r="W15" s="14">
        <v>0.14000000000000001</v>
      </c>
      <c r="X15" s="14">
        <v>0.34</v>
      </c>
      <c r="Y15" s="14">
        <v>0.26</v>
      </c>
      <c r="Z15" s="14">
        <v>0.41</v>
      </c>
      <c r="AA15" s="14">
        <v>0.27</v>
      </c>
      <c r="AB15" s="14">
        <v>0.39</v>
      </c>
      <c r="AC15" s="14">
        <v>0.15</v>
      </c>
      <c r="AD15" s="14">
        <v>0.24</v>
      </c>
      <c r="AE15" s="14">
        <v>0.25</v>
      </c>
      <c r="AF15" s="14">
        <v>0.28000000000000003</v>
      </c>
    </row>
    <row r="16" spans="1:32">
      <c r="A16" s="20"/>
      <c r="B16" s="11" t="s">
        <v>1192</v>
      </c>
      <c r="C16" s="12">
        <v>1299</v>
      </c>
      <c r="D16" s="12">
        <v>71</v>
      </c>
      <c r="E16" s="12">
        <v>54</v>
      </c>
      <c r="F16" s="12">
        <v>94</v>
      </c>
      <c r="G16" s="12">
        <v>74</v>
      </c>
      <c r="H16" s="12">
        <v>41</v>
      </c>
      <c r="I16" s="12">
        <v>62</v>
      </c>
      <c r="J16" s="12">
        <v>21</v>
      </c>
      <c r="K16" s="12">
        <v>82</v>
      </c>
      <c r="L16" s="12">
        <v>17</v>
      </c>
      <c r="M16" s="12">
        <v>12</v>
      </c>
      <c r="N16" s="12">
        <v>20</v>
      </c>
      <c r="O16" s="12">
        <v>31</v>
      </c>
      <c r="P16" s="12">
        <v>183</v>
      </c>
      <c r="Q16" s="12">
        <v>36</v>
      </c>
      <c r="R16" s="12">
        <v>15</v>
      </c>
      <c r="S16" s="12">
        <v>65</v>
      </c>
      <c r="T16" s="12">
        <v>25</v>
      </c>
      <c r="U16" s="12">
        <v>15</v>
      </c>
      <c r="V16" s="12">
        <v>74</v>
      </c>
      <c r="W16" s="12">
        <v>18</v>
      </c>
      <c r="X16" s="12">
        <v>97</v>
      </c>
      <c r="Y16" s="12">
        <v>56</v>
      </c>
      <c r="Z16" s="12">
        <v>92</v>
      </c>
      <c r="AA16" s="12">
        <v>20</v>
      </c>
      <c r="AB16" s="12">
        <v>96</v>
      </c>
      <c r="AC16" s="12">
        <v>26</v>
      </c>
      <c r="AD16" s="12">
        <v>42</v>
      </c>
      <c r="AE16" s="12">
        <v>82</v>
      </c>
      <c r="AF16" s="12">
        <v>73</v>
      </c>
    </row>
    <row r="17" spans="1:32">
      <c r="A17" s="20"/>
      <c r="B17" s="13" t="s">
        <v>1360</v>
      </c>
      <c r="C17" s="14">
        <v>0.05</v>
      </c>
      <c r="D17" s="14">
        <v>7.0000000000000007E-2</v>
      </c>
      <c r="E17" s="14">
        <v>0.05</v>
      </c>
      <c r="F17" s="14">
        <v>0.09</v>
      </c>
      <c r="G17" s="14">
        <v>0.08</v>
      </c>
      <c r="H17" s="14">
        <v>0.03</v>
      </c>
      <c r="I17" s="14">
        <v>0.04</v>
      </c>
      <c r="J17" s="14">
        <v>7.0000000000000007E-2</v>
      </c>
      <c r="K17" s="14">
        <v>0.08</v>
      </c>
      <c r="L17" s="14">
        <v>0.02</v>
      </c>
      <c r="M17" s="14">
        <v>0.01</v>
      </c>
      <c r="N17" s="14">
        <v>0.02</v>
      </c>
      <c r="O17" s="14">
        <v>0.03</v>
      </c>
      <c r="P17" s="14">
        <v>0.18</v>
      </c>
      <c r="Q17" s="14">
        <v>0.04</v>
      </c>
      <c r="R17" s="14">
        <v>0.03</v>
      </c>
      <c r="S17" s="14">
        <v>0.06</v>
      </c>
      <c r="T17" s="14">
        <v>0.03</v>
      </c>
      <c r="U17" s="14">
        <v>0.03</v>
      </c>
      <c r="V17" s="14">
        <v>7.0000000000000007E-2</v>
      </c>
      <c r="W17" s="14">
        <v>0.03</v>
      </c>
      <c r="X17" s="14">
        <v>0.09</v>
      </c>
      <c r="Y17" s="14">
        <v>0.05</v>
      </c>
      <c r="Z17" s="14">
        <v>0.09</v>
      </c>
      <c r="AA17" s="14">
        <v>0.02</v>
      </c>
      <c r="AB17" s="14">
        <v>0.09</v>
      </c>
      <c r="AC17" s="14">
        <v>0.02</v>
      </c>
      <c r="AD17" s="14">
        <v>0.04</v>
      </c>
      <c r="AE17" s="14">
        <v>0.08</v>
      </c>
      <c r="AF17" s="14">
        <v>7.0000000000000007E-2</v>
      </c>
    </row>
    <row r="18" spans="1:32">
      <c r="A18" s="20"/>
      <c r="B18" s="11" t="s">
        <v>1194</v>
      </c>
      <c r="C18" s="12">
        <v>278</v>
      </c>
      <c r="D18" s="12">
        <v>11</v>
      </c>
      <c r="E18" s="12">
        <v>24</v>
      </c>
      <c r="F18" s="12">
        <v>25</v>
      </c>
      <c r="G18" s="12">
        <v>13</v>
      </c>
      <c r="H18" s="12">
        <v>5</v>
      </c>
      <c r="I18" s="12">
        <v>11</v>
      </c>
      <c r="J18" s="12">
        <v>6</v>
      </c>
      <c r="K18" s="12">
        <v>21</v>
      </c>
      <c r="L18" s="12">
        <v>1</v>
      </c>
      <c r="M18" s="12">
        <v>6</v>
      </c>
      <c r="N18" s="12">
        <v>6</v>
      </c>
      <c r="O18" s="12">
        <v>8</v>
      </c>
      <c r="P18" s="12">
        <v>51</v>
      </c>
      <c r="Q18" s="12">
        <v>5</v>
      </c>
      <c r="R18" s="12">
        <v>6</v>
      </c>
      <c r="S18" s="12">
        <v>10</v>
      </c>
      <c r="T18" s="12">
        <v>4</v>
      </c>
      <c r="U18" s="12">
        <v>6</v>
      </c>
      <c r="V18" s="12">
        <v>10</v>
      </c>
      <c r="W18" s="12">
        <v>8</v>
      </c>
      <c r="X18" s="12">
        <v>18</v>
      </c>
      <c r="Y18" s="12">
        <v>8</v>
      </c>
      <c r="Z18" s="12">
        <v>22</v>
      </c>
      <c r="AA18" s="12">
        <v>4</v>
      </c>
      <c r="AB18" s="12">
        <v>25</v>
      </c>
      <c r="AC18" s="12">
        <v>8</v>
      </c>
      <c r="AD18" s="12">
        <v>2</v>
      </c>
      <c r="AE18" s="12">
        <v>8</v>
      </c>
      <c r="AF18" s="12">
        <v>26</v>
      </c>
    </row>
    <row r="19" spans="1:32">
      <c r="A19" s="20"/>
      <c r="B19" s="13" t="s">
        <v>1195</v>
      </c>
      <c r="C19" s="14">
        <v>0.01</v>
      </c>
      <c r="D19" s="14">
        <v>0.01</v>
      </c>
      <c r="E19" s="14">
        <v>0.02</v>
      </c>
      <c r="F19" s="14">
        <v>0.03</v>
      </c>
      <c r="G19" s="14">
        <v>0.01</v>
      </c>
      <c r="H19" s="15" t="s">
        <v>459</v>
      </c>
      <c r="I19" s="14">
        <v>0.01</v>
      </c>
      <c r="J19" s="14">
        <v>0.02</v>
      </c>
      <c r="K19" s="14">
        <v>0.02</v>
      </c>
      <c r="L19" s="15" t="s">
        <v>459</v>
      </c>
      <c r="M19" s="14">
        <v>0.01</v>
      </c>
      <c r="N19" s="15" t="s">
        <v>459</v>
      </c>
      <c r="O19" s="14">
        <v>0.01</v>
      </c>
      <c r="P19" s="14">
        <v>0.05</v>
      </c>
      <c r="Q19" s="15" t="s">
        <v>459</v>
      </c>
      <c r="R19" s="14">
        <v>0.01</v>
      </c>
      <c r="S19" s="14">
        <v>0.01</v>
      </c>
      <c r="T19" s="15" t="s">
        <v>459</v>
      </c>
      <c r="U19" s="14">
        <v>0.01</v>
      </c>
      <c r="V19" s="14">
        <v>0.01</v>
      </c>
      <c r="W19" s="14">
        <v>0.02</v>
      </c>
      <c r="X19" s="14">
        <v>0.02</v>
      </c>
      <c r="Y19" s="14">
        <v>0.01</v>
      </c>
      <c r="Z19" s="14">
        <v>0.02</v>
      </c>
      <c r="AA19" s="15" t="s">
        <v>459</v>
      </c>
      <c r="AB19" s="14">
        <v>0.03</v>
      </c>
      <c r="AC19" s="14">
        <v>0.01</v>
      </c>
      <c r="AD19" s="15" t="s">
        <v>459</v>
      </c>
      <c r="AE19" s="14">
        <v>0.01</v>
      </c>
      <c r="AF19" s="14">
        <v>0.03</v>
      </c>
    </row>
    <row r="20" spans="1:32">
      <c r="A20" s="20"/>
      <c r="B20" s="11" t="s">
        <v>468</v>
      </c>
      <c r="C20" s="12">
        <v>512</v>
      </c>
      <c r="D20" s="12">
        <v>5</v>
      </c>
      <c r="E20" s="12">
        <v>37</v>
      </c>
      <c r="F20" s="12">
        <v>23</v>
      </c>
      <c r="G20" s="12">
        <v>31</v>
      </c>
      <c r="H20" s="12">
        <v>31</v>
      </c>
      <c r="I20" s="12">
        <v>34</v>
      </c>
      <c r="J20" s="12">
        <v>3</v>
      </c>
      <c r="K20" s="12">
        <v>27</v>
      </c>
      <c r="L20" s="12">
        <v>13</v>
      </c>
      <c r="M20" s="12">
        <v>14</v>
      </c>
      <c r="N20" s="12">
        <v>27</v>
      </c>
      <c r="O20" s="12">
        <v>11</v>
      </c>
      <c r="P20" s="12">
        <v>36</v>
      </c>
      <c r="Q20" s="12">
        <v>10</v>
      </c>
      <c r="R20" s="12">
        <v>2</v>
      </c>
      <c r="S20" s="12">
        <v>67</v>
      </c>
      <c r="T20" s="12">
        <v>20</v>
      </c>
      <c r="U20" s="12">
        <v>6</v>
      </c>
      <c r="V20" s="12">
        <v>10</v>
      </c>
      <c r="W20" s="12">
        <v>10</v>
      </c>
      <c r="X20" s="12">
        <v>6</v>
      </c>
      <c r="Y20" s="12">
        <v>16</v>
      </c>
      <c r="Z20" s="12">
        <v>32</v>
      </c>
      <c r="AA20" s="12">
        <v>21</v>
      </c>
      <c r="AB20" s="12">
        <v>60</v>
      </c>
      <c r="AC20" s="12">
        <v>8</v>
      </c>
      <c r="AD20" s="12">
        <v>9</v>
      </c>
      <c r="AE20" s="12">
        <v>14</v>
      </c>
      <c r="AF20" s="12">
        <v>3</v>
      </c>
    </row>
    <row r="21" spans="1:32">
      <c r="A21" s="20"/>
      <c r="B21" s="13" t="s">
        <v>469</v>
      </c>
      <c r="C21" s="14">
        <v>0.02</v>
      </c>
      <c r="D21" s="14">
        <v>0.01</v>
      </c>
      <c r="E21" s="14">
        <v>0.04</v>
      </c>
      <c r="F21" s="14">
        <v>0.02</v>
      </c>
      <c r="G21" s="14">
        <v>0.03</v>
      </c>
      <c r="H21" s="14">
        <v>0.03</v>
      </c>
      <c r="I21" s="14">
        <v>0.02</v>
      </c>
      <c r="J21" s="14">
        <v>0.01</v>
      </c>
      <c r="K21" s="14">
        <v>0.03</v>
      </c>
      <c r="L21" s="14">
        <v>0.01</v>
      </c>
      <c r="M21" s="14">
        <v>0.01</v>
      </c>
      <c r="N21" s="14">
        <v>0.03</v>
      </c>
      <c r="O21" s="14">
        <v>0.01</v>
      </c>
      <c r="P21" s="14">
        <v>0.04</v>
      </c>
      <c r="Q21" s="14">
        <v>0.01</v>
      </c>
      <c r="R21" s="15" t="s">
        <v>459</v>
      </c>
      <c r="S21" s="14">
        <v>7.0000000000000007E-2</v>
      </c>
      <c r="T21" s="14">
        <v>0.02</v>
      </c>
      <c r="U21" s="14">
        <v>0.01</v>
      </c>
      <c r="V21" s="14">
        <v>0.01</v>
      </c>
      <c r="W21" s="14">
        <v>0.02</v>
      </c>
      <c r="X21" s="14">
        <v>0.01</v>
      </c>
      <c r="Y21" s="14">
        <v>0.02</v>
      </c>
      <c r="Z21" s="14">
        <v>0.03</v>
      </c>
      <c r="AA21" s="14">
        <v>0.02</v>
      </c>
      <c r="AB21" s="14">
        <v>0.06</v>
      </c>
      <c r="AC21" s="14">
        <v>0.01</v>
      </c>
      <c r="AD21" s="14">
        <v>0.01</v>
      </c>
      <c r="AE21" s="14">
        <v>0.01</v>
      </c>
      <c r="AF21" s="15" t="s">
        <v>459</v>
      </c>
    </row>
    <row r="22" spans="1:32">
      <c r="A22" s="20"/>
      <c r="B22" s="11" t="s">
        <v>1196</v>
      </c>
      <c r="C22" s="12">
        <v>24230</v>
      </c>
      <c r="D22" s="12">
        <v>917</v>
      </c>
      <c r="E22" s="12">
        <v>903</v>
      </c>
      <c r="F22" s="12">
        <v>863</v>
      </c>
      <c r="G22" s="12">
        <v>886</v>
      </c>
      <c r="H22" s="12">
        <v>1139</v>
      </c>
      <c r="I22" s="12">
        <v>1403</v>
      </c>
      <c r="J22" s="12">
        <v>265</v>
      </c>
      <c r="K22" s="12">
        <v>876</v>
      </c>
      <c r="L22" s="12">
        <v>975</v>
      </c>
      <c r="M22" s="12">
        <v>971</v>
      </c>
      <c r="N22" s="12">
        <v>952</v>
      </c>
      <c r="O22" s="12">
        <v>954</v>
      </c>
      <c r="P22" s="12">
        <v>752</v>
      </c>
      <c r="Q22" s="12">
        <v>969</v>
      </c>
      <c r="R22" s="12">
        <v>476</v>
      </c>
      <c r="S22" s="12">
        <v>867</v>
      </c>
      <c r="T22" s="12">
        <v>965</v>
      </c>
      <c r="U22" s="12">
        <v>480</v>
      </c>
      <c r="V22" s="12">
        <v>923</v>
      </c>
      <c r="W22" s="12">
        <v>467</v>
      </c>
      <c r="X22" s="12">
        <v>900</v>
      </c>
      <c r="Y22" s="12">
        <v>928</v>
      </c>
      <c r="Z22" s="12">
        <v>862</v>
      </c>
      <c r="AA22" s="12">
        <v>1008</v>
      </c>
      <c r="AB22" s="12">
        <v>859</v>
      </c>
      <c r="AC22" s="12">
        <v>967</v>
      </c>
      <c r="AD22" s="12">
        <v>953</v>
      </c>
      <c r="AE22" s="12">
        <v>897</v>
      </c>
      <c r="AF22" s="12">
        <v>919</v>
      </c>
    </row>
    <row r="23" spans="1:32">
      <c r="A23" s="20"/>
      <c r="B23" s="13" t="s">
        <v>1196</v>
      </c>
      <c r="C23" s="14">
        <v>0.92</v>
      </c>
      <c r="D23" s="14">
        <v>0.91</v>
      </c>
      <c r="E23" s="14">
        <v>0.89</v>
      </c>
      <c r="F23" s="14">
        <v>0.86</v>
      </c>
      <c r="G23" s="14">
        <v>0.88</v>
      </c>
      <c r="H23" s="14">
        <v>0.94000000000000006</v>
      </c>
      <c r="I23" s="14">
        <v>0.93</v>
      </c>
      <c r="J23" s="14">
        <v>0.9</v>
      </c>
      <c r="K23" s="14">
        <v>0.87</v>
      </c>
      <c r="L23" s="14">
        <v>0.97</v>
      </c>
      <c r="M23" s="14">
        <v>0.97</v>
      </c>
      <c r="N23" s="14">
        <v>0.95000000000000007</v>
      </c>
      <c r="O23" s="14">
        <v>0.95000000000000007</v>
      </c>
      <c r="P23" s="14">
        <v>0.73</v>
      </c>
      <c r="Q23" s="14">
        <v>0.95000000000000007</v>
      </c>
      <c r="R23" s="14">
        <v>0.96</v>
      </c>
      <c r="S23" s="14">
        <v>0.86</v>
      </c>
      <c r="T23" s="14">
        <v>0.95000000000000007</v>
      </c>
      <c r="U23" s="14">
        <v>0.95000000000000007</v>
      </c>
      <c r="V23" s="14">
        <v>0.91</v>
      </c>
      <c r="W23" s="14">
        <v>0.93</v>
      </c>
      <c r="X23" s="14">
        <v>0.88</v>
      </c>
      <c r="Y23" s="14">
        <v>0.92</v>
      </c>
      <c r="Z23" s="14">
        <v>0.86</v>
      </c>
      <c r="AA23" s="14">
        <v>0.96</v>
      </c>
      <c r="AB23" s="14">
        <v>0.82000000000000006</v>
      </c>
      <c r="AC23" s="14">
        <v>0.96</v>
      </c>
      <c r="AD23" s="14">
        <v>0.95000000000000007</v>
      </c>
      <c r="AE23" s="14">
        <v>0.9</v>
      </c>
      <c r="AF23" s="14">
        <v>0.9</v>
      </c>
    </row>
    <row r="24" spans="1:32">
      <c r="A24" s="20"/>
      <c r="B24" s="11" t="s">
        <v>1197</v>
      </c>
      <c r="C24" s="12">
        <v>1577</v>
      </c>
      <c r="D24" s="12">
        <v>82</v>
      </c>
      <c r="E24" s="12">
        <v>78</v>
      </c>
      <c r="F24" s="12">
        <v>119</v>
      </c>
      <c r="G24" s="12">
        <v>87</v>
      </c>
      <c r="H24" s="12">
        <v>46</v>
      </c>
      <c r="I24" s="12">
        <v>73</v>
      </c>
      <c r="J24" s="12">
        <v>27</v>
      </c>
      <c r="K24" s="12">
        <v>103</v>
      </c>
      <c r="L24" s="12">
        <v>18</v>
      </c>
      <c r="M24" s="12">
        <v>18</v>
      </c>
      <c r="N24" s="12">
        <v>26</v>
      </c>
      <c r="O24" s="12">
        <v>39</v>
      </c>
      <c r="P24" s="12">
        <v>234</v>
      </c>
      <c r="Q24" s="12">
        <v>41</v>
      </c>
      <c r="R24" s="12">
        <v>21</v>
      </c>
      <c r="S24" s="12">
        <v>75</v>
      </c>
      <c r="T24" s="12">
        <v>29</v>
      </c>
      <c r="U24" s="12">
        <v>21</v>
      </c>
      <c r="V24" s="12">
        <v>84</v>
      </c>
      <c r="W24" s="12">
        <v>26</v>
      </c>
      <c r="X24" s="12">
        <v>115</v>
      </c>
      <c r="Y24" s="12">
        <v>64</v>
      </c>
      <c r="Z24" s="12">
        <v>114</v>
      </c>
      <c r="AA24" s="12">
        <v>24</v>
      </c>
      <c r="AB24" s="12">
        <v>121</v>
      </c>
      <c r="AC24" s="12">
        <v>34</v>
      </c>
      <c r="AD24" s="12">
        <v>44</v>
      </c>
      <c r="AE24" s="12">
        <v>90</v>
      </c>
      <c r="AF24" s="12">
        <v>99</v>
      </c>
    </row>
    <row r="25" spans="1:32">
      <c r="A25" s="20"/>
      <c r="B25" s="13" t="s">
        <v>1198</v>
      </c>
      <c r="C25" s="14">
        <v>0.06</v>
      </c>
      <c r="D25" s="14">
        <v>0.08</v>
      </c>
      <c r="E25" s="14">
        <v>7.0000000000000007E-2</v>
      </c>
      <c r="F25" s="14">
        <v>0.12</v>
      </c>
      <c r="G25" s="14">
        <v>0.09</v>
      </c>
      <c r="H25" s="14">
        <v>0.03</v>
      </c>
      <c r="I25" s="14">
        <v>0.05</v>
      </c>
      <c r="J25" s="14">
        <v>0.09</v>
      </c>
      <c r="K25" s="14">
        <v>0.1</v>
      </c>
      <c r="L25" s="14">
        <v>0.02</v>
      </c>
      <c r="M25" s="14">
        <v>0.02</v>
      </c>
      <c r="N25" s="14">
        <v>0.02</v>
      </c>
      <c r="O25" s="14">
        <v>0.04</v>
      </c>
      <c r="P25" s="14">
        <v>0.23</v>
      </c>
      <c r="Q25" s="14">
        <v>0.04</v>
      </c>
      <c r="R25" s="14">
        <v>0.04</v>
      </c>
      <c r="S25" s="14">
        <v>7.0000000000000007E-2</v>
      </c>
      <c r="T25" s="14">
        <v>0.03</v>
      </c>
      <c r="U25" s="14">
        <v>0.04</v>
      </c>
      <c r="V25" s="14">
        <v>0.08</v>
      </c>
      <c r="W25" s="14">
        <v>0.05</v>
      </c>
      <c r="X25" s="14">
        <v>0.11</v>
      </c>
      <c r="Y25" s="14">
        <v>0.06</v>
      </c>
      <c r="Z25" s="14">
        <v>0.11</v>
      </c>
      <c r="AA25" s="14">
        <v>0.02</v>
      </c>
      <c r="AB25" s="14">
        <v>0.12</v>
      </c>
      <c r="AC25" s="14">
        <v>0.03</v>
      </c>
      <c r="AD25" s="14">
        <v>0.04</v>
      </c>
      <c r="AE25" s="14">
        <v>0.09</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1365</v>
      </c>
      <c r="C3" s="18"/>
      <c r="D3" s="18"/>
      <c r="E3" s="18"/>
      <c r="F3" s="18"/>
      <c r="H3" s="18" t="s">
        <v>1366</v>
      </c>
      <c r="I3" s="18"/>
      <c r="J3" s="18"/>
      <c r="K3" s="18"/>
      <c r="L3" s="18"/>
    </row>
    <row r="4" spans="1:32" ht="27" customHeight="1">
      <c r="B4" s="18" t="s">
        <v>1367</v>
      </c>
      <c r="C4" s="18"/>
      <c r="D4" s="18"/>
      <c r="E4" s="18"/>
      <c r="F4" s="18"/>
      <c r="H4" s="18" t="s">
        <v>1368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HYPERLINK("#Content!A149","&lt;&lt;Back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1188</v>
      </c>
      <c r="C12" s="12">
        <v>17637</v>
      </c>
      <c r="D12" s="12">
        <v>670</v>
      </c>
      <c r="E12" s="12">
        <v>722</v>
      </c>
      <c r="F12" s="12">
        <v>613</v>
      </c>
      <c r="G12" s="12">
        <v>777</v>
      </c>
      <c r="H12" s="12">
        <v>881</v>
      </c>
      <c r="I12" s="12">
        <v>1105</v>
      </c>
      <c r="J12" s="12">
        <v>225</v>
      </c>
      <c r="K12" s="12">
        <v>608</v>
      </c>
      <c r="L12" s="12">
        <v>868</v>
      </c>
      <c r="M12" s="12">
        <v>738</v>
      </c>
      <c r="N12" s="12">
        <v>688</v>
      </c>
      <c r="O12" s="12">
        <v>799</v>
      </c>
      <c r="P12" s="12">
        <v>373</v>
      </c>
      <c r="Q12" s="12">
        <v>602</v>
      </c>
      <c r="R12" s="12">
        <v>435</v>
      </c>
      <c r="S12" s="12">
        <v>640</v>
      </c>
      <c r="T12" s="12">
        <v>754</v>
      </c>
      <c r="U12" s="12">
        <v>446</v>
      </c>
      <c r="V12" s="12">
        <v>633</v>
      </c>
      <c r="W12" s="12">
        <v>388</v>
      </c>
      <c r="X12" s="12">
        <v>717</v>
      </c>
      <c r="Y12" s="12">
        <v>685</v>
      </c>
      <c r="Z12" s="12">
        <v>412</v>
      </c>
      <c r="AA12" s="12">
        <v>783</v>
      </c>
      <c r="AB12" s="12">
        <v>453</v>
      </c>
      <c r="AC12" s="12">
        <v>838</v>
      </c>
      <c r="AD12" s="12">
        <v>742</v>
      </c>
      <c r="AE12" s="12">
        <v>802</v>
      </c>
      <c r="AF12" s="12">
        <v>770</v>
      </c>
    </row>
    <row r="13" spans="1:32">
      <c r="A13" s="20"/>
      <c r="B13" s="13" t="s">
        <v>1358</v>
      </c>
      <c r="C13" s="14">
        <v>0.67</v>
      </c>
      <c r="D13" s="14">
        <v>0.67</v>
      </c>
      <c r="E13" s="14">
        <v>0.71</v>
      </c>
      <c r="F13" s="14">
        <v>0.61</v>
      </c>
      <c r="G13" s="14">
        <v>0.77</v>
      </c>
      <c r="H13" s="14">
        <v>0.72</v>
      </c>
      <c r="I13" s="14">
        <v>0.73</v>
      </c>
      <c r="J13" s="14">
        <v>0.76</v>
      </c>
      <c r="K13" s="14">
        <v>0.6</v>
      </c>
      <c r="L13" s="14">
        <v>0.86</v>
      </c>
      <c r="M13" s="14">
        <v>0.74</v>
      </c>
      <c r="N13" s="14">
        <v>0.68</v>
      </c>
      <c r="O13" s="14">
        <v>0.8</v>
      </c>
      <c r="P13" s="14">
        <v>0.36</v>
      </c>
      <c r="Q13" s="14">
        <v>0.59</v>
      </c>
      <c r="R13" s="14">
        <v>0.87</v>
      </c>
      <c r="S13" s="14">
        <v>0.64</v>
      </c>
      <c r="T13" s="14">
        <v>0.74</v>
      </c>
      <c r="U13" s="14">
        <v>0.88</v>
      </c>
      <c r="V13" s="14">
        <v>0.62</v>
      </c>
      <c r="W13" s="14">
        <v>0.77</v>
      </c>
      <c r="X13" s="14">
        <v>0.70000000000000007</v>
      </c>
      <c r="Y13" s="14">
        <v>0.68</v>
      </c>
      <c r="Z13" s="14">
        <v>0.41</v>
      </c>
      <c r="AA13" s="14">
        <v>0.74</v>
      </c>
      <c r="AB13" s="14">
        <v>0.44</v>
      </c>
      <c r="AC13" s="14">
        <v>0.83000000000000007</v>
      </c>
      <c r="AD13" s="14">
        <v>0.74</v>
      </c>
      <c r="AE13" s="14">
        <v>0.8</v>
      </c>
      <c r="AF13" s="14">
        <v>0.76</v>
      </c>
    </row>
    <row r="14" spans="1:32">
      <c r="A14" s="20"/>
      <c r="B14" s="11" t="s">
        <v>1190</v>
      </c>
      <c r="C14" s="12">
        <v>6849</v>
      </c>
      <c r="D14" s="12">
        <v>256</v>
      </c>
      <c r="E14" s="12">
        <v>189</v>
      </c>
      <c r="F14" s="12">
        <v>284</v>
      </c>
      <c r="G14" s="12">
        <v>159</v>
      </c>
      <c r="H14" s="12">
        <v>272</v>
      </c>
      <c r="I14" s="12">
        <v>325</v>
      </c>
      <c r="J14" s="12">
        <v>53</v>
      </c>
      <c r="K14" s="12">
        <v>289</v>
      </c>
      <c r="L14" s="12">
        <v>120</v>
      </c>
      <c r="M14" s="12">
        <v>228</v>
      </c>
      <c r="N14" s="12">
        <v>268</v>
      </c>
      <c r="O14" s="12">
        <v>171</v>
      </c>
      <c r="P14" s="12">
        <v>342</v>
      </c>
      <c r="Q14" s="12">
        <v>351</v>
      </c>
      <c r="R14" s="12">
        <v>42</v>
      </c>
      <c r="S14" s="12">
        <v>238</v>
      </c>
      <c r="T14" s="12">
        <v>233</v>
      </c>
      <c r="U14" s="12">
        <v>46</v>
      </c>
      <c r="V14" s="12">
        <v>294</v>
      </c>
      <c r="W14" s="12">
        <v>70</v>
      </c>
      <c r="X14" s="12">
        <v>237</v>
      </c>
      <c r="Y14" s="12">
        <v>252</v>
      </c>
      <c r="Z14" s="12">
        <v>448</v>
      </c>
      <c r="AA14" s="12">
        <v>222</v>
      </c>
      <c r="AB14" s="12">
        <v>400</v>
      </c>
      <c r="AC14" s="12">
        <v>141</v>
      </c>
      <c r="AD14" s="12">
        <v>223</v>
      </c>
      <c r="AE14" s="12">
        <v>153</v>
      </c>
      <c r="AF14" s="12">
        <v>198</v>
      </c>
    </row>
    <row r="15" spans="1:32">
      <c r="A15" s="20"/>
      <c r="B15" s="13" t="s">
        <v>1359</v>
      </c>
      <c r="C15" s="14">
        <v>0.26</v>
      </c>
      <c r="D15" s="14">
        <v>0.25</v>
      </c>
      <c r="E15" s="14">
        <v>0.19</v>
      </c>
      <c r="F15" s="14">
        <v>0.28000000000000003</v>
      </c>
      <c r="G15" s="14">
        <v>0.16</v>
      </c>
      <c r="H15" s="14">
        <v>0.22</v>
      </c>
      <c r="I15" s="14">
        <v>0.22</v>
      </c>
      <c r="J15" s="14">
        <v>0.18</v>
      </c>
      <c r="K15" s="14">
        <v>0.28999999999999998</v>
      </c>
      <c r="L15" s="14">
        <v>0.12</v>
      </c>
      <c r="M15" s="14">
        <v>0.23</v>
      </c>
      <c r="N15" s="14">
        <v>0.27</v>
      </c>
      <c r="O15" s="14">
        <v>0.17</v>
      </c>
      <c r="P15" s="14">
        <v>0.34</v>
      </c>
      <c r="Q15" s="14">
        <v>0.34</v>
      </c>
      <c r="R15" s="14">
        <v>0.09</v>
      </c>
      <c r="S15" s="14">
        <v>0.24</v>
      </c>
      <c r="T15" s="14">
        <v>0.23</v>
      </c>
      <c r="U15" s="14">
        <v>0.09</v>
      </c>
      <c r="V15" s="14">
        <v>0.28999999999999998</v>
      </c>
      <c r="W15" s="14">
        <v>0.14000000000000001</v>
      </c>
      <c r="X15" s="14">
        <v>0.23</v>
      </c>
      <c r="Y15" s="14">
        <v>0.25</v>
      </c>
      <c r="Z15" s="14">
        <v>0.44</v>
      </c>
      <c r="AA15" s="14">
        <v>0.21</v>
      </c>
      <c r="AB15" s="14">
        <v>0.39</v>
      </c>
      <c r="AC15" s="14">
        <v>0.14000000000000001</v>
      </c>
      <c r="AD15" s="14">
        <v>0.22</v>
      </c>
      <c r="AE15" s="14">
        <v>0.16</v>
      </c>
      <c r="AF15" s="14">
        <v>0.19</v>
      </c>
    </row>
    <row r="16" spans="1:32">
      <c r="A16" s="20"/>
      <c r="B16" s="11" t="s">
        <v>1192</v>
      </c>
      <c r="C16" s="12">
        <v>1115</v>
      </c>
      <c r="D16" s="12">
        <v>67</v>
      </c>
      <c r="E16" s="12">
        <v>44</v>
      </c>
      <c r="F16" s="12">
        <v>72</v>
      </c>
      <c r="G16" s="12">
        <v>37</v>
      </c>
      <c r="H16" s="12">
        <v>35</v>
      </c>
      <c r="I16" s="12">
        <v>45</v>
      </c>
      <c r="J16" s="12">
        <v>10</v>
      </c>
      <c r="K16" s="12">
        <v>63</v>
      </c>
      <c r="L16" s="12">
        <v>7</v>
      </c>
      <c r="M16" s="12">
        <v>13</v>
      </c>
      <c r="N16" s="12">
        <v>16</v>
      </c>
      <c r="O16" s="12">
        <v>14</v>
      </c>
      <c r="P16" s="12">
        <v>210</v>
      </c>
      <c r="Q16" s="12">
        <v>52</v>
      </c>
      <c r="R16" s="12">
        <v>15</v>
      </c>
      <c r="S16" s="12">
        <v>51</v>
      </c>
      <c r="T16" s="12">
        <v>9</v>
      </c>
      <c r="U16" s="12">
        <v>7</v>
      </c>
      <c r="V16" s="12">
        <v>69</v>
      </c>
      <c r="W16" s="12">
        <v>24</v>
      </c>
      <c r="X16" s="12">
        <v>52</v>
      </c>
      <c r="Y16" s="12">
        <v>45</v>
      </c>
      <c r="Z16" s="12">
        <v>100</v>
      </c>
      <c r="AA16" s="12">
        <v>25</v>
      </c>
      <c r="AB16" s="12">
        <v>108</v>
      </c>
      <c r="AC16" s="12">
        <v>17</v>
      </c>
      <c r="AD16" s="12">
        <v>27</v>
      </c>
      <c r="AE16" s="12">
        <v>31</v>
      </c>
      <c r="AF16" s="12">
        <v>30</v>
      </c>
    </row>
    <row r="17" spans="1:32">
      <c r="A17" s="20"/>
      <c r="B17" s="13" t="s">
        <v>1360</v>
      </c>
      <c r="C17" s="14">
        <v>0.04</v>
      </c>
      <c r="D17" s="14">
        <v>7.0000000000000007E-2</v>
      </c>
      <c r="E17" s="14">
        <v>0.04</v>
      </c>
      <c r="F17" s="14">
        <v>7.0000000000000007E-2</v>
      </c>
      <c r="G17" s="14">
        <v>0.04</v>
      </c>
      <c r="H17" s="14">
        <v>0.03</v>
      </c>
      <c r="I17" s="14">
        <v>0.03</v>
      </c>
      <c r="J17" s="14">
        <v>0.03</v>
      </c>
      <c r="K17" s="14">
        <v>0.06</v>
      </c>
      <c r="L17" s="14">
        <v>0.01</v>
      </c>
      <c r="M17" s="14">
        <v>0.01</v>
      </c>
      <c r="N17" s="14">
        <v>0.02</v>
      </c>
      <c r="O17" s="14">
        <v>0.01</v>
      </c>
      <c r="P17" s="14">
        <v>0.21</v>
      </c>
      <c r="Q17" s="14">
        <v>0.05</v>
      </c>
      <c r="R17" s="14">
        <v>0.03</v>
      </c>
      <c r="S17" s="14">
        <v>0.05</v>
      </c>
      <c r="T17" s="14">
        <v>0.01</v>
      </c>
      <c r="U17" s="14">
        <v>0.01</v>
      </c>
      <c r="V17" s="14">
        <v>7.0000000000000007E-2</v>
      </c>
      <c r="W17" s="14">
        <v>0.05</v>
      </c>
      <c r="X17" s="14">
        <v>0.05</v>
      </c>
      <c r="Y17" s="14">
        <v>0.04</v>
      </c>
      <c r="Z17" s="14">
        <v>0.1</v>
      </c>
      <c r="AA17" s="14">
        <v>0.03</v>
      </c>
      <c r="AB17" s="14">
        <v>0.1</v>
      </c>
      <c r="AC17" s="14">
        <v>0.02</v>
      </c>
      <c r="AD17" s="14">
        <v>0.03</v>
      </c>
      <c r="AE17" s="14">
        <v>0.03</v>
      </c>
      <c r="AF17" s="14">
        <v>0.03</v>
      </c>
    </row>
    <row r="18" spans="1:32">
      <c r="A18" s="20"/>
      <c r="B18" s="11" t="s">
        <v>1194</v>
      </c>
      <c r="C18" s="12">
        <v>242</v>
      </c>
      <c r="D18" s="12">
        <v>8</v>
      </c>
      <c r="E18" s="12">
        <v>29</v>
      </c>
      <c r="F18" s="12">
        <v>13</v>
      </c>
      <c r="G18" s="12">
        <v>6</v>
      </c>
      <c r="H18" s="12">
        <v>8</v>
      </c>
      <c r="I18" s="12">
        <v>13</v>
      </c>
      <c r="J18" s="12">
        <v>5</v>
      </c>
      <c r="K18" s="12">
        <v>15</v>
      </c>
      <c r="L18" s="12">
        <v>0</v>
      </c>
      <c r="M18" s="12">
        <v>4</v>
      </c>
      <c r="N18" s="12">
        <v>5</v>
      </c>
      <c r="O18" s="12">
        <v>3</v>
      </c>
      <c r="P18" s="12">
        <v>63</v>
      </c>
      <c r="Q18" s="12">
        <v>7</v>
      </c>
      <c r="R18" s="12">
        <v>7</v>
      </c>
      <c r="S18" s="12">
        <v>15</v>
      </c>
      <c r="T18" s="12">
        <v>5</v>
      </c>
      <c r="U18" s="12">
        <v>3</v>
      </c>
      <c r="V18" s="12">
        <v>7</v>
      </c>
      <c r="W18" s="12">
        <v>12</v>
      </c>
      <c r="X18" s="12">
        <v>10</v>
      </c>
      <c r="Y18" s="12">
        <v>11</v>
      </c>
      <c r="Z18" s="12">
        <v>21</v>
      </c>
      <c r="AA18" s="12">
        <v>2</v>
      </c>
      <c r="AB18" s="12">
        <v>21</v>
      </c>
      <c r="AC18" s="12">
        <v>8</v>
      </c>
      <c r="AD18" s="12">
        <v>5</v>
      </c>
      <c r="AE18" s="12">
        <v>2</v>
      </c>
      <c r="AF18" s="12">
        <v>11</v>
      </c>
    </row>
    <row r="19" spans="1:32">
      <c r="A19" s="20"/>
      <c r="B19" s="13" t="s">
        <v>1195</v>
      </c>
      <c r="C19" s="14">
        <v>0.01</v>
      </c>
      <c r="D19" s="14">
        <v>0.01</v>
      </c>
      <c r="E19" s="14">
        <v>0.03</v>
      </c>
      <c r="F19" s="14">
        <v>0.01</v>
      </c>
      <c r="G19" s="14">
        <v>0.01</v>
      </c>
      <c r="H19" s="14">
        <v>0.01</v>
      </c>
      <c r="I19" s="14">
        <v>0.01</v>
      </c>
      <c r="J19" s="14">
        <v>0.02</v>
      </c>
      <c r="K19" s="14">
        <v>0.02</v>
      </c>
      <c r="L19" s="15" t="s">
        <v>459</v>
      </c>
      <c r="M19" s="15" t="s">
        <v>459</v>
      </c>
      <c r="N19" s="15" t="s">
        <v>459</v>
      </c>
      <c r="O19" s="15" t="s">
        <v>459</v>
      </c>
      <c r="P19" s="14">
        <v>0.06</v>
      </c>
      <c r="Q19" s="14">
        <v>0.01</v>
      </c>
      <c r="R19" s="14">
        <v>0.01</v>
      </c>
      <c r="S19" s="14">
        <v>0.01</v>
      </c>
      <c r="T19" s="14">
        <v>0.01</v>
      </c>
      <c r="U19" s="14">
        <v>0.01</v>
      </c>
      <c r="V19" s="14">
        <v>0.01</v>
      </c>
      <c r="W19" s="14">
        <v>0.02</v>
      </c>
      <c r="X19" s="14">
        <v>0.01</v>
      </c>
      <c r="Y19" s="14">
        <v>0.01</v>
      </c>
      <c r="Z19" s="14">
        <v>0.02</v>
      </c>
      <c r="AA19" s="15" t="s">
        <v>459</v>
      </c>
      <c r="AB19" s="14">
        <v>0.02</v>
      </c>
      <c r="AC19" s="14">
        <v>0.01</v>
      </c>
      <c r="AD19" s="15" t="s">
        <v>459</v>
      </c>
      <c r="AE19" s="15" t="s">
        <v>459</v>
      </c>
      <c r="AF19" s="14">
        <v>0.01</v>
      </c>
    </row>
    <row r="20" spans="1:32">
      <c r="A20" s="20"/>
      <c r="B20" s="11" t="s">
        <v>468</v>
      </c>
      <c r="C20" s="12">
        <v>475</v>
      </c>
      <c r="D20" s="12">
        <v>2</v>
      </c>
      <c r="E20" s="12">
        <v>34</v>
      </c>
      <c r="F20" s="12">
        <v>23</v>
      </c>
      <c r="G20" s="12">
        <v>26</v>
      </c>
      <c r="H20" s="12">
        <v>21</v>
      </c>
      <c r="I20" s="12">
        <v>22</v>
      </c>
      <c r="J20" s="12">
        <v>1</v>
      </c>
      <c r="K20" s="12">
        <v>31</v>
      </c>
      <c r="L20" s="12">
        <v>12</v>
      </c>
      <c r="M20" s="12">
        <v>19</v>
      </c>
      <c r="N20" s="12">
        <v>27</v>
      </c>
      <c r="O20" s="12">
        <v>16</v>
      </c>
      <c r="P20" s="12">
        <v>34</v>
      </c>
      <c r="Q20" s="12">
        <v>8</v>
      </c>
      <c r="R20" s="12">
        <v>2</v>
      </c>
      <c r="S20" s="12">
        <v>63</v>
      </c>
      <c r="T20" s="12">
        <v>13</v>
      </c>
      <c r="U20" s="12">
        <v>5</v>
      </c>
      <c r="V20" s="12">
        <v>13</v>
      </c>
      <c r="W20" s="12">
        <v>9</v>
      </c>
      <c r="X20" s="12">
        <v>5</v>
      </c>
      <c r="Y20" s="12">
        <v>16</v>
      </c>
      <c r="Z20" s="12">
        <v>27</v>
      </c>
      <c r="AA20" s="12">
        <v>21</v>
      </c>
      <c r="AB20" s="12">
        <v>57</v>
      </c>
      <c r="AC20" s="12">
        <v>6</v>
      </c>
      <c r="AD20" s="12">
        <v>8</v>
      </c>
      <c r="AE20" s="12">
        <v>12</v>
      </c>
      <c r="AF20" s="12">
        <v>11</v>
      </c>
    </row>
    <row r="21" spans="1:32">
      <c r="A21" s="20"/>
      <c r="B21" s="13" t="s">
        <v>469</v>
      </c>
      <c r="C21" s="14">
        <v>0.02</v>
      </c>
      <c r="D21" s="15" t="s">
        <v>459</v>
      </c>
      <c r="E21" s="14">
        <v>0.03</v>
      </c>
      <c r="F21" s="14">
        <v>0.03</v>
      </c>
      <c r="G21" s="14">
        <v>0.02</v>
      </c>
      <c r="H21" s="14">
        <v>0.02</v>
      </c>
      <c r="I21" s="14">
        <v>0.01</v>
      </c>
      <c r="J21" s="14">
        <v>0.01</v>
      </c>
      <c r="K21" s="14">
        <v>0.03</v>
      </c>
      <c r="L21" s="14">
        <v>0.01</v>
      </c>
      <c r="M21" s="14">
        <v>0.02</v>
      </c>
      <c r="N21" s="14">
        <v>0.03</v>
      </c>
      <c r="O21" s="14">
        <v>0.02</v>
      </c>
      <c r="P21" s="14">
        <v>0.03</v>
      </c>
      <c r="Q21" s="14">
        <v>0.01</v>
      </c>
      <c r="R21" s="15" t="s">
        <v>459</v>
      </c>
      <c r="S21" s="14">
        <v>0.06</v>
      </c>
      <c r="T21" s="14">
        <v>0.01</v>
      </c>
      <c r="U21" s="14">
        <v>0.01</v>
      </c>
      <c r="V21" s="14">
        <v>0.01</v>
      </c>
      <c r="W21" s="14">
        <v>0.02</v>
      </c>
      <c r="X21" s="14">
        <v>0.01</v>
      </c>
      <c r="Y21" s="14">
        <v>0.02</v>
      </c>
      <c r="Z21" s="14">
        <v>0.03</v>
      </c>
      <c r="AA21" s="14">
        <v>0.02</v>
      </c>
      <c r="AB21" s="14">
        <v>0.05</v>
      </c>
      <c r="AC21" s="15" t="s">
        <v>459</v>
      </c>
      <c r="AD21" s="14">
        <v>0.01</v>
      </c>
      <c r="AE21" s="14">
        <v>0.01</v>
      </c>
      <c r="AF21" s="14">
        <v>0.01</v>
      </c>
    </row>
    <row r="22" spans="1:32">
      <c r="A22" s="20"/>
      <c r="B22" s="11" t="s">
        <v>1196</v>
      </c>
      <c r="C22" s="12">
        <v>24486</v>
      </c>
      <c r="D22" s="12">
        <v>926</v>
      </c>
      <c r="E22" s="12">
        <v>911</v>
      </c>
      <c r="F22" s="12">
        <v>897</v>
      </c>
      <c r="G22" s="12">
        <v>936</v>
      </c>
      <c r="H22" s="12">
        <v>1153</v>
      </c>
      <c r="I22" s="12">
        <v>1430</v>
      </c>
      <c r="J22" s="12">
        <v>278</v>
      </c>
      <c r="K22" s="12">
        <v>897</v>
      </c>
      <c r="L22" s="12">
        <v>988</v>
      </c>
      <c r="M22" s="12">
        <v>966</v>
      </c>
      <c r="N22" s="12">
        <v>956</v>
      </c>
      <c r="O22" s="12">
        <v>970</v>
      </c>
      <c r="P22" s="12">
        <v>715</v>
      </c>
      <c r="Q22" s="12">
        <v>953</v>
      </c>
      <c r="R22" s="12">
        <v>477</v>
      </c>
      <c r="S22" s="12">
        <v>878</v>
      </c>
      <c r="T22" s="12">
        <v>987</v>
      </c>
      <c r="U22" s="12">
        <v>492</v>
      </c>
      <c r="V22" s="12">
        <v>927</v>
      </c>
      <c r="W22" s="12">
        <v>458</v>
      </c>
      <c r="X22" s="12">
        <v>954</v>
      </c>
      <c r="Y22" s="12">
        <v>937</v>
      </c>
      <c r="Z22" s="12">
        <v>860</v>
      </c>
      <c r="AA22" s="12">
        <v>1005</v>
      </c>
      <c r="AB22" s="12">
        <v>853</v>
      </c>
      <c r="AC22" s="12">
        <v>979</v>
      </c>
      <c r="AD22" s="12">
        <v>965</v>
      </c>
      <c r="AE22" s="12">
        <v>955</v>
      </c>
      <c r="AF22" s="12">
        <v>968</v>
      </c>
    </row>
    <row r="23" spans="1:32">
      <c r="A23" s="20"/>
      <c r="B23" s="13" t="s">
        <v>1196</v>
      </c>
      <c r="C23" s="14">
        <v>0.93</v>
      </c>
      <c r="D23" s="14">
        <v>0.92</v>
      </c>
      <c r="E23" s="14">
        <v>0.9</v>
      </c>
      <c r="F23" s="14">
        <v>0.89</v>
      </c>
      <c r="G23" s="14">
        <v>0.93</v>
      </c>
      <c r="H23" s="14">
        <v>0.94000000000000006</v>
      </c>
      <c r="I23" s="14">
        <v>0.95000000000000007</v>
      </c>
      <c r="J23" s="14">
        <v>0.94000000000000006</v>
      </c>
      <c r="K23" s="14">
        <v>0.89</v>
      </c>
      <c r="L23" s="14">
        <v>0.98</v>
      </c>
      <c r="M23" s="14">
        <v>0.97</v>
      </c>
      <c r="N23" s="14">
        <v>0.95000000000000007</v>
      </c>
      <c r="O23" s="14">
        <v>0.97</v>
      </c>
      <c r="P23" s="14">
        <v>0.70000000000000007</v>
      </c>
      <c r="Q23" s="14">
        <v>0.93</v>
      </c>
      <c r="R23" s="14">
        <v>0.96</v>
      </c>
      <c r="S23" s="14">
        <v>0.88</v>
      </c>
      <c r="T23" s="14">
        <v>0.97</v>
      </c>
      <c r="U23" s="14">
        <v>0.97</v>
      </c>
      <c r="V23" s="14">
        <v>0.91</v>
      </c>
      <c r="W23" s="14">
        <v>0.91</v>
      </c>
      <c r="X23" s="14">
        <v>0.93</v>
      </c>
      <c r="Y23" s="14">
        <v>0.93</v>
      </c>
      <c r="Z23" s="14">
        <v>0.85</v>
      </c>
      <c r="AA23" s="14">
        <v>0.95000000000000007</v>
      </c>
      <c r="AB23" s="14">
        <v>0.83000000000000007</v>
      </c>
      <c r="AC23" s="14">
        <v>0.97</v>
      </c>
      <c r="AD23" s="14">
        <v>0.96</v>
      </c>
      <c r="AE23" s="14">
        <v>0.96</v>
      </c>
      <c r="AF23" s="14">
        <v>0.95000000000000007</v>
      </c>
    </row>
    <row r="24" spans="1:32">
      <c r="A24" s="20"/>
      <c r="B24" s="11" t="s">
        <v>1197</v>
      </c>
      <c r="C24" s="12">
        <v>1357</v>
      </c>
      <c r="D24" s="12">
        <v>75</v>
      </c>
      <c r="E24" s="12">
        <v>73</v>
      </c>
      <c r="F24" s="12">
        <v>85</v>
      </c>
      <c r="G24" s="12">
        <v>43</v>
      </c>
      <c r="H24" s="12">
        <v>43</v>
      </c>
      <c r="I24" s="12">
        <v>58</v>
      </c>
      <c r="J24" s="12">
        <v>15</v>
      </c>
      <c r="K24" s="12">
        <v>78</v>
      </c>
      <c r="L24" s="12">
        <v>7</v>
      </c>
      <c r="M24" s="12">
        <v>17</v>
      </c>
      <c r="N24" s="12">
        <v>21</v>
      </c>
      <c r="O24" s="12">
        <v>17</v>
      </c>
      <c r="P24" s="12">
        <v>273</v>
      </c>
      <c r="Q24" s="12">
        <v>59</v>
      </c>
      <c r="R24" s="12">
        <v>22</v>
      </c>
      <c r="S24" s="12">
        <v>66</v>
      </c>
      <c r="T24" s="12">
        <v>14</v>
      </c>
      <c r="U24" s="12">
        <v>10</v>
      </c>
      <c r="V24" s="12">
        <v>76</v>
      </c>
      <c r="W24" s="12">
        <v>36</v>
      </c>
      <c r="X24" s="12">
        <v>62</v>
      </c>
      <c r="Y24" s="12">
        <v>56</v>
      </c>
      <c r="Z24" s="12">
        <v>121</v>
      </c>
      <c r="AA24" s="12">
        <v>27</v>
      </c>
      <c r="AB24" s="12">
        <v>129</v>
      </c>
      <c r="AC24" s="12">
        <v>25</v>
      </c>
      <c r="AD24" s="12">
        <v>32</v>
      </c>
      <c r="AE24" s="12">
        <v>33</v>
      </c>
      <c r="AF24" s="12">
        <v>41</v>
      </c>
    </row>
    <row r="25" spans="1:32">
      <c r="A25" s="20"/>
      <c r="B25" s="13" t="s">
        <v>1198</v>
      </c>
      <c r="C25" s="14">
        <v>0.05</v>
      </c>
      <c r="D25" s="14">
        <v>0.08</v>
      </c>
      <c r="E25" s="14">
        <v>7.0000000000000007E-2</v>
      </c>
      <c r="F25" s="14">
        <v>0.08</v>
      </c>
      <c r="G25" s="14">
        <v>0.05</v>
      </c>
      <c r="H25" s="14">
        <v>0.04</v>
      </c>
      <c r="I25" s="14">
        <v>0.04</v>
      </c>
      <c r="J25" s="14">
        <v>0.05</v>
      </c>
      <c r="K25" s="14">
        <v>0.08</v>
      </c>
      <c r="L25" s="14">
        <v>0.01</v>
      </c>
      <c r="M25" s="14">
        <v>0.01</v>
      </c>
      <c r="N25" s="14">
        <v>0.02</v>
      </c>
      <c r="O25" s="14">
        <v>0.01</v>
      </c>
      <c r="P25" s="14">
        <v>0.27</v>
      </c>
      <c r="Q25" s="14">
        <v>0.06</v>
      </c>
      <c r="R25" s="14">
        <v>0.04</v>
      </c>
      <c r="S25" s="14">
        <v>0.06</v>
      </c>
      <c r="T25" s="14">
        <v>0.02</v>
      </c>
      <c r="U25" s="14">
        <v>0.02</v>
      </c>
      <c r="V25" s="14">
        <v>0.08</v>
      </c>
      <c r="W25" s="14">
        <v>7.0000000000000007E-2</v>
      </c>
      <c r="X25" s="14">
        <v>0.06</v>
      </c>
      <c r="Y25" s="14">
        <v>0.05</v>
      </c>
      <c r="Z25" s="14">
        <v>0.12</v>
      </c>
      <c r="AA25" s="14">
        <v>0.03</v>
      </c>
      <c r="AB25" s="14">
        <v>0.12</v>
      </c>
      <c r="AC25" s="14">
        <v>0.03</v>
      </c>
      <c r="AD25" s="14">
        <v>0.03</v>
      </c>
      <c r="AE25" s="14">
        <v>0.03</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297</v>
      </c>
      <c r="C3" s="18"/>
      <c r="D3" s="18"/>
      <c r="E3" s="18"/>
      <c r="F3" s="18"/>
      <c r="H3" s="18" t="s">
        <v>298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1101</v>
      </c>
      <c r="C12" s="12">
        <v>15448</v>
      </c>
      <c r="D12" s="12">
        <v>705</v>
      </c>
      <c r="E12" s="12">
        <v>399</v>
      </c>
      <c r="F12" s="12">
        <v>573</v>
      </c>
      <c r="G12" s="12">
        <v>799</v>
      </c>
      <c r="H12" s="12">
        <v>717</v>
      </c>
      <c r="I12" s="12">
        <v>898</v>
      </c>
      <c r="J12" s="12">
        <v>180</v>
      </c>
      <c r="K12" s="12">
        <v>741</v>
      </c>
      <c r="L12" s="12">
        <v>711</v>
      </c>
      <c r="M12" s="12">
        <v>547</v>
      </c>
      <c r="N12" s="12">
        <v>616</v>
      </c>
      <c r="O12" s="12">
        <v>671</v>
      </c>
      <c r="P12" s="12">
        <v>690</v>
      </c>
      <c r="Q12" s="12">
        <v>421</v>
      </c>
      <c r="R12" s="12">
        <v>306</v>
      </c>
      <c r="S12" s="12">
        <v>741</v>
      </c>
      <c r="T12" s="12">
        <v>821</v>
      </c>
      <c r="U12" s="12">
        <v>412</v>
      </c>
      <c r="V12" s="12">
        <v>532</v>
      </c>
      <c r="W12" s="12">
        <v>371</v>
      </c>
      <c r="X12" s="12">
        <v>835</v>
      </c>
      <c r="Y12" s="12">
        <v>567</v>
      </c>
      <c r="Z12" s="12">
        <v>505</v>
      </c>
      <c r="AA12" s="12">
        <v>519</v>
      </c>
      <c r="AB12" s="12">
        <v>428</v>
      </c>
      <c r="AC12" s="12">
        <v>828</v>
      </c>
      <c r="AD12" s="12">
        <v>672</v>
      </c>
      <c r="AE12" s="12">
        <v>808</v>
      </c>
      <c r="AF12" s="12">
        <v>808</v>
      </c>
    </row>
    <row r="13" spans="1:32">
      <c r="A13" s="20"/>
      <c r="B13" s="13" t="s">
        <v>1102</v>
      </c>
      <c r="C13" s="14">
        <v>0.59</v>
      </c>
      <c r="D13" s="14">
        <v>0.70000000000000007</v>
      </c>
      <c r="E13" s="14">
        <v>0.39</v>
      </c>
      <c r="F13" s="14">
        <v>0.57000000000000006</v>
      </c>
      <c r="G13" s="14">
        <v>0.79</v>
      </c>
      <c r="H13" s="14">
        <v>0.59</v>
      </c>
      <c r="I13" s="14">
        <v>0.59</v>
      </c>
      <c r="J13" s="14">
        <v>0.61</v>
      </c>
      <c r="K13" s="14">
        <v>0.73</v>
      </c>
      <c r="L13" s="14">
        <v>0.71</v>
      </c>
      <c r="M13" s="14">
        <v>0.54</v>
      </c>
      <c r="N13" s="14">
        <v>0.62</v>
      </c>
      <c r="O13" s="14">
        <v>0.67</v>
      </c>
      <c r="P13" s="14">
        <v>0.68</v>
      </c>
      <c r="Q13" s="14">
        <v>0.41</v>
      </c>
      <c r="R13" s="14">
        <v>0.61</v>
      </c>
      <c r="S13" s="14">
        <v>0.73</v>
      </c>
      <c r="T13" s="14">
        <v>0.81</v>
      </c>
      <c r="U13" s="14">
        <v>0.81</v>
      </c>
      <c r="V13" s="14">
        <v>0.52</v>
      </c>
      <c r="W13" s="14">
        <v>0.74</v>
      </c>
      <c r="X13" s="14">
        <v>0.82000000000000006</v>
      </c>
      <c r="Y13" s="14">
        <v>0.56000000000000005</v>
      </c>
      <c r="Z13" s="14">
        <v>0.5</v>
      </c>
      <c r="AA13" s="14">
        <v>0.49</v>
      </c>
      <c r="AB13" s="14">
        <v>0.41</v>
      </c>
      <c r="AC13" s="14">
        <v>0.82000000000000006</v>
      </c>
      <c r="AD13" s="14">
        <v>0.67</v>
      </c>
      <c r="AE13" s="14">
        <v>0.81</v>
      </c>
      <c r="AF13" s="14">
        <v>0.79</v>
      </c>
    </row>
    <row r="14" spans="1:32">
      <c r="A14" s="20"/>
      <c r="B14" s="11" t="s">
        <v>466</v>
      </c>
      <c r="C14" s="12">
        <v>10450</v>
      </c>
      <c r="D14" s="12">
        <v>293</v>
      </c>
      <c r="E14" s="12">
        <v>590</v>
      </c>
      <c r="F14" s="12">
        <v>398</v>
      </c>
      <c r="G14" s="12">
        <v>188</v>
      </c>
      <c r="H14" s="12">
        <v>477</v>
      </c>
      <c r="I14" s="12">
        <v>587</v>
      </c>
      <c r="J14" s="12">
        <v>111</v>
      </c>
      <c r="K14" s="12">
        <v>208</v>
      </c>
      <c r="L14" s="12">
        <v>271</v>
      </c>
      <c r="M14" s="12">
        <v>448</v>
      </c>
      <c r="N14" s="12">
        <v>375</v>
      </c>
      <c r="O14" s="12">
        <v>307</v>
      </c>
      <c r="P14" s="12">
        <v>328</v>
      </c>
      <c r="Q14" s="12">
        <v>589</v>
      </c>
      <c r="R14" s="12">
        <v>187</v>
      </c>
      <c r="S14" s="12">
        <v>249</v>
      </c>
      <c r="T14" s="12">
        <v>163</v>
      </c>
      <c r="U14" s="12">
        <v>90</v>
      </c>
      <c r="V14" s="12">
        <v>477</v>
      </c>
      <c r="W14" s="12">
        <v>121</v>
      </c>
      <c r="X14" s="12">
        <v>180</v>
      </c>
      <c r="Y14" s="12">
        <v>430</v>
      </c>
      <c r="Z14" s="12">
        <v>494</v>
      </c>
      <c r="AA14" s="12">
        <v>522</v>
      </c>
      <c r="AB14" s="12">
        <v>572</v>
      </c>
      <c r="AC14" s="12">
        <v>162</v>
      </c>
      <c r="AD14" s="12">
        <v>313</v>
      </c>
      <c r="AE14" s="12">
        <v>172</v>
      </c>
      <c r="AF14" s="12">
        <v>202</v>
      </c>
    </row>
    <row r="15" spans="1:32">
      <c r="A15" s="20"/>
      <c r="B15" s="13" t="s">
        <v>467</v>
      </c>
      <c r="C15" s="14">
        <v>0.4</v>
      </c>
      <c r="D15" s="14">
        <v>0.28999999999999998</v>
      </c>
      <c r="E15" s="14">
        <v>0.57999999999999996</v>
      </c>
      <c r="F15" s="14">
        <v>0.4</v>
      </c>
      <c r="G15" s="14">
        <v>0.19</v>
      </c>
      <c r="H15" s="14">
        <v>0.39</v>
      </c>
      <c r="I15" s="14">
        <v>0.39</v>
      </c>
      <c r="J15" s="14">
        <v>0.38</v>
      </c>
      <c r="K15" s="14">
        <v>0.21</v>
      </c>
      <c r="L15" s="14">
        <v>0.27</v>
      </c>
      <c r="M15" s="14">
        <v>0.45</v>
      </c>
      <c r="N15" s="14">
        <v>0.37</v>
      </c>
      <c r="O15" s="14">
        <v>0.31</v>
      </c>
      <c r="P15" s="14">
        <v>0.32</v>
      </c>
      <c r="Q15" s="14">
        <v>0.57999999999999996</v>
      </c>
      <c r="R15" s="14">
        <v>0.38</v>
      </c>
      <c r="S15" s="14">
        <v>0.25</v>
      </c>
      <c r="T15" s="14">
        <v>0.16</v>
      </c>
      <c r="U15" s="14">
        <v>0.18</v>
      </c>
      <c r="V15" s="14">
        <v>0.47</v>
      </c>
      <c r="W15" s="14">
        <v>0.24</v>
      </c>
      <c r="X15" s="14">
        <v>0.18</v>
      </c>
      <c r="Y15" s="14">
        <v>0.43</v>
      </c>
      <c r="Z15" s="14">
        <v>0.49</v>
      </c>
      <c r="AA15" s="14">
        <v>0.5</v>
      </c>
      <c r="AB15" s="14">
        <v>0.55000000000000004</v>
      </c>
      <c r="AC15" s="14">
        <v>0.16</v>
      </c>
      <c r="AD15" s="14">
        <v>0.31</v>
      </c>
      <c r="AE15" s="14">
        <v>0.17</v>
      </c>
      <c r="AF15" s="14">
        <v>0.2</v>
      </c>
    </row>
    <row r="16" spans="1:32">
      <c r="A16" s="20"/>
      <c r="B16" s="11" t="s">
        <v>468</v>
      </c>
      <c r="C16" s="12">
        <v>420</v>
      </c>
      <c r="D16" s="12">
        <v>5</v>
      </c>
      <c r="E16" s="12">
        <v>29</v>
      </c>
      <c r="F16" s="12">
        <v>34</v>
      </c>
      <c r="G16" s="12">
        <v>17</v>
      </c>
      <c r="H16" s="12">
        <v>22</v>
      </c>
      <c r="I16" s="12">
        <v>25</v>
      </c>
      <c r="J16" s="12">
        <v>3</v>
      </c>
      <c r="K16" s="12">
        <v>57</v>
      </c>
      <c r="L16" s="12">
        <v>25</v>
      </c>
      <c r="M16" s="12">
        <v>8</v>
      </c>
      <c r="N16" s="12">
        <v>13</v>
      </c>
      <c r="O16" s="12">
        <v>25</v>
      </c>
      <c r="P16" s="12">
        <v>5</v>
      </c>
      <c r="Q16" s="12">
        <v>9</v>
      </c>
      <c r="R16" s="12">
        <v>7</v>
      </c>
      <c r="S16" s="12">
        <v>18</v>
      </c>
      <c r="T16" s="12">
        <v>29</v>
      </c>
      <c r="U16" s="12">
        <v>5</v>
      </c>
      <c r="V16" s="12">
        <v>8</v>
      </c>
      <c r="W16" s="12">
        <v>11</v>
      </c>
      <c r="X16" s="12">
        <v>6</v>
      </c>
      <c r="Y16" s="12">
        <v>12</v>
      </c>
      <c r="Z16" s="12">
        <v>9</v>
      </c>
      <c r="AA16" s="12">
        <v>12</v>
      </c>
      <c r="AB16" s="12">
        <v>39</v>
      </c>
      <c r="AC16" s="12">
        <v>19</v>
      </c>
      <c r="AD16" s="12">
        <v>21</v>
      </c>
      <c r="AE16" s="12">
        <v>21</v>
      </c>
      <c r="AF16" s="12">
        <v>9</v>
      </c>
    </row>
    <row r="17" spans="1:32">
      <c r="A17" s="20"/>
      <c r="B17" s="13" t="s">
        <v>469</v>
      </c>
      <c r="C17" s="14">
        <v>0.01</v>
      </c>
      <c r="D17" s="14">
        <v>0.01</v>
      </c>
      <c r="E17" s="14">
        <v>0.03</v>
      </c>
      <c r="F17" s="14">
        <v>0.03</v>
      </c>
      <c r="G17" s="14">
        <v>0.02</v>
      </c>
      <c r="H17" s="14">
        <v>0.02</v>
      </c>
      <c r="I17" s="14">
        <v>0.02</v>
      </c>
      <c r="J17" s="14">
        <v>0.01</v>
      </c>
      <c r="K17" s="14">
        <v>0.06</v>
      </c>
      <c r="L17" s="14">
        <v>0.02</v>
      </c>
      <c r="M17" s="14">
        <v>0.01</v>
      </c>
      <c r="N17" s="14">
        <v>0.01</v>
      </c>
      <c r="O17" s="14">
        <v>0.02</v>
      </c>
      <c r="P17" s="15" t="s">
        <v>459</v>
      </c>
      <c r="Q17" s="14">
        <v>0.01</v>
      </c>
      <c r="R17" s="14">
        <v>0.01</v>
      </c>
      <c r="S17" s="14">
        <v>0.02</v>
      </c>
      <c r="T17" s="14">
        <v>0.03</v>
      </c>
      <c r="U17" s="14">
        <v>0.01</v>
      </c>
      <c r="V17" s="14">
        <v>0.01</v>
      </c>
      <c r="W17" s="14">
        <v>0.02</v>
      </c>
      <c r="X17" s="15" t="s">
        <v>459</v>
      </c>
      <c r="Y17" s="14">
        <v>0.01</v>
      </c>
      <c r="Z17" s="14">
        <v>0.01</v>
      </c>
      <c r="AA17" s="14">
        <v>0.01</v>
      </c>
      <c r="AB17" s="14">
        <v>0.04</v>
      </c>
      <c r="AC17" s="14">
        <v>0.02</v>
      </c>
      <c r="AD17" s="14">
        <v>0.02</v>
      </c>
      <c r="AE17" s="14">
        <v>0.02</v>
      </c>
      <c r="AF17" s="14">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299</v>
      </c>
      <c r="C3" s="18"/>
      <c r="D3" s="18"/>
      <c r="E3" s="18"/>
      <c r="F3" s="18"/>
      <c r="H3" s="18" t="s">
        <v>300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905</v>
      </c>
      <c r="D12" s="12">
        <v>50</v>
      </c>
      <c r="E12" s="12">
        <v>42</v>
      </c>
      <c r="F12" s="12">
        <v>62</v>
      </c>
      <c r="G12" s="12">
        <v>93</v>
      </c>
      <c r="H12" s="12">
        <v>28</v>
      </c>
      <c r="I12" s="12">
        <v>34</v>
      </c>
      <c r="J12" s="12">
        <v>6</v>
      </c>
      <c r="K12" s="12">
        <v>49</v>
      </c>
      <c r="L12" s="12">
        <v>99</v>
      </c>
      <c r="M12" s="12">
        <v>32</v>
      </c>
      <c r="N12" s="12">
        <v>20</v>
      </c>
      <c r="O12" s="12">
        <v>36</v>
      </c>
      <c r="P12" s="12">
        <v>66</v>
      </c>
      <c r="Q12" s="12">
        <v>16</v>
      </c>
      <c r="R12" s="12">
        <v>25</v>
      </c>
      <c r="S12" s="12">
        <v>52</v>
      </c>
      <c r="T12" s="12">
        <v>54</v>
      </c>
      <c r="U12" s="12">
        <v>36</v>
      </c>
      <c r="V12" s="12">
        <v>24</v>
      </c>
      <c r="W12" s="12">
        <v>74</v>
      </c>
      <c r="X12" s="12">
        <v>41</v>
      </c>
      <c r="Y12" s="12">
        <v>70</v>
      </c>
      <c r="Z12" s="12">
        <v>41</v>
      </c>
      <c r="AA12" s="12">
        <v>30</v>
      </c>
      <c r="AB12" s="12">
        <v>53</v>
      </c>
      <c r="AC12" s="12">
        <v>50</v>
      </c>
      <c r="AD12" s="12">
        <v>42</v>
      </c>
      <c r="AE12" s="12">
        <v>58</v>
      </c>
      <c r="AF12" s="12">
        <v>63</v>
      </c>
    </row>
    <row r="13" spans="1:32">
      <c r="A13" s="20"/>
      <c r="B13" s="13" t="s">
        <v>1370</v>
      </c>
      <c r="C13" s="14">
        <v>0.03</v>
      </c>
      <c r="D13" s="14">
        <v>0.05</v>
      </c>
      <c r="E13" s="14">
        <v>0.04</v>
      </c>
      <c r="F13" s="14">
        <v>0.06</v>
      </c>
      <c r="G13" s="14">
        <v>0.09</v>
      </c>
      <c r="H13" s="14">
        <v>0.02</v>
      </c>
      <c r="I13" s="14">
        <v>0.02</v>
      </c>
      <c r="J13" s="14">
        <v>0.02</v>
      </c>
      <c r="K13" s="14">
        <v>0.05</v>
      </c>
      <c r="L13" s="14">
        <v>0.1</v>
      </c>
      <c r="M13" s="14">
        <v>0.03</v>
      </c>
      <c r="N13" s="14">
        <v>0.02</v>
      </c>
      <c r="O13" s="14">
        <v>0.04</v>
      </c>
      <c r="P13" s="14">
        <v>0.06</v>
      </c>
      <c r="Q13" s="14">
        <v>0.02</v>
      </c>
      <c r="R13" s="14">
        <v>0.05</v>
      </c>
      <c r="S13" s="14">
        <v>0.05</v>
      </c>
      <c r="T13" s="14">
        <v>0.05</v>
      </c>
      <c r="U13" s="14">
        <v>7.0000000000000007E-2</v>
      </c>
      <c r="V13" s="14">
        <v>0.02</v>
      </c>
      <c r="W13" s="14">
        <v>0.15</v>
      </c>
      <c r="X13" s="14">
        <v>0.04</v>
      </c>
      <c r="Y13" s="14">
        <v>7.0000000000000007E-2</v>
      </c>
      <c r="Z13" s="14">
        <v>0.04</v>
      </c>
      <c r="AA13" s="14">
        <v>0.03</v>
      </c>
      <c r="AB13" s="14">
        <v>0.05</v>
      </c>
      <c r="AC13" s="14">
        <v>0.05</v>
      </c>
      <c r="AD13" s="14">
        <v>0.04</v>
      </c>
      <c r="AE13" s="14">
        <v>0.06</v>
      </c>
      <c r="AF13" s="14">
        <v>0.06</v>
      </c>
    </row>
    <row r="14" spans="1:32">
      <c r="A14" s="20"/>
      <c r="B14" s="11" t="s">
        <v>1371</v>
      </c>
      <c r="C14" s="12">
        <v>10780</v>
      </c>
      <c r="D14" s="12">
        <v>474</v>
      </c>
      <c r="E14" s="12">
        <v>371</v>
      </c>
      <c r="F14" s="12">
        <v>384</v>
      </c>
      <c r="G14" s="12">
        <v>461</v>
      </c>
      <c r="H14" s="12">
        <v>440</v>
      </c>
      <c r="I14" s="12">
        <v>538</v>
      </c>
      <c r="J14" s="12">
        <v>99</v>
      </c>
      <c r="K14" s="12">
        <v>399</v>
      </c>
      <c r="L14" s="12">
        <v>512</v>
      </c>
      <c r="M14" s="12">
        <v>270</v>
      </c>
      <c r="N14" s="12">
        <v>380</v>
      </c>
      <c r="O14" s="12">
        <v>332</v>
      </c>
      <c r="P14" s="12">
        <v>526</v>
      </c>
      <c r="Q14" s="12">
        <v>471</v>
      </c>
      <c r="R14" s="12">
        <v>200</v>
      </c>
      <c r="S14" s="12">
        <v>410</v>
      </c>
      <c r="T14" s="12">
        <v>479</v>
      </c>
      <c r="U14" s="12">
        <v>261</v>
      </c>
      <c r="V14" s="12">
        <v>538</v>
      </c>
      <c r="W14" s="12">
        <v>258</v>
      </c>
      <c r="X14" s="12">
        <v>484</v>
      </c>
      <c r="Y14" s="12">
        <v>461</v>
      </c>
      <c r="Z14" s="12">
        <v>534</v>
      </c>
      <c r="AA14" s="12">
        <v>442</v>
      </c>
      <c r="AB14" s="12">
        <v>424</v>
      </c>
      <c r="AC14" s="12">
        <v>431</v>
      </c>
      <c r="AD14" s="12">
        <v>441</v>
      </c>
      <c r="AE14" s="12">
        <v>486</v>
      </c>
      <c r="AF14" s="12">
        <v>425</v>
      </c>
    </row>
    <row r="15" spans="1:32">
      <c r="A15" s="20"/>
      <c r="B15" s="13" t="s">
        <v>1372</v>
      </c>
      <c r="C15" s="14">
        <v>0.41</v>
      </c>
      <c r="D15" s="14">
        <v>0.47</v>
      </c>
      <c r="E15" s="14">
        <v>0.36</v>
      </c>
      <c r="F15" s="14">
        <v>0.38</v>
      </c>
      <c r="G15" s="14">
        <v>0.46</v>
      </c>
      <c r="H15" s="14">
        <v>0.36</v>
      </c>
      <c r="I15" s="14">
        <v>0.36</v>
      </c>
      <c r="J15" s="14">
        <v>0.33</v>
      </c>
      <c r="K15" s="14">
        <v>0.4</v>
      </c>
      <c r="L15" s="14">
        <v>0.51</v>
      </c>
      <c r="M15" s="14">
        <v>0.27</v>
      </c>
      <c r="N15" s="14">
        <v>0.38</v>
      </c>
      <c r="O15" s="14">
        <v>0.33</v>
      </c>
      <c r="P15" s="14">
        <v>0.52</v>
      </c>
      <c r="Q15" s="14">
        <v>0.46</v>
      </c>
      <c r="R15" s="14">
        <v>0.4</v>
      </c>
      <c r="S15" s="14">
        <v>0.41</v>
      </c>
      <c r="T15" s="14">
        <v>0.47</v>
      </c>
      <c r="U15" s="14">
        <v>0.51</v>
      </c>
      <c r="V15" s="14">
        <v>0.53</v>
      </c>
      <c r="W15" s="14">
        <v>0.51</v>
      </c>
      <c r="X15" s="14">
        <v>0.47</v>
      </c>
      <c r="Y15" s="14">
        <v>0.46</v>
      </c>
      <c r="Z15" s="14">
        <v>0.53</v>
      </c>
      <c r="AA15" s="14">
        <v>0.42</v>
      </c>
      <c r="AB15" s="14">
        <v>0.41</v>
      </c>
      <c r="AC15" s="14">
        <v>0.43</v>
      </c>
      <c r="AD15" s="14">
        <v>0.44</v>
      </c>
      <c r="AE15" s="14">
        <v>0.49</v>
      </c>
      <c r="AF15" s="14">
        <v>0.42</v>
      </c>
    </row>
    <row r="16" spans="1:32">
      <c r="A16" s="20"/>
      <c r="B16" s="11" t="s">
        <v>1373</v>
      </c>
      <c r="C16" s="12">
        <v>9008</v>
      </c>
      <c r="D16" s="12">
        <v>362</v>
      </c>
      <c r="E16" s="12">
        <v>274</v>
      </c>
      <c r="F16" s="12">
        <v>337</v>
      </c>
      <c r="G16" s="12">
        <v>253</v>
      </c>
      <c r="H16" s="12">
        <v>441</v>
      </c>
      <c r="I16" s="12">
        <v>580</v>
      </c>
      <c r="J16" s="12">
        <v>139</v>
      </c>
      <c r="K16" s="12">
        <v>297</v>
      </c>
      <c r="L16" s="12">
        <v>219</v>
      </c>
      <c r="M16" s="12">
        <v>454</v>
      </c>
      <c r="N16" s="12">
        <v>364</v>
      </c>
      <c r="O16" s="12">
        <v>392</v>
      </c>
      <c r="P16" s="12">
        <v>299</v>
      </c>
      <c r="Q16" s="12">
        <v>379</v>
      </c>
      <c r="R16" s="12">
        <v>185</v>
      </c>
      <c r="S16" s="12">
        <v>248</v>
      </c>
      <c r="T16" s="12">
        <v>222</v>
      </c>
      <c r="U16" s="12">
        <v>111</v>
      </c>
      <c r="V16" s="12">
        <v>258</v>
      </c>
      <c r="W16" s="12">
        <v>81</v>
      </c>
      <c r="X16" s="12">
        <v>307</v>
      </c>
      <c r="Y16" s="12">
        <v>253</v>
      </c>
      <c r="Z16" s="12">
        <v>262</v>
      </c>
      <c r="AA16" s="12">
        <v>309</v>
      </c>
      <c r="AB16" s="12">
        <v>317</v>
      </c>
      <c r="AC16" s="12">
        <v>360</v>
      </c>
      <c r="AD16" s="12">
        <v>332</v>
      </c>
      <c r="AE16" s="12">
        <v>224</v>
      </c>
      <c r="AF16" s="12">
        <v>256</v>
      </c>
    </row>
    <row r="17" spans="1:32">
      <c r="A17" s="20"/>
      <c r="B17" s="13" t="s">
        <v>1374</v>
      </c>
      <c r="C17" s="14">
        <v>0.34</v>
      </c>
      <c r="D17" s="14">
        <v>0.36</v>
      </c>
      <c r="E17" s="14">
        <v>0.27</v>
      </c>
      <c r="F17" s="14">
        <v>0.34</v>
      </c>
      <c r="G17" s="14">
        <v>0.25</v>
      </c>
      <c r="H17" s="14">
        <v>0.36</v>
      </c>
      <c r="I17" s="14">
        <v>0.38</v>
      </c>
      <c r="J17" s="14">
        <v>0.47</v>
      </c>
      <c r="K17" s="14">
        <v>0.28999999999999998</v>
      </c>
      <c r="L17" s="14">
        <v>0.22</v>
      </c>
      <c r="M17" s="14">
        <v>0.45</v>
      </c>
      <c r="N17" s="14">
        <v>0.36</v>
      </c>
      <c r="O17" s="14">
        <v>0.39</v>
      </c>
      <c r="P17" s="14">
        <v>0.28999999999999998</v>
      </c>
      <c r="Q17" s="14">
        <v>0.37</v>
      </c>
      <c r="R17" s="14">
        <v>0.37</v>
      </c>
      <c r="S17" s="14">
        <v>0.24</v>
      </c>
      <c r="T17" s="14">
        <v>0.22</v>
      </c>
      <c r="U17" s="14">
        <v>0.22</v>
      </c>
      <c r="V17" s="14">
        <v>0.25</v>
      </c>
      <c r="W17" s="14">
        <v>0.16</v>
      </c>
      <c r="X17" s="14">
        <v>0.3</v>
      </c>
      <c r="Y17" s="14">
        <v>0.25</v>
      </c>
      <c r="Z17" s="14">
        <v>0.26</v>
      </c>
      <c r="AA17" s="14">
        <v>0.28999999999999998</v>
      </c>
      <c r="AB17" s="14">
        <v>0.31</v>
      </c>
      <c r="AC17" s="14">
        <v>0.35</v>
      </c>
      <c r="AD17" s="14">
        <v>0.33</v>
      </c>
      <c r="AE17" s="14">
        <v>0.22</v>
      </c>
      <c r="AF17" s="14">
        <v>0.25</v>
      </c>
    </row>
    <row r="18" spans="1:32">
      <c r="A18" s="20"/>
      <c r="B18" s="11" t="s">
        <v>1375</v>
      </c>
      <c r="C18" s="12">
        <v>1873</v>
      </c>
      <c r="D18" s="12">
        <v>59</v>
      </c>
      <c r="E18" s="12">
        <v>89</v>
      </c>
      <c r="F18" s="12">
        <v>84</v>
      </c>
      <c r="G18" s="12">
        <v>33</v>
      </c>
      <c r="H18" s="12">
        <v>61</v>
      </c>
      <c r="I18" s="12">
        <v>87</v>
      </c>
      <c r="J18" s="12">
        <v>26</v>
      </c>
      <c r="K18" s="12">
        <v>77</v>
      </c>
      <c r="L18" s="12">
        <v>62</v>
      </c>
      <c r="M18" s="12">
        <v>121</v>
      </c>
      <c r="N18" s="12">
        <v>102</v>
      </c>
      <c r="O18" s="12">
        <v>82</v>
      </c>
      <c r="P18" s="12">
        <v>53</v>
      </c>
      <c r="Q18" s="12">
        <v>85</v>
      </c>
      <c r="R18" s="12">
        <v>48</v>
      </c>
      <c r="S18" s="12">
        <v>47</v>
      </c>
      <c r="T18" s="12">
        <v>36</v>
      </c>
      <c r="U18" s="12">
        <v>42</v>
      </c>
      <c r="V18" s="12">
        <v>63</v>
      </c>
      <c r="W18" s="12">
        <v>22</v>
      </c>
      <c r="X18" s="12">
        <v>59</v>
      </c>
      <c r="Y18" s="12">
        <v>84</v>
      </c>
      <c r="Z18" s="12">
        <v>26</v>
      </c>
      <c r="AA18" s="12">
        <v>95</v>
      </c>
      <c r="AB18" s="12">
        <v>85</v>
      </c>
      <c r="AC18" s="12">
        <v>47</v>
      </c>
      <c r="AD18" s="12">
        <v>76</v>
      </c>
      <c r="AE18" s="12">
        <v>31</v>
      </c>
      <c r="AF18" s="12">
        <v>46</v>
      </c>
    </row>
    <row r="19" spans="1:32">
      <c r="A19" s="20"/>
      <c r="B19" s="13" t="s">
        <v>1376</v>
      </c>
      <c r="C19" s="14">
        <v>7.0000000000000007E-2</v>
      </c>
      <c r="D19" s="14">
        <v>0.06</v>
      </c>
      <c r="E19" s="14">
        <v>0.09</v>
      </c>
      <c r="F19" s="14">
        <v>0.08</v>
      </c>
      <c r="G19" s="14">
        <v>0.03</v>
      </c>
      <c r="H19" s="14">
        <v>0.05</v>
      </c>
      <c r="I19" s="14">
        <v>0.06</v>
      </c>
      <c r="J19" s="14">
        <v>0.09</v>
      </c>
      <c r="K19" s="14">
        <v>0.08</v>
      </c>
      <c r="L19" s="14">
        <v>0.06</v>
      </c>
      <c r="M19" s="14">
        <v>0.12</v>
      </c>
      <c r="N19" s="14">
        <v>0.1</v>
      </c>
      <c r="O19" s="14">
        <v>0.08</v>
      </c>
      <c r="P19" s="14">
        <v>0.05</v>
      </c>
      <c r="Q19" s="14">
        <v>0.08</v>
      </c>
      <c r="R19" s="14">
        <v>0.09</v>
      </c>
      <c r="S19" s="14">
        <v>0.05</v>
      </c>
      <c r="T19" s="14">
        <v>0.04</v>
      </c>
      <c r="U19" s="14">
        <v>0.08</v>
      </c>
      <c r="V19" s="14">
        <v>0.06</v>
      </c>
      <c r="W19" s="14">
        <v>0.05</v>
      </c>
      <c r="X19" s="14">
        <v>0.06</v>
      </c>
      <c r="Y19" s="14">
        <v>0.08</v>
      </c>
      <c r="Z19" s="14">
        <v>0.03</v>
      </c>
      <c r="AA19" s="14">
        <v>0.09</v>
      </c>
      <c r="AB19" s="14">
        <v>0.08</v>
      </c>
      <c r="AC19" s="14">
        <v>0.05</v>
      </c>
      <c r="AD19" s="14">
        <v>7.0000000000000007E-2</v>
      </c>
      <c r="AE19" s="14">
        <v>0.03</v>
      </c>
      <c r="AF19" s="14">
        <v>0.05</v>
      </c>
    </row>
    <row r="20" spans="1:32" ht="24.95">
      <c r="A20" s="20"/>
      <c r="B20" s="11" t="s">
        <v>1377</v>
      </c>
      <c r="C20" s="12">
        <v>660</v>
      </c>
      <c r="D20" s="12">
        <v>6</v>
      </c>
      <c r="E20" s="12">
        <v>67</v>
      </c>
      <c r="F20" s="12">
        <v>28</v>
      </c>
      <c r="G20" s="12">
        <v>4</v>
      </c>
      <c r="H20" s="12">
        <v>31</v>
      </c>
      <c r="I20" s="12">
        <v>33</v>
      </c>
      <c r="J20" s="12">
        <v>2</v>
      </c>
      <c r="K20" s="12">
        <v>37</v>
      </c>
      <c r="L20" s="12">
        <v>18</v>
      </c>
      <c r="M20" s="12">
        <v>54</v>
      </c>
      <c r="N20" s="12">
        <v>25</v>
      </c>
      <c r="O20" s="12">
        <v>15</v>
      </c>
      <c r="P20" s="12">
        <v>28</v>
      </c>
      <c r="Q20" s="12">
        <v>15</v>
      </c>
      <c r="R20" s="12">
        <v>14</v>
      </c>
      <c r="S20" s="12">
        <v>41</v>
      </c>
      <c r="T20" s="12">
        <v>95</v>
      </c>
      <c r="U20" s="12">
        <v>9</v>
      </c>
      <c r="V20" s="12">
        <v>28</v>
      </c>
      <c r="W20" s="12">
        <v>22</v>
      </c>
      <c r="X20" s="12">
        <v>2</v>
      </c>
      <c r="Y20" s="12">
        <v>29</v>
      </c>
      <c r="Z20" s="12">
        <v>35</v>
      </c>
      <c r="AA20" s="12">
        <v>92</v>
      </c>
      <c r="AB20" s="12">
        <v>63</v>
      </c>
      <c r="AC20" s="12">
        <v>37</v>
      </c>
      <c r="AD20" s="12">
        <v>26</v>
      </c>
      <c r="AE20" s="12">
        <v>15</v>
      </c>
      <c r="AF20" s="12">
        <v>3</v>
      </c>
    </row>
    <row r="21" spans="1:32" ht="24.95">
      <c r="A21" s="20"/>
      <c r="B21" s="13" t="s">
        <v>1378</v>
      </c>
      <c r="C21" s="14">
        <v>0.03</v>
      </c>
      <c r="D21" s="14">
        <v>0.01</v>
      </c>
      <c r="E21" s="14">
        <v>7.0000000000000007E-2</v>
      </c>
      <c r="F21" s="14">
        <v>0.03</v>
      </c>
      <c r="G21" s="14">
        <v>0.01</v>
      </c>
      <c r="H21" s="14">
        <v>0.03</v>
      </c>
      <c r="I21" s="14">
        <v>0.02</v>
      </c>
      <c r="J21" s="14">
        <v>0.01</v>
      </c>
      <c r="K21" s="14">
        <v>0.03</v>
      </c>
      <c r="L21" s="14">
        <v>0.02</v>
      </c>
      <c r="M21" s="14">
        <v>0.06</v>
      </c>
      <c r="N21" s="14">
        <v>0.03</v>
      </c>
      <c r="O21" s="14">
        <v>0.01</v>
      </c>
      <c r="P21" s="14">
        <v>0.03</v>
      </c>
      <c r="Q21" s="14">
        <v>0.02</v>
      </c>
      <c r="R21" s="14">
        <v>0.03</v>
      </c>
      <c r="S21" s="14">
        <v>0.04</v>
      </c>
      <c r="T21" s="14">
        <v>0.09</v>
      </c>
      <c r="U21" s="14">
        <v>0.02</v>
      </c>
      <c r="V21" s="14">
        <v>0.03</v>
      </c>
      <c r="W21" s="14">
        <v>0.04</v>
      </c>
      <c r="X21" s="15" t="s">
        <v>459</v>
      </c>
      <c r="Y21" s="14">
        <v>0.03</v>
      </c>
      <c r="Z21" s="14">
        <v>0.03</v>
      </c>
      <c r="AA21" s="14">
        <v>0.09</v>
      </c>
      <c r="AB21" s="14">
        <v>0.06</v>
      </c>
      <c r="AC21" s="14">
        <v>0.04</v>
      </c>
      <c r="AD21" s="14">
        <v>0.03</v>
      </c>
      <c r="AE21" s="14">
        <v>0.01</v>
      </c>
      <c r="AF21" s="15" t="s">
        <v>459</v>
      </c>
    </row>
    <row r="22" spans="1:32">
      <c r="A22" s="20"/>
      <c r="B22" s="11" t="s">
        <v>468</v>
      </c>
      <c r="C22" s="12">
        <v>3093</v>
      </c>
      <c r="D22" s="12">
        <v>52</v>
      </c>
      <c r="E22" s="12">
        <v>175</v>
      </c>
      <c r="F22" s="12">
        <v>110</v>
      </c>
      <c r="G22" s="12">
        <v>160</v>
      </c>
      <c r="H22" s="12">
        <v>216</v>
      </c>
      <c r="I22" s="12">
        <v>238</v>
      </c>
      <c r="J22" s="12">
        <v>22</v>
      </c>
      <c r="K22" s="12">
        <v>148</v>
      </c>
      <c r="L22" s="12">
        <v>97</v>
      </c>
      <c r="M22" s="12">
        <v>73</v>
      </c>
      <c r="N22" s="12">
        <v>112</v>
      </c>
      <c r="O22" s="12">
        <v>146</v>
      </c>
      <c r="P22" s="12">
        <v>50</v>
      </c>
      <c r="Q22" s="12">
        <v>53</v>
      </c>
      <c r="R22" s="12">
        <v>30</v>
      </c>
      <c r="S22" s="12">
        <v>209</v>
      </c>
      <c r="T22" s="12">
        <v>129</v>
      </c>
      <c r="U22" s="12">
        <v>49</v>
      </c>
      <c r="V22" s="12">
        <v>106</v>
      </c>
      <c r="W22" s="12">
        <v>46</v>
      </c>
      <c r="X22" s="12">
        <v>128</v>
      </c>
      <c r="Y22" s="12">
        <v>111</v>
      </c>
      <c r="Z22" s="12">
        <v>110</v>
      </c>
      <c r="AA22" s="12">
        <v>84</v>
      </c>
      <c r="AB22" s="12">
        <v>96</v>
      </c>
      <c r="AC22" s="12">
        <v>85</v>
      </c>
      <c r="AD22" s="12">
        <v>90</v>
      </c>
      <c r="AE22" s="12">
        <v>187</v>
      </c>
      <c r="AF22" s="12">
        <v>227</v>
      </c>
    </row>
    <row r="23" spans="1:32">
      <c r="A23" s="20"/>
      <c r="B23" s="13" t="s">
        <v>1018</v>
      </c>
      <c r="C23" s="14">
        <v>0.12</v>
      </c>
      <c r="D23" s="14">
        <v>0.05</v>
      </c>
      <c r="E23" s="14">
        <v>0.17</v>
      </c>
      <c r="F23" s="14">
        <v>0.11</v>
      </c>
      <c r="G23" s="14">
        <v>0.16</v>
      </c>
      <c r="H23" s="14">
        <v>0.18</v>
      </c>
      <c r="I23" s="14">
        <v>0.16</v>
      </c>
      <c r="J23" s="14">
        <v>0.08</v>
      </c>
      <c r="K23" s="14">
        <v>0.15</v>
      </c>
      <c r="L23" s="14">
        <v>0.09</v>
      </c>
      <c r="M23" s="14">
        <v>7.0000000000000007E-2</v>
      </c>
      <c r="N23" s="14">
        <v>0.11</v>
      </c>
      <c r="O23" s="14">
        <v>0.15</v>
      </c>
      <c r="P23" s="14">
        <v>0.05</v>
      </c>
      <c r="Q23" s="14">
        <v>0.05</v>
      </c>
      <c r="R23" s="14">
        <v>0.06</v>
      </c>
      <c r="S23" s="14">
        <v>0.21</v>
      </c>
      <c r="T23" s="14">
        <v>0.13</v>
      </c>
      <c r="U23" s="14">
        <v>0.1</v>
      </c>
      <c r="V23" s="14">
        <v>0.11</v>
      </c>
      <c r="W23" s="14">
        <v>0.09</v>
      </c>
      <c r="X23" s="14">
        <v>0.13</v>
      </c>
      <c r="Y23" s="14">
        <v>0.11</v>
      </c>
      <c r="Z23" s="14">
        <v>0.11</v>
      </c>
      <c r="AA23" s="14">
        <v>0.08</v>
      </c>
      <c r="AB23" s="14">
        <v>0.09</v>
      </c>
      <c r="AC23" s="14">
        <v>0.08</v>
      </c>
      <c r="AD23" s="14">
        <v>0.09</v>
      </c>
      <c r="AE23" s="14">
        <v>0.19</v>
      </c>
      <c r="AF23" s="14">
        <v>0.22</v>
      </c>
    </row>
    <row r="24" spans="1:32">
      <c r="A24" s="20"/>
      <c r="B24" s="11" t="s">
        <v>1379</v>
      </c>
      <c r="C24" s="12">
        <v>11685</v>
      </c>
      <c r="D24" s="12">
        <v>524</v>
      </c>
      <c r="E24" s="12">
        <v>413</v>
      </c>
      <c r="F24" s="12">
        <v>446</v>
      </c>
      <c r="G24" s="12">
        <v>554</v>
      </c>
      <c r="H24" s="12">
        <v>468</v>
      </c>
      <c r="I24" s="12">
        <v>572</v>
      </c>
      <c r="J24" s="12">
        <v>105</v>
      </c>
      <c r="K24" s="12">
        <v>448</v>
      </c>
      <c r="L24" s="12">
        <v>611</v>
      </c>
      <c r="M24" s="12">
        <v>302</v>
      </c>
      <c r="N24" s="12">
        <v>400</v>
      </c>
      <c r="O24" s="12">
        <v>368</v>
      </c>
      <c r="P24" s="12">
        <v>592</v>
      </c>
      <c r="Q24" s="12">
        <v>487</v>
      </c>
      <c r="R24" s="12">
        <v>225</v>
      </c>
      <c r="S24" s="12">
        <v>462</v>
      </c>
      <c r="T24" s="12">
        <v>533</v>
      </c>
      <c r="U24" s="12">
        <v>297</v>
      </c>
      <c r="V24" s="12">
        <v>562</v>
      </c>
      <c r="W24" s="12">
        <v>332</v>
      </c>
      <c r="X24" s="12">
        <v>525</v>
      </c>
      <c r="Y24" s="12">
        <v>531</v>
      </c>
      <c r="Z24" s="12">
        <v>575</v>
      </c>
      <c r="AA24" s="12">
        <v>472</v>
      </c>
      <c r="AB24" s="12">
        <v>477</v>
      </c>
      <c r="AC24" s="12">
        <v>481</v>
      </c>
      <c r="AD24" s="12">
        <v>483</v>
      </c>
      <c r="AE24" s="12">
        <v>544</v>
      </c>
      <c r="AF24" s="12">
        <v>488</v>
      </c>
    </row>
    <row r="25" spans="1:32">
      <c r="A25" s="20"/>
      <c r="B25" s="13" t="s">
        <v>1380</v>
      </c>
      <c r="C25" s="14">
        <v>0.44</v>
      </c>
      <c r="D25" s="14">
        <v>0.52</v>
      </c>
      <c r="E25" s="14">
        <v>0.4</v>
      </c>
      <c r="F25" s="14">
        <v>0.44</v>
      </c>
      <c r="G25" s="14">
        <v>0.55000000000000004</v>
      </c>
      <c r="H25" s="14">
        <v>0.38</v>
      </c>
      <c r="I25" s="14">
        <v>0.38</v>
      </c>
      <c r="J25" s="14">
        <v>0.35</v>
      </c>
      <c r="K25" s="14">
        <v>0.45</v>
      </c>
      <c r="L25" s="14">
        <v>0.61</v>
      </c>
      <c r="M25" s="14">
        <v>0.3</v>
      </c>
      <c r="N25" s="14">
        <v>0.4</v>
      </c>
      <c r="O25" s="14">
        <v>0.37</v>
      </c>
      <c r="P25" s="14">
        <v>0.57999999999999996</v>
      </c>
      <c r="Q25" s="14">
        <v>0.48</v>
      </c>
      <c r="R25" s="14">
        <v>0.45</v>
      </c>
      <c r="S25" s="14">
        <v>0.46</v>
      </c>
      <c r="T25" s="14">
        <v>0.52</v>
      </c>
      <c r="U25" s="14">
        <v>0.57999999999999996</v>
      </c>
      <c r="V25" s="14">
        <v>0.55000000000000004</v>
      </c>
      <c r="W25" s="14">
        <v>0.66</v>
      </c>
      <c r="X25" s="14">
        <v>0.51</v>
      </c>
      <c r="Y25" s="14">
        <v>0.53</v>
      </c>
      <c r="Z25" s="14">
        <v>0.57000000000000006</v>
      </c>
      <c r="AA25" s="14">
        <v>0.45</v>
      </c>
      <c r="AB25" s="14">
        <v>0.46</v>
      </c>
      <c r="AC25" s="14">
        <v>0.48</v>
      </c>
      <c r="AD25" s="14">
        <v>0.48</v>
      </c>
      <c r="AE25" s="14">
        <v>0.55000000000000004</v>
      </c>
      <c r="AF25" s="14">
        <v>0.48</v>
      </c>
    </row>
    <row r="26" spans="1:32">
      <c r="A26" s="20"/>
      <c r="B26" s="11" t="s">
        <v>1381</v>
      </c>
      <c r="C26" s="12">
        <v>10881</v>
      </c>
      <c r="D26" s="12">
        <v>421</v>
      </c>
      <c r="E26" s="12">
        <v>363</v>
      </c>
      <c r="F26" s="12">
        <v>421</v>
      </c>
      <c r="G26" s="12">
        <v>286</v>
      </c>
      <c r="H26" s="12">
        <v>502</v>
      </c>
      <c r="I26" s="12">
        <v>667</v>
      </c>
      <c r="J26" s="12">
        <v>165</v>
      </c>
      <c r="K26" s="12">
        <v>374</v>
      </c>
      <c r="L26" s="12">
        <v>281</v>
      </c>
      <c r="M26" s="12">
        <v>575</v>
      </c>
      <c r="N26" s="12">
        <v>466</v>
      </c>
      <c r="O26" s="12">
        <v>474</v>
      </c>
      <c r="P26" s="12">
        <v>352</v>
      </c>
      <c r="Q26" s="12">
        <v>464</v>
      </c>
      <c r="R26" s="12">
        <v>233</v>
      </c>
      <c r="S26" s="12">
        <v>295</v>
      </c>
      <c r="T26" s="12">
        <v>258</v>
      </c>
      <c r="U26" s="12">
        <v>153</v>
      </c>
      <c r="V26" s="12">
        <v>321</v>
      </c>
      <c r="W26" s="12">
        <v>103</v>
      </c>
      <c r="X26" s="12">
        <v>366</v>
      </c>
      <c r="Y26" s="12">
        <v>337</v>
      </c>
      <c r="Z26" s="12">
        <v>288</v>
      </c>
      <c r="AA26" s="12">
        <v>404</v>
      </c>
      <c r="AB26" s="12">
        <v>402</v>
      </c>
      <c r="AC26" s="12">
        <v>407</v>
      </c>
      <c r="AD26" s="12">
        <v>408</v>
      </c>
      <c r="AE26" s="12">
        <v>255</v>
      </c>
      <c r="AF26" s="12">
        <v>302</v>
      </c>
    </row>
    <row r="27" spans="1:32">
      <c r="A27" s="20"/>
      <c r="B27" s="13" t="s">
        <v>1382</v>
      </c>
      <c r="C27" s="14">
        <v>0.41</v>
      </c>
      <c r="D27" s="14">
        <v>0.42</v>
      </c>
      <c r="E27" s="14">
        <v>0.36</v>
      </c>
      <c r="F27" s="14">
        <v>0.42</v>
      </c>
      <c r="G27" s="14">
        <v>0.28000000000000003</v>
      </c>
      <c r="H27" s="14">
        <v>0.41</v>
      </c>
      <c r="I27" s="14">
        <v>0.44</v>
      </c>
      <c r="J27" s="14">
        <v>0.56000000000000005</v>
      </c>
      <c r="K27" s="14">
        <v>0.37</v>
      </c>
      <c r="L27" s="14">
        <v>0.28000000000000003</v>
      </c>
      <c r="M27" s="14">
        <v>0.57000000000000006</v>
      </c>
      <c r="N27" s="14">
        <v>0.46</v>
      </c>
      <c r="O27" s="14">
        <v>0.47</v>
      </c>
      <c r="P27" s="14">
        <v>0.34</v>
      </c>
      <c r="Q27" s="14">
        <v>0.45</v>
      </c>
      <c r="R27" s="14">
        <v>0.46</v>
      </c>
      <c r="S27" s="14">
        <v>0.28999999999999998</v>
      </c>
      <c r="T27" s="14">
        <v>0.26</v>
      </c>
      <c r="U27" s="14">
        <v>0.3</v>
      </c>
      <c r="V27" s="14">
        <v>0.31</v>
      </c>
      <c r="W27" s="14">
        <v>0.21</v>
      </c>
      <c r="X27" s="14">
        <v>0.36</v>
      </c>
      <c r="Y27" s="14">
        <v>0.33</v>
      </c>
      <c r="Z27" s="14">
        <v>0.28999999999999998</v>
      </c>
      <c r="AA27" s="14">
        <v>0.38</v>
      </c>
      <c r="AB27" s="14">
        <v>0.39</v>
      </c>
      <c r="AC27" s="14">
        <v>0.4</v>
      </c>
      <c r="AD27" s="14">
        <v>0.4</v>
      </c>
      <c r="AE27" s="14">
        <v>0.25</v>
      </c>
      <c r="AF27" s="14">
        <v>0.3</v>
      </c>
    </row>
  </sheetData>
  <mergeCells count="10">
    <mergeCell ref="H3:L3"/>
    <mergeCell ref="C8:AF8"/>
    <mergeCell ref="B3:F3"/>
    <mergeCell ref="B5:F5"/>
    <mergeCell ref="H5:L5"/>
    <mergeCell ref="B10:B11"/>
    <mergeCell ref="A24:A27"/>
    <mergeCell ref="H4:L4"/>
    <mergeCell ref="A10:A23"/>
    <mergeCell ref="B4:F4"/>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1383</v>
      </c>
      <c r="C3" s="18"/>
      <c r="D3" s="18"/>
      <c r="E3" s="18"/>
      <c r="F3" s="18"/>
      <c r="H3" s="18" t="s">
        <v>1384</v>
      </c>
      <c r="I3" s="18"/>
      <c r="J3" s="18"/>
      <c r="K3" s="18"/>
      <c r="L3" s="18"/>
    </row>
    <row r="4" spans="1:32" ht="27" customHeight="1">
      <c r="B4" s="18" t="s">
        <v>1385</v>
      </c>
      <c r="C4" s="18"/>
      <c r="D4" s="18"/>
      <c r="E4" s="18"/>
      <c r="F4" s="18"/>
      <c r="H4" s="18" t="s">
        <v>1386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3555</v>
      </c>
      <c r="D12" s="12">
        <v>180</v>
      </c>
      <c r="E12" s="12">
        <v>186</v>
      </c>
      <c r="F12" s="12">
        <v>135</v>
      </c>
      <c r="G12" s="12">
        <v>210</v>
      </c>
      <c r="H12" s="12">
        <v>66</v>
      </c>
      <c r="I12" s="12">
        <v>98</v>
      </c>
      <c r="J12" s="12">
        <v>32</v>
      </c>
      <c r="K12" s="12">
        <v>152</v>
      </c>
      <c r="L12" s="12">
        <v>192</v>
      </c>
      <c r="M12" s="12">
        <v>59</v>
      </c>
      <c r="N12" s="12">
        <v>142</v>
      </c>
      <c r="O12" s="12">
        <v>201</v>
      </c>
      <c r="P12" s="12">
        <v>145</v>
      </c>
      <c r="Q12" s="12">
        <v>139</v>
      </c>
      <c r="R12" s="12">
        <v>45</v>
      </c>
      <c r="S12" s="12">
        <v>164</v>
      </c>
      <c r="T12" s="12">
        <v>156</v>
      </c>
      <c r="U12" s="12">
        <v>138</v>
      </c>
      <c r="V12" s="12">
        <v>155</v>
      </c>
      <c r="W12" s="12">
        <v>114</v>
      </c>
      <c r="X12" s="12">
        <v>150</v>
      </c>
      <c r="Y12" s="12">
        <v>165</v>
      </c>
      <c r="Z12" s="12">
        <v>123</v>
      </c>
      <c r="AA12" s="12">
        <v>82</v>
      </c>
      <c r="AB12" s="12">
        <v>187</v>
      </c>
      <c r="AC12" s="12">
        <v>131</v>
      </c>
      <c r="AD12" s="12">
        <v>122</v>
      </c>
      <c r="AE12" s="12">
        <v>134</v>
      </c>
      <c r="AF12" s="12">
        <v>124</v>
      </c>
    </row>
    <row r="13" spans="1:32">
      <c r="A13" s="20"/>
      <c r="B13" s="13" t="s">
        <v>1387</v>
      </c>
      <c r="C13" s="14">
        <v>0.14000000000000001</v>
      </c>
      <c r="D13" s="14">
        <v>0.18</v>
      </c>
      <c r="E13" s="14">
        <v>0.18</v>
      </c>
      <c r="F13" s="14">
        <v>0.13</v>
      </c>
      <c r="G13" s="14">
        <v>0.21</v>
      </c>
      <c r="H13" s="14">
        <v>0.05</v>
      </c>
      <c r="I13" s="14">
        <v>0.06</v>
      </c>
      <c r="J13" s="14">
        <v>0.11</v>
      </c>
      <c r="K13" s="14">
        <v>0.15</v>
      </c>
      <c r="L13" s="14">
        <v>0.19</v>
      </c>
      <c r="M13" s="14">
        <v>0.06</v>
      </c>
      <c r="N13" s="14">
        <v>0.14000000000000001</v>
      </c>
      <c r="O13" s="14">
        <v>0.2</v>
      </c>
      <c r="P13" s="14">
        <v>0.14000000000000001</v>
      </c>
      <c r="Q13" s="14">
        <v>0.14000000000000001</v>
      </c>
      <c r="R13" s="14">
        <v>0.09</v>
      </c>
      <c r="S13" s="14">
        <v>0.16</v>
      </c>
      <c r="T13" s="14">
        <v>0.15</v>
      </c>
      <c r="U13" s="14">
        <v>0.27</v>
      </c>
      <c r="V13" s="14">
        <v>0.15</v>
      </c>
      <c r="W13" s="14">
        <v>0.23</v>
      </c>
      <c r="X13" s="14">
        <v>0.15</v>
      </c>
      <c r="Y13" s="14">
        <v>0.16</v>
      </c>
      <c r="Z13" s="14">
        <v>0.12</v>
      </c>
      <c r="AA13" s="14">
        <v>0.08</v>
      </c>
      <c r="AB13" s="14">
        <v>0.18</v>
      </c>
      <c r="AC13" s="14">
        <v>0.13</v>
      </c>
      <c r="AD13" s="14">
        <v>0.12</v>
      </c>
      <c r="AE13" s="14">
        <v>0.13</v>
      </c>
      <c r="AF13" s="14">
        <v>0.12</v>
      </c>
    </row>
    <row r="14" spans="1:32">
      <c r="A14" s="20"/>
      <c r="B14" s="11" t="s">
        <v>1371</v>
      </c>
      <c r="C14" s="12">
        <v>11434</v>
      </c>
      <c r="D14" s="12">
        <v>473</v>
      </c>
      <c r="E14" s="12">
        <v>471</v>
      </c>
      <c r="F14" s="12">
        <v>385</v>
      </c>
      <c r="G14" s="12">
        <v>386</v>
      </c>
      <c r="H14" s="12">
        <v>434</v>
      </c>
      <c r="I14" s="12">
        <v>522</v>
      </c>
      <c r="J14" s="12">
        <v>89</v>
      </c>
      <c r="K14" s="12">
        <v>427</v>
      </c>
      <c r="L14" s="12">
        <v>501</v>
      </c>
      <c r="M14" s="12">
        <v>277</v>
      </c>
      <c r="N14" s="12">
        <v>481</v>
      </c>
      <c r="O14" s="12">
        <v>394</v>
      </c>
      <c r="P14" s="12">
        <v>514</v>
      </c>
      <c r="Q14" s="12">
        <v>503</v>
      </c>
      <c r="R14" s="12">
        <v>248</v>
      </c>
      <c r="S14" s="12">
        <v>449</v>
      </c>
      <c r="T14" s="12">
        <v>460</v>
      </c>
      <c r="U14" s="12">
        <v>214</v>
      </c>
      <c r="V14" s="12">
        <v>515</v>
      </c>
      <c r="W14" s="12">
        <v>237</v>
      </c>
      <c r="X14" s="12">
        <v>497</v>
      </c>
      <c r="Y14" s="12">
        <v>418</v>
      </c>
      <c r="Z14" s="12">
        <v>538</v>
      </c>
      <c r="AA14" s="12">
        <v>408</v>
      </c>
      <c r="AB14" s="12">
        <v>489</v>
      </c>
      <c r="AC14" s="12">
        <v>488</v>
      </c>
      <c r="AD14" s="12">
        <v>370</v>
      </c>
      <c r="AE14" s="12">
        <v>541</v>
      </c>
      <c r="AF14" s="12">
        <v>452</v>
      </c>
    </row>
    <row r="15" spans="1:32">
      <c r="A15" s="20"/>
      <c r="B15" s="13" t="s">
        <v>1372</v>
      </c>
      <c r="C15" s="14">
        <v>0.43</v>
      </c>
      <c r="D15" s="14">
        <v>0.47</v>
      </c>
      <c r="E15" s="14">
        <v>0.46</v>
      </c>
      <c r="F15" s="14">
        <v>0.38</v>
      </c>
      <c r="G15" s="14">
        <v>0.38</v>
      </c>
      <c r="H15" s="14">
        <v>0.36</v>
      </c>
      <c r="I15" s="14">
        <v>0.35</v>
      </c>
      <c r="J15" s="14">
        <v>0.3</v>
      </c>
      <c r="K15" s="14">
        <v>0.42</v>
      </c>
      <c r="L15" s="14">
        <v>0.5</v>
      </c>
      <c r="M15" s="14">
        <v>0.28000000000000003</v>
      </c>
      <c r="N15" s="14">
        <v>0.48</v>
      </c>
      <c r="O15" s="14">
        <v>0.39</v>
      </c>
      <c r="P15" s="14">
        <v>0.51</v>
      </c>
      <c r="Q15" s="14">
        <v>0.49</v>
      </c>
      <c r="R15" s="14">
        <v>0.5</v>
      </c>
      <c r="S15" s="14">
        <v>0.45</v>
      </c>
      <c r="T15" s="14">
        <v>0.45</v>
      </c>
      <c r="U15" s="14">
        <v>0.42</v>
      </c>
      <c r="V15" s="14">
        <v>0.51</v>
      </c>
      <c r="W15" s="14">
        <v>0.47</v>
      </c>
      <c r="X15" s="14">
        <v>0.49</v>
      </c>
      <c r="Y15" s="14">
        <v>0.42</v>
      </c>
      <c r="Z15" s="14">
        <v>0.53</v>
      </c>
      <c r="AA15" s="14">
        <v>0.39</v>
      </c>
      <c r="AB15" s="14">
        <v>0.47</v>
      </c>
      <c r="AC15" s="14">
        <v>0.48</v>
      </c>
      <c r="AD15" s="14">
        <v>0.37</v>
      </c>
      <c r="AE15" s="14">
        <v>0.54</v>
      </c>
      <c r="AF15" s="14">
        <v>0.44</v>
      </c>
    </row>
    <row r="16" spans="1:32">
      <c r="A16" s="20"/>
      <c r="B16" s="11" t="s">
        <v>1373</v>
      </c>
      <c r="C16" s="12">
        <v>6737</v>
      </c>
      <c r="D16" s="12">
        <v>258</v>
      </c>
      <c r="E16" s="12">
        <v>173</v>
      </c>
      <c r="F16" s="12">
        <v>281</v>
      </c>
      <c r="G16" s="12">
        <v>213</v>
      </c>
      <c r="H16" s="12">
        <v>397</v>
      </c>
      <c r="I16" s="12">
        <v>514</v>
      </c>
      <c r="J16" s="12">
        <v>118</v>
      </c>
      <c r="K16" s="12">
        <v>241</v>
      </c>
      <c r="L16" s="12">
        <v>152</v>
      </c>
      <c r="M16" s="12">
        <v>375</v>
      </c>
      <c r="N16" s="12">
        <v>231</v>
      </c>
      <c r="O16" s="12">
        <v>209</v>
      </c>
      <c r="P16" s="12">
        <v>225</v>
      </c>
      <c r="Q16" s="12">
        <v>280</v>
      </c>
      <c r="R16" s="12">
        <v>124</v>
      </c>
      <c r="S16" s="12">
        <v>196</v>
      </c>
      <c r="T16" s="12">
        <v>180</v>
      </c>
      <c r="U16" s="12">
        <v>84</v>
      </c>
      <c r="V16" s="12">
        <v>217</v>
      </c>
      <c r="W16" s="12">
        <v>84</v>
      </c>
      <c r="X16" s="12">
        <v>257</v>
      </c>
      <c r="Y16" s="12">
        <v>224</v>
      </c>
      <c r="Z16" s="12">
        <v>199</v>
      </c>
      <c r="AA16" s="12">
        <v>332</v>
      </c>
      <c r="AB16" s="12">
        <v>194</v>
      </c>
      <c r="AC16" s="12">
        <v>255</v>
      </c>
      <c r="AD16" s="12">
        <v>378</v>
      </c>
      <c r="AE16" s="12">
        <v>213</v>
      </c>
      <c r="AF16" s="12">
        <v>244</v>
      </c>
    </row>
    <row r="17" spans="1:32">
      <c r="A17" s="20"/>
      <c r="B17" s="13" t="s">
        <v>1374</v>
      </c>
      <c r="C17" s="14">
        <v>0.26</v>
      </c>
      <c r="D17" s="14">
        <v>0.26</v>
      </c>
      <c r="E17" s="14">
        <v>0.17</v>
      </c>
      <c r="F17" s="14">
        <v>0.28000000000000003</v>
      </c>
      <c r="G17" s="14">
        <v>0.21</v>
      </c>
      <c r="H17" s="14">
        <v>0.33</v>
      </c>
      <c r="I17" s="14">
        <v>0.34</v>
      </c>
      <c r="J17" s="14">
        <v>0.4</v>
      </c>
      <c r="K17" s="14">
        <v>0.24</v>
      </c>
      <c r="L17" s="14">
        <v>0.15</v>
      </c>
      <c r="M17" s="14">
        <v>0.37</v>
      </c>
      <c r="N17" s="14">
        <v>0.23</v>
      </c>
      <c r="O17" s="14">
        <v>0.21</v>
      </c>
      <c r="P17" s="14">
        <v>0.22</v>
      </c>
      <c r="Q17" s="14">
        <v>0.28000000000000003</v>
      </c>
      <c r="R17" s="14">
        <v>0.25</v>
      </c>
      <c r="S17" s="14">
        <v>0.19</v>
      </c>
      <c r="T17" s="14">
        <v>0.18</v>
      </c>
      <c r="U17" s="14">
        <v>0.17</v>
      </c>
      <c r="V17" s="14">
        <v>0.21</v>
      </c>
      <c r="W17" s="14">
        <v>0.17</v>
      </c>
      <c r="X17" s="14">
        <v>0.25</v>
      </c>
      <c r="Y17" s="14">
        <v>0.22</v>
      </c>
      <c r="Z17" s="14">
        <v>0.2</v>
      </c>
      <c r="AA17" s="14">
        <v>0.32</v>
      </c>
      <c r="AB17" s="14">
        <v>0.19</v>
      </c>
      <c r="AC17" s="14">
        <v>0.25</v>
      </c>
      <c r="AD17" s="14">
        <v>0.37</v>
      </c>
      <c r="AE17" s="14">
        <v>0.21</v>
      </c>
      <c r="AF17" s="14">
        <v>0.24</v>
      </c>
    </row>
    <row r="18" spans="1:32">
      <c r="A18" s="20"/>
      <c r="B18" s="11" t="s">
        <v>1375</v>
      </c>
      <c r="C18" s="12">
        <v>1909</v>
      </c>
      <c r="D18" s="12">
        <v>55</v>
      </c>
      <c r="E18" s="12">
        <v>45</v>
      </c>
      <c r="F18" s="12">
        <v>105</v>
      </c>
      <c r="G18" s="12">
        <v>46</v>
      </c>
      <c r="H18" s="12">
        <v>134</v>
      </c>
      <c r="I18" s="12">
        <v>170</v>
      </c>
      <c r="J18" s="12">
        <v>36</v>
      </c>
      <c r="K18" s="12">
        <v>90</v>
      </c>
      <c r="L18" s="12">
        <v>66</v>
      </c>
      <c r="M18" s="12">
        <v>206</v>
      </c>
      <c r="N18" s="12">
        <v>74</v>
      </c>
      <c r="O18" s="12">
        <v>58</v>
      </c>
      <c r="P18" s="12">
        <v>83</v>
      </c>
      <c r="Q18" s="12">
        <v>52</v>
      </c>
      <c r="R18" s="12">
        <v>16</v>
      </c>
      <c r="S18" s="12">
        <v>18</v>
      </c>
      <c r="T18" s="12">
        <v>29</v>
      </c>
      <c r="U18" s="12">
        <v>26</v>
      </c>
      <c r="V18" s="12">
        <v>56</v>
      </c>
      <c r="W18" s="12">
        <v>36</v>
      </c>
      <c r="X18" s="12">
        <v>39</v>
      </c>
      <c r="Y18" s="12">
        <v>91</v>
      </c>
      <c r="Z18" s="12">
        <v>59</v>
      </c>
      <c r="AA18" s="12">
        <v>89</v>
      </c>
      <c r="AB18" s="12">
        <v>46</v>
      </c>
      <c r="AC18" s="12">
        <v>37</v>
      </c>
      <c r="AD18" s="12">
        <v>90</v>
      </c>
      <c r="AE18" s="12">
        <v>24</v>
      </c>
      <c r="AF18" s="12">
        <v>40</v>
      </c>
    </row>
    <row r="19" spans="1:32">
      <c r="A19" s="20"/>
      <c r="B19" s="13" t="s">
        <v>1376</v>
      </c>
      <c r="C19" s="14">
        <v>7.0000000000000007E-2</v>
      </c>
      <c r="D19" s="14">
        <v>0.05</v>
      </c>
      <c r="E19" s="14">
        <v>0.05</v>
      </c>
      <c r="F19" s="14">
        <v>0.11</v>
      </c>
      <c r="G19" s="14">
        <v>0.05</v>
      </c>
      <c r="H19" s="14">
        <v>0.11</v>
      </c>
      <c r="I19" s="14">
        <v>0.11</v>
      </c>
      <c r="J19" s="14">
        <v>0.12</v>
      </c>
      <c r="K19" s="14">
        <v>0.09</v>
      </c>
      <c r="L19" s="14">
        <v>7.0000000000000007E-2</v>
      </c>
      <c r="M19" s="14">
        <v>0.21</v>
      </c>
      <c r="N19" s="14">
        <v>7.0000000000000007E-2</v>
      </c>
      <c r="O19" s="14">
        <v>0.06</v>
      </c>
      <c r="P19" s="14">
        <v>0.08</v>
      </c>
      <c r="Q19" s="14">
        <v>0.05</v>
      </c>
      <c r="R19" s="14">
        <v>0.03</v>
      </c>
      <c r="S19" s="14">
        <v>0.02</v>
      </c>
      <c r="T19" s="14">
        <v>0.03</v>
      </c>
      <c r="U19" s="14">
        <v>0.05</v>
      </c>
      <c r="V19" s="14">
        <v>0.06</v>
      </c>
      <c r="W19" s="14">
        <v>7.0000000000000007E-2</v>
      </c>
      <c r="X19" s="14">
        <v>0.04</v>
      </c>
      <c r="Y19" s="14">
        <v>0.09</v>
      </c>
      <c r="Z19" s="14">
        <v>0.06</v>
      </c>
      <c r="AA19" s="14">
        <v>0.08</v>
      </c>
      <c r="AB19" s="14">
        <v>0.04</v>
      </c>
      <c r="AC19" s="14">
        <v>0.04</v>
      </c>
      <c r="AD19" s="14">
        <v>0.09</v>
      </c>
      <c r="AE19" s="14">
        <v>0.03</v>
      </c>
      <c r="AF19" s="14">
        <v>0.04</v>
      </c>
    </row>
    <row r="20" spans="1:32">
      <c r="A20" s="20"/>
      <c r="B20" s="11" t="s">
        <v>468</v>
      </c>
      <c r="C20" s="12">
        <v>2684</v>
      </c>
      <c r="D20" s="12">
        <v>37</v>
      </c>
      <c r="E20" s="12">
        <v>142</v>
      </c>
      <c r="F20" s="12">
        <v>98</v>
      </c>
      <c r="G20" s="12">
        <v>149</v>
      </c>
      <c r="H20" s="12">
        <v>185</v>
      </c>
      <c r="I20" s="12">
        <v>204</v>
      </c>
      <c r="J20" s="12">
        <v>19</v>
      </c>
      <c r="K20" s="12">
        <v>97</v>
      </c>
      <c r="L20" s="12">
        <v>95</v>
      </c>
      <c r="M20" s="12">
        <v>85</v>
      </c>
      <c r="N20" s="12">
        <v>75</v>
      </c>
      <c r="O20" s="12">
        <v>142</v>
      </c>
      <c r="P20" s="12">
        <v>54</v>
      </c>
      <c r="Q20" s="12">
        <v>45</v>
      </c>
      <c r="R20" s="12">
        <v>67</v>
      </c>
      <c r="S20" s="12">
        <v>181</v>
      </c>
      <c r="T20" s="12">
        <v>189</v>
      </c>
      <c r="U20" s="12">
        <v>46</v>
      </c>
      <c r="V20" s="12">
        <v>75</v>
      </c>
      <c r="W20" s="12">
        <v>33</v>
      </c>
      <c r="X20" s="12">
        <v>78</v>
      </c>
      <c r="Y20" s="12">
        <v>111</v>
      </c>
      <c r="Z20" s="12">
        <v>89</v>
      </c>
      <c r="AA20" s="12">
        <v>142</v>
      </c>
      <c r="AB20" s="12">
        <v>123</v>
      </c>
      <c r="AC20" s="12">
        <v>99</v>
      </c>
      <c r="AD20" s="12">
        <v>46</v>
      </c>
      <c r="AE20" s="12">
        <v>89</v>
      </c>
      <c r="AF20" s="12">
        <v>159</v>
      </c>
    </row>
    <row r="21" spans="1:32">
      <c r="A21" s="20"/>
      <c r="B21" s="13" t="s">
        <v>469</v>
      </c>
      <c r="C21" s="14">
        <v>0.1</v>
      </c>
      <c r="D21" s="14">
        <v>0.04</v>
      </c>
      <c r="E21" s="14">
        <v>0.14000000000000001</v>
      </c>
      <c r="F21" s="14">
        <v>0.1</v>
      </c>
      <c r="G21" s="14">
        <v>0.15</v>
      </c>
      <c r="H21" s="14">
        <v>0.15</v>
      </c>
      <c r="I21" s="14">
        <v>0.14000000000000001</v>
      </c>
      <c r="J21" s="14">
        <v>7.0000000000000007E-2</v>
      </c>
      <c r="K21" s="14">
        <v>0.1</v>
      </c>
      <c r="L21" s="14">
        <v>0.09</v>
      </c>
      <c r="M21" s="14">
        <v>0.08</v>
      </c>
      <c r="N21" s="14">
        <v>0.08</v>
      </c>
      <c r="O21" s="14">
        <v>0.14000000000000001</v>
      </c>
      <c r="P21" s="14">
        <v>0.05</v>
      </c>
      <c r="Q21" s="14">
        <v>0.04</v>
      </c>
      <c r="R21" s="14">
        <v>0.13</v>
      </c>
      <c r="S21" s="14">
        <v>0.18</v>
      </c>
      <c r="T21" s="14">
        <v>0.19</v>
      </c>
      <c r="U21" s="14">
        <v>0.09</v>
      </c>
      <c r="V21" s="14">
        <v>7.0000000000000007E-2</v>
      </c>
      <c r="W21" s="14">
        <v>0.06</v>
      </c>
      <c r="X21" s="14">
        <v>7.0000000000000007E-2</v>
      </c>
      <c r="Y21" s="14">
        <v>0.11</v>
      </c>
      <c r="Z21" s="14">
        <v>0.09</v>
      </c>
      <c r="AA21" s="14">
        <v>0.13</v>
      </c>
      <c r="AB21" s="14">
        <v>0.12</v>
      </c>
      <c r="AC21" s="14">
        <v>0.1</v>
      </c>
      <c r="AD21" s="14">
        <v>0.05</v>
      </c>
      <c r="AE21" s="14">
        <v>0.09</v>
      </c>
      <c r="AF21" s="14">
        <v>0.16</v>
      </c>
    </row>
    <row r="22" spans="1:32">
      <c r="A22" s="20"/>
      <c r="B22" s="11" t="s">
        <v>1379</v>
      </c>
      <c r="C22" s="12">
        <v>14989</v>
      </c>
      <c r="D22" s="12">
        <v>653</v>
      </c>
      <c r="E22" s="12">
        <v>657</v>
      </c>
      <c r="F22" s="12">
        <v>520</v>
      </c>
      <c r="G22" s="12">
        <v>596</v>
      </c>
      <c r="H22" s="12">
        <v>500</v>
      </c>
      <c r="I22" s="12">
        <v>620</v>
      </c>
      <c r="J22" s="12">
        <v>121</v>
      </c>
      <c r="K22" s="12">
        <v>579</v>
      </c>
      <c r="L22" s="12">
        <v>693</v>
      </c>
      <c r="M22" s="12">
        <v>336</v>
      </c>
      <c r="N22" s="12">
        <v>623</v>
      </c>
      <c r="O22" s="12">
        <v>595</v>
      </c>
      <c r="P22" s="12">
        <v>659</v>
      </c>
      <c r="Q22" s="12">
        <v>642</v>
      </c>
      <c r="R22" s="12">
        <v>293</v>
      </c>
      <c r="S22" s="12">
        <v>613</v>
      </c>
      <c r="T22" s="12">
        <v>616</v>
      </c>
      <c r="U22" s="12">
        <v>352</v>
      </c>
      <c r="V22" s="12">
        <v>670</v>
      </c>
      <c r="W22" s="12">
        <v>351</v>
      </c>
      <c r="X22" s="12">
        <v>647</v>
      </c>
      <c r="Y22" s="12">
        <v>583</v>
      </c>
      <c r="Z22" s="12">
        <v>661</v>
      </c>
      <c r="AA22" s="12">
        <v>490</v>
      </c>
      <c r="AB22" s="12">
        <v>676</v>
      </c>
      <c r="AC22" s="12">
        <v>619</v>
      </c>
      <c r="AD22" s="12">
        <v>492</v>
      </c>
      <c r="AE22" s="12">
        <v>675</v>
      </c>
      <c r="AF22" s="12">
        <v>576</v>
      </c>
    </row>
    <row r="23" spans="1:32">
      <c r="A23" s="20"/>
      <c r="B23" s="13" t="s">
        <v>1380</v>
      </c>
      <c r="C23" s="14">
        <v>0.57000000000000006</v>
      </c>
      <c r="D23" s="14">
        <v>0.65</v>
      </c>
      <c r="E23" s="14">
        <v>0.64</v>
      </c>
      <c r="F23" s="14">
        <v>0.51</v>
      </c>
      <c r="G23" s="14">
        <v>0.59</v>
      </c>
      <c r="H23" s="14">
        <v>0.41</v>
      </c>
      <c r="I23" s="14">
        <v>0.41</v>
      </c>
      <c r="J23" s="14">
        <v>0.41</v>
      </c>
      <c r="K23" s="14">
        <v>0.57000000000000006</v>
      </c>
      <c r="L23" s="14">
        <v>0.69000000000000006</v>
      </c>
      <c r="M23" s="14">
        <v>0.34</v>
      </c>
      <c r="N23" s="14">
        <v>0.62</v>
      </c>
      <c r="O23" s="14">
        <v>0.59</v>
      </c>
      <c r="P23" s="14">
        <v>0.65</v>
      </c>
      <c r="Q23" s="14">
        <v>0.63</v>
      </c>
      <c r="R23" s="14">
        <v>0.59</v>
      </c>
      <c r="S23" s="14">
        <v>0.61</v>
      </c>
      <c r="T23" s="14">
        <v>0.6</v>
      </c>
      <c r="U23" s="14">
        <v>0.69000000000000006</v>
      </c>
      <c r="V23" s="14">
        <v>0.66</v>
      </c>
      <c r="W23" s="14">
        <v>0.70000000000000007</v>
      </c>
      <c r="X23" s="14">
        <v>0.64</v>
      </c>
      <c r="Y23" s="14">
        <v>0.57999999999999996</v>
      </c>
      <c r="Z23" s="14">
        <v>0.65</v>
      </c>
      <c r="AA23" s="14">
        <v>0.47</v>
      </c>
      <c r="AB23" s="14">
        <v>0.65</v>
      </c>
      <c r="AC23" s="14">
        <v>0.61</v>
      </c>
      <c r="AD23" s="14">
        <v>0.49</v>
      </c>
      <c r="AE23" s="14">
        <v>0.67</v>
      </c>
      <c r="AF23" s="14">
        <v>0.56000000000000005</v>
      </c>
    </row>
    <row r="24" spans="1:32">
      <c r="A24" s="20"/>
      <c r="B24" s="11" t="s">
        <v>1381</v>
      </c>
      <c r="C24" s="12">
        <v>8646</v>
      </c>
      <c r="D24" s="12">
        <v>313</v>
      </c>
      <c r="E24" s="12">
        <v>218</v>
      </c>
      <c r="F24" s="12">
        <v>386</v>
      </c>
      <c r="G24" s="12">
        <v>259</v>
      </c>
      <c r="H24" s="12">
        <v>531</v>
      </c>
      <c r="I24" s="12">
        <v>684</v>
      </c>
      <c r="J24" s="12">
        <v>154</v>
      </c>
      <c r="K24" s="12">
        <v>331</v>
      </c>
      <c r="L24" s="12">
        <v>218</v>
      </c>
      <c r="M24" s="12">
        <v>581</v>
      </c>
      <c r="N24" s="12">
        <v>305</v>
      </c>
      <c r="O24" s="12">
        <v>267</v>
      </c>
      <c r="P24" s="12">
        <v>308</v>
      </c>
      <c r="Q24" s="12">
        <v>332</v>
      </c>
      <c r="R24" s="12">
        <v>140</v>
      </c>
      <c r="S24" s="12">
        <v>214</v>
      </c>
      <c r="T24" s="12">
        <v>209</v>
      </c>
      <c r="U24" s="12">
        <v>110</v>
      </c>
      <c r="V24" s="12">
        <v>273</v>
      </c>
      <c r="W24" s="12">
        <v>120</v>
      </c>
      <c r="X24" s="12">
        <v>296</v>
      </c>
      <c r="Y24" s="12">
        <v>315</v>
      </c>
      <c r="Z24" s="12">
        <v>258</v>
      </c>
      <c r="AA24" s="12">
        <v>421</v>
      </c>
      <c r="AB24" s="12">
        <v>240</v>
      </c>
      <c r="AC24" s="12">
        <v>292</v>
      </c>
      <c r="AD24" s="12">
        <v>468</v>
      </c>
      <c r="AE24" s="12">
        <v>237</v>
      </c>
      <c r="AF24" s="12">
        <v>284</v>
      </c>
    </row>
    <row r="25" spans="1:32">
      <c r="A25" s="20"/>
      <c r="B25" s="13" t="s">
        <v>1382</v>
      </c>
      <c r="C25" s="14">
        <v>0.33</v>
      </c>
      <c r="D25" s="14">
        <v>0.31</v>
      </c>
      <c r="E25" s="14">
        <v>0.22</v>
      </c>
      <c r="F25" s="14">
        <v>0.39</v>
      </c>
      <c r="G25" s="14">
        <v>0.26</v>
      </c>
      <c r="H25" s="14">
        <v>0.44</v>
      </c>
      <c r="I25" s="14">
        <v>0.45</v>
      </c>
      <c r="J25" s="14">
        <v>0.52</v>
      </c>
      <c r="K25" s="14">
        <v>0.33</v>
      </c>
      <c r="L25" s="14">
        <v>0.22</v>
      </c>
      <c r="M25" s="14">
        <v>0.57999999999999996</v>
      </c>
      <c r="N25" s="14">
        <v>0.3</v>
      </c>
      <c r="O25" s="14">
        <v>0.27</v>
      </c>
      <c r="P25" s="14">
        <v>0.3</v>
      </c>
      <c r="Q25" s="14">
        <v>0.33</v>
      </c>
      <c r="R25" s="14">
        <v>0.28000000000000003</v>
      </c>
      <c r="S25" s="14">
        <v>0.21</v>
      </c>
      <c r="T25" s="14">
        <v>0.21</v>
      </c>
      <c r="U25" s="14">
        <v>0.22</v>
      </c>
      <c r="V25" s="14">
        <v>0.27</v>
      </c>
      <c r="W25" s="14">
        <v>0.24</v>
      </c>
      <c r="X25" s="14">
        <v>0.28999999999999998</v>
      </c>
      <c r="Y25" s="14">
        <v>0.31</v>
      </c>
      <c r="Z25" s="14">
        <v>0.26</v>
      </c>
      <c r="AA25" s="14">
        <v>0.4</v>
      </c>
      <c r="AB25" s="14">
        <v>0.23</v>
      </c>
      <c r="AC25" s="14">
        <v>0.28999999999999998</v>
      </c>
      <c r="AD25" s="14">
        <v>0.46</v>
      </c>
      <c r="AE25" s="14">
        <v>0.24</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1388</v>
      </c>
      <c r="C3" s="18"/>
      <c r="D3" s="18"/>
      <c r="E3" s="18"/>
      <c r="F3" s="18"/>
      <c r="H3" s="18" t="s">
        <v>1389</v>
      </c>
      <c r="I3" s="18"/>
      <c r="J3" s="18"/>
      <c r="K3" s="18"/>
      <c r="L3" s="18"/>
    </row>
    <row r="4" spans="1:32" ht="27" customHeight="1">
      <c r="B4" s="18" t="s">
        <v>1390</v>
      </c>
      <c r="C4" s="18"/>
      <c r="D4" s="18"/>
      <c r="E4" s="18"/>
      <c r="F4" s="18"/>
      <c r="H4" s="18" t="s">
        <v>1391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3154</v>
      </c>
      <c r="D12" s="12">
        <v>125</v>
      </c>
      <c r="E12" s="12">
        <v>171</v>
      </c>
      <c r="F12" s="12">
        <v>111</v>
      </c>
      <c r="G12" s="12">
        <v>175</v>
      </c>
      <c r="H12" s="12">
        <v>65</v>
      </c>
      <c r="I12" s="12">
        <v>86</v>
      </c>
      <c r="J12" s="12">
        <v>21</v>
      </c>
      <c r="K12" s="12">
        <v>125</v>
      </c>
      <c r="L12" s="12">
        <v>216</v>
      </c>
      <c r="M12" s="12">
        <v>76</v>
      </c>
      <c r="N12" s="12">
        <v>137</v>
      </c>
      <c r="O12" s="12">
        <v>176</v>
      </c>
      <c r="P12" s="12">
        <v>144</v>
      </c>
      <c r="Q12" s="12">
        <v>126</v>
      </c>
      <c r="R12" s="12">
        <v>36</v>
      </c>
      <c r="S12" s="12">
        <v>115</v>
      </c>
      <c r="T12" s="12">
        <v>111</v>
      </c>
      <c r="U12" s="12">
        <v>123</v>
      </c>
      <c r="V12" s="12">
        <v>157</v>
      </c>
      <c r="W12" s="12">
        <v>204</v>
      </c>
      <c r="X12" s="12">
        <v>103</v>
      </c>
      <c r="Y12" s="12">
        <v>176</v>
      </c>
      <c r="Z12" s="12">
        <v>107</v>
      </c>
      <c r="AA12" s="12">
        <v>72</v>
      </c>
      <c r="AB12" s="12">
        <v>136</v>
      </c>
      <c r="AC12" s="12">
        <v>110</v>
      </c>
      <c r="AD12" s="12">
        <v>97</v>
      </c>
      <c r="AE12" s="12">
        <v>124</v>
      </c>
      <c r="AF12" s="12">
        <v>140</v>
      </c>
    </row>
    <row r="13" spans="1:32">
      <c r="A13" s="20"/>
      <c r="B13" s="13" t="s">
        <v>1387</v>
      </c>
      <c r="C13" s="14">
        <v>0.12</v>
      </c>
      <c r="D13" s="14">
        <v>0.12</v>
      </c>
      <c r="E13" s="14">
        <v>0.17</v>
      </c>
      <c r="F13" s="14">
        <v>0.11</v>
      </c>
      <c r="G13" s="14">
        <v>0.18</v>
      </c>
      <c r="H13" s="14">
        <v>0.05</v>
      </c>
      <c r="I13" s="14">
        <v>0.06</v>
      </c>
      <c r="J13" s="14">
        <v>7.0000000000000007E-2</v>
      </c>
      <c r="K13" s="14">
        <v>0.12</v>
      </c>
      <c r="L13" s="14">
        <v>0.21</v>
      </c>
      <c r="M13" s="14">
        <v>0.08</v>
      </c>
      <c r="N13" s="14">
        <v>0.14000000000000001</v>
      </c>
      <c r="O13" s="14">
        <v>0.18</v>
      </c>
      <c r="P13" s="14">
        <v>0.14000000000000001</v>
      </c>
      <c r="Q13" s="14">
        <v>0.12</v>
      </c>
      <c r="R13" s="14">
        <v>7.0000000000000007E-2</v>
      </c>
      <c r="S13" s="14">
        <v>0.11</v>
      </c>
      <c r="T13" s="14">
        <v>0.11</v>
      </c>
      <c r="U13" s="14">
        <v>0.25</v>
      </c>
      <c r="V13" s="14">
        <v>0.16</v>
      </c>
      <c r="W13" s="14">
        <v>0.41</v>
      </c>
      <c r="X13" s="14">
        <v>0.1</v>
      </c>
      <c r="Y13" s="14">
        <v>0.17</v>
      </c>
      <c r="Z13" s="14">
        <v>0.11</v>
      </c>
      <c r="AA13" s="14">
        <v>7.0000000000000007E-2</v>
      </c>
      <c r="AB13" s="14">
        <v>0.13</v>
      </c>
      <c r="AC13" s="14">
        <v>0.11</v>
      </c>
      <c r="AD13" s="14">
        <v>0.1</v>
      </c>
      <c r="AE13" s="14">
        <v>0.12</v>
      </c>
      <c r="AF13" s="14">
        <v>0.14000000000000001</v>
      </c>
    </row>
    <row r="14" spans="1:32">
      <c r="A14" s="20"/>
      <c r="B14" s="11" t="s">
        <v>1371</v>
      </c>
      <c r="C14" s="12">
        <v>12574</v>
      </c>
      <c r="D14" s="12">
        <v>543</v>
      </c>
      <c r="E14" s="12">
        <v>504</v>
      </c>
      <c r="F14" s="12">
        <v>447</v>
      </c>
      <c r="G14" s="12">
        <v>515</v>
      </c>
      <c r="H14" s="12">
        <v>562</v>
      </c>
      <c r="I14" s="12">
        <v>685</v>
      </c>
      <c r="J14" s="12">
        <v>124</v>
      </c>
      <c r="K14" s="12">
        <v>520</v>
      </c>
      <c r="L14" s="12">
        <v>491</v>
      </c>
      <c r="M14" s="12">
        <v>334</v>
      </c>
      <c r="N14" s="12">
        <v>487</v>
      </c>
      <c r="O14" s="12">
        <v>451</v>
      </c>
      <c r="P14" s="12">
        <v>550</v>
      </c>
      <c r="Q14" s="12">
        <v>474</v>
      </c>
      <c r="R14" s="12">
        <v>229</v>
      </c>
      <c r="S14" s="12">
        <v>493</v>
      </c>
      <c r="T14" s="12">
        <v>535</v>
      </c>
      <c r="U14" s="12">
        <v>255</v>
      </c>
      <c r="V14" s="12">
        <v>521</v>
      </c>
      <c r="W14" s="12">
        <v>192</v>
      </c>
      <c r="X14" s="12">
        <v>541</v>
      </c>
      <c r="Y14" s="12">
        <v>461</v>
      </c>
      <c r="Z14" s="12">
        <v>556</v>
      </c>
      <c r="AA14" s="12">
        <v>481</v>
      </c>
      <c r="AB14" s="12">
        <v>495</v>
      </c>
      <c r="AC14" s="12">
        <v>516</v>
      </c>
      <c r="AD14" s="12">
        <v>460</v>
      </c>
      <c r="AE14" s="12">
        <v>563</v>
      </c>
      <c r="AF14" s="12">
        <v>556</v>
      </c>
    </row>
    <row r="15" spans="1:32">
      <c r="A15" s="20"/>
      <c r="B15" s="13" t="s">
        <v>1372</v>
      </c>
      <c r="C15" s="14">
        <v>0.48</v>
      </c>
      <c r="D15" s="14">
        <v>0.54</v>
      </c>
      <c r="E15" s="14">
        <v>0.5</v>
      </c>
      <c r="F15" s="14">
        <v>0.44</v>
      </c>
      <c r="G15" s="14">
        <v>0.51</v>
      </c>
      <c r="H15" s="14">
        <v>0.46</v>
      </c>
      <c r="I15" s="14">
        <v>0.45</v>
      </c>
      <c r="J15" s="14">
        <v>0.42</v>
      </c>
      <c r="K15" s="14">
        <v>0.52</v>
      </c>
      <c r="L15" s="14">
        <v>0.49</v>
      </c>
      <c r="M15" s="14">
        <v>0.33</v>
      </c>
      <c r="N15" s="14">
        <v>0.48</v>
      </c>
      <c r="O15" s="14">
        <v>0.45</v>
      </c>
      <c r="P15" s="14">
        <v>0.54</v>
      </c>
      <c r="Q15" s="14">
        <v>0.47</v>
      </c>
      <c r="R15" s="14">
        <v>0.46</v>
      </c>
      <c r="S15" s="14">
        <v>0.49</v>
      </c>
      <c r="T15" s="14">
        <v>0.53</v>
      </c>
      <c r="U15" s="14">
        <v>0.5</v>
      </c>
      <c r="V15" s="14">
        <v>0.51</v>
      </c>
      <c r="W15" s="14">
        <v>0.38</v>
      </c>
      <c r="X15" s="14">
        <v>0.53</v>
      </c>
      <c r="Y15" s="14">
        <v>0.46</v>
      </c>
      <c r="Z15" s="14">
        <v>0.55000000000000004</v>
      </c>
      <c r="AA15" s="14">
        <v>0.46</v>
      </c>
      <c r="AB15" s="14">
        <v>0.48</v>
      </c>
      <c r="AC15" s="14">
        <v>0.51</v>
      </c>
      <c r="AD15" s="14">
        <v>0.46</v>
      </c>
      <c r="AE15" s="14">
        <v>0.56000000000000005</v>
      </c>
      <c r="AF15" s="14">
        <v>0.54</v>
      </c>
    </row>
    <row r="16" spans="1:32">
      <c r="A16" s="20"/>
      <c r="B16" s="11" t="s">
        <v>1373</v>
      </c>
      <c r="C16" s="12">
        <v>6263</v>
      </c>
      <c r="D16" s="12">
        <v>241</v>
      </c>
      <c r="E16" s="12">
        <v>148</v>
      </c>
      <c r="F16" s="12">
        <v>258</v>
      </c>
      <c r="G16" s="12">
        <v>167</v>
      </c>
      <c r="H16" s="12">
        <v>325</v>
      </c>
      <c r="I16" s="12">
        <v>424</v>
      </c>
      <c r="J16" s="12">
        <v>99</v>
      </c>
      <c r="K16" s="12">
        <v>188</v>
      </c>
      <c r="L16" s="12">
        <v>151</v>
      </c>
      <c r="M16" s="12">
        <v>371</v>
      </c>
      <c r="N16" s="12">
        <v>240</v>
      </c>
      <c r="O16" s="12">
        <v>183</v>
      </c>
      <c r="P16" s="12">
        <v>243</v>
      </c>
      <c r="Q16" s="12">
        <v>297</v>
      </c>
      <c r="R16" s="12">
        <v>155</v>
      </c>
      <c r="S16" s="12">
        <v>186</v>
      </c>
      <c r="T16" s="12">
        <v>140</v>
      </c>
      <c r="U16" s="12">
        <v>57</v>
      </c>
      <c r="V16" s="12">
        <v>216</v>
      </c>
      <c r="W16" s="12">
        <v>58</v>
      </c>
      <c r="X16" s="12">
        <v>268</v>
      </c>
      <c r="Y16" s="12">
        <v>202</v>
      </c>
      <c r="Z16" s="12">
        <v>187</v>
      </c>
      <c r="AA16" s="12">
        <v>281</v>
      </c>
      <c r="AB16" s="12">
        <v>211</v>
      </c>
      <c r="AC16" s="12">
        <v>251</v>
      </c>
      <c r="AD16" s="12">
        <v>313</v>
      </c>
      <c r="AE16" s="12">
        <v>175</v>
      </c>
      <c r="AF16" s="12">
        <v>190</v>
      </c>
    </row>
    <row r="17" spans="1:32">
      <c r="A17" s="20"/>
      <c r="B17" s="13" t="s">
        <v>1374</v>
      </c>
      <c r="C17" s="14">
        <v>0.24</v>
      </c>
      <c r="D17" s="14">
        <v>0.24</v>
      </c>
      <c r="E17" s="14">
        <v>0.14000000000000001</v>
      </c>
      <c r="F17" s="14">
        <v>0.26</v>
      </c>
      <c r="G17" s="14">
        <v>0.17</v>
      </c>
      <c r="H17" s="14">
        <v>0.27</v>
      </c>
      <c r="I17" s="14">
        <v>0.28000000000000003</v>
      </c>
      <c r="J17" s="14">
        <v>0.34</v>
      </c>
      <c r="K17" s="14">
        <v>0.19</v>
      </c>
      <c r="L17" s="14">
        <v>0.15</v>
      </c>
      <c r="M17" s="14">
        <v>0.37</v>
      </c>
      <c r="N17" s="14">
        <v>0.24</v>
      </c>
      <c r="O17" s="14">
        <v>0.18</v>
      </c>
      <c r="P17" s="14">
        <v>0.24</v>
      </c>
      <c r="Q17" s="14">
        <v>0.28999999999999998</v>
      </c>
      <c r="R17" s="14">
        <v>0.31</v>
      </c>
      <c r="S17" s="14">
        <v>0.19</v>
      </c>
      <c r="T17" s="14">
        <v>0.14000000000000001</v>
      </c>
      <c r="U17" s="14">
        <v>0.11</v>
      </c>
      <c r="V17" s="14">
        <v>0.21</v>
      </c>
      <c r="W17" s="14">
        <v>0.12</v>
      </c>
      <c r="X17" s="14">
        <v>0.26</v>
      </c>
      <c r="Y17" s="14">
        <v>0.2</v>
      </c>
      <c r="Z17" s="14">
        <v>0.19</v>
      </c>
      <c r="AA17" s="14">
        <v>0.27</v>
      </c>
      <c r="AB17" s="14">
        <v>0.2</v>
      </c>
      <c r="AC17" s="14">
        <v>0.25</v>
      </c>
      <c r="AD17" s="14">
        <v>0.31</v>
      </c>
      <c r="AE17" s="14">
        <v>0.18</v>
      </c>
      <c r="AF17" s="14">
        <v>0.19</v>
      </c>
    </row>
    <row r="18" spans="1:32">
      <c r="A18" s="20"/>
      <c r="B18" s="11" t="s">
        <v>1375</v>
      </c>
      <c r="C18" s="12">
        <v>1293</v>
      </c>
      <c r="D18" s="12">
        <v>45</v>
      </c>
      <c r="E18" s="12">
        <v>45</v>
      </c>
      <c r="F18" s="12">
        <v>57</v>
      </c>
      <c r="G18" s="12">
        <v>23</v>
      </c>
      <c r="H18" s="12">
        <v>49</v>
      </c>
      <c r="I18" s="12">
        <v>68</v>
      </c>
      <c r="J18" s="12">
        <v>18</v>
      </c>
      <c r="K18" s="12">
        <v>31</v>
      </c>
      <c r="L18" s="12">
        <v>50</v>
      </c>
      <c r="M18" s="12">
        <v>100</v>
      </c>
      <c r="N18" s="12">
        <v>54</v>
      </c>
      <c r="O18" s="12">
        <v>42</v>
      </c>
      <c r="P18" s="12">
        <v>31</v>
      </c>
      <c r="Q18" s="12">
        <v>70</v>
      </c>
      <c r="R18" s="12">
        <v>25</v>
      </c>
      <c r="S18" s="12">
        <v>9</v>
      </c>
      <c r="T18" s="12">
        <v>11</v>
      </c>
      <c r="U18" s="12">
        <v>11</v>
      </c>
      <c r="V18" s="12">
        <v>33</v>
      </c>
      <c r="W18" s="12">
        <v>16</v>
      </c>
      <c r="X18" s="12">
        <v>26</v>
      </c>
      <c r="Y18" s="12">
        <v>68</v>
      </c>
      <c r="Z18" s="12">
        <v>42</v>
      </c>
      <c r="AA18" s="12">
        <v>59</v>
      </c>
      <c r="AB18" s="12">
        <v>69</v>
      </c>
      <c r="AC18" s="12">
        <v>28</v>
      </c>
      <c r="AD18" s="12">
        <v>63</v>
      </c>
      <c r="AE18" s="12">
        <v>31</v>
      </c>
      <c r="AF18" s="12">
        <v>22</v>
      </c>
    </row>
    <row r="19" spans="1:32">
      <c r="A19" s="20"/>
      <c r="B19" s="13" t="s">
        <v>1376</v>
      </c>
      <c r="C19" s="14">
        <v>0.05</v>
      </c>
      <c r="D19" s="14">
        <v>0.05</v>
      </c>
      <c r="E19" s="14">
        <v>0.04</v>
      </c>
      <c r="F19" s="14">
        <v>0.06</v>
      </c>
      <c r="G19" s="14">
        <v>0.02</v>
      </c>
      <c r="H19" s="14">
        <v>0.04</v>
      </c>
      <c r="I19" s="14">
        <v>0.05</v>
      </c>
      <c r="J19" s="14">
        <v>0.06</v>
      </c>
      <c r="K19" s="14">
        <v>0.03</v>
      </c>
      <c r="L19" s="14">
        <v>0.05</v>
      </c>
      <c r="M19" s="14">
        <v>0.1</v>
      </c>
      <c r="N19" s="14">
        <v>0.05</v>
      </c>
      <c r="O19" s="14">
        <v>0.04</v>
      </c>
      <c r="P19" s="14">
        <v>0.03</v>
      </c>
      <c r="Q19" s="14">
        <v>7.0000000000000007E-2</v>
      </c>
      <c r="R19" s="14">
        <v>0.05</v>
      </c>
      <c r="S19" s="14">
        <v>0.01</v>
      </c>
      <c r="T19" s="14">
        <v>0.01</v>
      </c>
      <c r="U19" s="14">
        <v>0.02</v>
      </c>
      <c r="V19" s="14">
        <v>0.03</v>
      </c>
      <c r="W19" s="14">
        <v>0.03</v>
      </c>
      <c r="X19" s="14">
        <v>0.03</v>
      </c>
      <c r="Y19" s="14">
        <v>7.0000000000000007E-2</v>
      </c>
      <c r="Z19" s="14">
        <v>0.04</v>
      </c>
      <c r="AA19" s="14">
        <v>0.05</v>
      </c>
      <c r="AB19" s="14">
        <v>7.0000000000000007E-2</v>
      </c>
      <c r="AC19" s="14">
        <v>0.03</v>
      </c>
      <c r="AD19" s="14">
        <v>0.06</v>
      </c>
      <c r="AE19" s="14">
        <v>0.03</v>
      </c>
      <c r="AF19" s="14">
        <v>0.02</v>
      </c>
    </row>
    <row r="20" spans="1:32">
      <c r="A20" s="20"/>
      <c r="B20" s="11" t="s">
        <v>468</v>
      </c>
      <c r="C20" s="12">
        <v>3035</v>
      </c>
      <c r="D20" s="12">
        <v>49</v>
      </c>
      <c r="E20" s="12">
        <v>150</v>
      </c>
      <c r="F20" s="12">
        <v>132</v>
      </c>
      <c r="G20" s="12">
        <v>123</v>
      </c>
      <c r="H20" s="12">
        <v>215</v>
      </c>
      <c r="I20" s="12">
        <v>246</v>
      </c>
      <c r="J20" s="12">
        <v>31</v>
      </c>
      <c r="K20" s="12">
        <v>141</v>
      </c>
      <c r="L20" s="12">
        <v>99</v>
      </c>
      <c r="M20" s="12">
        <v>123</v>
      </c>
      <c r="N20" s="12">
        <v>86</v>
      </c>
      <c r="O20" s="12">
        <v>151</v>
      </c>
      <c r="P20" s="12">
        <v>54</v>
      </c>
      <c r="Q20" s="12">
        <v>52</v>
      </c>
      <c r="R20" s="12">
        <v>55</v>
      </c>
      <c r="S20" s="12">
        <v>205</v>
      </c>
      <c r="T20" s="12">
        <v>217</v>
      </c>
      <c r="U20" s="12">
        <v>61</v>
      </c>
      <c r="V20" s="12">
        <v>90</v>
      </c>
      <c r="W20" s="12">
        <v>33</v>
      </c>
      <c r="X20" s="12">
        <v>83</v>
      </c>
      <c r="Y20" s="12">
        <v>101</v>
      </c>
      <c r="Z20" s="12">
        <v>116</v>
      </c>
      <c r="AA20" s="12">
        <v>160</v>
      </c>
      <c r="AB20" s="12">
        <v>128</v>
      </c>
      <c r="AC20" s="12">
        <v>105</v>
      </c>
      <c r="AD20" s="12">
        <v>73</v>
      </c>
      <c r="AE20" s="12">
        <v>108</v>
      </c>
      <c r="AF20" s="12">
        <v>111</v>
      </c>
    </row>
    <row r="21" spans="1:32">
      <c r="A21" s="20"/>
      <c r="B21" s="13" t="s">
        <v>469</v>
      </c>
      <c r="C21" s="14">
        <v>0.11</v>
      </c>
      <c r="D21" s="14">
        <v>0.05</v>
      </c>
      <c r="E21" s="14">
        <v>0.15</v>
      </c>
      <c r="F21" s="14">
        <v>0.13</v>
      </c>
      <c r="G21" s="14">
        <v>0.12</v>
      </c>
      <c r="H21" s="14">
        <v>0.18</v>
      </c>
      <c r="I21" s="14">
        <v>0.16</v>
      </c>
      <c r="J21" s="14">
        <v>0.11</v>
      </c>
      <c r="K21" s="14">
        <v>0.14000000000000001</v>
      </c>
      <c r="L21" s="14">
        <v>0.1</v>
      </c>
      <c r="M21" s="14">
        <v>0.12</v>
      </c>
      <c r="N21" s="14">
        <v>0.09</v>
      </c>
      <c r="O21" s="14">
        <v>0.15</v>
      </c>
      <c r="P21" s="14">
        <v>0.05</v>
      </c>
      <c r="Q21" s="14">
        <v>0.05</v>
      </c>
      <c r="R21" s="14">
        <v>0.11</v>
      </c>
      <c r="S21" s="14">
        <v>0.2</v>
      </c>
      <c r="T21" s="14">
        <v>0.21</v>
      </c>
      <c r="U21" s="14">
        <v>0.12</v>
      </c>
      <c r="V21" s="14">
        <v>0.09</v>
      </c>
      <c r="W21" s="14">
        <v>0.06</v>
      </c>
      <c r="X21" s="14">
        <v>0.08</v>
      </c>
      <c r="Y21" s="14">
        <v>0.1</v>
      </c>
      <c r="Z21" s="14">
        <v>0.11</v>
      </c>
      <c r="AA21" s="14">
        <v>0.15</v>
      </c>
      <c r="AB21" s="14">
        <v>0.12</v>
      </c>
      <c r="AC21" s="14">
        <v>0.1</v>
      </c>
      <c r="AD21" s="14">
        <v>7.0000000000000007E-2</v>
      </c>
      <c r="AE21" s="14">
        <v>0.11</v>
      </c>
      <c r="AF21" s="14">
        <v>0.11</v>
      </c>
    </row>
    <row r="22" spans="1:32">
      <c r="A22" s="20"/>
      <c r="B22" s="11" t="s">
        <v>1379</v>
      </c>
      <c r="C22" s="12">
        <v>15728</v>
      </c>
      <c r="D22" s="12">
        <v>668</v>
      </c>
      <c r="E22" s="12">
        <v>675</v>
      </c>
      <c r="F22" s="12">
        <v>558</v>
      </c>
      <c r="G22" s="12">
        <v>690</v>
      </c>
      <c r="H22" s="12">
        <v>627</v>
      </c>
      <c r="I22" s="12">
        <v>771</v>
      </c>
      <c r="J22" s="12">
        <v>145</v>
      </c>
      <c r="K22" s="12">
        <v>645</v>
      </c>
      <c r="L22" s="12">
        <v>707</v>
      </c>
      <c r="M22" s="12">
        <v>410</v>
      </c>
      <c r="N22" s="12">
        <v>624</v>
      </c>
      <c r="O22" s="12">
        <v>627</v>
      </c>
      <c r="P22" s="12">
        <v>694</v>
      </c>
      <c r="Q22" s="12">
        <v>600</v>
      </c>
      <c r="R22" s="12">
        <v>265</v>
      </c>
      <c r="S22" s="12">
        <v>608</v>
      </c>
      <c r="T22" s="12">
        <v>646</v>
      </c>
      <c r="U22" s="12">
        <v>378</v>
      </c>
      <c r="V22" s="12">
        <v>678</v>
      </c>
      <c r="W22" s="12">
        <v>396</v>
      </c>
      <c r="X22" s="12">
        <v>644</v>
      </c>
      <c r="Y22" s="12">
        <v>637</v>
      </c>
      <c r="Z22" s="12">
        <v>663</v>
      </c>
      <c r="AA22" s="12">
        <v>553</v>
      </c>
      <c r="AB22" s="12">
        <v>631</v>
      </c>
      <c r="AC22" s="12">
        <v>626</v>
      </c>
      <c r="AD22" s="12">
        <v>557</v>
      </c>
      <c r="AE22" s="12">
        <v>687</v>
      </c>
      <c r="AF22" s="12">
        <v>696</v>
      </c>
    </row>
    <row r="23" spans="1:32">
      <c r="A23" s="20"/>
      <c r="B23" s="13" t="s">
        <v>1380</v>
      </c>
      <c r="C23" s="14">
        <v>0.6</v>
      </c>
      <c r="D23" s="14">
        <v>0.66</v>
      </c>
      <c r="E23" s="14">
        <v>0.67</v>
      </c>
      <c r="F23" s="14">
        <v>0.55000000000000004</v>
      </c>
      <c r="G23" s="14">
        <v>0.69000000000000006</v>
      </c>
      <c r="H23" s="14">
        <v>0.51</v>
      </c>
      <c r="I23" s="14">
        <v>0.51</v>
      </c>
      <c r="J23" s="14">
        <v>0.49</v>
      </c>
      <c r="K23" s="14">
        <v>0.64</v>
      </c>
      <c r="L23" s="14">
        <v>0.70000000000000007</v>
      </c>
      <c r="M23" s="14">
        <v>0.41</v>
      </c>
      <c r="N23" s="14">
        <v>0.62</v>
      </c>
      <c r="O23" s="14">
        <v>0.63</v>
      </c>
      <c r="P23" s="14">
        <v>0.68</v>
      </c>
      <c r="Q23" s="14">
        <v>0.59</v>
      </c>
      <c r="R23" s="14">
        <v>0.53</v>
      </c>
      <c r="S23" s="14">
        <v>0.6</v>
      </c>
      <c r="T23" s="14">
        <v>0.64</v>
      </c>
      <c r="U23" s="14">
        <v>0.75</v>
      </c>
      <c r="V23" s="14">
        <v>0.67</v>
      </c>
      <c r="W23" s="14">
        <v>0.79</v>
      </c>
      <c r="X23" s="14">
        <v>0.63</v>
      </c>
      <c r="Y23" s="14">
        <v>0.63</v>
      </c>
      <c r="Z23" s="14">
        <v>0.66</v>
      </c>
      <c r="AA23" s="14">
        <v>0.53</v>
      </c>
      <c r="AB23" s="14">
        <v>0.61</v>
      </c>
      <c r="AC23" s="14">
        <v>0.62</v>
      </c>
      <c r="AD23" s="14">
        <v>0.56000000000000005</v>
      </c>
      <c r="AE23" s="14">
        <v>0.68</v>
      </c>
      <c r="AF23" s="14">
        <v>0.68</v>
      </c>
    </row>
    <row r="24" spans="1:32">
      <c r="A24" s="20"/>
      <c r="B24" s="11" t="s">
        <v>1381</v>
      </c>
      <c r="C24" s="12">
        <v>7556</v>
      </c>
      <c r="D24" s="12">
        <v>286</v>
      </c>
      <c r="E24" s="12">
        <v>193</v>
      </c>
      <c r="F24" s="12">
        <v>315</v>
      </c>
      <c r="G24" s="12">
        <v>190</v>
      </c>
      <c r="H24" s="12">
        <v>374</v>
      </c>
      <c r="I24" s="12">
        <v>492</v>
      </c>
      <c r="J24" s="12">
        <v>117</v>
      </c>
      <c r="K24" s="12">
        <v>219</v>
      </c>
      <c r="L24" s="12">
        <v>201</v>
      </c>
      <c r="M24" s="12">
        <v>471</v>
      </c>
      <c r="N24" s="12">
        <v>294</v>
      </c>
      <c r="O24" s="12">
        <v>225</v>
      </c>
      <c r="P24" s="12">
        <v>274</v>
      </c>
      <c r="Q24" s="12">
        <v>367</v>
      </c>
      <c r="R24" s="12">
        <v>180</v>
      </c>
      <c r="S24" s="12">
        <v>195</v>
      </c>
      <c r="T24" s="12">
        <v>151</v>
      </c>
      <c r="U24" s="12">
        <v>68</v>
      </c>
      <c r="V24" s="12">
        <v>249</v>
      </c>
      <c r="W24" s="12">
        <v>74</v>
      </c>
      <c r="X24" s="12">
        <v>294</v>
      </c>
      <c r="Y24" s="12">
        <v>270</v>
      </c>
      <c r="Z24" s="12">
        <v>229</v>
      </c>
      <c r="AA24" s="12">
        <v>340</v>
      </c>
      <c r="AB24" s="12">
        <v>280</v>
      </c>
      <c r="AC24" s="12">
        <v>279</v>
      </c>
      <c r="AD24" s="12">
        <v>376</v>
      </c>
      <c r="AE24" s="12">
        <v>206</v>
      </c>
      <c r="AF24" s="12">
        <v>212</v>
      </c>
    </row>
    <row r="25" spans="1:32">
      <c r="A25" s="20"/>
      <c r="B25" s="13" t="s">
        <v>1382</v>
      </c>
      <c r="C25" s="14">
        <v>0.28999999999999998</v>
      </c>
      <c r="D25" s="14">
        <v>0.28999999999999998</v>
      </c>
      <c r="E25" s="14">
        <v>0.18</v>
      </c>
      <c r="F25" s="14">
        <v>0.32</v>
      </c>
      <c r="G25" s="14">
        <v>0.19</v>
      </c>
      <c r="H25" s="14">
        <v>0.31</v>
      </c>
      <c r="I25" s="14">
        <v>0.33</v>
      </c>
      <c r="J25" s="14">
        <v>0.4</v>
      </c>
      <c r="K25" s="14">
        <v>0.22</v>
      </c>
      <c r="L25" s="14">
        <v>0.2</v>
      </c>
      <c r="M25" s="14">
        <v>0.47</v>
      </c>
      <c r="N25" s="14">
        <v>0.28999999999999998</v>
      </c>
      <c r="O25" s="14">
        <v>0.22</v>
      </c>
      <c r="P25" s="14">
        <v>0.27</v>
      </c>
      <c r="Q25" s="14">
        <v>0.36</v>
      </c>
      <c r="R25" s="14">
        <v>0.36</v>
      </c>
      <c r="S25" s="14">
        <v>0.2</v>
      </c>
      <c r="T25" s="14">
        <v>0.15</v>
      </c>
      <c r="U25" s="14">
        <v>0.13</v>
      </c>
      <c r="V25" s="14">
        <v>0.24</v>
      </c>
      <c r="W25" s="14">
        <v>0.15</v>
      </c>
      <c r="X25" s="14">
        <v>0.28999999999999998</v>
      </c>
      <c r="Y25" s="14">
        <v>0.27</v>
      </c>
      <c r="Z25" s="14">
        <v>0.23</v>
      </c>
      <c r="AA25" s="14">
        <v>0.32</v>
      </c>
      <c r="AB25" s="14">
        <v>0.27</v>
      </c>
      <c r="AC25" s="14">
        <v>0.28000000000000003</v>
      </c>
      <c r="AD25" s="14">
        <v>0.37</v>
      </c>
      <c r="AE25" s="14">
        <v>0.21</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1392</v>
      </c>
      <c r="C3" s="18"/>
      <c r="D3" s="18"/>
      <c r="E3" s="18"/>
      <c r="F3" s="18"/>
      <c r="H3" s="18" t="s">
        <v>1393</v>
      </c>
      <c r="I3" s="18"/>
      <c r="J3" s="18"/>
      <c r="K3" s="18"/>
      <c r="L3" s="18"/>
    </row>
    <row r="4" spans="1:32" ht="27" customHeight="1">
      <c r="B4" s="18" t="s">
        <v>1394</v>
      </c>
      <c r="C4" s="18"/>
      <c r="D4" s="18"/>
      <c r="E4" s="18"/>
      <c r="F4" s="18"/>
      <c r="H4" s="18" t="s">
        <v>1395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3016</v>
      </c>
      <c r="D12" s="12">
        <v>132</v>
      </c>
      <c r="E12" s="12">
        <v>98</v>
      </c>
      <c r="F12" s="12">
        <v>102</v>
      </c>
      <c r="G12" s="12">
        <v>133</v>
      </c>
      <c r="H12" s="12">
        <v>69</v>
      </c>
      <c r="I12" s="12">
        <v>85</v>
      </c>
      <c r="J12" s="12">
        <v>17</v>
      </c>
      <c r="K12" s="12">
        <v>117</v>
      </c>
      <c r="L12" s="12">
        <v>172</v>
      </c>
      <c r="M12" s="12">
        <v>76</v>
      </c>
      <c r="N12" s="12">
        <v>105</v>
      </c>
      <c r="O12" s="12">
        <v>149</v>
      </c>
      <c r="P12" s="12">
        <v>147</v>
      </c>
      <c r="Q12" s="12">
        <v>160</v>
      </c>
      <c r="R12" s="12">
        <v>45</v>
      </c>
      <c r="S12" s="12">
        <v>84</v>
      </c>
      <c r="T12" s="12">
        <v>97</v>
      </c>
      <c r="U12" s="12">
        <v>129</v>
      </c>
      <c r="V12" s="12">
        <v>173</v>
      </c>
      <c r="W12" s="12">
        <v>147</v>
      </c>
      <c r="X12" s="12">
        <v>78</v>
      </c>
      <c r="Y12" s="12">
        <v>160</v>
      </c>
      <c r="Z12" s="12">
        <v>119</v>
      </c>
      <c r="AA12" s="12">
        <v>79</v>
      </c>
      <c r="AB12" s="12">
        <v>182</v>
      </c>
      <c r="AC12" s="12">
        <v>78</v>
      </c>
      <c r="AD12" s="12">
        <v>86</v>
      </c>
      <c r="AE12" s="12">
        <v>78</v>
      </c>
      <c r="AF12" s="12">
        <v>95</v>
      </c>
    </row>
    <row r="13" spans="1:32">
      <c r="A13" s="20"/>
      <c r="B13" s="13" t="s">
        <v>1387</v>
      </c>
      <c r="C13" s="14">
        <v>0.11</v>
      </c>
      <c r="D13" s="14">
        <v>0.13</v>
      </c>
      <c r="E13" s="14">
        <v>0.1</v>
      </c>
      <c r="F13" s="14">
        <v>0.1</v>
      </c>
      <c r="G13" s="14">
        <v>0.13</v>
      </c>
      <c r="H13" s="14">
        <v>0.06</v>
      </c>
      <c r="I13" s="14">
        <v>0.06</v>
      </c>
      <c r="J13" s="14">
        <v>0.06</v>
      </c>
      <c r="K13" s="14">
        <v>0.12</v>
      </c>
      <c r="L13" s="14">
        <v>0.17</v>
      </c>
      <c r="M13" s="14">
        <v>0.08</v>
      </c>
      <c r="N13" s="14">
        <v>0.1</v>
      </c>
      <c r="O13" s="14">
        <v>0.15</v>
      </c>
      <c r="P13" s="14">
        <v>0.14000000000000001</v>
      </c>
      <c r="Q13" s="14">
        <v>0.16</v>
      </c>
      <c r="R13" s="14">
        <v>0.09</v>
      </c>
      <c r="S13" s="14">
        <v>0.08</v>
      </c>
      <c r="T13" s="14">
        <v>0.1</v>
      </c>
      <c r="U13" s="14">
        <v>0.26</v>
      </c>
      <c r="V13" s="14">
        <v>0.17</v>
      </c>
      <c r="W13" s="14">
        <v>0.28999999999999998</v>
      </c>
      <c r="X13" s="14">
        <v>0.08</v>
      </c>
      <c r="Y13" s="14">
        <v>0.16</v>
      </c>
      <c r="Z13" s="14">
        <v>0.12</v>
      </c>
      <c r="AA13" s="14">
        <v>0.08</v>
      </c>
      <c r="AB13" s="14">
        <v>0.17</v>
      </c>
      <c r="AC13" s="14">
        <v>0.08</v>
      </c>
      <c r="AD13" s="14">
        <v>0.09</v>
      </c>
      <c r="AE13" s="14">
        <v>0.08</v>
      </c>
      <c r="AF13" s="14">
        <v>0.09</v>
      </c>
    </row>
    <row r="14" spans="1:32">
      <c r="A14" s="20"/>
      <c r="B14" s="11" t="s">
        <v>1371</v>
      </c>
      <c r="C14" s="12">
        <v>11370</v>
      </c>
      <c r="D14" s="12">
        <v>523</v>
      </c>
      <c r="E14" s="12">
        <v>389</v>
      </c>
      <c r="F14" s="12">
        <v>437</v>
      </c>
      <c r="G14" s="12">
        <v>461</v>
      </c>
      <c r="H14" s="12">
        <v>523</v>
      </c>
      <c r="I14" s="12">
        <v>625</v>
      </c>
      <c r="J14" s="12">
        <v>102</v>
      </c>
      <c r="K14" s="12">
        <v>376</v>
      </c>
      <c r="L14" s="12">
        <v>506</v>
      </c>
      <c r="M14" s="12">
        <v>253</v>
      </c>
      <c r="N14" s="12">
        <v>421</v>
      </c>
      <c r="O14" s="12">
        <v>380</v>
      </c>
      <c r="P14" s="12">
        <v>537</v>
      </c>
      <c r="Q14" s="12">
        <v>457</v>
      </c>
      <c r="R14" s="12">
        <v>198</v>
      </c>
      <c r="S14" s="12">
        <v>404</v>
      </c>
      <c r="T14" s="12">
        <v>440</v>
      </c>
      <c r="U14" s="12">
        <v>224</v>
      </c>
      <c r="V14" s="12">
        <v>468</v>
      </c>
      <c r="W14" s="12">
        <v>218</v>
      </c>
      <c r="X14" s="12">
        <v>518</v>
      </c>
      <c r="Y14" s="12">
        <v>414</v>
      </c>
      <c r="Z14" s="12">
        <v>518</v>
      </c>
      <c r="AA14" s="12">
        <v>437</v>
      </c>
      <c r="AB14" s="12">
        <v>444</v>
      </c>
      <c r="AC14" s="12">
        <v>492</v>
      </c>
      <c r="AD14" s="12">
        <v>371</v>
      </c>
      <c r="AE14" s="12">
        <v>534</v>
      </c>
      <c r="AF14" s="12">
        <v>509</v>
      </c>
    </row>
    <row r="15" spans="1:32">
      <c r="A15" s="20"/>
      <c r="B15" s="13" t="s">
        <v>1372</v>
      </c>
      <c r="C15" s="14">
        <v>0.43</v>
      </c>
      <c r="D15" s="14">
        <v>0.52</v>
      </c>
      <c r="E15" s="14">
        <v>0.38</v>
      </c>
      <c r="F15" s="14">
        <v>0.44</v>
      </c>
      <c r="G15" s="14">
        <v>0.46</v>
      </c>
      <c r="H15" s="14">
        <v>0.43</v>
      </c>
      <c r="I15" s="14">
        <v>0.41</v>
      </c>
      <c r="J15" s="14">
        <v>0.34</v>
      </c>
      <c r="K15" s="14">
        <v>0.37</v>
      </c>
      <c r="L15" s="14">
        <v>0.5</v>
      </c>
      <c r="M15" s="14">
        <v>0.25</v>
      </c>
      <c r="N15" s="14">
        <v>0.42</v>
      </c>
      <c r="O15" s="14">
        <v>0.38</v>
      </c>
      <c r="P15" s="14">
        <v>0.53</v>
      </c>
      <c r="Q15" s="14">
        <v>0.45</v>
      </c>
      <c r="R15" s="14">
        <v>0.4</v>
      </c>
      <c r="S15" s="14">
        <v>0.4</v>
      </c>
      <c r="T15" s="14">
        <v>0.43</v>
      </c>
      <c r="U15" s="14">
        <v>0.44</v>
      </c>
      <c r="V15" s="14">
        <v>0.46</v>
      </c>
      <c r="W15" s="14">
        <v>0.43</v>
      </c>
      <c r="X15" s="14">
        <v>0.51</v>
      </c>
      <c r="Y15" s="14">
        <v>0.41</v>
      </c>
      <c r="Z15" s="14">
        <v>0.52</v>
      </c>
      <c r="AA15" s="14">
        <v>0.42</v>
      </c>
      <c r="AB15" s="14">
        <v>0.43</v>
      </c>
      <c r="AC15" s="14">
        <v>0.49</v>
      </c>
      <c r="AD15" s="14">
        <v>0.37</v>
      </c>
      <c r="AE15" s="14">
        <v>0.53</v>
      </c>
      <c r="AF15" s="14">
        <v>0.5</v>
      </c>
    </row>
    <row r="16" spans="1:32">
      <c r="A16" s="20"/>
      <c r="B16" s="11" t="s">
        <v>1373</v>
      </c>
      <c r="C16" s="12">
        <v>6834</v>
      </c>
      <c r="D16" s="12">
        <v>248</v>
      </c>
      <c r="E16" s="12">
        <v>223</v>
      </c>
      <c r="F16" s="12">
        <v>251</v>
      </c>
      <c r="G16" s="12">
        <v>237</v>
      </c>
      <c r="H16" s="12">
        <v>322</v>
      </c>
      <c r="I16" s="12">
        <v>434</v>
      </c>
      <c r="J16" s="12">
        <v>111</v>
      </c>
      <c r="K16" s="12">
        <v>237</v>
      </c>
      <c r="L16" s="12">
        <v>138</v>
      </c>
      <c r="M16" s="12">
        <v>410</v>
      </c>
      <c r="N16" s="12">
        <v>287</v>
      </c>
      <c r="O16" s="12">
        <v>238</v>
      </c>
      <c r="P16" s="12">
        <v>236</v>
      </c>
      <c r="Q16" s="12">
        <v>300</v>
      </c>
      <c r="R16" s="12">
        <v>152</v>
      </c>
      <c r="S16" s="12">
        <v>211</v>
      </c>
      <c r="T16" s="12">
        <v>157</v>
      </c>
      <c r="U16" s="12">
        <v>60</v>
      </c>
      <c r="V16" s="12">
        <v>236</v>
      </c>
      <c r="W16" s="12">
        <v>82</v>
      </c>
      <c r="X16" s="12">
        <v>284</v>
      </c>
      <c r="Y16" s="12">
        <v>171</v>
      </c>
      <c r="Z16" s="12">
        <v>204</v>
      </c>
      <c r="AA16" s="12">
        <v>300</v>
      </c>
      <c r="AB16" s="12">
        <v>207</v>
      </c>
      <c r="AC16" s="12">
        <v>278</v>
      </c>
      <c r="AD16" s="12">
        <v>329</v>
      </c>
      <c r="AE16" s="12">
        <v>219</v>
      </c>
      <c r="AF16" s="12">
        <v>236</v>
      </c>
    </row>
    <row r="17" spans="1:32">
      <c r="A17" s="20"/>
      <c r="B17" s="13" t="s">
        <v>1374</v>
      </c>
      <c r="C17" s="14">
        <v>0.26</v>
      </c>
      <c r="D17" s="14">
        <v>0.25</v>
      </c>
      <c r="E17" s="14">
        <v>0.22</v>
      </c>
      <c r="F17" s="14">
        <v>0.25</v>
      </c>
      <c r="G17" s="14">
        <v>0.24</v>
      </c>
      <c r="H17" s="14">
        <v>0.26</v>
      </c>
      <c r="I17" s="14">
        <v>0.28999999999999998</v>
      </c>
      <c r="J17" s="14">
        <v>0.38</v>
      </c>
      <c r="K17" s="14">
        <v>0.24</v>
      </c>
      <c r="L17" s="14">
        <v>0.14000000000000001</v>
      </c>
      <c r="M17" s="14">
        <v>0.41</v>
      </c>
      <c r="N17" s="14">
        <v>0.28999999999999998</v>
      </c>
      <c r="O17" s="14">
        <v>0.23</v>
      </c>
      <c r="P17" s="14">
        <v>0.23</v>
      </c>
      <c r="Q17" s="14">
        <v>0.28999999999999998</v>
      </c>
      <c r="R17" s="14">
        <v>0.3</v>
      </c>
      <c r="S17" s="14">
        <v>0.21</v>
      </c>
      <c r="T17" s="14">
        <v>0.15</v>
      </c>
      <c r="U17" s="14">
        <v>0.12</v>
      </c>
      <c r="V17" s="14">
        <v>0.23</v>
      </c>
      <c r="W17" s="14">
        <v>0.16</v>
      </c>
      <c r="X17" s="14">
        <v>0.28000000000000003</v>
      </c>
      <c r="Y17" s="14">
        <v>0.17</v>
      </c>
      <c r="Z17" s="14">
        <v>0.2</v>
      </c>
      <c r="AA17" s="14">
        <v>0.28000000000000003</v>
      </c>
      <c r="AB17" s="14">
        <v>0.2</v>
      </c>
      <c r="AC17" s="14">
        <v>0.27</v>
      </c>
      <c r="AD17" s="14">
        <v>0.33</v>
      </c>
      <c r="AE17" s="14">
        <v>0.22</v>
      </c>
      <c r="AF17" s="14">
        <v>0.23</v>
      </c>
    </row>
    <row r="18" spans="1:32">
      <c r="A18" s="20"/>
      <c r="B18" s="11" t="s">
        <v>1375</v>
      </c>
      <c r="C18" s="12">
        <v>1282</v>
      </c>
      <c r="D18" s="12">
        <v>41</v>
      </c>
      <c r="E18" s="12">
        <v>50</v>
      </c>
      <c r="F18" s="12">
        <v>52</v>
      </c>
      <c r="G18" s="12">
        <v>17</v>
      </c>
      <c r="H18" s="12">
        <v>45</v>
      </c>
      <c r="I18" s="12">
        <v>68</v>
      </c>
      <c r="J18" s="12">
        <v>23</v>
      </c>
      <c r="K18" s="12">
        <v>50</v>
      </c>
      <c r="L18" s="12">
        <v>42</v>
      </c>
      <c r="M18" s="12">
        <v>89</v>
      </c>
      <c r="N18" s="12">
        <v>67</v>
      </c>
      <c r="O18" s="12">
        <v>57</v>
      </c>
      <c r="P18" s="12">
        <v>38</v>
      </c>
      <c r="Q18" s="12">
        <v>46</v>
      </c>
      <c r="R18" s="12">
        <v>14</v>
      </c>
      <c r="S18" s="12">
        <v>21</v>
      </c>
      <c r="T18" s="12">
        <v>19</v>
      </c>
      <c r="U18" s="12">
        <v>21</v>
      </c>
      <c r="V18" s="12">
        <v>47</v>
      </c>
      <c r="W18" s="12">
        <v>27</v>
      </c>
      <c r="X18" s="12">
        <v>35</v>
      </c>
      <c r="Y18" s="12">
        <v>62</v>
      </c>
      <c r="Z18" s="12">
        <v>23</v>
      </c>
      <c r="AA18" s="12">
        <v>68</v>
      </c>
      <c r="AB18" s="12">
        <v>68</v>
      </c>
      <c r="AC18" s="12">
        <v>33</v>
      </c>
      <c r="AD18" s="12">
        <v>56</v>
      </c>
      <c r="AE18" s="12">
        <v>13</v>
      </c>
      <c r="AF18" s="12">
        <v>49</v>
      </c>
    </row>
    <row r="19" spans="1:32">
      <c r="A19" s="20"/>
      <c r="B19" s="13" t="s">
        <v>1376</v>
      </c>
      <c r="C19" s="14">
        <v>0.05</v>
      </c>
      <c r="D19" s="14">
        <v>0.04</v>
      </c>
      <c r="E19" s="14">
        <v>0.05</v>
      </c>
      <c r="F19" s="14">
        <v>0.05</v>
      </c>
      <c r="G19" s="14">
        <v>0.02</v>
      </c>
      <c r="H19" s="14">
        <v>0.04</v>
      </c>
      <c r="I19" s="14">
        <v>0.04</v>
      </c>
      <c r="J19" s="14">
        <v>0.08</v>
      </c>
      <c r="K19" s="14">
        <v>0.05</v>
      </c>
      <c r="L19" s="14">
        <v>0.04</v>
      </c>
      <c r="M19" s="14">
        <v>0.09</v>
      </c>
      <c r="N19" s="14">
        <v>7.0000000000000007E-2</v>
      </c>
      <c r="O19" s="14">
        <v>0.06</v>
      </c>
      <c r="P19" s="14">
        <v>0.04</v>
      </c>
      <c r="Q19" s="14">
        <v>0.05</v>
      </c>
      <c r="R19" s="14">
        <v>0.03</v>
      </c>
      <c r="S19" s="14">
        <v>0.02</v>
      </c>
      <c r="T19" s="14">
        <v>0.02</v>
      </c>
      <c r="U19" s="14">
        <v>0.04</v>
      </c>
      <c r="V19" s="14">
        <v>0.05</v>
      </c>
      <c r="W19" s="14">
        <v>0.06</v>
      </c>
      <c r="X19" s="14">
        <v>0.03</v>
      </c>
      <c r="Y19" s="14">
        <v>0.06</v>
      </c>
      <c r="Z19" s="14">
        <v>0.02</v>
      </c>
      <c r="AA19" s="14">
        <v>0.06</v>
      </c>
      <c r="AB19" s="14">
        <v>7.0000000000000007E-2</v>
      </c>
      <c r="AC19" s="14">
        <v>0.03</v>
      </c>
      <c r="AD19" s="14">
        <v>0.05</v>
      </c>
      <c r="AE19" s="14">
        <v>0.01</v>
      </c>
      <c r="AF19" s="14">
        <v>0.05</v>
      </c>
    </row>
    <row r="20" spans="1:32">
      <c r="A20" s="20"/>
      <c r="B20" s="11" t="s">
        <v>468</v>
      </c>
      <c r="C20" s="12">
        <v>3816</v>
      </c>
      <c r="D20" s="12">
        <v>60</v>
      </c>
      <c r="E20" s="12">
        <v>257</v>
      </c>
      <c r="F20" s="12">
        <v>163</v>
      </c>
      <c r="G20" s="12">
        <v>155</v>
      </c>
      <c r="H20" s="12">
        <v>257</v>
      </c>
      <c r="I20" s="12">
        <v>298</v>
      </c>
      <c r="J20" s="12">
        <v>42</v>
      </c>
      <c r="K20" s="12">
        <v>225</v>
      </c>
      <c r="L20" s="12">
        <v>149</v>
      </c>
      <c r="M20" s="12">
        <v>174</v>
      </c>
      <c r="N20" s="12">
        <v>124</v>
      </c>
      <c r="O20" s="12">
        <v>180</v>
      </c>
      <c r="P20" s="12">
        <v>65</v>
      </c>
      <c r="Q20" s="12">
        <v>56</v>
      </c>
      <c r="R20" s="12">
        <v>91</v>
      </c>
      <c r="S20" s="12">
        <v>288</v>
      </c>
      <c r="T20" s="12">
        <v>301</v>
      </c>
      <c r="U20" s="12">
        <v>73</v>
      </c>
      <c r="V20" s="12">
        <v>93</v>
      </c>
      <c r="W20" s="12">
        <v>30</v>
      </c>
      <c r="X20" s="12">
        <v>107</v>
      </c>
      <c r="Y20" s="12">
        <v>200</v>
      </c>
      <c r="Z20" s="12">
        <v>144</v>
      </c>
      <c r="AA20" s="12">
        <v>169</v>
      </c>
      <c r="AB20" s="12">
        <v>139</v>
      </c>
      <c r="AC20" s="12">
        <v>130</v>
      </c>
      <c r="AD20" s="12">
        <v>164</v>
      </c>
      <c r="AE20" s="12">
        <v>157</v>
      </c>
      <c r="AF20" s="12">
        <v>132</v>
      </c>
    </row>
    <row r="21" spans="1:32">
      <c r="A21" s="20"/>
      <c r="B21" s="13" t="s">
        <v>469</v>
      </c>
      <c r="C21" s="14">
        <v>0.15</v>
      </c>
      <c r="D21" s="14">
        <v>0.06</v>
      </c>
      <c r="E21" s="14">
        <v>0.25</v>
      </c>
      <c r="F21" s="14">
        <v>0.16</v>
      </c>
      <c r="G21" s="14">
        <v>0.15</v>
      </c>
      <c r="H21" s="14">
        <v>0.21</v>
      </c>
      <c r="I21" s="14">
        <v>0.2</v>
      </c>
      <c r="J21" s="14">
        <v>0.14000000000000001</v>
      </c>
      <c r="K21" s="14">
        <v>0.22</v>
      </c>
      <c r="L21" s="14">
        <v>0.15</v>
      </c>
      <c r="M21" s="14">
        <v>0.17</v>
      </c>
      <c r="N21" s="14">
        <v>0.12</v>
      </c>
      <c r="O21" s="14">
        <v>0.18</v>
      </c>
      <c r="P21" s="14">
        <v>0.06</v>
      </c>
      <c r="Q21" s="14">
        <v>0.05</v>
      </c>
      <c r="R21" s="14">
        <v>0.18</v>
      </c>
      <c r="S21" s="14">
        <v>0.28999999999999998</v>
      </c>
      <c r="T21" s="14">
        <v>0.3</v>
      </c>
      <c r="U21" s="14">
        <v>0.14000000000000001</v>
      </c>
      <c r="V21" s="14">
        <v>0.09</v>
      </c>
      <c r="W21" s="14">
        <v>0.06</v>
      </c>
      <c r="X21" s="14">
        <v>0.1</v>
      </c>
      <c r="Y21" s="14">
        <v>0.2</v>
      </c>
      <c r="Z21" s="14">
        <v>0.14000000000000001</v>
      </c>
      <c r="AA21" s="14">
        <v>0.16</v>
      </c>
      <c r="AB21" s="14">
        <v>0.13</v>
      </c>
      <c r="AC21" s="14">
        <v>0.13</v>
      </c>
      <c r="AD21" s="14">
        <v>0.16</v>
      </c>
      <c r="AE21" s="14">
        <v>0.16</v>
      </c>
      <c r="AF21" s="14">
        <v>0.13</v>
      </c>
    </row>
    <row r="22" spans="1:32">
      <c r="A22" s="20"/>
      <c r="B22" s="11" t="s">
        <v>1379</v>
      </c>
      <c r="C22" s="12">
        <v>14386</v>
      </c>
      <c r="D22" s="12">
        <v>655</v>
      </c>
      <c r="E22" s="12">
        <v>487</v>
      </c>
      <c r="F22" s="12">
        <v>539</v>
      </c>
      <c r="G22" s="12">
        <v>594</v>
      </c>
      <c r="H22" s="12">
        <v>592</v>
      </c>
      <c r="I22" s="12">
        <v>710</v>
      </c>
      <c r="J22" s="12">
        <v>119</v>
      </c>
      <c r="K22" s="12">
        <v>493</v>
      </c>
      <c r="L22" s="12">
        <v>678</v>
      </c>
      <c r="M22" s="12">
        <v>329</v>
      </c>
      <c r="N22" s="12">
        <v>526</v>
      </c>
      <c r="O22" s="12">
        <v>529</v>
      </c>
      <c r="P22" s="12">
        <v>684</v>
      </c>
      <c r="Q22" s="12">
        <v>617</v>
      </c>
      <c r="R22" s="12">
        <v>243</v>
      </c>
      <c r="S22" s="12">
        <v>488</v>
      </c>
      <c r="T22" s="12">
        <v>537</v>
      </c>
      <c r="U22" s="12">
        <v>353</v>
      </c>
      <c r="V22" s="12">
        <v>641</v>
      </c>
      <c r="W22" s="12">
        <v>365</v>
      </c>
      <c r="X22" s="12">
        <v>596</v>
      </c>
      <c r="Y22" s="12">
        <v>574</v>
      </c>
      <c r="Z22" s="12">
        <v>637</v>
      </c>
      <c r="AA22" s="12">
        <v>516</v>
      </c>
      <c r="AB22" s="12">
        <v>626</v>
      </c>
      <c r="AC22" s="12">
        <v>570</v>
      </c>
      <c r="AD22" s="12">
        <v>457</v>
      </c>
      <c r="AE22" s="12">
        <v>612</v>
      </c>
      <c r="AF22" s="12">
        <v>604</v>
      </c>
    </row>
    <row r="23" spans="1:32">
      <c r="A23" s="20"/>
      <c r="B23" s="13" t="s">
        <v>1380</v>
      </c>
      <c r="C23" s="14">
        <v>0.54</v>
      </c>
      <c r="D23" s="14">
        <v>0.65</v>
      </c>
      <c r="E23" s="14">
        <v>0.48</v>
      </c>
      <c r="F23" s="14">
        <v>0.54</v>
      </c>
      <c r="G23" s="14">
        <v>0.59</v>
      </c>
      <c r="H23" s="14">
        <v>0.49</v>
      </c>
      <c r="I23" s="14">
        <v>0.47</v>
      </c>
      <c r="J23" s="14">
        <v>0.4</v>
      </c>
      <c r="K23" s="14">
        <v>0.49</v>
      </c>
      <c r="L23" s="14">
        <v>0.67</v>
      </c>
      <c r="M23" s="14">
        <v>0.33</v>
      </c>
      <c r="N23" s="14">
        <v>0.52</v>
      </c>
      <c r="O23" s="14">
        <v>0.53</v>
      </c>
      <c r="P23" s="14">
        <v>0.67</v>
      </c>
      <c r="Q23" s="14">
        <v>0.61</v>
      </c>
      <c r="R23" s="14">
        <v>0.49</v>
      </c>
      <c r="S23" s="14">
        <v>0.48</v>
      </c>
      <c r="T23" s="14">
        <v>0.53</v>
      </c>
      <c r="U23" s="14">
        <v>0.70000000000000007</v>
      </c>
      <c r="V23" s="14">
        <v>0.63</v>
      </c>
      <c r="W23" s="14">
        <v>0.72</v>
      </c>
      <c r="X23" s="14">
        <v>0.59</v>
      </c>
      <c r="Y23" s="14">
        <v>0.57000000000000006</v>
      </c>
      <c r="Z23" s="14">
        <v>0.64</v>
      </c>
      <c r="AA23" s="14">
        <v>0.5</v>
      </c>
      <c r="AB23" s="14">
        <v>0.6</v>
      </c>
      <c r="AC23" s="14">
        <v>0.57000000000000006</v>
      </c>
      <c r="AD23" s="14">
        <v>0.46</v>
      </c>
      <c r="AE23" s="14">
        <v>0.61</v>
      </c>
      <c r="AF23" s="14">
        <v>0.59</v>
      </c>
    </row>
    <row r="24" spans="1:32">
      <c r="A24" s="20"/>
      <c r="B24" s="11" t="s">
        <v>1381</v>
      </c>
      <c r="C24" s="12">
        <v>8116</v>
      </c>
      <c r="D24" s="12">
        <v>289</v>
      </c>
      <c r="E24" s="12">
        <v>273</v>
      </c>
      <c r="F24" s="12">
        <v>303</v>
      </c>
      <c r="G24" s="12">
        <v>254</v>
      </c>
      <c r="H24" s="12">
        <v>367</v>
      </c>
      <c r="I24" s="12">
        <v>502</v>
      </c>
      <c r="J24" s="12">
        <v>134</v>
      </c>
      <c r="K24" s="12">
        <v>287</v>
      </c>
      <c r="L24" s="12">
        <v>180</v>
      </c>
      <c r="M24" s="12">
        <v>499</v>
      </c>
      <c r="N24" s="12">
        <v>354</v>
      </c>
      <c r="O24" s="12">
        <v>295</v>
      </c>
      <c r="P24" s="12">
        <v>274</v>
      </c>
      <c r="Q24" s="12">
        <v>346</v>
      </c>
      <c r="R24" s="12">
        <v>166</v>
      </c>
      <c r="S24" s="12">
        <v>232</v>
      </c>
      <c r="T24" s="12">
        <v>176</v>
      </c>
      <c r="U24" s="12">
        <v>81</v>
      </c>
      <c r="V24" s="12">
        <v>283</v>
      </c>
      <c r="W24" s="12">
        <v>109</v>
      </c>
      <c r="X24" s="12">
        <v>319</v>
      </c>
      <c r="Y24" s="12">
        <v>233</v>
      </c>
      <c r="Z24" s="12">
        <v>227</v>
      </c>
      <c r="AA24" s="12">
        <v>368</v>
      </c>
      <c r="AB24" s="12">
        <v>275</v>
      </c>
      <c r="AC24" s="12">
        <v>311</v>
      </c>
      <c r="AD24" s="12">
        <v>385</v>
      </c>
      <c r="AE24" s="12">
        <v>232</v>
      </c>
      <c r="AF24" s="12">
        <v>285</v>
      </c>
    </row>
    <row r="25" spans="1:32">
      <c r="A25" s="20"/>
      <c r="B25" s="13" t="s">
        <v>1382</v>
      </c>
      <c r="C25" s="14">
        <v>0.31</v>
      </c>
      <c r="D25" s="14">
        <v>0.28999999999999998</v>
      </c>
      <c r="E25" s="14">
        <v>0.27</v>
      </c>
      <c r="F25" s="14">
        <v>0.3</v>
      </c>
      <c r="G25" s="14">
        <v>0.26</v>
      </c>
      <c r="H25" s="14">
        <v>0.3</v>
      </c>
      <c r="I25" s="14">
        <v>0.33</v>
      </c>
      <c r="J25" s="14">
        <v>0.46</v>
      </c>
      <c r="K25" s="14">
        <v>0.28999999999999998</v>
      </c>
      <c r="L25" s="14">
        <v>0.18</v>
      </c>
      <c r="M25" s="14">
        <v>0.5</v>
      </c>
      <c r="N25" s="14">
        <v>0.36</v>
      </c>
      <c r="O25" s="14">
        <v>0.28999999999999998</v>
      </c>
      <c r="P25" s="14">
        <v>0.27</v>
      </c>
      <c r="Q25" s="14">
        <v>0.34</v>
      </c>
      <c r="R25" s="14">
        <v>0.33</v>
      </c>
      <c r="S25" s="14">
        <v>0.23</v>
      </c>
      <c r="T25" s="14">
        <v>0.17</v>
      </c>
      <c r="U25" s="14">
        <v>0.16</v>
      </c>
      <c r="V25" s="14">
        <v>0.28000000000000003</v>
      </c>
      <c r="W25" s="14">
        <v>0.22</v>
      </c>
      <c r="X25" s="14">
        <v>0.31</v>
      </c>
      <c r="Y25" s="14">
        <v>0.23</v>
      </c>
      <c r="Z25" s="14">
        <v>0.22</v>
      </c>
      <c r="AA25" s="14">
        <v>0.34</v>
      </c>
      <c r="AB25" s="14">
        <v>0.27</v>
      </c>
      <c r="AC25" s="14">
        <v>0.3</v>
      </c>
      <c r="AD25" s="14">
        <v>0.38</v>
      </c>
      <c r="AE25" s="14">
        <v>0.23</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1396</v>
      </c>
      <c r="C3" s="18"/>
      <c r="D3" s="18"/>
      <c r="E3" s="18"/>
      <c r="F3" s="18"/>
      <c r="H3" s="18" t="s">
        <v>1397</v>
      </c>
      <c r="I3" s="18"/>
      <c r="J3" s="18"/>
      <c r="K3" s="18"/>
      <c r="L3" s="18"/>
    </row>
    <row r="4" spans="1:32" ht="27" customHeight="1">
      <c r="B4" s="18" t="s">
        <v>1398</v>
      </c>
      <c r="C4" s="18"/>
      <c r="D4" s="18"/>
      <c r="E4" s="18"/>
      <c r="F4" s="18"/>
      <c r="H4" s="18" t="s">
        <v>1399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3134</v>
      </c>
      <c r="D12" s="12">
        <v>147</v>
      </c>
      <c r="E12" s="12">
        <v>117</v>
      </c>
      <c r="F12" s="12">
        <v>99</v>
      </c>
      <c r="G12" s="12">
        <v>259</v>
      </c>
      <c r="H12" s="12">
        <v>88</v>
      </c>
      <c r="I12" s="12">
        <v>111</v>
      </c>
      <c r="J12" s="12">
        <v>23</v>
      </c>
      <c r="K12" s="12">
        <v>185</v>
      </c>
      <c r="L12" s="12">
        <v>184</v>
      </c>
      <c r="M12" s="12">
        <v>83</v>
      </c>
      <c r="N12" s="12">
        <v>113</v>
      </c>
      <c r="O12" s="12">
        <v>139</v>
      </c>
      <c r="P12" s="12">
        <v>118</v>
      </c>
      <c r="Q12" s="12">
        <v>139</v>
      </c>
      <c r="R12" s="12">
        <v>48</v>
      </c>
      <c r="S12" s="12">
        <v>123</v>
      </c>
      <c r="T12" s="12">
        <v>133</v>
      </c>
      <c r="U12" s="12">
        <v>116</v>
      </c>
      <c r="V12" s="12">
        <v>136</v>
      </c>
      <c r="W12" s="12">
        <v>148</v>
      </c>
      <c r="X12" s="12">
        <v>172</v>
      </c>
      <c r="Y12" s="12">
        <v>181</v>
      </c>
      <c r="Z12" s="12">
        <v>108</v>
      </c>
      <c r="AA12" s="12">
        <v>68</v>
      </c>
      <c r="AB12" s="12">
        <v>124</v>
      </c>
      <c r="AC12" s="12">
        <v>96</v>
      </c>
      <c r="AD12" s="12">
        <v>68</v>
      </c>
      <c r="AE12" s="12">
        <v>199</v>
      </c>
      <c r="AF12" s="12">
        <v>127</v>
      </c>
    </row>
    <row r="13" spans="1:32">
      <c r="A13" s="20"/>
      <c r="B13" s="13" t="s">
        <v>1387</v>
      </c>
      <c r="C13" s="14">
        <v>0.12</v>
      </c>
      <c r="D13" s="14">
        <v>0.14000000000000001</v>
      </c>
      <c r="E13" s="14">
        <v>0.12</v>
      </c>
      <c r="F13" s="14">
        <v>0.1</v>
      </c>
      <c r="G13" s="14">
        <v>0.26</v>
      </c>
      <c r="H13" s="14">
        <v>7.0000000000000007E-2</v>
      </c>
      <c r="I13" s="14">
        <v>0.08</v>
      </c>
      <c r="J13" s="14">
        <v>0.08</v>
      </c>
      <c r="K13" s="14">
        <v>0.18</v>
      </c>
      <c r="L13" s="14">
        <v>0.18</v>
      </c>
      <c r="M13" s="14">
        <v>0.08</v>
      </c>
      <c r="N13" s="14">
        <v>0.11</v>
      </c>
      <c r="O13" s="14">
        <v>0.14000000000000001</v>
      </c>
      <c r="P13" s="14">
        <v>0.12</v>
      </c>
      <c r="Q13" s="14">
        <v>0.13</v>
      </c>
      <c r="R13" s="14">
        <v>0.1</v>
      </c>
      <c r="S13" s="14">
        <v>0.12</v>
      </c>
      <c r="T13" s="14">
        <v>0.13</v>
      </c>
      <c r="U13" s="14">
        <v>0.23</v>
      </c>
      <c r="V13" s="14">
        <v>0.13</v>
      </c>
      <c r="W13" s="14">
        <v>0.28999999999999998</v>
      </c>
      <c r="X13" s="14">
        <v>0.17</v>
      </c>
      <c r="Y13" s="14">
        <v>0.18</v>
      </c>
      <c r="Z13" s="14">
        <v>0.11</v>
      </c>
      <c r="AA13" s="14">
        <v>0.06</v>
      </c>
      <c r="AB13" s="14">
        <v>0.12</v>
      </c>
      <c r="AC13" s="14">
        <v>0.09</v>
      </c>
      <c r="AD13" s="14">
        <v>7.0000000000000007E-2</v>
      </c>
      <c r="AE13" s="14">
        <v>0.2</v>
      </c>
      <c r="AF13" s="14">
        <v>0.13</v>
      </c>
    </row>
    <row r="14" spans="1:32">
      <c r="A14" s="20"/>
      <c r="B14" s="11" t="s">
        <v>1371</v>
      </c>
      <c r="C14" s="12">
        <v>12152</v>
      </c>
      <c r="D14" s="12">
        <v>529</v>
      </c>
      <c r="E14" s="12">
        <v>401</v>
      </c>
      <c r="F14" s="12">
        <v>426</v>
      </c>
      <c r="G14" s="12">
        <v>432</v>
      </c>
      <c r="H14" s="12">
        <v>497</v>
      </c>
      <c r="I14" s="12">
        <v>606</v>
      </c>
      <c r="J14" s="12">
        <v>109</v>
      </c>
      <c r="K14" s="12">
        <v>503</v>
      </c>
      <c r="L14" s="12">
        <v>507</v>
      </c>
      <c r="M14" s="12">
        <v>351</v>
      </c>
      <c r="N14" s="12">
        <v>483</v>
      </c>
      <c r="O14" s="12">
        <v>464</v>
      </c>
      <c r="P14" s="12">
        <v>535</v>
      </c>
      <c r="Q14" s="12">
        <v>487</v>
      </c>
      <c r="R14" s="12">
        <v>247</v>
      </c>
      <c r="S14" s="12">
        <v>468</v>
      </c>
      <c r="T14" s="12">
        <v>511</v>
      </c>
      <c r="U14" s="12">
        <v>265</v>
      </c>
      <c r="V14" s="12">
        <v>508</v>
      </c>
      <c r="W14" s="12">
        <v>233</v>
      </c>
      <c r="X14" s="12">
        <v>519</v>
      </c>
      <c r="Y14" s="12">
        <v>471</v>
      </c>
      <c r="Z14" s="12">
        <v>556</v>
      </c>
      <c r="AA14" s="12">
        <v>474</v>
      </c>
      <c r="AB14" s="12">
        <v>439</v>
      </c>
      <c r="AC14" s="12">
        <v>541</v>
      </c>
      <c r="AD14" s="12">
        <v>454</v>
      </c>
      <c r="AE14" s="12">
        <v>513</v>
      </c>
      <c r="AF14" s="12">
        <v>451</v>
      </c>
    </row>
    <row r="15" spans="1:32">
      <c r="A15" s="20"/>
      <c r="B15" s="13" t="s">
        <v>1372</v>
      </c>
      <c r="C15" s="14">
        <v>0.46</v>
      </c>
      <c r="D15" s="14">
        <v>0.53</v>
      </c>
      <c r="E15" s="14">
        <v>0.39</v>
      </c>
      <c r="F15" s="14">
        <v>0.42</v>
      </c>
      <c r="G15" s="14">
        <v>0.43</v>
      </c>
      <c r="H15" s="14">
        <v>0.41</v>
      </c>
      <c r="I15" s="14">
        <v>0.4</v>
      </c>
      <c r="J15" s="14">
        <v>0.37</v>
      </c>
      <c r="K15" s="14">
        <v>0.5</v>
      </c>
      <c r="L15" s="14">
        <v>0.5</v>
      </c>
      <c r="M15" s="14">
        <v>0.35</v>
      </c>
      <c r="N15" s="14">
        <v>0.48</v>
      </c>
      <c r="O15" s="14">
        <v>0.46</v>
      </c>
      <c r="P15" s="14">
        <v>0.52</v>
      </c>
      <c r="Q15" s="14">
        <v>0.48</v>
      </c>
      <c r="R15" s="14">
        <v>0.49</v>
      </c>
      <c r="S15" s="14">
        <v>0.46</v>
      </c>
      <c r="T15" s="14">
        <v>0.51</v>
      </c>
      <c r="U15" s="14">
        <v>0.52</v>
      </c>
      <c r="V15" s="14">
        <v>0.5</v>
      </c>
      <c r="W15" s="14">
        <v>0.47</v>
      </c>
      <c r="X15" s="14">
        <v>0.51</v>
      </c>
      <c r="Y15" s="14">
        <v>0.47</v>
      </c>
      <c r="Z15" s="14">
        <v>0.55000000000000004</v>
      </c>
      <c r="AA15" s="14">
        <v>0.45</v>
      </c>
      <c r="AB15" s="14">
        <v>0.42</v>
      </c>
      <c r="AC15" s="14">
        <v>0.54</v>
      </c>
      <c r="AD15" s="14">
        <v>0.45</v>
      </c>
      <c r="AE15" s="14">
        <v>0.51</v>
      </c>
      <c r="AF15" s="14">
        <v>0.44</v>
      </c>
    </row>
    <row r="16" spans="1:32">
      <c r="A16" s="20"/>
      <c r="B16" s="11" t="s">
        <v>1373</v>
      </c>
      <c r="C16" s="12">
        <v>6377</v>
      </c>
      <c r="D16" s="12">
        <v>230</v>
      </c>
      <c r="E16" s="12">
        <v>229</v>
      </c>
      <c r="F16" s="12">
        <v>272</v>
      </c>
      <c r="G16" s="12">
        <v>118</v>
      </c>
      <c r="H16" s="12">
        <v>354</v>
      </c>
      <c r="I16" s="12">
        <v>469</v>
      </c>
      <c r="J16" s="12">
        <v>115</v>
      </c>
      <c r="K16" s="12">
        <v>164</v>
      </c>
      <c r="L16" s="12">
        <v>135</v>
      </c>
      <c r="M16" s="12">
        <v>358</v>
      </c>
      <c r="N16" s="12">
        <v>235</v>
      </c>
      <c r="O16" s="12">
        <v>191</v>
      </c>
      <c r="P16" s="12">
        <v>241</v>
      </c>
      <c r="Q16" s="12">
        <v>286</v>
      </c>
      <c r="R16" s="12">
        <v>110</v>
      </c>
      <c r="S16" s="12">
        <v>177</v>
      </c>
      <c r="T16" s="12">
        <v>135</v>
      </c>
      <c r="U16" s="12">
        <v>66</v>
      </c>
      <c r="V16" s="12">
        <v>239</v>
      </c>
      <c r="W16" s="12">
        <v>57</v>
      </c>
      <c r="X16" s="12">
        <v>200</v>
      </c>
      <c r="Y16" s="12">
        <v>162</v>
      </c>
      <c r="Z16" s="12">
        <v>203</v>
      </c>
      <c r="AA16" s="12">
        <v>270</v>
      </c>
      <c r="AB16" s="12">
        <v>251</v>
      </c>
      <c r="AC16" s="12">
        <v>227</v>
      </c>
      <c r="AD16" s="12">
        <v>318</v>
      </c>
      <c r="AE16" s="12">
        <v>171</v>
      </c>
      <c r="AF16" s="12">
        <v>203</v>
      </c>
    </row>
    <row r="17" spans="1:32">
      <c r="A17" s="20"/>
      <c r="B17" s="13" t="s">
        <v>1374</v>
      </c>
      <c r="C17" s="14">
        <v>0.24</v>
      </c>
      <c r="D17" s="14">
        <v>0.23</v>
      </c>
      <c r="E17" s="14">
        <v>0.23</v>
      </c>
      <c r="F17" s="14">
        <v>0.27</v>
      </c>
      <c r="G17" s="14">
        <v>0.12</v>
      </c>
      <c r="H17" s="14">
        <v>0.28999999999999998</v>
      </c>
      <c r="I17" s="14">
        <v>0.31</v>
      </c>
      <c r="J17" s="14">
        <v>0.39</v>
      </c>
      <c r="K17" s="14">
        <v>0.16</v>
      </c>
      <c r="L17" s="14">
        <v>0.14000000000000001</v>
      </c>
      <c r="M17" s="14">
        <v>0.36</v>
      </c>
      <c r="N17" s="14">
        <v>0.24</v>
      </c>
      <c r="O17" s="14">
        <v>0.19</v>
      </c>
      <c r="P17" s="14">
        <v>0.24</v>
      </c>
      <c r="Q17" s="14">
        <v>0.28000000000000003</v>
      </c>
      <c r="R17" s="14">
        <v>0.22</v>
      </c>
      <c r="S17" s="14">
        <v>0.18</v>
      </c>
      <c r="T17" s="14">
        <v>0.13</v>
      </c>
      <c r="U17" s="14">
        <v>0.13</v>
      </c>
      <c r="V17" s="14">
        <v>0.23</v>
      </c>
      <c r="W17" s="14">
        <v>0.11</v>
      </c>
      <c r="X17" s="14">
        <v>0.19</v>
      </c>
      <c r="Y17" s="14">
        <v>0.16</v>
      </c>
      <c r="Z17" s="14">
        <v>0.2</v>
      </c>
      <c r="AA17" s="14">
        <v>0.26</v>
      </c>
      <c r="AB17" s="14">
        <v>0.24</v>
      </c>
      <c r="AC17" s="14">
        <v>0.22</v>
      </c>
      <c r="AD17" s="14">
        <v>0.32</v>
      </c>
      <c r="AE17" s="14">
        <v>0.17</v>
      </c>
      <c r="AF17" s="14">
        <v>0.2</v>
      </c>
    </row>
    <row r="18" spans="1:32">
      <c r="A18" s="20"/>
      <c r="B18" s="11" t="s">
        <v>1375</v>
      </c>
      <c r="C18" s="12">
        <v>1454</v>
      </c>
      <c r="D18" s="12">
        <v>48</v>
      </c>
      <c r="E18" s="12">
        <v>55</v>
      </c>
      <c r="F18" s="12">
        <v>67</v>
      </c>
      <c r="G18" s="12">
        <v>13</v>
      </c>
      <c r="H18" s="12">
        <v>70</v>
      </c>
      <c r="I18" s="12">
        <v>93</v>
      </c>
      <c r="J18" s="12">
        <v>23</v>
      </c>
      <c r="K18" s="12">
        <v>15</v>
      </c>
      <c r="L18" s="12">
        <v>39</v>
      </c>
      <c r="M18" s="12">
        <v>91</v>
      </c>
      <c r="N18" s="12">
        <v>71</v>
      </c>
      <c r="O18" s="12">
        <v>55</v>
      </c>
      <c r="P18" s="12">
        <v>52</v>
      </c>
      <c r="Q18" s="12">
        <v>59</v>
      </c>
      <c r="R18" s="12">
        <v>35</v>
      </c>
      <c r="S18" s="12">
        <v>17</v>
      </c>
      <c r="T18" s="12">
        <v>13</v>
      </c>
      <c r="U18" s="12">
        <v>18</v>
      </c>
      <c r="V18" s="12">
        <v>46</v>
      </c>
      <c r="W18" s="12">
        <v>24</v>
      </c>
      <c r="X18" s="12">
        <v>22</v>
      </c>
      <c r="Y18" s="12">
        <v>64</v>
      </c>
      <c r="Z18" s="12">
        <v>38</v>
      </c>
      <c r="AA18" s="12">
        <v>92</v>
      </c>
      <c r="AB18" s="12">
        <v>67</v>
      </c>
      <c r="AC18" s="12">
        <v>26</v>
      </c>
      <c r="AD18" s="12">
        <v>72</v>
      </c>
      <c r="AE18" s="12">
        <v>22</v>
      </c>
      <c r="AF18" s="12">
        <v>22</v>
      </c>
    </row>
    <row r="19" spans="1:32">
      <c r="A19" s="20"/>
      <c r="B19" s="13" t="s">
        <v>1376</v>
      </c>
      <c r="C19" s="14">
        <v>0.06</v>
      </c>
      <c r="D19" s="14">
        <v>0.05</v>
      </c>
      <c r="E19" s="14">
        <v>0.05</v>
      </c>
      <c r="F19" s="14">
        <v>7.0000000000000007E-2</v>
      </c>
      <c r="G19" s="14">
        <v>0.01</v>
      </c>
      <c r="H19" s="14">
        <v>0.06</v>
      </c>
      <c r="I19" s="14">
        <v>0.06</v>
      </c>
      <c r="J19" s="14">
        <v>0.08</v>
      </c>
      <c r="K19" s="14">
        <v>0.02</v>
      </c>
      <c r="L19" s="14">
        <v>0.04</v>
      </c>
      <c r="M19" s="14">
        <v>0.09</v>
      </c>
      <c r="N19" s="14">
        <v>7.0000000000000007E-2</v>
      </c>
      <c r="O19" s="14">
        <v>0.06</v>
      </c>
      <c r="P19" s="14">
        <v>0.05</v>
      </c>
      <c r="Q19" s="14">
        <v>0.06</v>
      </c>
      <c r="R19" s="14">
        <v>7.0000000000000007E-2</v>
      </c>
      <c r="S19" s="14">
        <v>0.02</v>
      </c>
      <c r="T19" s="14">
        <v>0.01</v>
      </c>
      <c r="U19" s="14">
        <v>0.04</v>
      </c>
      <c r="V19" s="14">
        <v>0.05</v>
      </c>
      <c r="W19" s="14">
        <v>0.05</v>
      </c>
      <c r="X19" s="14">
        <v>0.02</v>
      </c>
      <c r="Y19" s="14">
        <v>0.06</v>
      </c>
      <c r="Z19" s="14">
        <v>0.04</v>
      </c>
      <c r="AA19" s="14">
        <v>0.09</v>
      </c>
      <c r="AB19" s="14">
        <v>7.0000000000000007E-2</v>
      </c>
      <c r="AC19" s="14">
        <v>0.03</v>
      </c>
      <c r="AD19" s="14">
        <v>7.0000000000000007E-2</v>
      </c>
      <c r="AE19" s="14">
        <v>0.02</v>
      </c>
      <c r="AF19" s="14">
        <v>0.02</v>
      </c>
    </row>
    <row r="20" spans="1:32">
      <c r="A20" s="20"/>
      <c r="B20" s="11" t="s">
        <v>468</v>
      </c>
      <c r="C20" s="12">
        <v>3203</v>
      </c>
      <c r="D20" s="12">
        <v>49</v>
      </c>
      <c r="E20" s="12">
        <v>216</v>
      </c>
      <c r="F20" s="12">
        <v>141</v>
      </c>
      <c r="G20" s="12">
        <v>181</v>
      </c>
      <c r="H20" s="12">
        <v>207</v>
      </c>
      <c r="I20" s="12">
        <v>231</v>
      </c>
      <c r="J20" s="12">
        <v>24</v>
      </c>
      <c r="K20" s="12">
        <v>139</v>
      </c>
      <c r="L20" s="12">
        <v>142</v>
      </c>
      <c r="M20" s="12">
        <v>121</v>
      </c>
      <c r="N20" s="12">
        <v>102</v>
      </c>
      <c r="O20" s="12">
        <v>154</v>
      </c>
      <c r="P20" s="12">
        <v>76</v>
      </c>
      <c r="Q20" s="12">
        <v>48</v>
      </c>
      <c r="R20" s="12">
        <v>60</v>
      </c>
      <c r="S20" s="12">
        <v>224</v>
      </c>
      <c r="T20" s="12">
        <v>223</v>
      </c>
      <c r="U20" s="12">
        <v>41</v>
      </c>
      <c r="V20" s="12">
        <v>87</v>
      </c>
      <c r="W20" s="12">
        <v>41</v>
      </c>
      <c r="X20" s="12">
        <v>109</v>
      </c>
      <c r="Y20" s="12">
        <v>130</v>
      </c>
      <c r="Z20" s="12">
        <v>102</v>
      </c>
      <c r="AA20" s="12">
        <v>149</v>
      </c>
      <c r="AB20" s="12">
        <v>157</v>
      </c>
      <c r="AC20" s="12">
        <v>121</v>
      </c>
      <c r="AD20" s="12">
        <v>94</v>
      </c>
      <c r="AE20" s="12">
        <v>97</v>
      </c>
      <c r="AF20" s="12">
        <v>218</v>
      </c>
    </row>
    <row r="21" spans="1:32">
      <c r="A21" s="20"/>
      <c r="B21" s="13" t="s">
        <v>469</v>
      </c>
      <c r="C21" s="14">
        <v>0.12</v>
      </c>
      <c r="D21" s="14">
        <v>0.05</v>
      </c>
      <c r="E21" s="14">
        <v>0.21</v>
      </c>
      <c r="F21" s="14">
        <v>0.14000000000000001</v>
      </c>
      <c r="G21" s="14">
        <v>0.18</v>
      </c>
      <c r="H21" s="14">
        <v>0.17</v>
      </c>
      <c r="I21" s="14">
        <v>0.15</v>
      </c>
      <c r="J21" s="14">
        <v>0.08</v>
      </c>
      <c r="K21" s="14">
        <v>0.14000000000000001</v>
      </c>
      <c r="L21" s="14">
        <v>0.14000000000000001</v>
      </c>
      <c r="M21" s="14">
        <v>0.12</v>
      </c>
      <c r="N21" s="14">
        <v>0.1</v>
      </c>
      <c r="O21" s="14">
        <v>0.15</v>
      </c>
      <c r="P21" s="14">
        <v>7.0000000000000007E-2</v>
      </c>
      <c r="Q21" s="14">
        <v>0.05</v>
      </c>
      <c r="R21" s="14">
        <v>0.12</v>
      </c>
      <c r="S21" s="14">
        <v>0.22</v>
      </c>
      <c r="T21" s="14">
        <v>0.22</v>
      </c>
      <c r="U21" s="14">
        <v>0.08</v>
      </c>
      <c r="V21" s="14">
        <v>0.09</v>
      </c>
      <c r="W21" s="14">
        <v>0.08</v>
      </c>
      <c r="X21" s="14">
        <v>0.11</v>
      </c>
      <c r="Y21" s="14">
        <v>0.13</v>
      </c>
      <c r="Z21" s="14">
        <v>0.1</v>
      </c>
      <c r="AA21" s="14">
        <v>0.14000000000000001</v>
      </c>
      <c r="AB21" s="14">
        <v>0.15</v>
      </c>
      <c r="AC21" s="14">
        <v>0.12</v>
      </c>
      <c r="AD21" s="14">
        <v>0.09</v>
      </c>
      <c r="AE21" s="14">
        <v>0.1</v>
      </c>
      <c r="AF21" s="14">
        <v>0.21</v>
      </c>
    </row>
    <row r="22" spans="1:32">
      <c r="A22" s="20"/>
      <c r="B22" s="11" t="s">
        <v>1379</v>
      </c>
      <c r="C22" s="12">
        <v>15286</v>
      </c>
      <c r="D22" s="12">
        <v>676</v>
      </c>
      <c r="E22" s="12">
        <v>518</v>
      </c>
      <c r="F22" s="12">
        <v>525</v>
      </c>
      <c r="G22" s="12">
        <v>691</v>
      </c>
      <c r="H22" s="12">
        <v>585</v>
      </c>
      <c r="I22" s="12">
        <v>717</v>
      </c>
      <c r="J22" s="12">
        <v>132</v>
      </c>
      <c r="K22" s="12">
        <v>688</v>
      </c>
      <c r="L22" s="12">
        <v>691</v>
      </c>
      <c r="M22" s="12">
        <v>434</v>
      </c>
      <c r="N22" s="12">
        <v>596</v>
      </c>
      <c r="O22" s="12">
        <v>603</v>
      </c>
      <c r="P22" s="12">
        <v>653</v>
      </c>
      <c r="Q22" s="12">
        <v>626</v>
      </c>
      <c r="R22" s="12">
        <v>295</v>
      </c>
      <c r="S22" s="12">
        <v>591</v>
      </c>
      <c r="T22" s="12">
        <v>644</v>
      </c>
      <c r="U22" s="12">
        <v>381</v>
      </c>
      <c r="V22" s="12">
        <v>644</v>
      </c>
      <c r="W22" s="12">
        <v>381</v>
      </c>
      <c r="X22" s="12">
        <v>691</v>
      </c>
      <c r="Y22" s="12">
        <v>652</v>
      </c>
      <c r="Z22" s="12">
        <v>664</v>
      </c>
      <c r="AA22" s="12">
        <v>542</v>
      </c>
      <c r="AB22" s="12">
        <v>563</v>
      </c>
      <c r="AC22" s="12">
        <v>637</v>
      </c>
      <c r="AD22" s="12">
        <v>522</v>
      </c>
      <c r="AE22" s="12">
        <v>712</v>
      </c>
      <c r="AF22" s="12">
        <v>578</v>
      </c>
    </row>
    <row r="23" spans="1:32">
      <c r="A23" s="20"/>
      <c r="B23" s="13" t="s">
        <v>1380</v>
      </c>
      <c r="C23" s="14">
        <v>0.57999999999999996</v>
      </c>
      <c r="D23" s="14">
        <v>0.67</v>
      </c>
      <c r="E23" s="14">
        <v>0.51</v>
      </c>
      <c r="F23" s="14">
        <v>0.52</v>
      </c>
      <c r="G23" s="14">
        <v>0.69000000000000006</v>
      </c>
      <c r="H23" s="14">
        <v>0.48</v>
      </c>
      <c r="I23" s="14">
        <v>0.48</v>
      </c>
      <c r="J23" s="14">
        <v>0.45</v>
      </c>
      <c r="K23" s="14">
        <v>0.68</v>
      </c>
      <c r="L23" s="14">
        <v>0.68</v>
      </c>
      <c r="M23" s="14">
        <v>0.43</v>
      </c>
      <c r="N23" s="14">
        <v>0.59</v>
      </c>
      <c r="O23" s="14">
        <v>0.6</v>
      </c>
      <c r="P23" s="14">
        <v>0.64</v>
      </c>
      <c r="Q23" s="14">
        <v>0.61</v>
      </c>
      <c r="R23" s="14">
        <v>0.59</v>
      </c>
      <c r="S23" s="14">
        <v>0.57999999999999996</v>
      </c>
      <c r="T23" s="14">
        <v>0.64</v>
      </c>
      <c r="U23" s="14">
        <v>0.75</v>
      </c>
      <c r="V23" s="14">
        <v>0.63</v>
      </c>
      <c r="W23" s="14">
        <v>0.76</v>
      </c>
      <c r="X23" s="14">
        <v>0.68</v>
      </c>
      <c r="Y23" s="14">
        <v>0.65</v>
      </c>
      <c r="Z23" s="14">
        <v>0.66</v>
      </c>
      <c r="AA23" s="14">
        <v>0.51</v>
      </c>
      <c r="AB23" s="14">
        <v>0.54</v>
      </c>
      <c r="AC23" s="14">
        <v>0.63</v>
      </c>
      <c r="AD23" s="14">
        <v>0.52</v>
      </c>
      <c r="AE23" s="14">
        <v>0.71</v>
      </c>
      <c r="AF23" s="14">
        <v>0.57000000000000006</v>
      </c>
    </row>
    <row r="24" spans="1:32">
      <c r="A24" s="20"/>
      <c r="B24" s="11" t="s">
        <v>1381</v>
      </c>
      <c r="C24" s="12">
        <v>7831</v>
      </c>
      <c r="D24" s="12">
        <v>278</v>
      </c>
      <c r="E24" s="12">
        <v>284</v>
      </c>
      <c r="F24" s="12">
        <v>339</v>
      </c>
      <c r="G24" s="12">
        <v>131</v>
      </c>
      <c r="H24" s="12">
        <v>424</v>
      </c>
      <c r="I24" s="12">
        <v>562</v>
      </c>
      <c r="J24" s="12">
        <v>138</v>
      </c>
      <c r="K24" s="12">
        <v>179</v>
      </c>
      <c r="L24" s="12">
        <v>174</v>
      </c>
      <c r="M24" s="12">
        <v>449</v>
      </c>
      <c r="N24" s="12">
        <v>306</v>
      </c>
      <c r="O24" s="12">
        <v>246</v>
      </c>
      <c r="P24" s="12">
        <v>293</v>
      </c>
      <c r="Q24" s="12">
        <v>345</v>
      </c>
      <c r="R24" s="12">
        <v>145</v>
      </c>
      <c r="S24" s="12">
        <v>194</v>
      </c>
      <c r="T24" s="12">
        <v>148</v>
      </c>
      <c r="U24" s="12">
        <v>84</v>
      </c>
      <c r="V24" s="12">
        <v>285</v>
      </c>
      <c r="W24" s="12">
        <v>81</v>
      </c>
      <c r="X24" s="12">
        <v>222</v>
      </c>
      <c r="Y24" s="12">
        <v>226</v>
      </c>
      <c r="Z24" s="12">
        <v>241</v>
      </c>
      <c r="AA24" s="12">
        <v>362</v>
      </c>
      <c r="AB24" s="12">
        <v>318</v>
      </c>
      <c r="AC24" s="12">
        <v>253</v>
      </c>
      <c r="AD24" s="12">
        <v>390</v>
      </c>
      <c r="AE24" s="12">
        <v>193</v>
      </c>
      <c r="AF24" s="12">
        <v>225</v>
      </c>
    </row>
    <row r="25" spans="1:32">
      <c r="A25" s="20"/>
      <c r="B25" s="13" t="s">
        <v>1382</v>
      </c>
      <c r="C25" s="14">
        <v>0.3</v>
      </c>
      <c r="D25" s="14">
        <v>0.28000000000000003</v>
      </c>
      <c r="E25" s="14">
        <v>0.28000000000000003</v>
      </c>
      <c r="F25" s="14">
        <v>0.34</v>
      </c>
      <c r="G25" s="14">
        <v>0.13</v>
      </c>
      <c r="H25" s="14">
        <v>0.35</v>
      </c>
      <c r="I25" s="14">
        <v>0.37</v>
      </c>
      <c r="J25" s="14">
        <v>0.47</v>
      </c>
      <c r="K25" s="14">
        <v>0.18</v>
      </c>
      <c r="L25" s="14">
        <v>0.18</v>
      </c>
      <c r="M25" s="14">
        <v>0.45</v>
      </c>
      <c r="N25" s="14">
        <v>0.31</v>
      </c>
      <c r="O25" s="14">
        <v>0.25</v>
      </c>
      <c r="P25" s="14">
        <v>0.28999999999999998</v>
      </c>
      <c r="Q25" s="14">
        <v>0.34</v>
      </c>
      <c r="R25" s="14">
        <v>0.28999999999999998</v>
      </c>
      <c r="S25" s="14">
        <v>0.2</v>
      </c>
      <c r="T25" s="14">
        <v>0.14000000000000001</v>
      </c>
      <c r="U25" s="14">
        <v>0.17</v>
      </c>
      <c r="V25" s="14">
        <v>0.28000000000000003</v>
      </c>
      <c r="W25" s="14">
        <v>0.16</v>
      </c>
      <c r="X25" s="14">
        <v>0.21</v>
      </c>
      <c r="Y25" s="14">
        <v>0.22</v>
      </c>
      <c r="Z25" s="14">
        <v>0.24</v>
      </c>
      <c r="AA25" s="14">
        <v>0.35</v>
      </c>
      <c r="AB25" s="14">
        <v>0.31</v>
      </c>
      <c r="AC25" s="14">
        <v>0.25</v>
      </c>
      <c r="AD25" s="14">
        <v>0.39</v>
      </c>
      <c r="AE25" s="14">
        <v>0.19</v>
      </c>
      <c r="AF25" s="14">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1400</v>
      </c>
      <c r="C3" s="18"/>
      <c r="D3" s="18"/>
      <c r="E3" s="18"/>
      <c r="F3" s="18"/>
      <c r="H3" s="18" t="s">
        <v>1401</v>
      </c>
      <c r="I3" s="18"/>
      <c r="J3" s="18"/>
      <c r="K3" s="18"/>
      <c r="L3" s="18"/>
    </row>
    <row r="4" spans="1:32" ht="27" customHeight="1">
      <c r="B4" s="18" t="s">
        <v>1402</v>
      </c>
      <c r="C4" s="18"/>
      <c r="D4" s="18"/>
      <c r="E4" s="18"/>
      <c r="F4" s="18"/>
      <c r="H4" s="18" t="s">
        <v>1403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3155</v>
      </c>
      <c r="D12" s="12">
        <v>123</v>
      </c>
      <c r="E12" s="12">
        <v>117</v>
      </c>
      <c r="F12" s="12">
        <v>98</v>
      </c>
      <c r="G12" s="12">
        <v>163</v>
      </c>
      <c r="H12" s="12">
        <v>77</v>
      </c>
      <c r="I12" s="12">
        <v>101</v>
      </c>
      <c r="J12" s="12">
        <v>23</v>
      </c>
      <c r="K12" s="12">
        <v>112</v>
      </c>
      <c r="L12" s="12">
        <v>176</v>
      </c>
      <c r="M12" s="12">
        <v>89</v>
      </c>
      <c r="N12" s="12">
        <v>108</v>
      </c>
      <c r="O12" s="12">
        <v>134</v>
      </c>
      <c r="P12" s="12">
        <v>191</v>
      </c>
      <c r="Q12" s="12">
        <v>184</v>
      </c>
      <c r="R12" s="12">
        <v>44</v>
      </c>
      <c r="S12" s="12">
        <v>101</v>
      </c>
      <c r="T12" s="12">
        <v>152</v>
      </c>
      <c r="U12" s="12">
        <v>88</v>
      </c>
      <c r="V12" s="12">
        <v>185</v>
      </c>
      <c r="W12" s="12">
        <v>130</v>
      </c>
      <c r="X12" s="12">
        <v>102</v>
      </c>
      <c r="Y12" s="12">
        <v>155</v>
      </c>
      <c r="Z12" s="12">
        <v>135</v>
      </c>
      <c r="AA12" s="12">
        <v>69</v>
      </c>
      <c r="AB12" s="12">
        <v>150</v>
      </c>
      <c r="AC12" s="12">
        <v>96</v>
      </c>
      <c r="AD12" s="12">
        <v>86</v>
      </c>
      <c r="AE12" s="12">
        <v>58</v>
      </c>
      <c r="AF12" s="12">
        <v>101</v>
      </c>
    </row>
    <row r="13" spans="1:32">
      <c r="A13" s="20"/>
      <c r="B13" s="13" t="s">
        <v>1387</v>
      </c>
      <c r="C13" s="14">
        <v>0.12</v>
      </c>
      <c r="D13" s="14">
        <v>0.12</v>
      </c>
      <c r="E13" s="14">
        <v>0.11</v>
      </c>
      <c r="F13" s="14">
        <v>0.1</v>
      </c>
      <c r="G13" s="14">
        <v>0.16</v>
      </c>
      <c r="H13" s="14">
        <v>0.06</v>
      </c>
      <c r="I13" s="14">
        <v>7.0000000000000007E-2</v>
      </c>
      <c r="J13" s="14">
        <v>0.08</v>
      </c>
      <c r="K13" s="14">
        <v>0.11</v>
      </c>
      <c r="L13" s="14">
        <v>0.18</v>
      </c>
      <c r="M13" s="14">
        <v>0.09</v>
      </c>
      <c r="N13" s="14">
        <v>0.11</v>
      </c>
      <c r="O13" s="14">
        <v>0.14000000000000001</v>
      </c>
      <c r="P13" s="14">
        <v>0.19</v>
      </c>
      <c r="Q13" s="14">
        <v>0.18</v>
      </c>
      <c r="R13" s="14">
        <v>0.09</v>
      </c>
      <c r="S13" s="14">
        <v>0.1</v>
      </c>
      <c r="T13" s="14">
        <v>0.15</v>
      </c>
      <c r="U13" s="14">
        <v>0.17</v>
      </c>
      <c r="V13" s="14">
        <v>0.18</v>
      </c>
      <c r="W13" s="14">
        <v>0.26</v>
      </c>
      <c r="X13" s="14">
        <v>0.1</v>
      </c>
      <c r="Y13" s="14">
        <v>0.15</v>
      </c>
      <c r="Z13" s="14">
        <v>0.13</v>
      </c>
      <c r="AA13" s="14">
        <v>7.0000000000000007E-2</v>
      </c>
      <c r="AB13" s="14">
        <v>0.15</v>
      </c>
      <c r="AC13" s="14">
        <v>0.1</v>
      </c>
      <c r="AD13" s="14">
        <v>0.09</v>
      </c>
      <c r="AE13" s="14">
        <v>0.06</v>
      </c>
      <c r="AF13" s="14">
        <v>0.1</v>
      </c>
    </row>
    <row r="14" spans="1:32">
      <c r="A14" s="20"/>
      <c r="B14" s="11" t="s">
        <v>1371</v>
      </c>
      <c r="C14" s="12">
        <v>10794</v>
      </c>
      <c r="D14" s="12">
        <v>483</v>
      </c>
      <c r="E14" s="12">
        <v>357</v>
      </c>
      <c r="F14" s="12">
        <v>391</v>
      </c>
      <c r="G14" s="12">
        <v>396</v>
      </c>
      <c r="H14" s="12">
        <v>424</v>
      </c>
      <c r="I14" s="12">
        <v>508</v>
      </c>
      <c r="J14" s="12">
        <v>83</v>
      </c>
      <c r="K14" s="12">
        <v>402</v>
      </c>
      <c r="L14" s="12">
        <v>434</v>
      </c>
      <c r="M14" s="12">
        <v>295</v>
      </c>
      <c r="N14" s="12">
        <v>413</v>
      </c>
      <c r="O14" s="12">
        <v>424</v>
      </c>
      <c r="P14" s="12">
        <v>512</v>
      </c>
      <c r="Q14" s="12">
        <v>449</v>
      </c>
      <c r="R14" s="12">
        <v>185</v>
      </c>
      <c r="S14" s="12">
        <v>417</v>
      </c>
      <c r="T14" s="12">
        <v>394</v>
      </c>
      <c r="U14" s="12">
        <v>249</v>
      </c>
      <c r="V14" s="12">
        <v>451</v>
      </c>
      <c r="W14" s="12">
        <v>243</v>
      </c>
      <c r="X14" s="12">
        <v>437</v>
      </c>
      <c r="Y14" s="12">
        <v>378</v>
      </c>
      <c r="Z14" s="12">
        <v>511</v>
      </c>
      <c r="AA14" s="12">
        <v>470</v>
      </c>
      <c r="AB14" s="12">
        <v>441</v>
      </c>
      <c r="AC14" s="12">
        <v>513</v>
      </c>
      <c r="AD14" s="12">
        <v>377</v>
      </c>
      <c r="AE14" s="12">
        <v>414</v>
      </c>
      <c r="AF14" s="12">
        <v>371</v>
      </c>
    </row>
    <row r="15" spans="1:32">
      <c r="A15" s="20"/>
      <c r="B15" s="13" t="s">
        <v>1372</v>
      </c>
      <c r="C15" s="14">
        <v>0.41</v>
      </c>
      <c r="D15" s="14">
        <v>0.48</v>
      </c>
      <c r="E15" s="14">
        <v>0.35</v>
      </c>
      <c r="F15" s="14">
        <v>0.39</v>
      </c>
      <c r="G15" s="14">
        <v>0.39</v>
      </c>
      <c r="H15" s="14">
        <v>0.35</v>
      </c>
      <c r="I15" s="14">
        <v>0.33</v>
      </c>
      <c r="J15" s="14">
        <v>0.28000000000000003</v>
      </c>
      <c r="K15" s="14">
        <v>0.4</v>
      </c>
      <c r="L15" s="14">
        <v>0.43</v>
      </c>
      <c r="M15" s="14">
        <v>0.28999999999999998</v>
      </c>
      <c r="N15" s="14">
        <v>0.41</v>
      </c>
      <c r="O15" s="14">
        <v>0.42</v>
      </c>
      <c r="P15" s="14">
        <v>0.5</v>
      </c>
      <c r="Q15" s="14">
        <v>0.44</v>
      </c>
      <c r="R15" s="14">
        <v>0.37</v>
      </c>
      <c r="S15" s="14">
        <v>0.42</v>
      </c>
      <c r="T15" s="14">
        <v>0.39</v>
      </c>
      <c r="U15" s="14">
        <v>0.49</v>
      </c>
      <c r="V15" s="14">
        <v>0.44</v>
      </c>
      <c r="W15" s="14">
        <v>0.48</v>
      </c>
      <c r="X15" s="14">
        <v>0.43</v>
      </c>
      <c r="Y15" s="14">
        <v>0.38</v>
      </c>
      <c r="Z15" s="14">
        <v>0.51</v>
      </c>
      <c r="AA15" s="14">
        <v>0.45</v>
      </c>
      <c r="AB15" s="14">
        <v>0.43</v>
      </c>
      <c r="AC15" s="14">
        <v>0.51</v>
      </c>
      <c r="AD15" s="14">
        <v>0.38</v>
      </c>
      <c r="AE15" s="14">
        <v>0.41</v>
      </c>
      <c r="AF15" s="14">
        <v>0.36</v>
      </c>
    </row>
    <row r="16" spans="1:32">
      <c r="A16" s="20"/>
      <c r="B16" s="11" t="s">
        <v>1373</v>
      </c>
      <c r="C16" s="12">
        <v>6434</v>
      </c>
      <c r="D16" s="12">
        <v>260</v>
      </c>
      <c r="E16" s="12">
        <v>189</v>
      </c>
      <c r="F16" s="12">
        <v>262</v>
      </c>
      <c r="G16" s="12">
        <v>220</v>
      </c>
      <c r="H16" s="12">
        <v>320</v>
      </c>
      <c r="I16" s="12">
        <v>439</v>
      </c>
      <c r="J16" s="12">
        <v>119</v>
      </c>
      <c r="K16" s="12">
        <v>223</v>
      </c>
      <c r="L16" s="12">
        <v>181</v>
      </c>
      <c r="M16" s="12">
        <v>338</v>
      </c>
      <c r="N16" s="12">
        <v>241</v>
      </c>
      <c r="O16" s="12">
        <v>187</v>
      </c>
      <c r="P16" s="12">
        <v>195</v>
      </c>
      <c r="Q16" s="12">
        <v>279</v>
      </c>
      <c r="R16" s="12">
        <v>136</v>
      </c>
      <c r="S16" s="12">
        <v>192</v>
      </c>
      <c r="T16" s="12">
        <v>135</v>
      </c>
      <c r="U16" s="12">
        <v>65</v>
      </c>
      <c r="V16" s="12">
        <v>228</v>
      </c>
      <c r="W16" s="12">
        <v>70</v>
      </c>
      <c r="X16" s="12">
        <v>303</v>
      </c>
      <c r="Y16" s="12">
        <v>213</v>
      </c>
      <c r="Z16" s="12">
        <v>198</v>
      </c>
      <c r="AA16" s="12">
        <v>254</v>
      </c>
      <c r="AB16" s="12">
        <v>211</v>
      </c>
      <c r="AC16" s="12">
        <v>227</v>
      </c>
      <c r="AD16" s="12">
        <v>276</v>
      </c>
      <c r="AE16" s="12">
        <v>295</v>
      </c>
      <c r="AF16" s="12">
        <v>287</v>
      </c>
    </row>
    <row r="17" spans="1:32">
      <c r="A17" s="20"/>
      <c r="B17" s="13" t="s">
        <v>1374</v>
      </c>
      <c r="C17" s="14">
        <v>0.24</v>
      </c>
      <c r="D17" s="14">
        <v>0.26</v>
      </c>
      <c r="E17" s="14">
        <v>0.19</v>
      </c>
      <c r="F17" s="14">
        <v>0.26</v>
      </c>
      <c r="G17" s="14">
        <v>0.22</v>
      </c>
      <c r="H17" s="14">
        <v>0.26</v>
      </c>
      <c r="I17" s="14">
        <v>0.28999999999999998</v>
      </c>
      <c r="J17" s="14">
        <v>0.41</v>
      </c>
      <c r="K17" s="14">
        <v>0.22</v>
      </c>
      <c r="L17" s="14">
        <v>0.18</v>
      </c>
      <c r="M17" s="14">
        <v>0.34</v>
      </c>
      <c r="N17" s="14">
        <v>0.24</v>
      </c>
      <c r="O17" s="14">
        <v>0.19</v>
      </c>
      <c r="P17" s="14">
        <v>0.19</v>
      </c>
      <c r="Q17" s="14">
        <v>0.28000000000000003</v>
      </c>
      <c r="R17" s="14">
        <v>0.27</v>
      </c>
      <c r="S17" s="14">
        <v>0.19</v>
      </c>
      <c r="T17" s="14">
        <v>0.13</v>
      </c>
      <c r="U17" s="14">
        <v>0.13</v>
      </c>
      <c r="V17" s="14">
        <v>0.23</v>
      </c>
      <c r="W17" s="14">
        <v>0.14000000000000001</v>
      </c>
      <c r="X17" s="14">
        <v>0.28999999999999998</v>
      </c>
      <c r="Y17" s="14">
        <v>0.21</v>
      </c>
      <c r="Z17" s="14">
        <v>0.2</v>
      </c>
      <c r="AA17" s="14">
        <v>0.24</v>
      </c>
      <c r="AB17" s="14">
        <v>0.2</v>
      </c>
      <c r="AC17" s="14">
        <v>0.22</v>
      </c>
      <c r="AD17" s="14">
        <v>0.27</v>
      </c>
      <c r="AE17" s="14">
        <v>0.28999999999999998</v>
      </c>
      <c r="AF17" s="14">
        <v>0.28000000000000003</v>
      </c>
    </row>
    <row r="18" spans="1:32">
      <c r="A18" s="20"/>
      <c r="B18" s="11" t="s">
        <v>1375</v>
      </c>
      <c r="C18" s="12">
        <v>1504</v>
      </c>
      <c r="D18" s="12">
        <v>61</v>
      </c>
      <c r="E18" s="12">
        <v>68</v>
      </c>
      <c r="F18" s="12">
        <v>78</v>
      </c>
      <c r="G18" s="12">
        <v>49</v>
      </c>
      <c r="H18" s="12">
        <v>80</v>
      </c>
      <c r="I18" s="12">
        <v>104</v>
      </c>
      <c r="J18" s="12">
        <v>24</v>
      </c>
      <c r="K18" s="12">
        <v>31</v>
      </c>
      <c r="L18" s="12">
        <v>55</v>
      </c>
      <c r="M18" s="12">
        <v>83</v>
      </c>
      <c r="N18" s="12">
        <v>70</v>
      </c>
      <c r="O18" s="12">
        <v>53</v>
      </c>
      <c r="P18" s="12">
        <v>31</v>
      </c>
      <c r="Q18" s="12">
        <v>45</v>
      </c>
      <c r="R18" s="12">
        <v>37</v>
      </c>
      <c r="S18" s="12">
        <v>22</v>
      </c>
      <c r="T18" s="12">
        <v>22</v>
      </c>
      <c r="U18" s="12">
        <v>14</v>
      </c>
      <c r="V18" s="12">
        <v>49</v>
      </c>
      <c r="W18" s="12">
        <v>21</v>
      </c>
      <c r="X18" s="12">
        <v>69</v>
      </c>
      <c r="Y18" s="12">
        <v>78</v>
      </c>
      <c r="Z18" s="12">
        <v>26</v>
      </c>
      <c r="AA18" s="12">
        <v>65</v>
      </c>
      <c r="AB18" s="12">
        <v>66</v>
      </c>
      <c r="AC18" s="12">
        <v>23</v>
      </c>
      <c r="AD18" s="12">
        <v>62</v>
      </c>
      <c r="AE18" s="12">
        <v>56</v>
      </c>
      <c r="AF18" s="12">
        <v>59</v>
      </c>
    </row>
    <row r="19" spans="1:32">
      <c r="A19" s="20"/>
      <c r="B19" s="13" t="s">
        <v>1376</v>
      </c>
      <c r="C19" s="14">
        <v>0.06</v>
      </c>
      <c r="D19" s="14">
        <v>0.06</v>
      </c>
      <c r="E19" s="14">
        <v>7.0000000000000007E-2</v>
      </c>
      <c r="F19" s="14">
        <v>0.08</v>
      </c>
      <c r="G19" s="14">
        <v>0.05</v>
      </c>
      <c r="H19" s="14">
        <v>7.0000000000000007E-2</v>
      </c>
      <c r="I19" s="14">
        <v>7.0000000000000007E-2</v>
      </c>
      <c r="J19" s="14">
        <v>0.08</v>
      </c>
      <c r="K19" s="14">
        <v>0.03</v>
      </c>
      <c r="L19" s="14">
        <v>0.05</v>
      </c>
      <c r="M19" s="14">
        <v>0.08</v>
      </c>
      <c r="N19" s="14">
        <v>7.0000000000000007E-2</v>
      </c>
      <c r="O19" s="14">
        <v>0.05</v>
      </c>
      <c r="P19" s="14">
        <v>0.03</v>
      </c>
      <c r="Q19" s="14">
        <v>0.04</v>
      </c>
      <c r="R19" s="14">
        <v>7.0000000000000007E-2</v>
      </c>
      <c r="S19" s="14">
        <v>0.02</v>
      </c>
      <c r="T19" s="14">
        <v>0.02</v>
      </c>
      <c r="U19" s="14">
        <v>0.03</v>
      </c>
      <c r="V19" s="14">
        <v>0.05</v>
      </c>
      <c r="W19" s="14">
        <v>0.04</v>
      </c>
      <c r="X19" s="14">
        <v>7.0000000000000007E-2</v>
      </c>
      <c r="Y19" s="14">
        <v>0.08</v>
      </c>
      <c r="Z19" s="14">
        <v>0.02</v>
      </c>
      <c r="AA19" s="14">
        <v>0.06</v>
      </c>
      <c r="AB19" s="14">
        <v>0.06</v>
      </c>
      <c r="AC19" s="14">
        <v>0.02</v>
      </c>
      <c r="AD19" s="14">
        <v>0.06</v>
      </c>
      <c r="AE19" s="14">
        <v>0.06</v>
      </c>
      <c r="AF19" s="14">
        <v>0.06</v>
      </c>
    </row>
    <row r="20" spans="1:32">
      <c r="A20" s="20"/>
      <c r="B20" s="11" t="s">
        <v>468</v>
      </c>
      <c r="C20" s="12">
        <v>4432</v>
      </c>
      <c r="D20" s="12">
        <v>75</v>
      </c>
      <c r="E20" s="12">
        <v>288</v>
      </c>
      <c r="F20" s="12">
        <v>175</v>
      </c>
      <c r="G20" s="12">
        <v>177</v>
      </c>
      <c r="H20" s="12">
        <v>314</v>
      </c>
      <c r="I20" s="12">
        <v>358</v>
      </c>
      <c r="J20" s="12">
        <v>44</v>
      </c>
      <c r="K20" s="12">
        <v>237</v>
      </c>
      <c r="L20" s="12">
        <v>159</v>
      </c>
      <c r="M20" s="12">
        <v>199</v>
      </c>
      <c r="N20" s="12">
        <v>171</v>
      </c>
      <c r="O20" s="12">
        <v>204</v>
      </c>
      <c r="P20" s="12">
        <v>93</v>
      </c>
      <c r="Q20" s="12">
        <v>62</v>
      </c>
      <c r="R20" s="12">
        <v>99</v>
      </c>
      <c r="S20" s="12">
        <v>275</v>
      </c>
      <c r="T20" s="12">
        <v>310</v>
      </c>
      <c r="U20" s="12">
        <v>91</v>
      </c>
      <c r="V20" s="12">
        <v>104</v>
      </c>
      <c r="W20" s="12">
        <v>40</v>
      </c>
      <c r="X20" s="12">
        <v>110</v>
      </c>
      <c r="Y20" s="12">
        <v>184</v>
      </c>
      <c r="Z20" s="12">
        <v>138</v>
      </c>
      <c r="AA20" s="12">
        <v>194</v>
      </c>
      <c r="AB20" s="12">
        <v>170</v>
      </c>
      <c r="AC20" s="12">
        <v>151</v>
      </c>
      <c r="AD20" s="12">
        <v>205</v>
      </c>
      <c r="AE20" s="12">
        <v>178</v>
      </c>
      <c r="AF20" s="12">
        <v>203</v>
      </c>
    </row>
    <row r="21" spans="1:32">
      <c r="A21" s="20"/>
      <c r="B21" s="13" t="s">
        <v>469</v>
      </c>
      <c r="C21" s="14">
        <v>0.17</v>
      </c>
      <c r="D21" s="14">
        <v>0.08</v>
      </c>
      <c r="E21" s="14">
        <v>0.28000000000000003</v>
      </c>
      <c r="F21" s="14">
        <v>0.17</v>
      </c>
      <c r="G21" s="14">
        <v>0.18</v>
      </c>
      <c r="H21" s="14">
        <v>0.26</v>
      </c>
      <c r="I21" s="14">
        <v>0.24</v>
      </c>
      <c r="J21" s="14">
        <v>0.15</v>
      </c>
      <c r="K21" s="14">
        <v>0.24</v>
      </c>
      <c r="L21" s="14">
        <v>0.16</v>
      </c>
      <c r="M21" s="14">
        <v>0.2</v>
      </c>
      <c r="N21" s="14">
        <v>0.17</v>
      </c>
      <c r="O21" s="14">
        <v>0.2</v>
      </c>
      <c r="P21" s="14">
        <v>0.09</v>
      </c>
      <c r="Q21" s="14">
        <v>0.06</v>
      </c>
      <c r="R21" s="14">
        <v>0.2</v>
      </c>
      <c r="S21" s="14">
        <v>0.27</v>
      </c>
      <c r="T21" s="14">
        <v>0.31</v>
      </c>
      <c r="U21" s="14">
        <v>0.18</v>
      </c>
      <c r="V21" s="14">
        <v>0.1</v>
      </c>
      <c r="W21" s="14">
        <v>0.08</v>
      </c>
      <c r="X21" s="14">
        <v>0.11</v>
      </c>
      <c r="Y21" s="14">
        <v>0.18</v>
      </c>
      <c r="Z21" s="14">
        <v>0.14000000000000001</v>
      </c>
      <c r="AA21" s="14">
        <v>0.18</v>
      </c>
      <c r="AB21" s="14">
        <v>0.16</v>
      </c>
      <c r="AC21" s="14">
        <v>0.15</v>
      </c>
      <c r="AD21" s="14">
        <v>0.2</v>
      </c>
      <c r="AE21" s="14">
        <v>0.18</v>
      </c>
      <c r="AF21" s="14">
        <v>0.2</v>
      </c>
    </row>
    <row r="22" spans="1:32">
      <c r="A22" s="20"/>
      <c r="B22" s="11" t="s">
        <v>1379</v>
      </c>
      <c r="C22" s="12">
        <v>13949</v>
      </c>
      <c r="D22" s="12">
        <v>606</v>
      </c>
      <c r="E22" s="12">
        <v>474</v>
      </c>
      <c r="F22" s="12">
        <v>489</v>
      </c>
      <c r="G22" s="12">
        <v>559</v>
      </c>
      <c r="H22" s="12">
        <v>501</v>
      </c>
      <c r="I22" s="12">
        <v>609</v>
      </c>
      <c r="J22" s="12">
        <v>106</v>
      </c>
      <c r="K22" s="12">
        <v>514</v>
      </c>
      <c r="L22" s="12">
        <v>610</v>
      </c>
      <c r="M22" s="12">
        <v>384</v>
      </c>
      <c r="N22" s="12">
        <v>521</v>
      </c>
      <c r="O22" s="12">
        <v>558</v>
      </c>
      <c r="P22" s="12">
        <v>703</v>
      </c>
      <c r="Q22" s="12">
        <v>633</v>
      </c>
      <c r="R22" s="12">
        <v>229</v>
      </c>
      <c r="S22" s="12">
        <v>518</v>
      </c>
      <c r="T22" s="12">
        <v>546</v>
      </c>
      <c r="U22" s="12">
        <v>337</v>
      </c>
      <c r="V22" s="12">
        <v>636</v>
      </c>
      <c r="W22" s="12">
        <v>373</v>
      </c>
      <c r="X22" s="12">
        <v>539</v>
      </c>
      <c r="Y22" s="12">
        <v>533</v>
      </c>
      <c r="Z22" s="12">
        <v>646</v>
      </c>
      <c r="AA22" s="12">
        <v>539</v>
      </c>
      <c r="AB22" s="12">
        <v>591</v>
      </c>
      <c r="AC22" s="12">
        <v>609</v>
      </c>
      <c r="AD22" s="12">
        <v>463</v>
      </c>
      <c r="AE22" s="12">
        <v>472</v>
      </c>
      <c r="AF22" s="12">
        <v>472</v>
      </c>
    </row>
    <row r="23" spans="1:32">
      <c r="A23" s="20"/>
      <c r="B23" s="13" t="s">
        <v>1380</v>
      </c>
      <c r="C23" s="14">
        <v>0.53</v>
      </c>
      <c r="D23" s="14">
        <v>0.6</v>
      </c>
      <c r="E23" s="14">
        <v>0.46</v>
      </c>
      <c r="F23" s="14">
        <v>0.49</v>
      </c>
      <c r="G23" s="14">
        <v>0.55000000000000004</v>
      </c>
      <c r="H23" s="14">
        <v>0.41</v>
      </c>
      <c r="I23" s="14">
        <v>0.4</v>
      </c>
      <c r="J23" s="14">
        <v>0.36</v>
      </c>
      <c r="K23" s="14">
        <v>0.51</v>
      </c>
      <c r="L23" s="14">
        <v>0.61</v>
      </c>
      <c r="M23" s="14">
        <v>0.38</v>
      </c>
      <c r="N23" s="14">
        <v>0.52</v>
      </c>
      <c r="O23" s="14">
        <v>0.56000000000000005</v>
      </c>
      <c r="P23" s="14">
        <v>0.69000000000000006</v>
      </c>
      <c r="Q23" s="14">
        <v>0.62</v>
      </c>
      <c r="R23" s="14">
        <v>0.46</v>
      </c>
      <c r="S23" s="14">
        <v>0.52</v>
      </c>
      <c r="T23" s="14">
        <v>0.54</v>
      </c>
      <c r="U23" s="14">
        <v>0.66</v>
      </c>
      <c r="V23" s="14">
        <v>0.62</v>
      </c>
      <c r="W23" s="14">
        <v>0.74</v>
      </c>
      <c r="X23" s="14">
        <v>0.53</v>
      </c>
      <c r="Y23" s="14">
        <v>0.53</v>
      </c>
      <c r="Z23" s="14">
        <v>0.64</v>
      </c>
      <c r="AA23" s="14">
        <v>0.52</v>
      </c>
      <c r="AB23" s="14">
        <v>0.57999999999999996</v>
      </c>
      <c r="AC23" s="14">
        <v>0.61</v>
      </c>
      <c r="AD23" s="14">
        <v>0.47</v>
      </c>
      <c r="AE23" s="14">
        <v>0.47</v>
      </c>
      <c r="AF23" s="14">
        <v>0.46</v>
      </c>
    </row>
    <row r="24" spans="1:32">
      <c r="A24" s="20"/>
      <c r="B24" s="11" t="s">
        <v>1381</v>
      </c>
      <c r="C24" s="12">
        <v>7938</v>
      </c>
      <c r="D24" s="12">
        <v>321</v>
      </c>
      <c r="E24" s="12">
        <v>257</v>
      </c>
      <c r="F24" s="12">
        <v>340</v>
      </c>
      <c r="G24" s="12">
        <v>269</v>
      </c>
      <c r="H24" s="12">
        <v>400</v>
      </c>
      <c r="I24" s="12">
        <v>543</v>
      </c>
      <c r="J24" s="12">
        <v>143</v>
      </c>
      <c r="K24" s="12">
        <v>254</v>
      </c>
      <c r="L24" s="12">
        <v>236</v>
      </c>
      <c r="M24" s="12">
        <v>421</v>
      </c>
      <c r="N24" s="12">
        <v>311</v>
      </c>
      <c r="O24" s="12">
        <v>240</v>
      </c>
      <c r="P24" s="12">
        <v>226</v>
      </c>
      <c r="Q24" s="12">
        <v>324</v>
      </c>
      <c r="R24" s="12">
        <v>173</v>
      </c>
      <c r="S24" s="12">
        <v>214</v>
      </c>
      <c r="T24" s="12">
        <v>157</v>
      </c>
      <c r="U24" s="12">
        <v>79</v>
      </c>
      <c r="V24" s="12">
        <v>277</v>
      </c>
      <c r="W24" s="12">
        <v>91</v>
      </c>
      <c r="X24" s="12">
        <v>372</v>
      </c>
      <c r="Y24" s="12">
        <v>291</v>
      </c>
      <c r="Z24" s="12">
        <v>224</v>
      </c>
      <c r="AA24" s="12">
        <v>319</v>
      </c>
      <c r="AB24" s="12">
        <v>277</v>
      </c>
      <c r="AC24" s="12">
        <v>250</v>
      </c>
      <c r="AD24" s="12">
        <v>338</v>
      </c>
      <c r="AE24" s="12">
        <v>351</v>
      </c>
      <c r="AF24" s="12">
        <v>346</v>
      </c>
    </row>
    <row r="25" spans="1:32">
      <c r="A25" s="20"/>
      <c r="B25" s="13" t="s">
        <v>1382</v>
      </c>
      <c r="C25" s="14">
        <v>0.3</v>
      </c>
      <c r="D25" s="14">
        <v>0.32</v>
      </c>
      <c r="E25" s="14">
        <v>0.26</v>
      </c>
      <c r="F25" s="14">
        <v>0.34</v>
      </c>
      <c r="G25" s="14">
        <v>0.27</v>
      </c>
      <c r="H25" s="14">
        <v>0.33</v>
      </c>
      <c r="I25" s="14">
        <v>0.36</v>
      </c>
      <c r="J25" s="14">
        <v>0.49</v>
      </c>
      <c r="K25" s="14">
        <v>0.25</v>
      </c>
      <c r="L25" s="14">
        <v>0.23</v>
      </c>
      <c r="M25" s="14">
        <v>0.42</v>
      </c>
      <c r="N25" s="14">
        <v>0.31</v>
      </c>
      <c r="O25" s="14">
        <v>0.24</v>
      </c>
      <c r="P25" s="14">
        <v>0.22</v>
      </c>
      <c r="Q25" s="14">
        <v>0.32</v>
      </c>
      <c r="R25" s="14">
        <v>0.34</v>
      </c>
      <c r="S25" s="14">
        <v>0.21</v>
      </c>
      <c r="T25" s="14">
        <v>0.15</v>
      </c>
      <c r="U25" s="14">
        <v>0.16</v>
      </c>
      <c r="V25" s="14">
        <v>0.28000000000000003</v>
      </c>
      <c r="W25" s="14">
        <v>0.18</v>
      </c>
      <c r="X25" s="14">
        <v>0.36</v>
      </c>
      <c r="Y25" s="14">
        <v>0.28999999999999998</v>
      </c>
      <c r="Z25" s="14">
        <v>0.22</v>
      </c>
      <c r="AA25" s="14">
        <v>0.3</v>
      </c>
      <c r="AB25" s="14">
        <v>0.26</v>
      </c>
      <c r="AC25" s="14">
        <v>0.24</v>
      </c>
      <c r="AD25" s="14">
        <v>0.33</v>
      </c>
      <c r="AE25" s="14">
        <v>0.35</v>
      </c>
      <c r="AF25" s="14">
        <v>0.34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1404</v>
      </c>
      <c r="C3" s="18"/>
      <c r="D3" s="18"/>
      <c r="E3" s="18"/>
      <c r="F3" s="18"/>
      <c r="H3" s="18" t="s">
        <v>1405</v>
      </c>
      <c r="I3" s="18"/>
      <c r="J3" s="18"/>
      <c r="K3" s="18"/>
      <c r="L3" s="18"/>
    </row>
    <row r="4" spans="1:32" ht="27" customHeight="1">
      <c r="B4" s="18" t="s">
        <v>1406</v>
      </c>
      <c r="C4" s="18"/>
      <c r="D4" s="18"/>
      <c r="E4" s="18"/>
      <c r="F4" s="18"/>
      <c r="H4" s="18" t="s">
        <v>1407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3155</v>
      </c>
      <c r="D12" s="12">
        <v>126</v>
      </c>
      <c r="E12" s="12">
        <v>134</v>
      </c>
      <c r="F12" s="12">
        <v>109</v>
      </c>
      <c r="G12" s="12">
        <v>124</v>
      </c>
      <c r="H12" s="12">
        <v>89</v>
      </c>
      <c r="I12" s="12">
        <v>105</v>
      </c>
      <c r="J12" s="12">
        <v>16</v>
      </c>
      <c r="K12" s="12">
        <v>111</v>
      </c>
      <c r="L12" s="12">
        <v>185</v>
      </c>
      <c r="M12" s="12">
        <v>80</v>
      </c>
      <c r="N12" s="12">
        <v>97</v>
      </c>
      <c r="O12" s="12">
        <v>147</v>
      </c>
      <c r="P12" s="12">
        <v>146</v>
      </c>
      <c r="Q12" s="12">
        <v>185</v>
      </c>
      <c r="R12" s="12">
        <v>50</v>
      </c>
      <c r="S12" s="12">
        <v>116</v>
      </c>
      <c r="T12" s="12">
        <v>137</v>
      </c>
      <c r="U12" s="12">
        <v>117</v>
      </c>
      <c r="V12" s="12">
        <v>149</v>
      </c>
      <c r="W12" s="12">
        <v>106</v>
      </c>
      <c r="X12" s="12">
        <v>69</v>
      </c>
      <c r="Y12" s="12">
        <v>210</v>
      </c>
      <c r="Z12" s="12">
        <v>124</v>
      </c>
      <c r="AA12" s="12">
        <v>69</v>
      </c>
      <c r="AB12" s="12">
        <v>147</v>
      </c>
      <c r="AC12" s="12">
        <v>91</v>
      </c>
      <c r="AD12" s="12">
        <v>118</v>
      </c>
      <c r="AE12" s="12">
        <v>93</v>
      </c>
      <c r="AF12" s="12">
        <v>109</v>
      </c>
    </row>
    <row r="13" spans="1:32">
      <c r="A13" s="20"/>
      <c r="B13" s="13" t="s">
        <v>1387</v>
      </c>
      <c r="C13" s="14">
        <v>0.12</v>
      </c>
      <c r="D13" s="14">
        <v>0.12</v>
      </c>
      <c r="E13" s="14">
        <v>0.13</v>
      </c>
      <c r="F13" s="14">
        <v>0.11</v>
      </c>
      <c r="G13" s="14">
        <v>0.12</v>
      </c>
      <c r="H13" s="14">
        <v>7.0000000000000007E-2</v>
      </c>
      <c r="I13" s="14">
        <v>7.0000000000000007E-2</v>
      </c>
      <c r="J13" s="14">
        <v>0.05</v>
      </c>
      <c r="K13" s="14">
        <v>0.11</v>
      </c>
      <c r="L13" s="14">
        <v>0.18</v>
      </c>
      <c r="M13" s="14">
        <v>0.08</v>
      </c>
      <c r="N13" s="14">
        <v>0.1</v>
      </c>
      <c r="O13" s="14">
        <v>0.15</v>
      </c>
      <c r="P13" s="14">
        <v>0.14000000000000001</v>
      </c>
      <c r="Q13" s="14">
        <v>0.18</v>
      </c>
      <c r="R13" s="14">
        <v>0.1</v>
      </c>
      <c r="S13" s="14">
        <v>0.12</v>
      </c>
      <c r="T13" s="14">
        <v>0.13</v>
      </c>
      <c r="U13" s="14">
        <v>0.23</v>
      </c>
      <c r="V13" s="14">
        <v>0.15</v>
      </c>
      <c r="W13" s="14">
        <v>0.21</v>
      </c>
      <c r="X13" s="14">
        <v>7.0000000000000007E-2</v>
      </c>
      <c r="Y13" s="14">
        <v>0.21</v>
      </c>
      <c r="Z13" s="14">
        <v>0.12</v>
      </c>
      <c r="AA13" s="14">
        <v>7.0000000000000007E-2</v>
      </c>
      <c r="AB13" s="14">
        <v>0.14000000000000001</v>
      </c>
      <c r="AC13" s="14">
        <v>0.09</v>
      </c>
      <c r="AD13" s="14">
        <v>0.12</v>
      </c>
      <c r="AE13" s="14">
        <v>0.09</v>
      </c>
      <c r="AF13" s="14">
        <v>0.11</v>
      </c>
    </row>
    <row r="14" spans="1:32">
      <c r="A14" s="20"/>
      <c r="B14" s="11" t="s">
        <v>1371</v>
      </c>
      <c r="C14" s="12">
        <v>10648</v>
      </c>
      <c r="D14" s="12">
        <v>481</v>
      </c>
      <c r="E14" s="12">
        <v>361</v>
      </c>
      <c r="F14" s="12">
        <v>397</v>
      </c>
      <c r="G14" s="12">
        <v>432</v>
      </c>
      <c r="H14" s="12">
        <v>419</v>
      </c>
      <c r="I14" s="12">
        <v>522</v>
      </c>
      <c r="J14" s="12">
        <v>102</v>
      </c>
      <c r="K14" s="12">
        <v>415</v>
      </c>
      <c r="L14" s="12">
        <v>415</v>
      </c>
      <c r="M14" s="12">
        <v>270</v>
      </c>
      <c r="N14" s="12">
        <v>398</v>
      </c>
      <c r="O14" s="12">
        <v>377</v>
      </c>
      <c r="P14" s="12">
        <v>560</v>
      </c>
      <c r="Q14" s="12">
        <v>452</v>
      </c>
      <c r="R14" s="12">
        <v>189</v>
      </c>
      <c r="S14" s="12">
        <v>394</v>
      </c>
      <c r="T14" s="12">
        <v>393</v>
      </c>
      <c r="U14" s="12">
        <v>275</v>
      </c>
      <c r="V14" s="12">
        <v>492</v>
      </c>
      <c r="W14" s="12">
        <v>218</v>
      </c>
      <c r="X14" s="12">
        <v>442</v>
      </c>
      <c r="Y14" s="12">
        <v>337</v>
      </c>
      <c r="Z14" s="12">
        <v>527</v>
      </c>
      <c r="AA14" s="12">
        <v>448</v>
      </c>
      <c r="AB14" s="12">
        <v>413</v>
      </c>
      <c r="AC14" s="12">
        <v>468</v>
      </c>
      <c r="AD14" s="12">
        <v>345</v>
      </c>
      <c r="AE14" s="12">
        <v>498</v>
      </c>
      <c r="AF14" s="12">
        <v>391</v>
      </c>
    </row>
    <row r="15" spans="1:32">
      <c r="A15" s="20"/>
      <c r="B15" s="13" t="s">
        <v>1372</v>
      </c>
      <c r="C15" s="14">
        <v>0.41</v>
      </c>
      <c r="D15" s="14">
        <v>0.48</v>
      </c>
      <c r="E15" s="14">
        <v>0.36</v>
      </c>
      <c r="F15" s="14">
        <v>0.4</v>
      </c>
      <c r="G15" s="14">
        <v>0.43</v>
      </c>
      <c r="H15" s="14">
        <v>0.35</v>
      </c>
      <c r="I15" s="14">
        <v>0.34</v>
      </c>
      <c r="J15" s="14">
        <v>0.35</v>
      </c>
      <c r="K15" s="14">
        <v>0.41</v>
      </c>
      <c r="L15" s="14">
        <v>0.41</v>
      </c>
      <c r="M15" s="14">
        <v>0.27</v>
      </c>
      <c r="N15" s="14">
        <v>0.4</v>
      </c>
      <c r="O15" s="14">
        <v>0.37</v>
      </c>
      <c r="P15" s="14">
        <v>0.55000000000000004</v>
      </c>
      <c r="Q15" s="14">
        <v>0.44</v>
      </c>
      <c r="R15" s="14">
        <v>0.38</v>
      </c>
      <c r="S15" s="14">
        <v>0.39</v>
      </c>
      <c r="T15" s="14">
        <v>0.39</v>
      </c>
      <c r="U15" s="14">
        <v>0.54</v>
      </c>
      <c r="V15" s="14">
        <v>0.48</v>
      </c>
      <c r="W15" s="14">
        <v>0.43</v>
      </c>
      <c r="X15" s="14">
        <v>0.43</v>
      </c>
      <c r="Y15" s="14">
        <v>0.33</v>
      </c>
      <c r="Z15" s="14">
        <v>0.52</v>
      </c>
      <c r="AA15" s="14">
        <v>0.42</v>
      </c>
      <c r="AB15" s="14">
        <v>0.4</v>
      </c>
      <c r="AC15" s="14">
        <v>0.46</v>
      </c>
      <c r="AD15" s="14">
        <v>0.34</v>
      </c>
      <c r="AE15" s="14">
        <v>0.5</v>
      </c>
      <c r="AF15" s="14">
        <v>0.38</v>
      </c>
    </row>
    <row r="16" spans="1:32">
      <c r="A16" s="20"/>
      <c r="B16" s="11" t="s">
        <v>1373</v>
      </c>
      <c r="C16" s="12">
        <v>7428</v>
      </c>
      <c r="D16" s="12">
        <v>289</v>
      </c>
      <c r="E16" s="12">
        <v>249</v>
      </c>
      <c r="F16" s="12">
        <v>276</v>
      </c>
      <c r="G16" s="12">
        <v>239</v>
      </c>
      <c r="H16" s="12">
        <v>372</v>
      </c>
      <c r="I16" s="12">
        <v>500</v>
      </c>
      <c r="J16" s="12">
        <v>128</v>
      </c>
      <c r="K16" s="12">
        <v>269</v>
      </c>
      <c r="L16" s="12">
        <v>207</v>
      </c>
      <c r="M16" s="12">
        <v>381</v>
      </c>
      <c r="N16" s="12">
        <v>300</v>
      </c>
      <c r="O16" s="12">
        <v>269</v>
      </c>
      <c r="P16" s="12">
        <v>211</v>
      </c>
      <c r="Q16" s="12">
        <v>282</v>
      </c>
      <c r="R16" s="12">
        <v>147</v>
      </c>
      <c r="S16" s="12">
        <v>225</v>
      </c>
      <c r="T16" s="12">
        <v>204</v>
      </c>
      <c r="U16" s="12">
        <v>54</v>
      </c>
      <c r="V16" s="12">
        <v>214</v>
      </c>
      <c r="W16" s="12">
        <v>115</v>
      </c>
      <c r="X16" s="12">
        <v>351</v>
      </c>
      <c r="Y16" s="12">
        <v>274</v>
      </c>
      <c r="Z16" s="12">
        <v>199</v>
      </c>
      <c r="AA16" s="12">
        <v>302</v>
      </c>
      <c r="AB16" s="12">
        <v>255</v>
      </c>
      <c r="AC16" s="12">
        <v>277</v>
      </c>
      <c r="AD16" s="12">
        <v>335</v>
      </c>
      <c r="AE16" s="12">
        <v>235</v>
      </c>
      <c r="AF16" s="12">
        <v>329</v>
      </c>
    </row>
    <row r="17" spans="1:32">
      <c r="A17" s="20"/>
      <c r="B17" s="13" t="s">
        <v>1374</v>
      </c>
      <c r="C17" s="14">
        <v>0.28000000000000003</v>
      </c>
      <c r="D17" s="14">
        <v>0.28999999999999998</v>
      </c>
      <c r="E17" s="14">
        <v>0.25</v>
      </c>
      <c r="F17" s="14">
        <v>0.27</v>
      </c>
      <c r="G17" s="14">
        <v>0.24</v>
      </c>
      <c r="H17" s="14">
        <v>0.31</v>
      </c>
      <c r="I17" s="14">
        <v>0.33</v>
      </c>
      <c r="J17" s="14">
        <v>0.44</v>
      </c>
      <c r="K17" s="14">
        <v>0.27</v>
      </c>
      <c r="L17" s="14">
        <v>0.21</v>
      </c>
      <c r="M17" s="14">
        <v>0.38</v>
      </c>
      <c r="N17" s="14">
        <v>0.3</v>
      </c>
      <c r="O17" s="14">
        <v>0.27</v>
      </c>
      <c r="P17" s="14">
        <v>0.21</v>
      </c>
      <c r="Q17" s="14">
        <v>0.28000000000000003</v>
      </c>
      <c r="R17" s="14">
        <v>0.28999999999999998</v>
      </c>
      <c r="S17" s="14">
        <v>0.22</v>
      </c>
      <c r="T17" s="14">
        <v>0.2</v>
      </c>
      <c r="U17" s="14">
        <v>0.11</v>
      </c>
      <c r="V17" s="14">
        <v>0.21</v>
      </c>
      <c r="W17" s="14">
        <v>0.23</v>
      </c>
      <c r="X17" s="14">
        <v>0.34</v>
      </c>
      <c r="Y17" s="14">
        <v>0.27</v>
      </c>
      <c r="Z17" s="14">
        <v>0.2</v>
      </c>
      <c r="AA17" s="14">
        <v>0.28999999999999998</v>
      </c>
      <c r="AB17" s="14">
        <v>0.24</v>
      </c>
      <c r="AC17" s="14">
        <v>0.28000000000000003</v>
      </c>
      <c r="AD17" s="14">
        <v>0.33</v>
      </c>
      <c r="AE17" s="14">
        <v>0.23</v>
      </c>
      <c r="AF17" s="14">
        <v>0.32</v>
      </c>
    </row>
    <row r="18" spans="1:32">
      <c r="A18" s="20"/>
      <c r="B18" s="11" t="s">
        <v>1375</v>
      </c>
      <c r="C18" s="12">
        <v>1413</v>
      </c>
      <c r="D18" s="12">
        <v>48</v>
      </c>
      <c r="E18" s="12">
        <v>56</v>
      </c>
      <c r="F18" s="12">
        <v>52</v>
      </c>
      <c r="G18" s="12">
        <v>43</v>
      </c>
      <c r="H18" s="12">
        <v>53</v>
      </c>
      <c r="I18" s="12">
        <v>70</v>
      </c>
      <c r="J18" s="12">
        <v>16</v>
      </c>
      <c r="K18" s="12">
        <v>37</v>
      </c>
      <c r="L18" s="12">
        <v>57</v>
      </c>
      <c r="M18" s="12">
        <v>115</v>
      </c>
      <c r="N18" s="12">
        <v>84</v>
      </c>
      <c r="O18" s="12">
        <v>59</v>
      </c>
      <c r="P18" s="12">
        <v>32</v>
      </c>
      <c r="Q18" s="12">
        <v>37</v>
      </c>
      <c r="R18" s="12">
        <v>24</v>
      </c>
      <c r="S18" s="12">
        <v>30</v>
      </c>
      <c r="T18" s="12">
        <v>20</v>
      </c>
      <c r="U18" s="12">
        <v>12</v>
      </c>
      <c r="V18" s="12">
        <v>53</v>
      </c>
      <c r="W18" s="12">
        <v>12</v>
      </c>
      <c r="X18" s="12">
        <v>51</v>
      </c>
      <c r="Y18" s="12">
        <v>81</v>
      </c>
      <c r="Z18" s="12">
        <v>34</v>
      </c>
      <c r="AA18" s="12">
        <v>62</v>
      </c>
      <c r="AB18" s="12">
        <v>72</v>
      </c>
      <c r="AC18" s="12">
        <v>33</v>
      </c>
      <c r="AD18" s="12">
        <v>66</v>
      </c>
      <c r="AE18" s="12">
        <v>20</v>
      </c>
      <c r="AF18" s="12">
        <v>57</v>
      </c>
    </row>
    <row r="19" spans="1:32">
      <c r="A19" s="20"/>
      <c r="B19" s="13" t="s">
        <v>1376</v>
      </c>
      <c r="C19" s="14">
        <v>0.05</v>
      </c>
      <c r="D19" s="14">
        <v>0.05</v>
      </c>
      <c r="E19" s="14">
        <v>0.05</v>
      </c>
      <c r="F19" s="14">
        <v>0.05</v>
      </c>
      <c r="G19" s="14">
        <v>0.04</v>
      </c>
      <c r="H19" s="14">
        <v>0.04</v>
      </c>
      <c r="I19" s="14">
        <v>0.05</v>
      </c>
      <c r="J19" s="14">
        <v>0.06</v>
      </c>
      <c r="K19" s="14">
        <v>0.04</v>
      </c>
      <c r="L19" s="14">
        <v>0.06</v>
      </c>
      <c r="M19" s="14">
        <v>0.11</v>
      </c>
      <c r="N19" s="14">
        <v>0.08</v>
      </c>
      <c r="O19" s="14">
        <v>0.06</v>
      </c>
      <c r="P19" s="14">
        <v>0.03</v>
      </c>
      <c r="Q19" s="14">
        <v>0.04</v>
      </c>
      <c r="R19" s="14">
        <v>0.05</v>
      </c>
      <c r="S19" s="14">
        <v>0.03</v>
      </c>
      <c r="T19" s="14">
        <v>0.02</v>
      </c>
      <c r="U19" s="14">
        <v>0.02</v>
      </c>
      <c r="V19" s="14">
        <v>0.05</v>
      </c>
      <c r="W19" s="14">
        <v>0.03</v>
      </c>
      <c r="X19" s="14">
        <v>0.05</v>
      </c>
      <c r="Y19" s="14">
        <v>0.08</v>
      </c>
      <c r="Z19" s="14">
        <v>0.04</v>
      </c>
      <c r="AA19" s="14">
        <v>0.06</v>
      </c>
      <c r="AB19" s="14">
        <v>7.0000000000000007E-2</v>
      </c>
      <c r="AC19" s="14">
        <v>0.03</v>
      </c>
      <c r="AD19" s="14">
        <v>7.0000000000000007E-2</v>
      </c>
      <c r="AE19" s="14">
        <v>0.02</v>
      </c>
      <c r="AF19" s="14">
        <v>0.06</v>
      </c>
    </row>
    <row r="20" spans="1:32">
      <c r="A20" s="20"/>
      <c r="B20" s="11" t="s">
        <v>468</v>
      </c>
      <c r="C20" s="12">
        <v>3674</v>
      </c>
      <c r="D20" s="12">
        <v>60</v>
      </c>
      <c r="E20" s="12">
        <v>217</v>
      </c>
      <c r="F20" s="12">
        <v>171</v>
      </c>
      <c r="G20" s="12">
        <v>166</v>
      </c>
      <c r="H20" s="12">
        <v>282</v>
      </c>
      <c r="I20" s="12">
        <v>313</v>
      </c>
      <c r="J20" s="12">
        <v>31</v>
      </c>
      <c r="K20" s="12">
        <v>173</v>
      </c>
      <c r="L20" s="12">
        <v>144</v>
      </c>
      <c r="M20" s="12">
        <v>157</v>
      </c>
      <c r="N20" s="12">
        <v>124</v>
      </c>
      <c r="O20" s="12">
        <v>151</v>
      </c>
      <c r="P20" s="12">
        <v>75</v>
      </c>
      <c r="Q20" s="12">
        <v>63</v>
      </c>
      <c r="R20" s="12">
        <v>89</v>
      </c>
      <c r="S20" s="12">
        <v>243</v>
      </c>
      <c r="T20" s="12">
        <v>260</v>
      </c>
      <c r="U20" s="12">
        <v>48</v>
      </c>
      <c r="V20" s="12">
        <v>108</v>
      </c>
      <c r="W20" s="12">
        <v>51</v>
      </c>
      <c r="X20" s="12">
        <v>108</v>
      </c>
      <c r="Y20" s="12">
        <v>106</v>
      </c>
      <c r="Z20" s="12">
        <v>124</v>
      </c>
      <c r="AA20" s="12">
        <v>172</v>
      </c>
      <c r="AB20" s="12">
        <v>151</v>
      </c>
      <c r="AC20" s="12">
        <v>141</v>
      </c>
      <c r="AD20" s="12">
        <v>143</v>
      </c>
      <c r="AE20" s="12">
        <v>155</v>
      </c>
      <c r="AF20" s="12">
        <v>134</v>
      </c>
    </row>
    <row r="21" spans="1:32">
      <c r="A21" s="20"/>
      <c r="B21" s="13" t="s">
        <v>469</v>
      </c>
      <c r="C21" s="14">
        <v>0.14000000000000001</v>
      </c>
      <c r="D21" s="14">
        <v>0.06</v>
      </c>
      <c r="E21" s="14">
        <v>0.21</v>
      </c>
      <c r="F21" s="14">
        <v>0.17</v>
      </c>
      <c r="G21" s="14">
        <v>0.17</v>
      </c>
      <c r="H21" s="14">
        <v>0.23</v>
      </c>
      <c r="I21" s="14">
        <v>0.21</v>
      </c>
      <c r="J21" s="14">
        <v>0.1</v>
      </c>
      <c r="K21" s="14">
        <v>0.17</v>
      </c>
      <c r="L21" s="14">
        <v>0.14000000000000001</v>
      </c>
      <c r="M21" s="14">
        <v>0.16</v>
      </c>
      <c r="N21" s="14">
        <v>0.12</v>
      </c>
      <c r="O21" s="14">
        <v>0.15</v>
      </c>
      <c r="P21" s="14">
        <v>7.0000000000000007E-2</v>
      </c>
      <c r="Q21" s="14">
        <v>0.06</v>
      </c>
      <c r="R21" s="14">
        <v>0.18</v>
      </c>
      <c r="S21" s="14">
        <v>0.24</v>
      </c>
      <c r="T21" s="14">
        <v>0.26</v>
      </c>
      <c r="U21" s="14">
        <v>0.1</v>
      </c>
      <c r="V21" s="14">
        <v>0.11</v>
      </c>
      <c r="W21" s="14">
        <v>0.1</v>
      </c>
      <c r="X21" s="14">
        <v>0.11</v>
      </c>
      <c r="Y21" s="14">
        <v>0.11</v>
      </c>
      <c r="Z21" s="14">
        <v>0.12</v>
      </c>
      <c r="AA21" s="14">
        <v>0.16</v>
      </c>
      <c r="AB21" s="14">
        <v>0.15</v>
      </c>
      <c r="AC21" s="14">
        <v>0.14000000000000001</v>
      </c>
      <c r="AD21" s="14">
        <v>0.14000000000000001</v>
      </c>
      <c r="AE21" s="14">
        <v>0.16</v>
      </c>
      <c r="AF21" s="14">
        <v>0.13</v>
      </c>
    </row>
    <row r="22" spans="1:32">
      <c r="A22" s="20"/>
      <c r="B22" s="11" t="s">
        <v>1379</v>
      </c>
      <c r="C22" s="12">
        <v>13803</v>
      </c>
      <c r="D22" s="12">
        <v>607</v>
      </c>
      <c r="E22" s="12">
        <v>495</v>
      </c>
      <c r="F22" s="12">
        <v>506</v>
      </c>
      <c r="G22" s="12">
        <v>556</v>
      </c>
      <c r="H22" s="12">
        <v>508</v>
      </c>
      <c r="I22" s="12">
        <v>627</v>
      </c>
      <c r="J22" s="12">
        <v>118</v>
      </c>
      <c r="K22" s="12">
        <v>526</v>
      </c>
      <c r="L22" s="12">
        <v>600</v>
      </c>
      <c r="M22" s="12">
        <v>350</v>
      </c>
      <c r="N22" s="12">
        <v>495</v>
      </c>
      <c r="O22" s="12">
        <v>524</v>
      </c>
      <c r="P22" s="12">
        <v>706</v>
      </c>
      <c r="Q22" s="12">
        <v>637</v>
      </c>
      <c r="R22" s="12">
        <v>239</v>
      </c>
      <c r="S22" s="12">
        <v>510</v>
      </c>
      <c r="T22" s="12">
        <v>530</v>
      </c>
      <c r="U22" s="12">
        <v>392</v>
      </c>
      <c r="V22" s="12">
        <v>641</v>
      </c>
      <c r="W22" s="12">
        <v>324</v>
      </c>
      <c r="X22" s="12">
        <v>511</v>
      </c>
      <c r="Y22" s="12">
        <v>547</v>
      </c>
      <c r="Z22" s="12">
        <v>651</v>
      </c>
      <c r="AA22" s="12">
        <v>517</v>
      </c>
      <c r="AB22" s="12">
        <v>560</v>
      </c>
      <c r="AC22" s="12">
        <v>559</v>
      </c>
      <c r="AD22" s="12">
        <v>463</v>
      </c>
      <c r="AE22" s="12">
        <v>591</v>
      </c>
      <c r="AF22" s="12">
        <v>500</v>
      </c>
    </row>
    <row r="23" spans="1:32">
      <c r="A23" s="20"/>
      <c r="B23" s="13" t="s">
        <v>1380</v>
      </c>
      <c r="C23" s="14">
        <v>0.53</v>
      </c>
      <c r="D23" s="14">
        <v>0.6</v>
      </c>
      <c r="E23" s="14">
        <v>0.49</v>
      </c>
      <c r="F23" s="14">
        <v>0.51</v>
      </c>
      <c r="G23" s="14">
        <v>0.55000000000000004</v>
      </c>
      <c r="H23" s="14">
        <v>0.42</v>
      </c>
      <c r="I23" s="14">
        <v>0.41</v>
      </c>
      <c r="J23" s="14">
        <v>0.4</v>
      </c>
      <c r="K23" s="14">
        <v>0.52</v>
      </c>
      <c r="L23" s="14">
        <v>0.59</v>
      </c>
      <c r="M23" s="14">
        <v>0.35</v>
      </c>
      <c r="N23" s="14">
        <v>0.5</v>
      </c>
      <c r="O23" s="14">
        <v>0.52</v>
      </c>
      <c r="P23" s="14">
        <v>0.69000000000000006</v>
      </c>
      <c r="Q23" s="14">
        <v>0.62</v>
      </c>
      <c r="R23" s="14">
        <v>0.48</v>
      </c>
      <c r="S23" s="14">
        <v>0.51</v>
      </c>
      <c r="T23" s="14">
        <v>0.52</v>
      </c>
      <c r="U23" s="14">
        <v>0.77</v>
      </c>
      <c r="V23" s="14">
        <v>0.63</v>
      </c>
      <c r="W23" s="14">
        <v>0.64</v>
      </c>
      <c r="X23" s="14">
        <v>0.5</v>
      </c>
      <c r="Y23" s="14">
        <v>0.54</v>
      </c>
      <c r="Z23" s="14">
        <v>0.64</v>
      </c>
      <c r="AA23" s="14">
        <v>0.49</v>
      </c>
      <c r="AB23" s="14">
        <v>0.54</v>
      </c>
      <c r="AC23" s="14">
        <v>0.55000000000000004</v>
      </c>
      <c r="AD23" s="14">
        <v>0.46</v>
      </c>
      <c r="AE23" s="14">
        <v>0.59</v>
      </c>
      <c r="AF23" s="14">
        <v>0.49</v>
      </c>
    </row>
    <row r="24" spans="1:32">
      <c r="A24" s="20"/>
      <c r="B24" s="11" t="s">
        <v>1381</v>
      </c>
      <c r="C24" s="12">
        <v>8841</v>
      </c>
      <c r="D24" s="12">
        <v>337</v>
      </c>
      <c r="E24" s="12">
        <v>305</v>
      </c>
      <c r="F24" s="12">
        <v>328</v>
      </c>
      <c r="G24" s="12">
        <v>282</v>
      </c>
      <c r="H24" s="12">
        <v>425</v>
      </c>
      <c r="I24" s="12">
        <v>570</v>
      </c>
      <c r="J24" s="12">
        <v>144</v>
      </c>
      <c r="K24" s="12">
        <v>306</v>
      </c>
      <c r="L24" s="12">
        <v>264</v>
      </c>
      <c r="M24" s="12">
        <v>496</v>
      </c>
      <c r="N24" s="12">
        <v>384</v>
      </c>
      <c r="O24" s="12">
        <v>328</v>
      </c>
      <c r="P24" s="12">
        <v>243</v>
      </c>
      <c r="Q24" s="12">
        <v>319</v>
      </c>
      <c r="R24" s="12">
        <v>171</v>
      </c>
      <c r="S24" s="12">
        <v>255</v>
      </c>
      <c r="T24" s="12">
        <v>224</v>
      </c>
      <c r="U24" s="12">
        <v>66</v>
      </c>
      <c r="V24" s="12">
        <v>267</v>
      </c>
      <c r="W24" s="12">
        <v>127</v>
      </c>
      <c r="X24" s="12">
        <v>402</v>
      </c>
      <c r="Y24" s="12">
        <v>355</v>
      </c>
      <c r="Z24" s="12">
        <v>233</v>
      </c>
      <c r="AA24" s="12">
        <v>364</v>
      </c>
      <c r="AB24" s="12">
        <v>327</v>
      </c>
      <c r="AC24" s="12">
        <v>310</v>
      </c>
      <c r="AD24" s="12">
        <v>401</v>
      </c>
      <c r="AE24" s="12">
        <v>255</v>
      </c>
      <c r="AF24" s="12">
        <v>386</v>
      </c>
    </row>
    <row r="25" spans="1:32">
      <c r="A25" s="20"/>
      <c r="B25" s="13" t="s">
        <v>1382</v>
      </c>
      <c r="C25" s="14">
        <v>0.33</v>
      </c>
      <c r="D25" s="14">
        <v>0.34</v>
      </c>
      <c r="E25" s="14">
        <v>0.3</v>
      </c>
      <c r="F25" s="14">
        <v>0.32</v>
      </c>
      <c r="G25" s="14">
        <v>0.28000000000000003</v>
      </c>
      <c r="H25" s="14">
        <v>0.35</v>
      </c>
      <c r="I25" s="14">
        <v>0.38</v>
      </c>
      <c r="J25" s="14">
        <v>0.5</v>
      </c>
      <c r="K25" s="14">
        <v>0.31</v>
      </c>
      <c r="L25" s="14">
        <v>0.27</v>
      </c>
      <c r="M25" s="14">
        <v>0.49</v>
      </c>
      <c r="N25" s="14">
        <v>0.38</v>
      </c>
      <c r="O25" s="14">
        <v>0.33</v>
      </c>
      <c r="P25" s="14">
        <v>0.24</v>
      </c>
      <c r="Q25" s="14">
        <v>0.32</v>
      </c>
      <c r="R25" s="14">
        <v>0.34</v>
      </c>
      <c r="S25" s="14">
        <v>0.25</v>
      </c>
      <c r="T25" s="14">
        <v>0.22</v>
      </c>
      <c r="U25" s="14">
        <v>0.13</v>
      </c>
      <c r="V25" s="14">
        <v>0.26</v>
      </c>
      <c r="W25" s="14">
        <v>0.26</v>
      </c>
      <c r="X25" s="14">
        <v>0.39</v>
      </c>
      <c r="Y25" s="14">
        <v>0.35</v>
      </c>
      <c r="Z25" s="14">
        <v>0.24</v>
      </c>
      <c r="AA25" s="14">
        <v>0.35</v>
      </c>
      <c r="AB25" s="14">
        <v>0.31</v>
      </c>
      <c r="AC25" s="14">
        <v>0.31</v>
      </c>
      <c r="AD25" s="14">
        <v>0.4</v>
      </c>
      <c r="AE25" s="14">
        <v>0.25</v>
      </c>
      <c r="AF25" s="14">
        <v>0.38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1408</v>
      </c>
      <c r="C3" s="18"/>
      <c r="D3" s="18"/>
      <c r="E3" s="18"/>
      <c r="F3" s="18"/>
      <c r="H3" s="18" t="s">
        <v>1409</v>
      </c>
      <c r="I3" s="18"/>
      <c r="J3" s="18"/>
      <c r="K3" s="18"/>
      <c r="L3" s="18"/>
    </row>
    <row r="4" spans="1:32" ht="27" customHeight="1">
      <c r="B4" s="18" t="s">
        <v>1410</v>
      </c>
      <c r="C4" s="18"/>
      <c r="D4" s="18"/>
      <c r="E4" s="18"/>
      <c r="F4" s="18"/>
      <c r="H4" s="18" t="s">
        <v>1411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3024</v>
      </c>
      <c r="D12" s="12">
        <v>132</v>
      </c>
      <c r="E12" s="12">
        <v>193</v>
      </c>
      <c r="F12" s="12">
        <v>107</v>
      </c>
      <c r="G12" s="12">
        <v>185</v>
      </c>
      <c r="H12" s="12">
        <v>76</v>
      </c>
      <c r="I12" s="12">
        <v>98</v>
      </c>
      <c r="J12" s="12">
        <v>22</v>
      </c>
      <c r="K12" s="12">
        <v>121</v>
      </c>
      <c r="L12" s="12">
        <v>182</v>
      </c>
      <c r="M12" s="12">
        <v>84</v>
      </c>
      <c r="N12" s="12">
        <v>98</v>
      </c>
      <c r="O12" s="12">
        <v>136</v>
      </c>
      <c r="P12" s="12">
        <v>148</v>
      </c>
      <c r="Q12" s="12">
        <v>144</v>
      </c>
      <c r="R12" s="12">
        <v>55</v>
      </c>
      <c r="S12" s="12">
        <v>92</v>
      </c>
      <c r="T12" s="12">
        <v>151</v>
      </c>
      <c r="U12" s="12">
        <v>99</v>
      </c>
      <c r="V12" s="12">
        <v>159</v>
      </c>
      <c r="W12" s="12">
        <v>130</v>
      </c>
      <c r="X12" s="12">
        <v>118</v>
      </c>
      <c r="Y12" s="12">
        <v>169</v>
      </c>
      <c r="Z12" s="12">
        <v>108</v>
      </c>
      <c r="AA12" s="12">
        <v>55</v>
      </c>
      <c r="AB12" s="12">
        <v>167</v>
      </c>
      <c r="AC12" s="12">
        <v>107</v>
      </c>
      <c r="AD12" s="12">
        <v>65</v>
      </c>
      <c r="AE12" s="12">
        <v>108</v>
      </c>
      <c r="AF12" s="12">
        <v>149</v>
      </c>
    </row>
    <row r="13" spans="1:32">
      <c r="A13" s="20"/>
      <c r="B13" s="13" t="s">
        <v>1387</v>
      </c>
      <c r="C13" s="14">
        <v>0.11</v>
      </c>
      <c r="D13" s="14">
        <v>0.13</v>
      </c>
      <c r="E13" s="14">
        <v>0.19</v>
      </c>
      <c r="F13" s="14">
        <v>0.11</v>
      </c>
      <c r="G13" s="14">
        <v>0.18</v>
      </c>
      <c r="H13" s="14">
        <v>0.06</v>
      </c>
      <c r="I13" s="14">
        <v>7.0000000000000007E-2</v>
      </c>
      <c r="J13" s="14">
        <v>0.08</v>
      </c>
      <c r="K13" s="14">
        <v>0.12</v>
      </c>
      <c r="L13" s="14">
        <v>0.18</v>
      </c>
      <c r="M13" s="14">
        <v>0.08</v>
      </c>
      <c r="N13" s="14">
        <v>0.1</v>
      </c>
      <c r="O13" s="14">
        <v>0.13</v>
      </c>
      <c r="P13" s="14">
        <v>0.15</v>
      </c>
      <c r="Q13" s="14">
        <v>0.14000000000000001</v>
      </c>
      <c r="R13" s="14">
        <v>0.11</v>
      </c>
      <c r="S13" s="14">
        <v>0.09</v>
      </c>
      <c r="T13" s="14">
        <v>0.15</v>
      </c>
      <c r="U13" s="14">
        <v>0.2</v>
      </c>
      <c r="V13" s="14">
        <v>0.16</v>
      </c>
      <c r="W13" s="14">
        <v>0.26</v>
      </c>
      <c r="X13" s="14">
        <v>0.11</v>
      </c>
      <c r="Y13" s="14">
        <v>0.17</v>
      </c>
      <c r="Z13" s="14">
        <v>0.11</v>
      </c>
      <c r="AA13" s="14">
        <v>0.05</v>
      </c>
      <c r="AB13" s="14">
        <v>0.16</v>
      </c>
      <c r="AC13" s="14">
        <v>0.11</v>
      </c>
      <c r="AD13" s="14">
        <v>0.06</v>
      </c>
      <c r="AE13" s="14">
        <v>0.11</v>
      </c>
      <c r="AF13" s="14">
        <v>0.15</v>
      </c>
    </row>
    <row r="14" spans="1:32">
      <c r="A14" s="20"/>
      <c r="B14" s="11" t="s">
        <v>1371</v>
      </c>
      <c r="C14" s="12">
        <v>12909</v>
      </c>
      <c r="D14" s="12">
        <v>540</v>
      </c>
      <c r="E14" s="12">
        <v>465</v>
      </c>
      <c r="F14" s="12">
        <v>442</v>
      </c>
      <c r="G14" s="12">
        <v>461</v>
      </c>
      <c r="H14" s="12">
        <v>567</v>
      </c>
      <c r="I14" s="12">
        <v>704</v>
      </c>
      <c r="J14" s="12">
        <v>138</v>
      </c>
      <c r="K14" s="12">
        <v>476</v>
      </c>
      <c r="L14" s="12">
        <v>476</v>
      </c>
      <c r="M14" s="12">
        <v>391</v>
      </c>
      <c r="N14" s="12">
        <v>508</v>
      </c>
      <c r="O14" s="12">
        <v>479</v>
      </c>
      <c r="P14" s="12">
        <v>594</v>
      </c>
      <c r="Q14" s="12">
        <v>501</v>
      </c>
      <c r="R14" s="12">
        <v>216</v>
      </c>
      <c r="S14" s="12">
        <v>445</v>
      </c>
      <c r="T14" s="12">
        <v>476</v>
      </c>
      <c r="U14" s="12">
        <v>274</v>
      </c>
      <c r="V14" s="12">
        <v>480</v>
      </c>
      <c r="W14" s="12">
        <v>254</v>
      </c>
      <c r="X14" s="12">
        <v>535</v>
      </c>
      <c r="Y14" s="12">
        <v>476</v>
      </c>
      <c r="Z14" s="12">
        <v>573</v>
      </c>
      <c r="AA14" s="12">
        <v>532</v>
      </c>
      <c r="AB14" s="12">
        <v>459</v>
      </c>
      <c r="AC14" s="12">
        <v>515</v>
      </c>
      <c r="AD14" s="12">
        <v>488</v>
      </c>
      <c r="AE14" s="12">
        <v>576</v>
      </c>
      <c r="AF14" s="12">
        <v>553</v>
      </c>
    </row>
    <row r="15" spans="1:32">
      <c r="A15" s="20"/>
      <c r="B15" s="13" t="s">
        <v>1372</v>
      </c>
      <c r="C15" s="14">
        <v>0.49</v>
      </c>
      <c r="D15" s="14">
        <v>0.54</v>
      </c>
      <c r="E15" s="14">
        <v>0.46</v>
      </c>
      <c r="F15" s="14">
        <v>0.44</v>
      </c>
      <c r="G15" s="14">
        <v>0.46</v>
      </c>
      <c r="H15" s="14">
        <v>0.47</v>
      </c>
      <c r="I15" s="14">
        <v>0.47</v>
      </c>
      <c r="J15" s="14">
        <v>0.47</v>
      </c>
      <c r="K15" s="14">
        <v>0.47</v>
      </c>
      <c r="L15" s="14">
        <v>0.47</v>
      </c>
      <c r="M15" s="14">
        <v>0.39</v>
      </c>
      <c r="N15" s="14">
        <v>0.5</v>
      </c>
      <c r="O15" s="14">
        <v>0.48</v>
      </c>
      <c r="P15" s="14">
        <v>0.57999999999999996</v>
      </c>
      <c r="Q15" s="14">
        <v>0.49</v>
      </c>
      <c r="R15" s="14">
        <v>0.43</v>
      </c>
      <c r="S15" s="14">
        <v>0.44</v>
      </c>
      <c r="T15" s="14">
        <v>0.47</v>
      </c>
      <c r="U15" s="14">
        <v>0.54</v>
      </c>
      <c r="V15" s="14">
        <v>0.47</v>
      </c>
      <c r="W15" s="14">
        <v>0.5</v>
      </c>
      <c r="X15" s="14">
        <v>0.52</v>
      </c>
      <c r="Y15" s="14">
        <v>0.47</v>
      </c>
      <c r="Z15" s="14">
        <v>0.57000000000000006</v>
      </c>
      <c r="AA15" s="14">
        <v>0.51</v>
      </c>
      <c r="AB15" s="14">
        <v>0.44</v>
      </c>
      <c r="AC15" s="14">
        <v>0.51</v>
      </c>
      <c r="AD15" s="14">
        <v>0.49</v>
      </c>
      <c r="AE15" s="14">
        <v>0.57999999999999996</v>
      </c>
      <c r="AF15" s="14">
        <v>0.54</v>
      </c>
    </row>
    <row r="16" spans="1:32">
      <c r="A16" s="20"/>
      <c r="B16" s="11" t="s">
        <v>1373</v>
      </c>
      <c r="C16" s="12">
        <v>5972</v>
      </c>
      <c r="D16" s="12">
        <v>224</v>
      </c>
      <c r="E16" s="12">
        <v>146</v>
      </c>
      <c r="F16" s="12">
        <v>238</v>
      </c>
      <c r="G16" s="12">
        <v>198</v>
      </c>
      <c r="H16" s="12">
        <v>291</v>
      </c>
      <c r="I16" s="12">
        <v>381</v>
      </c>
      <c r="J16" s="12">
        <v>90</v>
      </c>
      <c r="K16" s="12">
        <v>218</v>
      </c>
      <c r="L16" s="12">
        <v>161</v>
      </c>
      <c r="M16" s="12">
        <v>315</v>
      </c>
      <c r="N16" s="12">
        <v>239</v>
      </c>
      <c r="O16" s="12">
        <v>208</v>
      </c>
      <c r="P16" s="12">
        <v>185</v>
      </c>
      <c r="Q16" s="12">
        <v>270</v>
      </c>
      <c r="R16" s="12">
        <v>130</v>
      </c>
      <c r="S16" s="12">
        <v>187</v>
      </c>
      <c r="T16" s="12">
        <v>118</v>
      </c>
      <c r="U16" s="12">
        <v>67</v>
      </c>
      <c r="V16" s="12">
        <v>234</v>
      </c>
      <c r="W16" s="12">
        <v>70</v>
      </c>
      <c r="X16" s="12">
        <v>241</v>
      </c>
      <c r="Y16" s="12">
        <v>194</v>
      </c>
      <c r="Z16" s="12">
        <v>192</v>
      </c>
      <c r="AA16" s="12">
        <v>224</v>
      </c>
      <c r="AB16" s="12">
        <v>213</v>
      </c>
      <c r="AC16" s="12">
        <v>241</v>
      </c>
      <c r="AD16" s="12">
        <v>270</v>
      </c>
      <c r="AE16" s="12">
        <v>134</v>
      </c>
      <c r="AF16" s="12">
        <v>166</v>
      </c>
    </row>
    <row r="17" spans="1:32">
      <c r="A17" s="20"/>
      <c r="B17" s="13" t="s">
        <v>1374</v>
      </c>
      <c r="C17" s="14">
        <v>0.23</v>
      </c>
      <c r="D17" s="14">
        <v>0.22</v>
      </c>
      <c r="E17" s="14">
        <v>0.14000000000000001</v>
      </c>
      <c r="F17" s="14">
        <v>0.24</v>
      </c>
      <c r="G17" s="14">
        <v>0.2</v>
      </c>
      <c r="H17" s="14">
        <v>0.24</v>
      </c>
      <c r="I17" s="14">
        <v>0.25</v>
      </c>
      <c r="J17" s="14">
        <v>0.31</v>
      </c>
      <c r="K17" s="14">
        <v>0.22</v>
      </c>
      <c r="L17" s="14">
        <v>0.16</v>
      </c>
      <c r="M17" s="14">
        <v>0.31</v>
      </c>
      <c r="N17" s="14">
        <v>0.24</v>
      </c>
      <c r="O17" s="14">
        <v>0.21</v>
      </c>
      <c r="P17" s="14">
        <v>0.18</v>
      </c>
      <c r="Q17" s="14">
        <v>0.27</v>
      </c>
      <c r="R17" s="14">
        <v>0.26</v>
      </c>
      <c r="S17" s="14">
        <v>0.19</v>
      </c>
      <c r="T17" s="14">
        <v>0.12</v>
      </c>
      <c r="U17" s="14">
        <v>0.13</v>
      </c>
      <c r="V17" s="14">
        <v>0.23</v>
      </c>
      <c r="W17" s="14">
        <v>0.14000000000000001</v>
      </c>
      <c r="X17" s="14">
        <v>0.24</v>
      </c>
      <c r="Y17" s="14">
        <v>0.19</v>
      </c>
      <c r="Z17" s="14">
        <v>0.19</v>
      </c>
      <c r="AA17" s="14">
        <v>0.21</v>
      </c>
      <c r="AB17" s="14">
        <v>0.2</v>
      </c>
      <c r="AC17" s="14">
        <v>0.24</v>
      </c>
      <c r="AD17" s="14">
        <v>0.27</v>
      </c>
      <c r="AE17" s="14">
        <v>0.13</v>
      </c>
      <c r="AF17" s="14">
        <v>0.16</v>
      </c>
    </row>
    <row r="18" spans="1:32">
      <c r="A18" s="20"/>
      <c r="B18" s="11" t="s">
        <v>1375</v>
      </c>
      <c r="C18" s="12">
        <v>1279</v>
      </c>
      <c r="D18" s="12">
        <v>55</v>
      </c>
      <c r="E18" s="12">
        <v>49</v>
      </c>
      <c r="F18" s="12">
        <v>71</v>
      </c>
      <c r="G18" s="12">
        <v>26</v>
      </c>
      <c r="H18" s="12">
        <v>59</v>
      </c>
      <c r="I18" s="12">
        <v>78</v>
      </c>
      <c r="J18" s="12">
        <v>19</v>
      </c>
      <c r="K18" s="12">
        <v>44</v>
      </c>
      <c r="L18" s="12">
        <v>63</v>
      </c>
      <c r="M18" s="12">
        <v>87</v>
      </c>
      <c r="N18" s="12">
        <v>51</v>
      </c>
      <c r="O18" s="12">
        <v>52</v>
      </c>
      <c r="P18" s="12">
        <v>34</v>
      </c>
      <c r="Q18" s="12">
        <v>43</v>
      </c>
      <c r="R18" s="12">
        <v>23</v>
      </c>
      <c r="S18" s="12">
        <v>38</v>
      </c>
      <c r="T18" s="12">
        <v>16</v>
      </c>
      <c r="U18" s="12">
        <v>21</v>
      </c>
      <c r="V18" s="12">
        <v>42</v>
      </c>
      <c r="W18" s="12">
        <v>16</v>
      </c>
      <c r="X18" s="12">
        <v>38</v>
      </c>
      <c r="Y18" s="12">
        <v>67</v>
      </c>
      <c r="Z18" s="12">
        <v>35</v>
      </c>
      <c r="AA18" s="12">
        <v>69</v>
      </c>
      <c r="AB18" s="12">
        <v>57</v>
      </c>
      <c r="AC18" s="12">
        <v>35</v>
      </c>
      <c r="AD18" s="12">
        <v>64</v>
      </c>
      <c r="AE18" s="12">
        <v>14</v>
      </c>
      <c r="AF18" s="12">
        <v>33</v>
      </c>
    </row>
    <row r="19" spans="1:32">
      <c r="A19" s="20"/>
      <c r="B19" s="13" t="s">
        <v>1376</v>
      </c>
      <c r="C19" s="14">
        <v>0.05</v>
      </c>
      <c r="D19" s="14">
        <v>0.06</v>
      </c>
      <c r="E19" s="14">
        <v>0.05</v>
      </c>
      <c r="F19" s="14">
        <v>7.0000000000000007E-2</v>
      </c>
      <c r="G19" s="14">
        <v>0.03</v>
      </c>
      <c r="H19" s="14">
        <v>0.05</v>
      </c>
      <c r="I19" s="14">
        <v>0.05</v>
      </c>
      <c r="J19" s="14">
        <v>0.06</v>
      </c>
      <c r="K19" s="14">
        <v>0.04</v>
      </c>
      <c r="L19" s="14">
        <v>0.06</v>
      </c>
      <c r="M19" s="14">
        <v>0.09</v>
      </c>
      <c r="N19" s="14">
        <v>0.05</v>
      </c>
      <c r="O19" s="14">
        <v>0.05</v>
      </c>
      <c r="P19" s="14">
        <v>0.03</v>
      </c>
      <c r="Q19" s="14">
        <v>0.04</v>
      </c>
      <c r="R19" s="14">
        <v>0.05</v>
      </c>
      <c r="S19" s="14">
        <v>0.04</v>
      </c>
      <c r="T19" s="14">
        <v>0.01</v>
      </c>
      <c r="U19" s="14">
        <v>0.04</v>
      </c>
      <c r="V19" s="14">
        <v>0.04</v>
      </c>
      <c r="W19" s="14">
        <v>0.03</v>
      </c>
      <c r="X19" s="14">
        <v>0.04</v>
      </c>
      <c r="Y19" s="14">
        <v>7.0000000000000007E-2</v>
      </c>
      <c r="Z19" s="14">
        <v>0.03</v>
      </c>
      <c r="AA19" s="14">
        <v>7.0000000000000007E-2</v>
      </c>
      <c r="AB19" s="14">
        <v>0.06</v>
      </c>
      <c r="AC19" s="14">
        <v>0.03</v>
      </c>
      <c r="AD19" s="14">
        <v>0.06</v>
      </c>
      <c r="AE19" s="14">
        <v>0.01</v>
      </c>
      <c r="AF19" s="14">
        <v>0.03</v>
      </c>
    </row>
    <row r="20" spans="1:32">
      <c r="A20" s="20"/>
      <c r="B20" s="11" t="s">
        <v>468</v>
      </c>
      <c r="C20" s="12">
        <v>3135</v>
      </c>
      <c r="D20" s="12">
        <v>51</v>
      </c>
      <c r="E20" s="12">
        <v>164</v>
      </c>
      <c r="F20" s="12">
        <v>147</v>
      </c>
      <c r="G20" s="12">
        <v>133</v>
      </c>
      <c r="H20" s="12">
        <v>224</v>
      </c>
      <c r="I20" s="12">
        <v>249</v>
      </c>
      <c r="J20" s="12">
        <v>25</v>
      </c>
      <c r="K20" s="12">
        <v>148</v>
      </c>
      <c r="L20" s="12">
        <v>124</v>
      </c>
      <c r="M20" s="12">
        <v>125</v>
      </c>
      <c r="N20" s="12">
        <v>107</v>
      </c>
      <c r="O20" s="12">
        <v>128</v>
      </c>
      <c r="P20" s="12">
        <v>61</v>
      </c>
      <c r="Q20" s="12">
        <v>61</v>
      </c>
      <c r="R20" s="12">
        <v>76</v>
      </c>
      <c r="S20" s="12">
        <v>246</v>
      </c>
      <c r="T20" s="12">
        <v>253</v>
      </c>
      <c r="U20" s="12">
        <v>47</v>
      </c>
      <c r="V20" s="12">
        <v>102</v>
      </c>
      <c r="W20" s="12">
        <v>34</v>
      </c>
      <c r="X20" s="12">
        <v>89</v>
      </c>
      <c r="Y20" s="12">
        <v>103</v>
      </c>
      <c r="Z20" s="12">
        <v>100</v>
      </c>
      <c r="AA20" s="12">
        <v>173</v>
      </c>
      <c r="AB20" s="12">
        <v>143</v>
      </c>
      <c r="AC20" s="12">
        <v>112</v>
      </c>
      <c r="AD20" s="12">
        <v>119</v>
      </c>
      <c r="AE20" s="12">
        <v>168</v>
      </c>
      <c r="AF20" s="12">
        <v>121</v>
      </c>
    </row>
    <row r="21" spans="1:32">
      <c r="A21" s="20"/>
      <c r="B21" s="13" t="s">
        <v>469</v>
      </c>
      <c r="C21" s="14">
        <v>0.12</v>
      </c>
      <c r="D21" s="14">
        <v>0.05</v>
      </c>
      <c r="E21" s="14">
        <v>0.16</v>
      </c>
      <c r="F21" s="14">
        <v>0.14000000000000001</v>
      </c>
      <c r="G21" s="14">
        <v>0.13</v>
      </c>
      <c r="H21" s="14">
        <v>0.18</v>
      </c>
      <c r="I21" s="14">
        <v>0.16</v>
      </c>
      <c r="J21" s="14">
        <v>0.08</v>
      </c>
      <c r="K21" s="14">
        <v>0.15</v>
      </c>
      <c r="L21" s="14">
        <v>0.13</v>
      </c>
      <c r="M21" s="14">
        <v>0.13</v>
      </c>
      <c r="N21" s="14">
        <v>0.11</v>
      </c>
      <c r="O21" s="14">
        <v>0.13</v>
      </c>
      <c r="P21" s="14">
        <v>0.06</v>
      </c>
      <c r="Q21" s="14">
        <v>0.06</v>
      </c>
      <c r="R21" s="14">
        <v>0.15</v>
      </c>
      <c r="S21" s="14">
        <v>0.24</v>
      </c>
      <c r="T21" s="14">
        <v>0.25</v>
      </c>
      <c r="U21" s="14">
        <v>0.09</v>
      </c>
      <c r="V21" s="14">
        <v>0.1</v>
      </c>
      <c r="W21" s="14">
        <v>7.0000000000000007E-2</v>
      </c>
      <c r="X21" s="14">
        <v>0.09</v>
      </c>
      <c r="Y21" s="14">
        <v>0.1</v>
      </c>
      <c r="Z21" s="14">
        <v>0.1</v>
      </c>
      <c r="AA21" s="14">
        <v>0.16</v>
      </c>
      <c r="AB21" s="14">
        <v>0.14000000000000001</v>
      </c>
      <c r="AC21" s="14">
        <v>0.11</v>
      </c>
      <c r="AD21" s="14">
        <v>0.12</v>
      </c>
      <c r="AE21" s="14">
        <v>0.17</v>
      </c>
      <c r="AF21" s="14">
        <v>0.12</v>
      </c>
    </row>
    <row r="22" spans="1:32">
      <c r="A22" s="20"/>
      <c r="B22" s="11" t="s">
        <v>1379</v>
      </c>
      <c r="C22" s="12">
        <v>15933</v>
      </c>
      <c r="D22" s="12">
        <v>672</v>
      </c>
      <c r="E22" s="12">
        <v>658</v>
      </c>
      <c r="F22" s="12">
        <v>549</v>
      </c>
      <c r="G22" s="12">
        <v>646</v>
      </c>
      <c r="H22" s="12">
        <v>643</v>
      </c>
      <c r="I22" s="12">
        <v>802</v>
      </c>
      <c r="J22" s="12">
        <v>160</v>
      </c>
      <c r="K22" s="12">
        <v>597</v>
      </c>
      <c r="L22" s="12">
        <v>658</v>
      </c>
      <c r="M22" s="12">
        <v>475</v>
      </c>
      <c r="N22" s="12">
        <v>606</v>
      </c>
      <c r="O22" s="12">
        <v>615</v>
      </c>
      <c r="P22" s="12">
        <v>742</v>
      </c>
      <c r="Q22" s="12">
        <v>645</v>
      </c>
      <c r="R22" s="12">
        <v>271</v>
      </c>
      <c r="S22" s="12">
        <v>537</v>
      </c>
      <c r="T22" s="12">
        <v>627</v>
      </c>
      <c r="U22" s="12">
        <v>373</v>
      </c>
      <c r="V22" s="12">
        <v>639</v>
      </c>
      <c r="W22" s="12">
        <v>384</v>
      </c>
      <c r="X22" s="12">
        <v>653</v>
      </c>
      <c r="Y22" s="12">
        <v>645</v>
      </c>
      <c r="Z22" s="12">
        <v>681</v>
      </c>
      <c r="AA22" s="12">
        <v>587</v>
      </c>
      <c r="AB22" s="12">
        <v>626</v>
      </c>
      <c r="AC22" s="12">
        <v>622</v>
      </c>
      <c r="AD22" s="12">
        <v>553</v>
      </c>
      <c r="AE22" s="12">
        <v>684</v>
      </c>
      <c r="AF22" s="12">
        <v>702</v>
      </c>
    </row>
    <row r="23" spans="1:32">
      <c r="A23" s="20"/>
      <c r="B23" s="13" t="s">
        <v>1380</v>
      </c>
      <c r="C23" s="14">
        <v>0.6</v>
      </c>
      <c r="D23" s="14">
        <v>0.67</v>
      </c>
      <c r="E23" s="14">
        <v>0.65</v>
      </c>
      <c r="F23" s="14">
        <v>0.55000000000000004</v>
      </c>
      <c r="G23" s="14">
        <v>0.64</v>
      </c>
      <c r="H23" s="14">
        <v>0.53</v>
      </c>
      <c r="I23" s="14">
        <v>0.54</v>
      </c>
      <c r="J23" s="14">
        <v>0.55000000000000004</v>
      </c>
      <c r="K23" s="14">
        <v>0.59</v>
      </c>
      <c r="L23" s="14">
        <v>0.65</v>
      </c>
      <c r="M23" s="14">
        <v>0.47</v>
      </c>
      <c r="N23" s="14">
        <v>0.6</v>
      </c>
      <c r="O23" s="14">
        <v>0.61</v>
      </c>
      <c r="P23" s="14">
        <v>0.73</v>
      </c>
      <c r="Q23" s="14">
        <v>0.63</v>
      </c>
      <c r="R23" s="14">
        <v>0.54</v>
      </c>
      <c r="S23" s="14">
        <v>0.53</v>
      </c>
      <c r="T23" s="14">
        <v>0.62</v>
      </c>
      <c r="U23" s="14">
        <v>0.74</v>
      </c>
      <c r="V23" s="14">
        <v>0.63</v>
      </c>
      <c r="W23" s="14">
        <v>0.76</v>
      </c>
      <c r="X23" s="14">
        <v>0.63</v>
      </c>
      <c r="Y23" s="14">
        <v>0.64</v>
      </c>
      <c r="Z23" s="14">
        <v>0.68</v>
      </c>
      <c r="AA23" s="14">
        <v>0.56000000000000005</v>
      </c>
      <c r="AB23" s="14">
        <v>0.6</v>
      </c>
      <c r="AC23" s="14">
        <v>0.62</v>
      </c>
      <c r="AD23" s="14">
        <v>0.55000000000000004</v>
      </c>
      <c r="AE23" s="14">
        <v>0.69000000000000006</v>
      </c>
      <c r="AF23" s="14">
        <v>0.69000000000000006</v>
      </c>
    </row>
    <row r="24" spans="1:32">
      <c r="A24" s="20"/>
      <c r="B24" s="11" t="s">
        <v>1381</v>
      </c>
      <c r="C24" s="12">
        <v>7251</v>
      </c>
      <c r="D24" s="12">
        <v>279</v>
      </c>
      <c r="E24" s="12">
        <v>195</v>
      </c>
      <c r="F24" s="12">
        <v>309</v>
      </c>
      <c r="G24" s="12">
        <v>224</v>
      </c>
      <c r="H24" s="12">
        <v>350</v>
      </c>
      <c r="I24" s="12">
        <v>459</v>
      </c>
      <c r="J24" s="12">
        <v>109</v>
      </c>
      <c r="K24" s="12">
        <v>262</v>
      </c>
      <c r="L24" s="12">
        <v>224</v>
      </c>
      <c r="M24" s="12">
        <v>402</v>
      </c>
      <c r="N24" s="12">
        <v>290</v>
      </c>
      <c r="O24" s="12">
        <v>260</v>
      </c>
      <c r="P24" s="12">
        <v>219</v>
      </c>
      <c r="Q24" s="12">
        <v>313</v>
      </c>
      <c r="R24" s="12">
        <v>153</v>
      </c>
      <c r="S24" s="12">
        <v>225</v>
      </c>
      <c r="T24" s="12">
        <v>134</v>
      </c>
      <c r="U24" s="12">
        <v>88</v>
      </c>
      <c r="V24" s="12">
        <v>276</v>
      </c>
      <c r="W24" s="12">
        <v>86</v>
      </c>
      <c r="X24" s="12">
        <v>279</v>
      </c>
      <c r="Y24" s="12">
        <v>261</v>
      </c>
      <c r="Z24" s="12">
        <v>227</v>
      </c>
      <c r="AA24" s="12">
        <v>293</v>
      </c>
      <c r="AB24" s="12">
        <v>270</v>
      </c>
      <c r="AC24" s="12">
        <v>276</v>
      </c>
      <c r="AD24" s="12">
        <v>334</v>
      </c>
      <c r="AE24" s="12">
        <v>148</v>
      </c>
      <c r="AF24" s="12">
        <v>199</v>
      </c>
    </row>
    <row r="25" spans="1:32">
      <c r="A25" s="20"/>
      <c r="B25" s="13" t="s">
        <v>1382</v>
      </c>
      <c r="C25" s="14">
        <v>0.28000000000000003</v>
      </c>
      <c r="D25" s="14">
        <v>0.28000000000000003</v>
      </c>
      <c r="E25" s="14">
        <v>0.19</v>
      </c>
      <c r="F25" s="14">
        <v>0.31</v>
      </c>
      <c r="G25" s="14">
        <v>0.23</v>
      </c>
      <c r="H25" s="14">
        <v>0.28999999999999998</v>
      </c>
      <c r="I25" s="14">
        <v>0.3</v>
      </c>
      <c r="J25" s="14">
        <v>0.37</v>
      </c>
      <c r="K25" s="14">
        <v>0.26</v>
      </c>
      <c r="L25" s="14">
        <v>0.22</v>
      </c>
      <c r="M25" s="14">
        <v>0.4</v>
      </c>
      <c r="N25" s="14">
        <v>0.28999999999999998</v>
      </c>
      <c r="O25" s="14">
        <v>0.26</v>
      </c>
      <c r="P25" s="14">
        <v>0.21</v>
      </c>
      <c r="Q25" s="14">
        <v>0.31</v>
      </c>
      <c r="R25" s="14">
        <v>0.31</v>
      </c>
      <c r="S25" s="14">
        <v>0.23</v>
      </c>
      <c r="T25" s="14">
        <v>0.13</v>
      </c>
      <c r="U25" s="14">
        <v>0.17</v>
      </c>
      <c r="V25" s="14">
        <v>0.27</v>
      </c>
      <c r="W25" s="14">
        <v>0.17</v>
      </c>
      <c r="X25" s="14">
        <v>0.28000000000000003</v>
      </c>
      <c r="Y25" s="14">
        <v>0.26</v>
      </c>
      <c r="Z25" s="14">
        <v>0.22</v>
      </c>
      <c r="AA25" s="14">
        <v>0.28000000000000003</v>
      </c>
      <c r="AB25" s="14">
        <v>0.26</v>
      </c>
      <c r="AC25" s="14">
        <v>0.27</v>
      </c>
      <c r="AD25" s="14">
        <v>0.33</v>
      </c>
      <c r="AE25" s="14">
        <v>0.14000000000000001</v>
      </c>
      <c r="AF25" s="14">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1412</v>
      </c>
      <c r="C3" s="18"/>
      <c r="D3" s="18"/>
      <c r="E3" s="18"/>
      <c r="F3" s="18"/>
      <c r="H3" s="18" t="s">
        <v>1413</v>
      </c>
      <c r="I3" s="18"/>
      <c r="J3" s="18"/>
      <c r="K3" s="18"/>
      <c r="L3" s="18"/>
    </row>
    <row r="4" spans="1:32" ht="27" customHeight="1">
      <c r="B4" s="18" t="s">
        <v>1414</v>
      </c>
      <c r="C4" s="18"/>
      <c r="D4" s="18"/>
      <c r="E4" s="18"/>
      <c r="F4" s="18"/>
      <c r="H4" s="18" t="s">
        <v>1415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HYPERLINK("#Content!A159","&lt;&lt;Back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3174</v>
      </c>
      <c r="D12" s="12">
        <v>123</v>
      </c>
      <c r="E12" s="12">
        <v>138</v>
      </c>
      <c r="F12" s="12">
        <v>110</v>
      </c>
      <c r="G12" s="12">
        <v>292</v>
      </c>
      <c r="H12" s="12">
        <v>95</v>
      </c>
      <c r="I12" s="12">
        <v>112</v>
      </c>
      <c r="J12" s="12">
        <v>17</v>
      </c>
      <c r="K12" s="12">
        <v>116</v>
      </c>
      <c r="L12" s="12">
        <v>175</v>
      </c>
      <c r="M12" s="12">
        <v>82</v>
      </c>
      <c r="N12" s="12">
        <v>107</v>
      </c>
      <c r="O12" s="12">
        <v>141</v>
      </c>
      <c r="P12" s="12">
        <v>128</v>
      </c>
      <c r="Q12" s="12">
        <v>137</v>
      </c>
      <c r="R12" s="12">
        <v>31</v>
      </c>
      <c r="S12" s="12">
        <v>112</v>
      </c>
      <c r="T12" s="12">
        <v>171</v>
      </c>
      <c r="U12" s="12">
        <v>83</v>
      </c>
      <c r="V12" s="12">
        <v>91</v>
      </c>
      <c r="W12" s="12">
        <v>90</v>
      </c>
      <c r="X12" s="12">
        <v>172</v>
      </c>
      <c r="Y12" s="12">
        <v>146</v>
      </c>
      <c r="Z12" s="12">
        <v>101</v>
      </c>
      <c r="AA12" s="12">
        <v>61</v>
      </c>
      <c r="AB12" s="12">
        <v>130</v>
      </c>
      <c r="AC12" s="12">
        <v>121</v>
      </c>
      <c r="AD12" s="12">
        <v>78</v>
      </c>
      <c r="AE12" s="12">
        <v>227</v>
      </c>
      <c r="AF12" s="12">
        <v>289</v>
      </c>
    </row>
    <row r="13" spans="1:32">
      <c r="A13" s="20"/>
      <c r="B13" s="13" t="s">
        <v>1387</v>
      </c>
      <c r="C13" s="14">
        <v>0.12</v>
      </c>
      <c r="D13" s="14">
        <v>0.12</v>
      </c>
      <c r="E13" s="14">
        <v>0.13</v>
      </c>
      <c r="F13" s="14">
        <v>0.11</v>
      </c>
      <c r="G13" s="14">
        <v>0.28999999999999998</v>
      </c>
      <c r="H13" s="14">
        <v>0.08</v>
      </c>
      <c r="I13" s="14">
        <v>7.0000000000000007E-2</v>
      </c>
      <c r="J13" s="14">
        <v>0.06</v>
      </c>
      <c r="K13" s="14">
        <v>0.12</v>
      </c>
      <c r="L13" s="14">
        <v>0.17</v>
      </c>
      <c r="M13" s="14">
        <v>0.08</v>
      </c>
      <c r="N13" s="14">
        <v>0.11</v>
      </c>
      <c r="O13" s="14">
        <v>0.14000000000000001</v>
      </c>
      <c r="P13" s="14">
        <v>0.13</v>
      </c>
      <c r="Q13" s="14">
        <v>0.13</v>
      </c>
      <c r="R13" s="14">
        <v>0.06</v>
      </c>
      <c r="S13" s="14">
        <v>0.11</v>
      </c>
      <c r="T13" s="14">
        <v>0.17</v>
      </c>
      <c r="U13" s="14">
        <v>0.16</v>
      </c>
      <c r="V13" s="14">
        <v>0.09</v>
      </c>
      <c r="W13" s="14">
        <v>0.18</v>
      </c>
      <c r="X13" s="14">
        <v>0.17</v>
      </c>
      <c r="Y13" s="14">
        <v>0.14000000000000001</v>
      </c>
      <c r="Z13" s="14">
        <v>0.1</v>
      </c>
      <c r="AA13" s="14">
        <v>0.06</v>
      </c>
      <c r="AB13" s="14">
        <v>0.12</v>
      </c>
      <c r="AC13" s="14">
        <v>0.12</v>
      </c>
      <c r="AD13" s="14">
        <v>0.08</v>
      </c>
      <c r="AE13" s="14">
        <v>0.23</v>
      </c>
      <c r="AF13" s="14">
        <v>0.28000000000000003</v>
      </c>
    </row>
    <row r="14" spans="1:32">
      <c r="A14" s="20"/>
      <c r="B14" s="11" t="s">
        <v>1371</v>
      </c>
      <c r="C14" s="12">
        <v>12445</v>
      </c>
      <c r="D14" s="12">
        <v>571</v>
      </c>
      <c r="E14" s="12">
        <v>428</v>
      </c>
      <c r="F14" s="12">
        <v>404</v>
      </c>
      <c r="G14" s="12">
        <v>427</v>
      </c>
      <c r="H14" s="12">
        <v>522</v>
      </c>
      <c r="I14" s="12">
        <v>650</v>
      </c>
      <c r="J14" s="12">
        <v>128</v>
      </c>
      <c r="K14" s="12">
        <v>435</v>
      </c>
      <c r="L14" s="12">
        <v>483</v>
      </c>
      <c r="M14" s="12">
        <v>366</v>
      </c>
      <c r="N14" s="12">
        <v>508</v>
      </c>
      <c r="O14" s="12">
        <v>463</v>
      </c>
      <c r="P14" s="12">
        <v>581</v>
      </c>
      <c r="Q14" s="12">
        <v>476</v>
      </c>
      <c r="R14" s="12">
        <v>198</v>
      </c>
      <c r="S14" s="12">
        <v>448</v>
      </c>
      <c r="T14" s="12">
        <v>446</v>
      </c>
      <c r="U14" s="12">
        <v>270</v>
      </c>
      <c r="V14" s="12">
        <v>473</v>
      </c>
      <c r="W14" s="12">
        <v>248</v>
      </c>
      <c r="X14" s="12">
        <v>597</v>
      </c>
      <c r="Y14" s="12">
        <v>441</v>
      </c>
      <c r="Z14" s="12">
        <v>537</v>
      </c>
      <c r="AA14" s="12">
        <v>507</v>
      </c>
      <c r="AB14" s="12">
        <v>466</v>
      </c>
      <c r="AC14" s="12">
        <v>525</v>
      </c>
      <c r="AD14" s="12">
        <v>504</v>
      </c>
      <c r="AE14" s="12">
        <v>534</v>
      </c>
      <c r="AF14" s="12">
        <v>506</v>
      </c>
    </row>
    <row r="15" spans="1:32">
      <c r="A15" s="20"/>
      <c r="B15" s="13" t="s">
        <v>1372</v>
      </c>
      <c r="C15" s="14">
        <v>0.47</v>
      </c>
      <c r="D15" s="14">
        <v>0.57000000000000006</v>
      </c>
      <c r="E15" s="14">
        <v>0.42</v>
      </c>
      <c r="F15" s="14">
        <v>0.4</v>
      </c>
      <c r="G15" s="14">
        <v>0.43</v>
      </c>
      <c r="H15" s="14">
        <v>0.43</v>
      </c>
      <c r="I15" s="14">
        <v>0.43</v>
      </c>
      <c r="J15" s="14">
        <v>0.44</v>
      </c>
      <c r="K15" s="14">
        <v>0.43</v>
      </c>
      <c r="L15" s="14">
        <v>0.48</v>
      </c>
      <c r="M15" s="14">
        <v>0.36</v>
      </c>
      <c r="N15" s="14">
        <v>0.5</v>
      </c>
      <c r="O15" s="14">
        <v>0.46</v>
      </c>
      <c r="P15" s="14">
        <v>0.57000000000000006</v>
      </c>
      <c r="Q15" s="14">
        <v>0.47</v>
      </c>
      <c r="R15" s="14">
        <v>0.4</v>
      </c>
      <c r="S15" s="14">
        <v>0.44</v>
      </c>
      <c r="T15" s="14">
        <v>0.44</v>
      </c>
      <c r="U15" s="14">
        <v>0.53</v>
      </c>
      <c r="V15" s="14">
        <v>0.46</v>
      </c>
      <c r="W15" s="14">
        <v>0.49</v>
      </c>
      <c r="X15" s="14">
        <v>0.57999999999999996</v>
      </c>
      <c r="Y15" s="14">
        <v>0.44</v>
      </c>
      <c r="Z15" s="14">
        <v>0.53</v>
      </c>
      <c r="AA15" s="14">
        <v>0.48</v>
      </c>
      <c r="AB15" s="14">
        <v>0.45</v>
      </c>
      <c r="AC15" s="14">
        <v>0.52</v>
      </c>
      <c r="AD15" s="14">
        <v>0.5</v>
      </c>
      <c r="AE15" s="14">
        <v>0.53</v>
      </c>
      <c r="AF15" s="14">
        <v>0.5</v>
      </c>
    </row>
    <row r="16" spans="1:32">
      <c r="A16" s="20"/>
      <c r="B16" s="11" t="s">
        <v>1373</v>
      </c>
      <c r="C16" s="12">
        <v>5398</v>
      </c>
      <c r="D16" s="12">
        <v>204</v>
      </c>
      <c r="E16" s="12">
        <v>142</v>
      </c>
      <c r="F16" s="12">
        <v>252</v>
      </c>
      <c r="G16" s="12">
        <v>94</v>
      </c>
      <c r="H16" s="12">
        <v>280</v>
      </c>
      <c r="I16" s="12">
        <v>372</v>
      </c>
      <c r="J16" s="12">
        <v>91</v>
      </c>
      <c r="K16" s="12">
        <v>177</v>
      </c>
      <c r="L16" s="12">
        <v>144</v>
      </c>
      <c r="M16" s="12">
        <v>287</v>
      </c>
      <c r="N16" s="12">
        <v>178</v>
      </c>
      <c r="O16" s="12">
        <v>166</v>
      </c>
      <c r="P16" s="12">
        <v>219</v>
      </c>
      <c r="Q16" s="12">
        <v>272</v>
      </c>
      <c r="R16" s="12">
        <v>149</v>
      </c>
      <c r="S16" s="12">
        <v>160</v>
      </c>
      <c r="T16" s="12">
        <v>125</v>
      </c>
      <c r="U16" s="12">
        <v>56</v>
      </c>
      <c r="V16" s="12">
        <v>281</v>
      </c>
      <c r="W16" s="12">
        <v>62</v>
      </c>
      <c r="X16" s="12">
        <v>124</v>
      </c>
      <c r="Y16" s="12">
        <v>173</v>
      </c>
      <c r="Z16" s="12">
        <v>205</v>
      </c>
      <c r="AA16" s="12">
        <v>243</v>
      </c>
      <c r="AB16" s="12">
        <v>222</v>
      </c>
      <c r="AC16" s="12">
        <v>204</v>
      </c>
      <c r="AD16" s="12">
        <v>228</v>
      </c>
      <c r="AE16" s="12">
        <v>70</v>
      </c>
      <c r="AF16" s="12">
        <v>74</v>
      </c>
    </row>
    <row r="17" spans="1:32">
      <c r="A17" s="20"/>
      <c r="B17" s="13" t="s">
        <v>1374</v>
      </c>
      <c r="C17" s="14">
        <v>0.21</v>
      </c>
      <c r="D17" s="14">
        <v>0.21</v>
      </c>
      <c r="E17" s="14">
        <v>0.14000000000000001</v>
      </c>
      <c r="F17" s="14">
        <v>0.25</v>
      </c>
      <c r="G17" s="14">
        <v>0.09</v>
      </c>
      <c r="H17" s="14">
        <v>0.23</v>
      </c>
      <c r="I17" s="14">
        <v>0.25</v>
      </c>
      <c r="J17" s="14">
        <v>0.31</v>
      </c>
      <c r="K17" s="14">
        <v>0.18</v>
      </c>
      <c r="L17" s="14">
        <v>0.14000000000000001</v>
      </c>
      <c r="M17" s="14">
        <v>0.28999999999999998</v>
      </c>
      <c r="N17" s="14">
        <v>0.18</v>
      </c>
      <c r="O17" s="14">
        <v>0.17</v>
      </c>
      <c r="P17" s="14">
        <v>0.21</v>
      </c>
      <c r="Q17" s="14">
        <v>0.27</v>
      </c>
      <c r="R17" s="14">
        <v>0.3</v>
      </c>
      <c r="S17" s="14">
        <v>0.16</v>
      </c>
      <c r="T17" s="14">
        <v>0.12</v>
      </c>
      <c r="U17" s="14">
        <v>0.11</v>
      </c>
      <c r="V17" s="14">
        <v>0.28000000000000003</v>
      </c>
      <c r="W17" s="14">
        <v>0.13</v>
      </c>
      <c r="X17" s="14">
        <v>0.12</v>
      </c>
      <c r="Y17" s="14">
        <v>0.17</v>
      </c>
      <c r="Z17" s="14">
        <v>0.21</v>
      </c>
      <c r="AA17" s="14">
        <v>0.23</v>
      </c>
      <c r="AB17" s="14">
        <v>0.21</v>
      </c>
      <c r="AC17" s="14">
        <v>0.2</v>
      </c>
      <c r="AD17" s="14">
        <v>0.23</v>
      </c>
      <c r="AE17" s="14">
        <v>7.0000000000000007E-2</v>
      </c>
      <c r="AF17" s="14">
        <v>7.0000000000000007E-2</v>
      </c>
    </row>
    <row r="18" spans="1:32">
      <c r="A18" s="20"/>
      <c r="B18" s="11" t="s">
        <v>1375</v>
      </c>
      <c r="C18" s="12">
        <v>1235</v>
      </c>
      <c r="D18" s="12">
        <v>42</v>
      </c>
      <c r="E18" s="12">
        <v>47</v>
      </c>
      <c r="F18" s="12">
        <v>64</v>
      </c>
      <c r="G18" s="12">
        <v>13</v>
      </c>
      <c r="H18" s="12">
        <v>58</v>
      </c>
      <c r="I18" s="12">
        <v>73</v>
      </c>
      <c r="J18" s="12">
        <v>16</v>
      </c>
      <c r="K18" s="12">
        <v>32</v>
      </c>
      <c r="L18" s="12">
        <v>45</v>
      </c>
      <c r="M18" s="12">
        <v>70</v>
      </c>
      <c r="N18" s="12">
        <v>53</v>
      </c>
      <c r="O18" s="12">
        <v>41</v>
      </c>
      <c r="P18" s="12">
        <v>33</v>
      </c>
      <c r="Q18" s="12">
        <v>62</v>
      </c>
      <c r="R18" s="12">
        <v>23</v>
      </c>
      <c r="S18" s="12">
        <v>30</v>
      </c>
      <c r="T18" s="12">
        <v>13</v>
      </c>
      <c r="U18" s="12">
        <v>19</v>
      </c>
      <c r="V18" s="12">
        <v>52</v>
      </c>
      <c r="W18" s="12">
        <v>21</v>
      </c>
      <c r="X18" s="12">
        <v>19</v>
      </c>
      <c r="Y18" s="12">
        <v>68</v>
      </c>
      <c r="Z18" s="12">
        <v>42</v>
      </c>
      <c r="AA18" s="12">
        <v>56</v>
      </c>
      <c r="AB18" s="12">
        <v>60</v>
      </c>
      <c r="AC18" s="12">
        <v>34</v>
      </c>
      <c r="AD18" s="12">
        <v>51</v>
      </c>
      <c r="AE18" s="12">
        <v>12</v>
      </c>
      <c r="AF18" s="12">
        <v>11</v>
      </c>
    </row>
    <row r="19" spans="1:32">
      <c r="A19" s="20"/>
      <c r="B19" s="13" t="s">
        <v>1376</v>
      </c>
      <c r="C19" s="14">
        <v>0.05</v>
      </c>
      <c r="D19" s="14">
        <v>0.04</v>
      </c>
      <c r="E19" s="14">
        <v>0.05</v>
      </c>
      <c r="F19" s="14">
        <v>0.06</v>
      </c>
      <c r="G19" s="14">
        <v>0.01</v>
      </c>
      <c r="H19" s="14">
        <v>0.05</v>
      </c>
      <c r="I19" s="14">
        <v>0.05</v>
      </c>
      <c r="J19" s="14">
        <v>0.05</v>
      </c>
      <c r="K19" s="14">
        <v>0.03</v>
      </c>
      <c r="L19" s="14">
        <v>0.05</v>
      </c>
      <c r="M19" s="14">
        <v>7.0000000000000007E-2</v>
      </c>
      <c r="N19" s="14">
        <v>0.05</v>
      </c>
      <c r="O19" s="14">
        <v>0.04</v>
      </c>
      <c r="P19" s="14">
        <v>0.03</v>
      </c>
      <c r="Q19" s="14">
        <v>0.06</v>
      </c>
      <c r="R19" s="14">
        <v>0.04</v>
      </c>
      <c r="S19" s="14">
        <v>0.03</v>
      </c>
      <c r="T19" s="14">
        <v>0.01</v>
      </c>
      <c r="U19" s="14">
        <v>0.04</v>
      </c>
      <c r="V19" s="14">
        <v>0.05</v>
      </c>
      <c r="W19" s="14">
        <v>0.04</v>
      </c>
      <c r="X19" s="14">
        <v>0.02</v>
      </c>
      <c r="Y19" s="14">
        <v>7.0000000000000007E-2</v>
      </c>
      <c r="Z19" s="14">
        <v>0.04</v>
      </c>
      <c r="AA19" s="14">
        <v>0.05</v>
      </c>
      <c r="AB19" s="14">
        <v>0.06</v>
      </c>
      <c r="AC19" s="14">
        <v>0.03</v>
      </c>
      <c r="AD19" s="14">
        <v>0.05</v>
      </c>
      <c r="AE19" s="14">
        <v>0.01</v>
      </c>
      <c r="AF19" s="14">
        <v>0.01</v>
      </c>
    </row>
    <row r="20" spans="1:32">
      <c r="A20" s="20"/>
      <c r="B20" s="11" t="s">
        <v>468</v>
      </c>
      <c r="C20" s="12">
        <v>4067</v>
      </c>
      <c r="D20" s="12">
        <v>63</v>
      </c>
      <c r="E20" s="12">
        <v>263</v>
      </c>
      <c r="F20" s="12">
        <v>176</v>
      </c>
      <c r="G20" s="12">
        <v>177</v>
      </c>
      <c r="H20" s="12">
        <v>262</v>
      </c>
      <c r="I20" s="12">
        <v>304</v>
      </c>
      <c r="J20" s="12">
        <v>42</v>
      </c>
      <c r="K20" s="12">
        <v>246</v>
      </c>
      <c r="L20" s="12">
        <v>160</v>
      </c>
      <c r="M20" s="12">
        <v>198</v>
      </c>
      <c r="N20" s="12">
        <v>158</v>
      </c>
      <c r="O20" s="12">
        <v>192</v>
      </c>
      <c r="P20" s="12">
        <v>61</v>
      </c>
      <c r="Q20" s="12">
        <v>72</v>
      </c>
      <c r="R20" s="12">
        <v>99</v>
      </c>
      <c r="S20" s="12">
        <v>258</v>
      </c>
      <c r="T20" s="12">
        <v>259</v>
      </c>
      <c r="U20" s="12">
        <v>79</v>
      </c>
      <c r="V20" s="12">
        <v>120</v>
      </c>
      <c r="W20" s="12">
        <v>82</v>
      </c>
      <c r="X20" s="12">
        <v>108</v>
      </c>
      <c r="Y20" s="12">
        <v>180</v>
      </c>
      <c r="Z20" s="12">
        <v>124</v>
      </c>
      <c r="AA20" s="12">
        <v>186</v>
      </c>
      <c r="AB20" s="12">
        <v>161</v>
      </c>
      <c r="AC20" s="12">
        <v>125</v>
      </c>
      <c r="AD20" s="12">
        <v>146</v>
      </c>
      <c r="AE20" s="12">
        <v>158</v>
      </c>
      <c r="AF20" s="12">
        <v>140</v>
      </c>
    </row>
    <row r="21" spans="1:32">
      <c r="A21" s="20"/>
      <c r="B21" s="13" t="s">
        <v>469</v>
      </c>
      <c r="C21" s="14">
        <v>0.15</v>
      </c>
      <c r="D21" s="14">
        <v>0.06</v>
      </c>
      <c r="E21" s="14">
        <v>0.26</v>
      </c>
      <c r="F21" s="14">
        <v>0.18</v>
      </c>
      <c r="G21" s="14">
        <v>0.18</v>
      </c>
      <c r="H21" s="14">
        <v>0.21</v>
      </c>
      <c r="I21" s="14">
        <v>0.2</v>
      </c>
      <c r="J21" s="14">
        <v>0.14000000000000001</v>
      </c>
      <c r="K21" s="14">
        <v>0.24</v>
      </c>
      <c r="L21" s="14">
        <v>0.16</v>
      </c>
      <c r="M21" s="14">
        <v>0.2</v>
      </c>
      <c r="N21" s="14">
        <v>0.16</v>
      </c>
      <c r="O21" s="14">
        <v>0.19</v>
      </c>
      <c r="P21" s="14">
        <v>0.06</v>
      </c>
      <c r="Q21" s="14">
        <v>7.0000000000000007E-2</v>
      </c>
      <c r="R21" s="14">
        <v>0.2</v>
      </c>
      <c r="S21" s="14">
        <v>0.26</v>
      </c>
      <c r="T21" s="14">
        <v>0.26</v>
      </c>
      <c r="U21" s="14">
        <v>0.16</v>
      </c>
      <c r="V21" s="14">
        <v>0.12</v>
      </c>
      <c r="W21" s="14">
        <v>0.16</v>
      </c>
      <c r="X21" s="14">
        <v>0.11</v>
      </c>
      <c r="Y21" s="14">
        <v>0.18</v>
      </c>
      <c r="Z21" s="14">
        <v>0.12</v>
      </c>
      <c r="AA21" s="14">
        <v>0.18</v>
      </c>
      <c r="AB21" s="14">
        <v>0.16</v>
      </c>
      <c r="AC21" s="14">
        <v>0.13</v>
      </c>
      <c r="AD21" s="14">
        <v>0.14000000000000001</v>
      </c>
      <c r="AE21" s="14">
        <v>0.16</v>
      </c>
      <c r="AF21" s="14">
        <v>0.14000000000000001</v>
      </c>
    </row>
    <row r="22" spans="1:32">
      <c r="A22" s="20"/>
      <c r="B22" s="11" t="s">
        <v>1379</v>
      </c>
      <c r="C22" s="12">
        <v>15619</v>
      </c>
      <c r="D22" s="12">
        <v>694</v>
      </c>
      <c r="E22" s="12">
        <v>566</v>
      </c>
      <c r="F22" s="12">
        <v>514</v>
      </c>
      <c r="G22" s="12">
        <v>719</v>
      </c>
      <c r="H22" s="12">
        <v>617</v>
      </c>
      <c r="I22" s="12">
        <v>762</v>
      </c>
      <c r="J22" s="12">
        <v>145</v>
      </c>
      <c r="K22" s="12">
        <v>551</v>
      </c>
      <c r="L22" s="12">
        <v>658</v>
      </c>
      <c r="M22" s="12">
        <v>448</v>
      </c>
      <c r="N22" s="12">
        <v>615</v>
      </c>
      <c r="O22" s="12">
        <v>604</v>
      </c>
      <c r="P22" s="12">
        <v>709</v>
      </c>
      <c r="Q22" s="12">
        <v>613</v>
      </c>
      <c r="R22" s="12">
        <v>229</v>
      </c>
      <c r="S22" s="12">
        <v>560</v>
      </c>
      <c r="T22" s="12">
        <v>617</v>
      </c>
      <c r="U22" s="12">
        <v>353</v>
      </c>
      <c r="V22" s="12">
        <v>564</v>
      </c>
      <c r="W22" s="12">
        <v>338</v>
      </c>
      <c r="X22" s="12">
        <v>769</v>
      </c>
      <c r="Y22" s="12">
        <v>587</v>
      </c>
      <c r="Z22" s="12">
        <v>638</v>
      </c>
      <c r="AA22" s="12">
        <v>568</v>
      </c>
      <c r="AB22" s="12">
        <v>596</v>
      </c>
      <c r="AC22" s="12">
        <v>646</v>
      </c>
      <c r="AD22" s="12">
        <v>582</v>
      </c>
      <c r="AE22" s="12">
        <v>761</v>
      </c>
      <c r="AF22" s="12">
        <v>795</v>
      </c>
    </row>
    <row r="23" spans="1:32">
      <c r="A23" s="20"/>
      <c r="B23" s="13" t="s">
        <v>1380</v>
      </c>
      <c r="C23" s="14">
        <v>0.59</v>
      </c>
      <c r="D23" s="14">
        <v>0.69000000000000006</v>
      </c>
      <c r="E23" s="14">
        <v>0.55000000000000004</v>
      </c>
      <c r="F23" s="14">
        <v>0.51</v>
      </c>
      <c r="G23" s="14">
        <v>0.72</v>
      </c>
      <c r="H23" s="14">
        <v>0.51</v>
      </c>
      <c r="I23" s="14">
        <v>0.5</v>
      </c>
      <c r="J23" s="14">
        <v>0.5</v>
      </c>
      <c r="K23" s="14">
        <v>0.55000000000000004</v>
      </c>
      <c r="L23" s="14">
        <v>0.65</v>
      </c>
      <c r="M23" s="14">
        <v>0.44</v>
      </c>
      <c r="N23" s="14">
        <v>0.61</v>
      </c>
      <c r="O23" s="14">
        <v>0.6</v>
      </c>
      <c r="P23" s="14">
        <v>0.70000000000000007</v>
      </c>
      <c r="Q23" s="14">
        <v>0.6</v>
      </c>
      <c r="R23" s="14">
        <v>0.46</v>
      </c>
      <c r="S23" s="14">
        <v>0.55000000000000004</v>
      </c>
      <c r="T23" s="14">
        <v>0.61</v>
      </c>
      <c r="U23" s="14">
        <v>0.69000000000000006</v>
      </c>
      <c r="V23" s="14">
        <v>0.55000000000000004</v>
      </c>
      <c r="W23" s="14">
        <v>0.67</v>
      </c>
      <c r="X23" s="14">
        <v>0.75</v>
      </c>
      <c r="Y23" s="14">
        <v>0.57999999999999996</v>
      </c>
      <c r="Z23" s="14">
        <v>0.63</v>
      </c>
      <c r="AA23" s="14">
        <v>0.54</v>
      </c>
      <c r="AB23" s="14">
        <v>0.57000000000000006</v>
      </c>
      <c r="AC23" s="14">
        <v>0.64</v>
      </c>
      <c r="AD23" s="14">
        <v>0.57999999999999996</v>
      </c>
      <c r="AE23" s="14">
        <v>0.76</v>
      </c>
      <c r="AF23" s="14">
        <v>0.78</v>
      </c>
    </row>
    <row r="24" spans="1:32">
      <c r="A24" s="20"/>
      <c r="B24" s="11" t="s">
        <v>1381</v>
      </c>
      <c r="C24" s="12">
        <v>6633</v>
      </c>
      <c r="D24" s="12">
        <v>246</v>
      </c>
      <c r="E24" s="12">
        <v>189</v>
      </c>
      <c r="F24" s="12">
        <v>316</v>
      </c>
      <c r="G24" s="12">
        <v>107</v>
      </c>
      <c r="H24" s="12">
        <v>338</v>
      </c>
      <c r="I24" s="12">
        <v>445</v>
      </c>
      <c r="J24" s="12">
        <v>107</v>
      </c>
      <c r="K24" s="12">
        <v>209</v>
      </c>
      <c r="L24" s="12">
        <v>189</v>
      </c>
      <c r="M24" s="12">
        <v>357</v>
      </c>
      <c r="N24" s="12">
        <v>231</v>
      </c>
      <c r="O24" s="12">
        <v>207</v>
      </c>
      <c r="P24" s="12">
        <v>252</v>
      </c>
      <c r="Q24" s="12">
        <v>334</v>
      </c>
      <c r="R24" s="12">
        <v>172</v>
      </c>
      <c r="S24" s="12">
        <v>190</v>
      </c>
      <c r="T24" s="12">
        <v>138</v>
      </c>
      <c r="U24" s="12">
        <v>75</v>
      </c>
      <c r="V24" s="12">
        <v>333</v>
      </c>
      <c r="W24" s="12">
        <v>83</v>
      </c>
      <c r="X24" s="12">
        <v>143</v>
      </c>
      <c r="Y24" s="12">
        <v>241</v>
      </c>
      <c r="Z24" s="12">
        <v>247</v>
      </c>
      <c r="AA24" s="12">
        <v>299</v>
      </c>
      <c r="AB24" s="12">
        <v>282</v>
      </c>
      <c r="AC24" s="12">
        <v>238</v>
      </c>
      <c r="AD24" s="12">
        <v>279</v>
      </c>
      <c r="AE24" s="12">
        <v>82</v>
      </c>
      <c r="AF24" s="12">
        <v>85</v>
      </c>
    </row>
    <row r="25" spans="1:32">
      <c r="A25" s="20"/>
      <c r="B25" s="13" t="s">
        <v>1382</v>
      </c>
      <c r="C25" s="14">
        <v>0.26</v>
      </c>
      <c r="D25" s="14">
        <v>0.25</v>
      </c>
      <c r="E25" s="14">
        <v>0.19</v>
      </c>
      <c r="F25" s="14">
        <v>0.31</v>
      </c>
      <c r="G25" s="14">
        <v>0.1</v>
      </c>
      <c r="H25" s="14">
        <v>0.28000000000000003</v>
      </c>
      <c r="I25" s="14">
        <v>0.3</v>
      </c>
      <c r="J25" s="14">
        <v>0.36</v>
      </c>
      <c r="K25" s="14">
        <v>0.21</v>
      </c>
      <c r="L25" s="14">
        <v>0.19</v>
      </c>
      <c r="M25" s="14">
        <v>0.36</v>
      </c>
      <c r="N25" s="14">
        <v>0.23</v>
      </c>
      <c r="O25" s="14">
        <v>0.21</v>
      </c>
      <c r="P25" s="14">
        <v>0.24</v>
      </c>
      <c r="Q25" s="14">
        <v>0.33</v>
      </c>
      <c r="R25" s="14">
        <v>0.34</v>
      </c>
      <c r="S25" s="14">
        <v>0.19</v>
      </c>
      <c r="T25" s="14">
        <v>0.13</v>
      </c>
      <c r="U25" s="14">
        <v>0.15</v>
      </c>
      <c r="V25" s="14">
        <v>0.33</v>
      </c>
      <c r="W25" s="14">
        <v>0.17</v>
      </c>
      <c r="X25" s="14">
        <v>0.14000000000000001</v>
      </c>
      <c r="Y25" s="14">
        <v>0.24</v>
      </c>
      <c r="Z25" s="14">
        <v>0.25</v>
      </c>
      <c r="AA25" s="14">
        <v>0.28000000000000003</v>
      </c>
      <c r="AB25" s="14">
        <v>0.27</v>
      </c>
      <c r="AC25" s="14">
        <v>0.23</v>
      </c>
      <c r="AD25" s="14">
        <v>0.28000000000000003</v>
      </c>
      <c r="AE25" s="14">
        <v>0.08</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1416</v>
      </c>
      <c r="C3" s="18"/>
      <c r="D3" s="18"/>
      <c r="E3" s="18"/>
      <c r="F3" s="18"/>
      <c r="H3" s="18" t="s">
        <v>1417</v>
      </c>
      <c r="I3" s="18"/>
      <c r="J3" s="18"/>
      <c r="K3" s="18"/>
      <c r="L3" s="18"/>
    </row>
    <row r="4" spans="1:32" ht="27" customHeight="1">
      <c r="B4" s="18" t="s">
        <v>1418</v>
      </c>
      <c r="C4" s="18"/>
      <c r="D4" s="18"/>
      <c r="E4" s="18"/>
      <c r="F4" s="18"/>
      <c r="H4" s="18" t="s">
        <v>1419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2871</v>
      </c>
      <c r="D12" s="12">
        <v>124</v>
      </c>
      <c r="E12" s="12">
        <v>92</v>
      </c>
      <c r="F12" s="12">
        <v>91</v>
      </c>
      <c r="G12" s="12">
        <v>158</v>
      </c>
      <c r="H12" s="12">
        <v>82</v>
      </c>
      <c r="I12" s="12">
        <v>108</v>
      </c>
      <c r="J12" s="12">
        <v>25</v>
      </c>
      <c r="K12" s="12">
        <v>97</v>
      </c>
      <c r="L12" s="12">
        <v>174</v>
      </c>
      <c r="M12" s="12">
        <v>71</v>
      </c>
      <c r="N12" s="12">
        <v>99</v>
      </c>
      <c r="O12" s="12">
        <v>137</v>
      </c>
      <c r="P12" s="12">
        <v>145</v>
      </c>
      <c r="Q12" s="12">
        <v>121</v>
      </c>
      <c r="R12" s="12">
        <v>37</v>
      </c>
      <c r="S12" s="12">
        <v>93</v>
      </c>
      <c r="T12" s="12">
        <v>105</v>
      </c>
      <c r="U12" s="12">
        <v>105</v>
      </c>
      <c r="V12" s="12">
        <v>140</v>
      </c>
      <c r="W12" s="12">
        <v>117</v>
      </c>
      <c r="X12" s="12">
        <v>119</v>
      </c>
      <c r="Y12" s="12">
        <v>153</v>
      </c>
      <c r="Z12" s="12">
        <v>123</v>
      </c>
      <c r="AA12" s="12">
        <v>45</v>
      </c>
      <c r="AB12" s="12">
        <v>123</v>
      </c>
      <c r="AC12" s="12">
        <v>91</v>
      </c>
      <c r="AD12" s="12">
        <v>86</v>
      </c>
      <c r="AE12" s="12">
        <v>166</v>
      </c>
      <c r="AF12" s="12">
        <v>134</v>
      </c>
    </row>
    <row r="13" spans="1:32">
      <c r="A13" s="20"/>
      <c r="B13" s="13" t="s">
        <v>1387</v>
      </c>
      <c r="C13" s="14">
        <v>0.11</v>
      </c>
      <c r="D13" s="14">
        <v>0.12</v>
      </c>
      <c r="E13" s="14">
        <v>0.09</v>
      </c>
      <c r="F13" s="14">
        <v>0.09</v>
      </c>
      <c r="G13" s="14">
        <v>0.16</v>
      </c>
      <c r="H13" s="14">
        <v>7.0000000000000007E-2</v>
      </c>
      <c r="I13" s="14">
        <v>7.0000000000000007E-2</v>
      </c>
      <c r="J13" s="14">
        <v>0.09</v>
      </c>
      <c r="K13" s="14">
        <v>0.1</v>
      </c>
      <c r="L13" s="14">
        <v>0.17</v>
      </c>
      <c r="M13" s="14">
        <v>7.0000000000000007E-2</v>
      </c>
      <c r="N13" s="14">
        <v>0.1</v>
      </c>
      <c r="O13" s="14">
        <v>0.14000000000000001</v>
      </c>
      <c r="P13" s="14">
        <v>0.14000000000000001</v>
      </c>
      <c r="Q13" s="14">
        <v>0.12</v>
      </c>
      <c r="R13" s="14">
        <v>0.08</v>
      </c>
      <c r="S13" s="14">
        <v>0.09</v>
      </c>
      <c r="T13" s="14">
        <v>0.1</v>
      </c>
      <c r="U13" s="14">
        <v>0.21</v>
      </c>
      <c r="V13" s="14">
        <v>0.14000000000000001</v>
      </c>
      <c r="W13" s="14">
        <v>0.23</v>
      </c>
      <c r="X13" s="14">
        <v>0.12</v>
      </c>
      <c r="Y13" s="14">
        <v>0.15</v>
      </c>
      <c r="Z13" s="14">
        <v>0.12</v>
      </c>
      <c r="AA13" s="14">
        <v>0.04</v>
      </c>
      <c r="AB13" s="14">
        <v>0.12</v>
      </c>
      <c r="AC13" s="14">
        <v>0.09</v>
      </c>
      <c r="AD13" s="14">
        <v>0.09</v>
      </c>
      <c r="AE13" s="14">
        <v>0.17</v>
      </c>
      <c r="AF13" s="14">
        <v>0.13</v>
      </c>
    </row>
    <row r="14" spans="1:32">
      <c r="A14" s="20"/>
      <c r="B14" s="11" t="s">
        <v>1371</v>
      </c>
      <c r="C14" s="12">
        <v>11543</v>
      </c>
      <c r="D14" s="12">
        <v>529</v>
      </c>
      <c r="E14" s="12">
        <v>368</v>
      </c>
      <c r="F14" s="12">
        <v>443</v>
      </c>
      <c r="G14" s="12">
        <v>499</v>
      </c>
      <c r="H14" s="12">
        <v>551</v>
      </c>
      <c r="I14" s="12">
        <v>671</v>
      </c>
      <c r="J14" s="12">
        <v>120</v>
      </c>
      <c r="K14" s="12">
        <v>453</v>
      </c>
      <c r="L14" s="12">
        <v>485</v>
      </c>
      <c r="M14" s="12">
        <v>282</v>
      </c>
      <c r="N14" s="12">
        <v>390</v>
      </c>
      <c r="O14" s="12">
        <v>364</v>
      </c>
      <c r="P14" s="12">
        <v>558</v>
      </c>
      <c r="Q14" s="12">
        <v>464</v>
      </c>
      <c r="R14" s="12">
        <v>221</v>
      </c>
      <c r="S14" s="12">
        <v>416</v>
      </c>
      <c r="T14" s="12">
        <v>438</v>
      </c>
      <c r="U14" s="12">
        <v>246</v>
      </c>
      <c r="V14" s="12">
        <v>491</v>
      </c>
      <c r="W14" s="12">
        <v>243</v>
      </c>
      <c r="X14" s="12">
        <v>541</v>
      </c>
      <c r="Y14" s="12">
        <v>483</v>
      </c>
      <c r="Z14" s="12">
        <v>538</v>
      </c>
      <c r="AA14" s="12">
        <v>450</v>
      </c>
      <c r="AB14" s="12">
        <v>427</v>
      </c>
      <c r="AC14" s="12">
        <v>482</v>
      </c>
      <c r="AD14" s="12">
        <v>396</v>
      </c>
      <c r="AE14" s="12">
        <v>589</v>
      </c>
      <c r="AF14" s="12">
        <v>476</v>
      </c>
    </row>
    <row r="15" spans="1:32">
      <c r="A15" s="20"/>
      <c r="B15" s="13" t="s">
        <v>1372</v>
      </c>
      <c r="C15" s="14">
        <v>0.44</v>
      </c>
      <c r="D15" s="14">
        <v>0.53</v>
      </c>
      <c r="E15" s="14">
        <v>0.36</v>
      </c>
      <c r="F15" s="14">
        <v>0.44</v>
      </c>
      <c r="G15" s="14">
        <v>0.5</v>
      </c>
      <c r="H15" s="14">
        <v>0.45</v>
      </c>
      <c r="I15" s="14">
        <v>0.44</v>
      </c>
      <c r="J15" s="14">
        <v>0.41</v>
      </c>
      <c r="K15" s="14">
        <v>0.45</v>
      </c>
      <c r="L15" s="14">
        <v>0.48</v>
      </c>
      <c r="M15" s="14">
        <v>0.28000000000000003</v>
      </c>
      <c r="N15" s="14">
        <v>0.39</v>
      </c>
      <c r="O15" s="14">
        <v>0.36</v>
      </c>
      <c r="P15" s="14">
        <v>0.55000000000000004</v>
      </c>
      <c r="Q15" s="14">
        <v>0.45</v>
      </c>
      <c r="R15" s="14">
        <v>0.44</v>
      </c>
      <c r="S15" s="14">
        <v>0.41</v>
      </c>
      <c r="T15" s="14">
        <v>0.43</v>
      </c>
      <c r="U15" s="14">
        <v>0.48</v>
      </c>
      <c r="V15" s="14">
        <v>0.48</v>
      </c>
      <c r="W15" s="14">
        <v>0.48</v>
      </c>
      <c r="X15" s="14">
        <v>0.53</v>
      </c>
      <c r="Y15" s="14">
        <v>0.48</v>
      </c>
      <c r="Z15" s="14">
        <v>0.54</v>
      </c>
      <c r="AA15" s="14">
        <v>0.43</v>
      </c>
      <c r="AB15" s="14">
        <v>0.41</v>
      </c>
      <c r="AC15" s="14">
        <v>0.48</v>
      </c>
      <c r="AD15" s="14">
        <v>0.39</v>
      </c>
      <c r="AE15" s="14">
        <v>0.59</v>
      </c>
      <c r="AF15" s="14">
        <v>0.47</v>
      </c>
    </row>
    <row r="16" spans="1:32">
      <c r="A16" s="20"/>
      <c r="B16" s="11" t="s">
        <v>1373</v>
      </c>
      <c r="C16" s="12">
        <v>7060</v>
      </c>
      <c r="D16" s="12">
        <v>251</v>
      </c>
      <c r="E16" s="12">
        <v>269</v>
      </c>
      <c r="F16" s="12">
        <v>253</v>
      </c>
      <c r="G16" s="12">
        <v>163</v>
      </c>
      <c r="H16" s="12">
        <v>297</v>
      </c>
      <c r="I16" s="12">
        <v>392</v>
      </c>
      <c r="J16" s="12">
        <v>95</v>
      </c>
      <c r="K16" s="12">
        <v>233</v>
      </c>
      <c r="L16" s="12">
        <v>162</v>
      </c>
      <c r="M16" s="12">
        <v>367</v>
      </c>
      <c r="N16" s="12">
        <v>321</v>
      </c>
      <c r="O16" s="12">
        <v>301</v>
      </c>
      <c r="P16" s="12">
        <v>207</v>
      </c>
      <c r="Q16" s="12">
        <v>319</v>
      </c>
      <c r="R16" s="12">
        <v>147</v>
      </c>
      <c r="S16" s="12">
        <v>218</v>
      </c>
      <c r="T16" s="12">
        <v>164</v>
      </c>
      <c r="U16" s="12">
        <v>89</v>
      </c>
      <c r="V16" s="12">
        <v>236</v>
      </c>
      <c r="W16" s="12">
        <v>85</v>
      </c>
      <c r="X16" s="12">
        <v>236</v>
      </c>
      <c r="Y16" s="12">
        <v>189</v>
      </c>
      <c r="Z16" s="12">
        <v>195</v>
      </c>
      <c r="AA16" s="12">
        <v>294</v>
      </c>
      <c r="AB16" s="12">
        <v>247</v>
      </c>
      <c r="AC16" s="12">
        <v>283</v>
      </c>
      <c r="AD16" s="12">
        <v>342</v>
      </c>
      <c r="AE16" s="12">
        <v>138</v>
      </c>
      <c r="AF16" s="12">
        <v>269</v>
      </c>
    </row>
    <row r="17" spans="1:32">
      <c r="A17" s="20"/>
      <c r="B17" s="13" t="s">
        <v>1374</v>
      </c>
      <c r="C17" s="14">
        <v>0.27</v>
      </c>
      <c r="D17" s="14">
        <v>0.25</v>
      </c>
      <c r="E17" s="14">
        <v>0.27</v>
      </c>
      <c r="F17" s="14">
        <v>0.25</v>
      </c>
      <c r="G17" s="14">
        <v>0.16</v>
      </c>
      <c r="H17" s="14">
        <v>0.24</v>
      </c>
      <c r="I17" s="14">
        <v>0.26</v>
      </c>
      <c r="J17" s="14">
        <v>0.32</v>
      </c>
      <c r="K17" s="14">
        <v>0.23</v>
      </c>
      <c r="L17" s="14">
        <v>0.16</v>
      </c>
      <c r="M17" s="14">
        <v>0.37</v>
      </c>
      <c r="N17" s="14">
        <v>0.32</v>
      </c>
      <c r="O17" s="14">
        <v>0.3</v>
      </c>
      <c r="P17" s="14">
        <v>0.2</v>
      </c>
      <c r="Q17" s="14">
        <v>0.31</v>
      </c>
      <c r="R17" s="14">
        <v>0.28999999999999998</v>
      </c>
      <c r="S17" s="14">
        <v>0.22</v>
      </c>
      <c r="T17" s="14">
        <v>0.16</v>
      </c>
      <c r="U17" s="14">
        <v>0.18</v>
      </c>
      <c r="V17" s="14">
        <v>0.23</v>
      </c>
      <c r="W17" s="14">
        <v>0.17</v>
      </c>
      <c r="X17" s="14">
        <v>0.23</v>
      </c>
      <c r="Y17" s="14">
        <v>0.19</v>
      </c>
      <c r="Z17" s="14">
        <v>0.19</v>
      </c>
      <c r="AA17" s="14">
        <v>0.28000000000000003</v>
      </c>
      <c r="AB17" s="14">
        <v>0.24</v>
      </c>
      <c r="AC17" s="14">
        <v>0.28000000000000003</v>
      </c>
      <c r="AD17" s="14">
        <v>0.34</v>
      </c>
      <c r="AE17" s="14">
        <v>0.14000000000000001</v>
      </c>
      <c r="AF17" s="14">
        <v>0.26</v>
      </c>
    </row>
    <row r="18" spans="1:32">
      <c r="A18" s="20"/>
      <c r="B18" s="11" t="s">
        <v>1375</v>
      </c>
      <c r="C18" s="12">
        <v>1582</v>
      </c>
      <c r="D18" s="12">
        <v>40</v>
      </c>
      <c r="E18" s="12">
        <v>63</v>
      </c>
      <c r="F18" s="12">
        <v>64</v>
      </c>
      <c r="G18" s="12">
        <v>22</v>
      </c>
      <c r="H18" s="12">
        <v>47</v>
      </c>
      <c r="I18" s="12">
        <v>70</v>
      </c>
      <c r="J18" s="12">
        <v>23</v>
      </c>
      <c r="K18" s="12">
        <v>47</v>
      </c>
      <c r="L18" s="12">
        <v>61</v>
      </c>
      <c r="M18" s="12">
        <v>144</v>
      </c>
      <c r="N18" s="12">
        <v>93</v>
      </c>
      <c r="O18" s="12">
        <v>71</v>
      </c>
      <c r="P18" s="12">
        <v>37</v>
      </c>
      <c r="Q18" s="12">
        <v>57</v>
      </c>
      <c r="R18" s="12">
        <v>16</v>
      </c>
      <c r="S18" s="12">
        <v>31</v>
      </c>
      <c r="T18" s="12">
        <v>27</v>
      </c>
      <c r="U18" s="12">
        <v>22</v>
      </c>
      <c r="V18" s="12">
        <v>45</v>
      </c>
      <c r="W18" s="12">
        <v>16</v>
      </c>
      <c r="X18" s="12">
        <v>22</v>
      </c>
      <c r="Y18" s="12">
        <v>66</v>
      </c>
      <c r="Z18" s="12">
        <v>43</v>
      </c>
      <c r="AA18" s="12">
        <v>98</v>
      </c>
      <c r="AB18" s="12">
        <v>86</v>
      </c>
      <c r="AC18" s="12">
        <v>37</v>
      </c>
      <c r="AD18" s="12">
        <v>64</v>
      </c>
      <c r="AE18" s="12">
        <v>15</v>
      </c>
      <c r="AF18" s="12">
        <v>44</v>
      </c>
    </row>
    <row r="19" spans="1:32">
      <c r="A19" s="20"/>
      <c r="B19" s="13" t="s">
        <v>1376</v>
      </c>
      <c r="C19" s="14">
        <v>0.06</v>
      </c>
      <c r="D19" s="14">
        <v>0.04</v>
      </c>
      <c r="E19" s="14">
        <v>0.06</v>
      </c>
      <c r="F19" s="14">
        <v>0.06</v>
      </c>
      <c r="G19" s="14">
        <v>0.02</v>
      </c>
      <c r="H19" s="14">
        <v>0.04</v>
      </c>
      <c r="I19" s="14">
        <v>0.05</v>
      </c>
      <c r="J19" s="14">
        <v>0.08</v>
      </c>
      <c r="K19" s="14">
        <v>0.05</v>
      </c>
      <c r="L19" s="14">
        <v>0.06</v>
      </c>
      <c r="M19" s="14">
        <v>0.14000000000000001</v>
      </c>
      <c r="N19" s="14">
        <v>0.09</v>
      </c>
      <c r="O19" s="14">
        <v>7.0000000000000007E-2</v>
      </c>
      <c r="P19" s="14">
        <v>0.04</v>
      </c>
      <c r="Q19" s="14">
        <v>0.06</v>
      </c>
      <c r="R19" s="14">
        <v>0.03</v>
      </c>
      <c r="S19" s="14">
        <v>0.03</v>
      </c>
      <c r="T19" s="14">
        <v>0.03</v>
      </c>
      <c r="U19" s="14">
        <v>0.04</v>
      </c>
      <c r="V19" s="14">
        <v>0.05</v>
      </c>
      <c r="W19" s="14">
        <v>0.03</v>
      </c>
      <c r="X19" s="14">
        <v>0.02</v>
      </c>
      <c r="Y19" s="14">
        <v>0.06</v>
      </c>
      <c r="Z19" s="14">
        <v>0.04</v>
      </c>
      <c r="AA19" s="14">
        <v>0.09</v>
      </c>
      <c r="AB19" s="14">
        <v>0.08</v>
      </c>
      <c r="AC19" s="14">
        <v>0.04</v>
      </c>
      <c r="AD19" s="14">
        <v>0.06</v>
      </c>
      <c r="AE19" s="14">
        <v>0.01</v>
      </c>
      <c r="AF19" s="14">
        <v>0.04</v>
      </c>
    </row>
    <row r="20" spans="1:32">
      <c r="A20" s="20"/>
      <c r="B20" s="11" t="s">
        <v>468</v>
      </c>
      <c r="C20" s="12">
        <v>3263</v>
      </c>
      <c r="D20" s="12">
        <v>59</v>
      </c>
      <c r="E20" s="12">
        <v>226</v>
      </c>
      <c r="F20" s="12">
        <v>155</v>
      </c>
      <c r="G20" s="12">
        <v>162</v>
      </c>
      <c r="H20" s="12">
        <v>239</v>
      </c>
      <c r="I20" s="12">
        <v>270</v>
      </c>
      <c r="J20" s="12">
        <v>31</v>
      </c>
      <c r="K20" s="12">
        <v>176</v>
      </c>
      <c r="L20" s="12">
        <v>125</v>
      </c>
      <c r="M20" s="12">
        <v>139</v>
      </c>
      <c r="N20" s="12">
        <v>100</v>
      </c>
      <c r="O20" s="12">
        <v>130</v>
      </c>
      <c r="P20" s="12">
        <v>75</v>
      </c>
      <c r="Q20" s="12">
        <v>59</v>
      </c>
      <c r="R20" s="12">
        <v>79</v>
      </c>
      <c r="S20" s="12">
        <v>250</v>
      </c>
      <c r="T20" s="12">
        <v>280</v>
      </c>
      <c r="U20" s="12">
        <v>45</v>
      </c>
      <c r="V20" s="12">
        <v>104</v>
      </c>
      <c r="W20" s="12">
        <v>42</v>
      </c>
      <c r="X20" s="12">
        <v>103</v>
      </c>
      <c r="Y20" s="12">
        <v>117</v>
      </c>
      <c r="Z20" s="12">
        <v>110</v>
      </c>
      <c r="AA20" s="12">
        <v>166</v>
      </c>
      <c r="AB20" s="12">
        <v>157</v>
      </c>
      <c r="AC20" s="12">
        <v>117</v>
      </c>
      <c r="AD20" s="12">
        <v>117</v>
      </c>
      <c r="AE20" s="12">
        <v>93</v>
      </c>
      <c r="AF20" s="12">
        <v>96</v>
      </c>
    </row>
    <row r="21" spans="1:32">
      <c r="A21" s="20"/>
      <c r="B21" s="13" t="s">
        <v>469</v>
      </c>
      <c r="C21" s="14">
        <v>0.12</v>
      </c>
      <c r="D21" s="14">
        <v>0.06</v>
      </c>
      <c r="E21" s="14">
        <v>0.22</v>
      </c>
      <c r="F21" s="14">
        <v>0.16</v>
      </c>
      <c r="G21" s="14">
        <v>0.16</v>
      </c>
      <c r="H21" s="14">
        <v>0.2</v>
      </c>
      <c r="I21" s="14">
        <v>0.18</v>
      </c>
      <c r="J21" s="14">
        <v>0.1</v>
      </c>
      <c r="K21" s="14">
        <v>0.17</v>
      </c>
      <c r="L21" s="14">
        <v>0.13</v>
      </c>
      <c r="M21" s="14">
        <v>0.14000000000000001</v>
      </c>
      <c r="N21" s="14">
        <v>0.1</v>
      </c>
      <c r="O21" s="14">
        <v>0.13</v>
      </c>
      <c r="P21" s="14">
        <v>7.0000000000000007E-2</v>
      </c>
      <c r="Q21" s="14">
        <v>0.06</v>
      </c>
      <c r="R21" s="14">
        <v>0.16</v>
      </c>
      <c r="S21" s="14">
        <v>0.25</v>
      </c>
      <c r="T21" s="14">
        <v>0.28000000000000003</v>
      </c>
      <c r="U21" s="14">
        <v>0.09</v>
      </c>
      <c r="V21" s="14">
        <v>0.1</v>
      </c>
      <c r="W21" s="14">
        <v>0.09</v>
      </c>
      <c r="X21" s="14">
        <v>0.1</v>
      </c>
      <c r="Y21" s="14">
        <v>0.12</v>
      </c>
      <c r="Z21" s="14">
        <v>0.11</v>
      </c>
      <c r="AA21" s="14">
        <v>0.16</v>
      </c>
      <c r="AB21" s="14">
        <v>0.15</v>
      </c>
      <c r="AC21" s="14">
        <v>0.11</v>
      </c>
      <c r="AD21" s="14">
        <v>0.12</v>
      </c>
      <c r="AE21" s="14">
        <v>0.09</v>
      </c>
      <c r="AF21" s="14">
        <v>0.1</v>
      </c>
    </row>
    <row r="22" spans="1:32">
      <c r="A22" s="20"/>
      <c r="B22" s="11" t="s">
        <v>1379</v>
      </c>
      <c r="C22" s="12">
        <v>14414</v>
      </c>
      <c r="D22" s="12">
        <v>653</v>
      </c>
      <c r="E22" s="12">
        <v>460</v>
      </c>
      <c r="F22" s="12">
        <v>534</v>
      </c>
      <c r="G22" s="12">
        <v>657</v>
      </c>
      <c r="H22" s="12">
        <v>633</v>
      </c>
      <c r="I22" s="12">
        <v>779</v>
      </c>
      <c r="J22" s="12">
        <v>145</v>
      </c>
      <c r="K22" s="12">
        <v>550</v>
      </c>
      <c r="L22" s="12">
        <v>659</v>
      </c>
      <c r="M22" s="12">
        <v>353</v>
      </c>
      <c r="N22" s="12">
        <v>489</v>
      </c>
      <c r="O22" s="12">
        <v>501</v>
      </c>
      <c r="P22" s="12">
        <v>703</v>
      </c>
      <c r="Q22" s="12">
        <v>585</v>
      </c>
      <c r="R22" s="12">
        <v>258</v>
      </c>
      <c r="S22" s="12">
        <v>509</v>
      </c>
      <c r="T22" s="12">
        <v>543</v>
      </c>
      <c r="U22" s="12">
        <v>351</v>
      </c>
      <c r="V22" s="12">
        <v>631</v>
      </c>
      <c r="W22" s="12">
        <v>360</v>
      </c>
      <c r="X22" s="12">
        <v>660</v>
      </c>
      <c r="Y22" s="12">
        <v>636</v>
      </c>
      <c r="Z22" s="12">
        <v>661</v>
      </c>
      <c r="AA22" s="12">
        <v>495</v>
      </c>
      <c r="AB22" s="12">
        <v>550</v>
      </c>
      <c r="AC22" s="12">
        <v>573</v>
      </c>
      <c r="AD22" s="12">
        <v>482</v>
      </c>
      <c r="AE22" s="12">
        <v>755</v>
      </c>
      <c r="AF22" s="12">
        <v>610</v>
      </c>
    </row>
    <row r="23" spans="1:32">
      <c r="A23" s="20"/>
      <c r="B23" s="13" t="s">
        <v>1380</v>
      </c>
      <c r="C23" s="14">
        <v>0.55000000000000004</v>
      </c>
      <c r="D23" s="14">
        <v>0.65</v>
      </c>
      <c r="E23" s="14">
        <v>0.45</v>
      </c>
      <c r="F23" s="14">
        <v>0.53</v>
      </c>
      <c r="G23" s="14">
        <v>0.66</v>
      </c>
      <c r="H23" s="14">
        <v>0.52</v>
      </c>
      <c r="I23" s="14">
        <v>0.51</v>
      </c>
      <c r="J23" s="14">
        <v>0.5</v>
      </c>
      <c r="K23" s="14">
        <v>0.55000000000000004</v>
      </c>
      <c r="L23" s="14">
        <v>0.65</v>
      </c>
      <c r="M23" s="14">
        <v>0.35</v>
      </c>
      <c r="N23" s="14">
        <v>0.49</v>
      </c>
      <c r="O23" s="14">
        <v>0.5</v>
      </c>
      <c r="P23" s="14">
        <v>0.69000000000000006</v>
      </c>
      <c r="Q23" s="14">
        <v>0.57000000000000006</v>
      </c>
      <c r="R23" s="14">
        <v>0.52</v>
      </c>
      <c r="S23" s="14">
        <v>0.5</v>
      </c>
      <c r="T23" s="14">
        <v>0.53</v>
      </c>
      <c r="U23" s="14">
        <v>0.69000000000000006</v>
      </c>
      <c r="V23" s="14">
        <v>0.62</v>
      </c>
      <c r="W23" s="14">
        <v>0.71</v>
      </c>
      <c r="X23" s="14">
        <v>0.65</v>
      </c>
      <c r="Y23" s="14">
        <v>0.63</v>
      </c>
      <c r="Z23" s="14">
        <v>0.66</v>
      </c>
      <c r="AA23" s="14">
        <v>0.47</v>
      </c>
      <c r="AB23" s="14">
        <v>0.53</v>
      </c>
      <c r="AC23" s="14">
        <v>0.57000000000000006</v>
      </c>
      <c r="AD23" s="14">
        <v>0.48</v>
      </c>
      <c r="AE23" s="14">
        <v>0.76</v>
      </c>
      <c r="AF23" s="14">
        <v>0.6</v>
      </c>
    </row>
    <row r="24" spans="1:32">
      <c r="A24" s="20"/>
      <c r="B24" s="11" t="s">
        <v>1381</v>
      </c>
      <c r="C24" s="12">
        <v>8642</v>
      </c>
      <c r="D24" s="12">
        <v>291</v>
      </c>
      <c r="E24" s="12">
        <v>332</v>
      </c>
      <c r="F24" s="12">
        <v>317</v>
      </c>
      <c r="G24" s="12">
        <v>185</v>
      </c>
      <c r="H24" s="12">
        <v>344</v>
      </c>
      <c r="I24" s="12">
        <v>462</v>
      </c>
      <c r="J24" s="12">
        <v>118</v>
      </c>
      <c r="K24" s="12">
        <v>280</v>
      </c>
      <c r="L24" s="12">
        <v>223</v>
      </c>
      <c r="M24" s="12">
        <v>511</v>
      </c>
      <c r="N24" s="12">
        <v>414</v>
      </c>
      <c r="O24" s="12">
        <v>372</v>
      </c>
      <c r="P24" s="12">
        <v>244</v>
      </c>
      <c r="Q24" s="12">
        <v>376</v>
      </c>
      <c r="R24" s="12">
        <v>163</v>
      </c>
      <c r="S24" s="12">
        <v>249</v>
      </c>
      <c r="T24" s="12">
        <v>191</v>
      </c>
      <c r="U24" s="12">
        <v>111</v>
      </c>
      <c r="V24" s="12">
        <v>281</v>
      </c>
      <c r="W24" s="12">
        <v>101</v>
      </c>
      <c r="X24" s="12">
        <v>258</v>
      </c>
      <c r="Y24" s="12">
        <v>255</v>
      </c>
      <c r="Z24" s="12">
        <v>238</v>
      </c>
      <c r="AA24" s="12">
        <v>392</v>
      </c>
      <c r="AB24" s="12">
        <v>333</v>
      </c>
      <c r="AC24" s="12">
        <v>320</v>
      </c>
      <c r="AD24" s="12">
        <v>406</v>
      </c>
      <c r="AE24" s="12">
        <v>153</v>
      </c>
      <c r="AF24" s="12">
        <v>313</v>
      </c>
    </row>
    <row r="25" spans="1:32">
      <c r="A25" s="20"/>
      <c r="B25" s="13" t="s">
        <v>1382</v>
      </c>
      <c r="C25" s="14">
        <v>0.33</v>
      </c>
      <c r="D25" s="14">
        <v>0.28999999999999998</v>
      </c>
      <c r="E25" s="14">
        <v>0.33</v>
      </c>
      <c r="F25" s="14">
        <v>0.31</v>
      </c>
      <c r="G25" s="14">
        <v>0.18</v>
      </c>
      <c r="H25" s="14">
        <v>0.28000000000000003</v>
      </c>
      <c r="I25" s="14">
        <v>0.31</v>
      </c>
      <c r="J25" s="14">
        <v>0.4</v>
      </c>
      <c r="K25" s="14">
        <v>0.28000000000000003</v>
      </c>
      <c r="L25" s="14">
        <v>0.22</v>
      </c>
      <c r="M25" s="14">
        <v>0.51</v>
      </c>
      <c r="N25" s="14">
        <v>0.41</v>
      </c>
      <c r="O25" s="14">
        <v>0.37</v>
      </c>
      <c r="P25" s="14">
        <v>0.24</v>
      </c>
      <c r="Q25" s="14">
        <v>0.37</v>
      </c>
      <c r="R25" s="14">
        <v>0.32</v>
      </c>
      <c r="S25" s="14">
        <v>0.25</v>
      </c>
      <c r="T25" s="14">
        <v>0.19</v>
      </c>
      <c r="U25" s="14">
        <v>0.22</v>
      </c>
      <c r="V25" s="14">
        <v>0.28000000000000003</v>
      </c>
      <c r="W25" s="14">
        <v>0.2</v>
      </c>
      <c r="X25" s="14">
        <v>0.25</v>
      </c>
      <c r="Y25" s="14">
        <v>0.25</v>
      </c>
      <c r="Z25" s="14">
        <v>0.23</v>
      </c>
      <c r="AA25" s="14">
        <v>0.37</v>
      </c>
      <c r="AB25" s="14">
        <v>0.32</v>
      </c>
      <c r="AC25" s="14">
        <v>0.32</v>
      </c>
      <c r="AD25" s="14">
        <v>0.4</v>
      </c>
      <c r="AE25" s="14">
        <v>0.15</v>
      </c>
      <c r="AF25" s="14">
        <v>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1420</v>
      </c>
      <c r="C3" s="18"/>
      <c r="D3" s="18"/>
      <c r="E3" s="18"/>
      <c r="F3" s="18"/>
      <c r="H3" s="18" t="s">
        <v>1421</v>
      </c>
      <c r="I3" s="18"/>
      <c r="J3" s="18"/>
      <c r="K3" s="18"/>
      <c r="L3" s="18"/>
    </row>
    <row r="4" spans="1:32" ht="27" customHeight="1">
      <c r="B4" s="18" t="s">
        <v>1422</v>
      </c>
      <c r="C4" s="18"/>
      <c r="D4" s="18"/>
      <c r="E4" s="18"/>
      <c r="F4" s="18"/>
      <c r="H4" s="18" t="s">
        <v>1423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3147</v>
      </c>
      <c r="D12" s="12">
        <v>142</v>
      </c>
      <c r="E12" s="12">
        <v>93</v>
      </c>
      <c r="F12" s="12">
        <v>94</v>
      </c>
      <c r="G12" s="12">
        <v>159</v>
      </c>
      <c r="H12" s="12">
        <v>97</v>
      </c>
      <c r="I12" s="12">
        <v>121</v>
      </c>
      <c r="J12" s="12">
        <v>24</v>
      </c>
      <c r="K12" s="12">
        <v>91</v>
      </c>
      <c r="L12" s="12">
        <v>159</v>
      </c>
      <c r="M12" s="12">
        <v>61</v>
      </c>
      <c r="N12" s="12">
        <v>99</v>
      </c>
      <c r="O12" s="12">
        <v>160</v>
      </c>
      <c r="P12" s="12">
        <v>150</v>
      </c>
      <c r="Q12" s="12">
        <v>163</v>
      </c>
      <c r="R12" s="12">
        <v>51</v>
      </c>
      <c r="S12" s="12">
        <v>90</v>
      </c>
      <c r="T12" s="12">
        <v>95</v>
      </c>
      <c r="U12" s="12">
        <v>124</v>
      </c>
      <c r="V12" s="12">
        <v>181</v>
      </c>
      <c r="W12" s="12">
        <v>126</v>
      </c>
      <c r="X12" s="12">
        <v>98</v>
      </c>
      <c r="Y12" s="12">
        <v>162</v>
      </c>
      <c r="Z12" s="12">
        <v>111</v>
      </c>
      <c r="AA12" s="12">
        <v>61</v>
      </c>
      <c r="AB12" s="12">
        <v>152</v>
      </c>
      <c r="AC12" s="12">
        <v>75</v>
      </c>
      <c r="AD12" s="12">
        <v>80</v>
      </c>
      <c r="AE12" s="12">
        <v>127</v>
      </c>
      <c r="AF12" s="12">
        <v>110</v>
      </c>
    </row>
    <row r="13" spans="1:32">
      <c r="A13" s="20"/>
      <c r="B13" s="13" t="s">
        <v>1387</v>
      </c>
      <c r="C13" s="14">
        <v>0.12</v>
      </c>
      <c r="D13" s="14">
        <v>0.14000000000000001</v>
      </c>
      <c r="E13" s="14">
        <v>0.09</v>
      </c>
      <c r="F13" s="14">
        <v>0.09</v>
      </c>
      <c r="G13" s="14">
        <v>0.16</v>
      </c>
      <c r="H13" s="14">
        <v>0.08</v>
      </c>
      <c r="I13" s="14">
        <v>0.08</v>
      </c>
      <c r="J13" s="14">
        <v>0.08</v>
      </c>
      <c r="K13" s="14">
        <v>0.09</v>
      </c>
      <c r="L13" s="14">
        <v>0.16</v>
      </c>
      <c r="M13" s="14">
        <v>0.06</v>
      </c>
      <c r="N13" s="14">
        <v>0.1</v>
      </c>
      <c r="O13" s="14">
        <v>0.16</v>
      </c>
      <c r="P13" s="14">
        <v>0.15</v>
      </c>
      <c r="Q13" s="14">
        <v>0.16</v>
      </c>
      <c r="R13" s="14">
        <v>0.1</v>
      </c>
      <c r="S13" s="14">
        <v>0.09</v>
      </c>
      <c r="T13" s="14">
        <v>0.09</v>
      </c>
      <c r="U13" s="14">
        <v>0.25</v>
      </c>
      <c r="V13" s="14">
        <v>0.18</v>
      </c>
      <c r="W13" s="14">
        <v>0.25</v>
      </c>
      <c r="X13" s="14">
        <v>0.09</v>
      </c>
      <c r="Y13" s="14">
        <v>0.16</v>
      </c>
      <c r="Z13" s="14">
        <v>0.11</v>
      </c>
      <c r="AA13" s="14">
        <v>0.06</v>
      </c>
      <c r="AB13" s="14">
        <v>0.15</v>
      </c>
      <c r="AC13" s="14">
        <v>7.0000000000000007E-2</v>
      </c>
      <c r="AD13" s="14">
        <v>0.08</v>
      </c>
      <c r="AE13" s="14">
        <v>0.12</v>
      </c>
      <c r="AF13" s="14">
        <v>0.11</v>
      </c>
    </row>
    <row r="14" spans="1:32">
      <c r="A14" s="20"/>
      <c r="B14" s="11" t="s">
        <v>1371</v>
      </c>
      <c r="C14" s="12">
        <v>10419</v>
      </c>
      <c r="D14" s="12">
        <v>490</v>
      </c>
      <c r="E14" s="12">
        <v>385</v>
      </c>
      <c r="F14" s="12">
        <v>395</v>
      </c>
      <c r="G14" s="12">
        <v>425</v>
      </c>
      <c r="H14" s="12">
        <v>439</v>
      </c>
      <c r="I14" s="12">
        <v>534</v>
      </c>
      <c r="J14" s="12">
        <v>94</v>
      </c>
      <c r="K14" s="12">
        <v>411</v>
      </c>
      <c r="L14" s="12">
        <v>462</v>
      </c>
      <c r="M14" s="12">
        <v>256</v>
      </c>
      <c r="N14" s="12">
        <v>366</v>
      </c>
      <c r="O14" s="12">
        <v>341</v>
      </c>
      <c r="P14" s="12">
        <v>516</v>
      </c>
      <c r="Q14" s="12">
        <v>421</v>
      </c>
      <c r="R14" s="12">
        <v>186</v>
      </c>
      <c r="S14" s="12">
        <v>425</v>
      </c>
      <c r="T14" s="12">
        <v>392</v>
      </c>
      <c r="U14" s="12">
        <v>216</v>
      </c>
      <c r="V14" s="12">
        <v>432</v>
      </c>
      <c r="W14" s="12">
        <v>241</v>
      </c>
      <c r="X14" s="12">
        <v>448</v>
      </c>
      <c r="Y14" s="12">
        <v>409</v>
      </c>
      <c r="Z14" s="12">
        <v>522</v>
      </c>
      <c r="AA14" s="12">
        <v>428</v>
      </c>
      <c r="AB14" s="12">
        <v>411</v>
      </c>
      <c r="AC14" s="12">
        <v>420</v>
      </c>
      <c r="AD14" s="12">
        <v>387</v>
      </c>
      <c r="AE14" s="12">
        <v>579</v>
      </c>
      <c r="AF14" s="12">
        <v>475</v>
      </c>
    </row>
    <row r="15" spans="1:32">
      <c r="A15" s="20"/>
      <c r="B15" s="13" t="s">
        <v>1372</v>
      </c>
      <c r="C15" s="14">
        <v>0.4</v>
      </c>
      <c r="D15" s="14">
        <v>0.49</v>
      </c>
      <c r="E15" s="14">
        <v>0.38</v>
      </c>
      <c r="F15" s="14">
        <v>0.39</v>
      </c>
      <c r="G15" s="14">
        <v>0.42</v>
      </c>
      <c r="H15" s="14">
        <v>0.36</v>
      </c>
      <c r="I15" s="14">
        <v>0.35</v>
      </c>
      <c r="J15" s="14">
        <v>0.32</v>
      </c>
      <c r="K15" s="14">
        <v>0.41</v>
      </c>
      <c r="L15" s="14">
        <v>0.46</v>
      </c>
      <c r="M15" s="14">
        <v>0.26</v>
      </c>
      <c r="N15" s="14">
        <v>0.36</v>
      </c>
      <c r="O15" s="14">
        <v>0.34</v>
      </c>
      <c r="P15" s="14">
        <v>0.51</v>
      </c>
      <c r="Q15" s="14">
        <v>0.41</v>
      </c>
      <c r="R15" s="14">
        <v>0.37</v>
      </c>
      <c r="S15" s="14">
        <v>0.42</v>
      </c>
      <c r="T15" s="14">
        <v>0.39</v>
      </c>
      <c r="U15" s="14">
        <v>0.43</v>
      </c>
      <c r="V15" s="14">
        <v>0.42</v>
      </c>
      <c r="W15" s="14">
        <v>0.48</v>
      </c>
      <c r="X15" s="14">
        <v>0.44</v>
      </c>
      <c r="Y15" s="14">
        <v>0.4</v>
      </c>
      <c r="Z15" s="14">
        <v>0.52</v>
      </c>
      <c r="AA15" s="14">
        <v>0.41</v>
      </c>
      <c r="AB15" s="14">
        <v>0.4</v>
      </c>
      <c r="AC15" s="14">
        <v>0.42</v>
      </c>
      <c r="AD15" s="14">
        <v>0.38</v>
      </c>
      <c r="AE15" s="14">
        <v>0.57999999999999996</v>
      </c>
      <c r="AF15" s="14">
        <v>0.47</v>
      </c>
    </row>
    <row r="16" spans="1:32">
      <c r="A16" s="20"/>
      <c r="B16" s="11" t="s">
        <v>1373</v>
      </c>
      <c r="C16" s="12">
        <v>7769</v>
      </c>
      <c r="D16" s="12">
        <v>245</v>
      </c>
      <c r="E16" s="12">
        <v>249</v>
      </c>
      <c r="F16" s="12">
        <v>307</v>
      </c>
      <c r="G16" s="12">
        <v>257</v>
      </c>
      <c r="H16" s="12">
        <v>386</v>
      </c>
      <c r="I16" s="12">
        <v>505</v>
      </c>
      <c r="J16" s="12">
        <v>119</v>
      </c>
      <c r="K16" s="12">
        <v>289</v>
      </c>
      <c r="L16" s="12">
        <v>202</v>
      </c>
      <c r="M16" s="12">
        <v>400</v>
      </c>
      <c r="N16" s="12">
        <v>333</v>
      </c>
      <c r="O16" s="12">
        <v>295</v>
      </c>
      <c r="P16" s="12">
        <v>245</v>
      </c>
      <c r="Q16" s="12">
        <v>317</v>
      </c>
      <c r="R16" s="12">
        <v>161</v>
      </c>
      <c r="S16" s="12">
        <v>238</v>
      </c>
      <c r="T16" s="12">
        <v>246</v>
      </c>
      <c r="U16" s="12">
        <v>93</v>
      </c>
      <c r="V16" s="12">
        <v>238</v>
      </c>
      <c r="W16" s="12">
        <v>81</v>
      </c>
      <c r="X16" s="12">
        <v>324</v>
      </c>
      <c r="Y16" s="12">
        <v>259</v>
      </c>
      <c r="Z16" s="12">
        <v>228</v>
      </c>
      <c r="AA16" s="12">
        <v>303</v>
      </c>
      <c r="AB16" s="12">
        <v>229</v>
      </c>
      <c r="AC16" s="12">
        <v>337</v>
      </c>
      <c r="AD16" s="12">
        <v>357</v>
      </c>
      <c r="AE16" s="12">
        <v>199</v>
      </c>
      <c r="AF16" s="12">
        <v>271</v>
      </c>
    </row>
    <row r="17" spans="1:32">
      <c r="A17" s="20"/>
      <c r="B17" s="13" t="s">
        <v>1374</v>
      </c>
      <c r="C17" s="14">
        <v>0.28999999999999998</v>
      </c>
      <c r="D17" s="14">
        <v>0.24</v>
      </c>
      <c r="E17" s="14">
        <v>0.24</v>
      </c>
      <c r="F17" s="14">
        <v>0.31</v>
      </c>
      <c r="G17" s="14">
        <v>0.26</v>
      </c>
      <c r="H17" s="14">
        <v>0.32</v>
      </c>
      <c r="I17" s="14">
        <v>0.34</v>
      </c>
      <c r="J17" s="14">
        <v>0.41</v>
      </c>
      <c r="K17" s="14">
        <v>0.28999999999999998</v>
      </c>
      <c r="L17" s="14">
        <v>0.2</v>
      </c>
      <c r="M17" s="14">
        <v>0.4</v>
      </c>
      <c r="N17" s="14">
        <v>0.33</v>
      </c>
      <c r="O17" s="14">
        <v>0.28999999999999998</v>
      </c>
      <c r="P17" s="14">
        <v>0.24</v>
      </c>
      <c r="Q17" s="14">
        <v>0.31</v>
      </c>
      <c r="R17" s="14">
        <v>0.32</v>
      </c>
      <c r="S17" s="14">
        <v>0.23</v>
      </c>
      <c r="T17" s="14">
        <v>0.24</v>
      </c>
      <c r="U17" s="14">
        <v>0.18</v>
      </c>
      <c r="V17" s="14">
        <v>0.23</v>
      </c>
      <c r="W17" s="14">
        <v>0.16</v>
      </c>
      <c r="X17" s="14">
        <v>0.32</v>
      </c>
      <c r="Y17" s="14">
        <v>0.26</v>
      </c>
      <c r="Z17" s="14">
        <v>0.23</v>
      </c>
      <c r="AA17" s="14">
        <v>0.28999999999999998</v>
      </c>
      <c r="AB17" s="14">
        <v>0.22</v>
      </c>
      <c r="AC17" s="14">
        <v>0.33</v>
      </c>
      <c r="AD17" s="14">
        <v>0.36</v>
      </c>
      <c r="AE17" s="14">
        <v>0.2</v>
      </c>
      <c r="AF17" s="14">
        <v>0.26</v>
      </c>
    </row>
    <row r="18" spans="1:32">
      <c r="A18" s="20"/>
      <c r="B18" s="11" t="s">
        <v>1375</v>
      </c>
      <c r="C18" s="12">
        <v>1930</v>
      </c>
      <c r="D18" s="12">
        <v>67</v>
      </c>
      <c r="E18" s="12">
        <v>87</v>
      </c>
      <c r="F18" s="12">
        <v>74</v>
      </c>
      <c r="G18" s="12">
        <v>46</v>
      </c>
      <c r="H18" s="12">
        <v>74</v>
      </c>
      <c r="I18" s="12">
        <v>112</v>
      </c>
      <c r="J18" s="12">
        <v>37</v>
      </c>
      <c r="K18" s="12">
        <v>62</v>
      </c>
      <c r="L18" s="12">
        <v>74</v>
      </c>
      <c r="M18" s="12">
        <v>172</v>
      </c>
      <c r="N18" s="12">
        <v>108</v>
      </c>
      <c r="O18" s="12">
        <v>79</v>
      </c>
      <c r="P18" s="12">
        <v>46</v>
      </c>
      <c r="Q18" s="12">
        <v>63</v>
      </c>
      <c r="R18" s="12">
        <v>42</v>
      </c>
      <c r="S18" s="12">
        <v>37</v>
      </c>
      <c r="T18" s="12">
        <v>32</v>
      </c>
      <c r="U18" s="12">
        <v>22</v>
      </c>
      <c r="V18" s="12">
        <v>58</v>
      </c>
      <c r="W18" s="12">
        <v>25</v>
      </c>
      <c r="X18" s="12">
        <v>49</v>
      </c>
      <c r="Y18" s="12">
        <v>88</v>
      </c>
      <c r="Z18" s="12">
        <v>34</v>
      </c>
      <c r="AA18" s="12">
        <v>100</v>
      </c>
      <c r="AB18" s="12">
        <v>88</v>
      </c>
      <c r="AC18" s="12">
        <v>58</v>
      </c>
      <c r="AD18" s="12">
        <v>71</v>
      </c>
      <c r="AE18" s="12">
        <v>19</v>
      </c>
      <c r="AF18" s="12">
        <v>63</v>
      </c>
    </row>
    <row r="19" spans="1:32">
      <c r="A19" s="20"/>
      <c r="B19" s="13" t="s">
        <v>1376</v>
      </c>
      <c r="C19" s="14">
        <v>7.0000000000000007E-2</v>
      </c>
      <c r="D19" s="14">
        <v>7.0000000000000007E-2</v>
      </c>
      <c r="E19" s="14">
        <v>0.09</v>
      </c>
      <c r="F19" s="14">
        <v>7.0000000000000007E-2</v>
      </c>
      <c r="G19" s="14">
        <v>0.04</v>
      </c>
      <c r="H19" s="14">
        <v>0.06</v>
      </c>
      <c r="I19" s="14">
        <v>7.0000000000000007E-2</v>
      </c>
      <c r="J19" s="14">
        <v>0.13</v>
      </c>
      <c r="K19" s="14">
        <v>0.06</v>
      </c>
      <c r="L19" s="14">
        <v>7.0000000000000007E-2</v>
      </c>
      <c r="M19" s="14">
        <v>0.17</v>
      </c>
      <c r="N19" s="14">
        <v>0.11</v>
      </c>
      <c r="O19" s="14">
        <v>0.08</v>
      </c>
      <c r="P19" s="14">
        <v>0.04</v>
      </c>
      <c r="Q19" s="14">
        <v>0.06</v>
      </c>
      <c r="R19" s="14">
        <v>0.09</v>
      </c>
      <c r="S19" s="14">
        <v>0.04</v>
      </c>
      <c r="T19" s="14">
        <v>0.03</v>
      </c>
      <c r="U19" s="14">
        <v>0.04</v>
      </c>
      <c r="V19" s="14">
        <v>0.06</v>
      </c>
      <c r="W19" s="14">
        <v>0.05</v>
      </c>
      <c r="X19" s="14">
        <v>0.05</v>
      </c>
      <c r="Y19" s="14">
        <v>0.09</v>
      </c>
      <c r="Z19" s="14">
        <v>0.03</v>
      </c>
      <c r="AA19" s="14">
        <v>0.09</v>
      </c>
      <c r="AB19" s="14">
        <v>0.08</v>
      </c>
      <c r="AC19" s="14">
        <v>0.06</v>
      </c>
      <c r="AD19" s="14">
        <v>7.0000000000000007E-2</v>
      </c>
      <c r="AE19" s="14">
        <v>0.02</v>
      </c>
      <c r="AF19" s="14">
        <v>0.06</v>
      </c>
    </row>
    <row r="20" spans="1:32">
      <c r="A20" s="20"/>
      <c r="B20" s="11" t="s">
        <v>468</v>
      </c>
      <c r="C20" s="12">
        <v>3054</v>
      </c>
      <c r="D20" s="12">
        <v>59</v>
      </c>
      <c r="E20" s="12">
        <v>204</v>
      </c>
      <c r="F20" s="12">
        <v>136</v>
      </c>
      <c r="G20" s="12">
        <v>117</v>
      </c>
      <c r="H20" s="12">
        <v>219</v>
      </c>
      <c r="I20" s="12">
        <v>238</v>
      </c>
      <c r="J20" s="12">
        <v>19</v>
      </c>
      <c r="K20" s="12">
        <v>153</v>
      </c>
      <c r="L20" s="12">
        <v>110</v>
      </c>
      <c r="M20" s="12">
        <v>115</v>
      </c>
      <c r="N20" s="12">
        <v>98</v>
      </c>
      <c r="O20" s="12">
        <v>129</v>
      </c>
      <c r="P20" s="12">
        <v>66</v>
      </c>
      <c r="Q20" s="12">
        <v>55</v>
      </c>
      <c r="R20" s="12">
        <v>60</v>
      </c>
      <c r="S20" s="12">
        <v>218</v>
      </c>
      <c r="T20" s="12">
        <v>249</v>
      </c>
      <c r="U20" s="12">
        <v>52</v>
      </c>
      <c r="V20" s="12">
        <v>109</v>
      </c>
      <c r="W20" s="12">
        <v>30</v>
      </c>
      <c r="X20" s="12">
        <v>102</v>
      </c>
      <c r="Y20" s="12">
        <v>89</v>
      </c>
      <c r="Z20" s="12">
        <v>113</v>
      </c>
      <c r="AA20" s="12">
        <v>162</v>
      </c>
      <c r="AB20" s="12">
        <v>159</v>
      </c>
      <c r="AC20" s="12">
        <v>118</v>
      </c>
      <c r="AD20" s="12">
        <v>110</v>
      </c>
      <c r="AE20" s="12">
        <v>77</v>
      </c>
      <c r="AF20" s="12">
        <v>102</v>
      </c>
    </row>
    <row r="21" spans="1:32">
      <c r="A21" s="20"/>
      <c r="B21" s="13" t="s">
        <v>469</v>
      </c>
      <c r="C21" s="14">
        <v>0.12</v>
      </c>
      <c r="D21" s="14">
        <v>0.06</v>
      </c>
      <c r="E21" s="14">
        <v>0.2</v>
      </c>
      <c r="F21" s="14">
        <v>0.14000000000000001</v>
      </c>
      <c r="G21" s="14">
        <v>0.12</v>
      </c>
      <c r="H21" s="14">
        <v>0.18</v>
      </c>
      <c r="I21" s="14">
        <v>0.16</v>
      </c>
      <c r="J21" s="14">
        <v>0.06</v>
      </c>
      <c r="K21" s="14">
        <v>0.15</v>
      </c>
      <c r="L21" s="14">
        <v>0.11</v>
      </c>
      <c r="M21" s="14">
        <v>0.11</v>
      </c>
      <c r="N21" s="14">
        <v>0.1</v>
      </c>
      <c r="O21" s="14">
        <v>0.13</v>
      </c>
      <c r="P21" s="14">
        <v>0.06</v>
      </c>
      <c r="Q21" s="14">
        <v>0.06</v>
      </c>
      <c r="R21" s="14">
        <v>0.12</v>
      </c>
      <c r="S21" s="14">
        <v>0.22</v>
      </c>
      <c r="T21" s="14">
        <v>0.25</v>
      </c>
      <c r="U21" s="14">
        <v>0.1</v>
      </c>
      <c r="V21" s="14">
        <v>0.11</v>
      </c>
      <c r="W21" s="14">
        <v>0.06</v>
      </c>
      <c r="X21" s="14">
        <v>0.1</v>
      </c>
      <c r="Y21" s="14">
        <v>0.09</v>
      </c>
      <c r="Z21" s="14">
        <v>0.11</v>
      </c>
      <c r="AA21" s="14">
        <v>0.15</v>
      </c>
      <c r="AB21" s="14">
        <v>0.15</v>
      </c>
      <c r="AC21" s="14">
        <v>0.12</v>
      </c>
      <c r="AD21" s="14">
        <v>0.11</v>
      </c>
      <c r="AE21" s="14">
        <v>0.08</v>
      </c>
      <c r="AF21" s="14">
        <v>0.1</v>
      </c>
    </row>
    <row r="22" spans="1:32">
      <c r="A22" s="20"/>
      <c r="B22" s="11" t="s">
        <v>1379</v>
      </c>
      <c r="C22" s="12">
        <v>13566</v>
      </c>
      <c r="D22" s="12">
        <v>632</v>
      </c>
      <c r="E22" s="12">
        <v>478</v>
      </c>
      <c r="F22" s="12">
        <v>489</v>
      </c>
      <c r="G22" s="12">
        <v>584</v>
      </c>
      <c r="H22" s="12">
        <v>536</v>
      </c>
      <c r="I22" s="12">
        <v>655</v>
      </c>
      <c r="J22" s="12">
        <v>118</v>
      </c>
      <c r="K22" s="12">
        <v>502</v>
      </c>
      <c r="L22" s="12">
        <v>621</v>
      </c>
      <c r="M22" s="12">
        <v>317</v>
      </c>
      <c r="N22" s="12">
        <v>465</v>
      </c>
      <c r="O22" s="12">
        <v>501</v>
      </c>
      <c r="P22" s="12">
        <v>666</v>
      </c>
      <c r="Q22" s="12">
        <v>584</v>
      </c>
      <c r="R22" s="12">
        <v>237</v>
      </c>
      <c r="S22" s="12">
        <v>515</v>
      </c>
      <c r="T22" s="12">
        <v>487</v>
      </c>
      <c r="U22" s="12">
        <v>340</v>
      </c>
      <c r="V22" s="12">
        <v>613</v>
      </c>
      <c r="W22" s="12">
        <v>367</v>
      </c>
      <c r="X22" s="12">
        <v>546</v>
      </c>
      <c r="Y22" s="12">
        <v>571</v>
      </c>
      <c r="Z22" s="12">
        <v>633</v>
      </c>
      <c r="AA22" s="12">
        <v>489</v>
      </c>
      <c r="AB22" s="12">
        <v>563</v>
      </c>
      <c r="AC22" s="12">
        <v>495</v>
      </c>
      <c r="AD22" s="12">
        <v>467</v>
      </c>
      <c r="AE22" s="12">
        <v>706</v>
      </c>
      <c r="AF22" s="12">
        <v>585</v>
      </c>
    </row>
    <row r="23" spans="1:32">
      <c r="A23" s="20"/>
      <c r="B23" s="13" t="s">
        <v>1380</v>
      </c>
      <c r="C23" s="14">
        <v>0.52</v>
      </c>
      <c r="D23" s="14">
        <v>0.63</v>
      </c>
      <c r="E23" s="14">
        <v>0.47</v>
      </c>
      <c r="F23" s="14">
        <v>0.48</v>
      </c>
      <c r="G23" s="14">
        <v>0.57999999999999996</v>
      </c>
      <c r="H23" s="14">
        <v>0.44</v>
      </c>
      <c r="I23" s="14">
        <v>0.43</v>
      </c>
      <c r="J23" s="14">
        <v>0.4</v>
      </c>
      <c r="K23" s="14">
        <v>0.5</v>
      </c>
      <c r="L23" s="14">
        <v>0.62</v>
      </c>
      <c r="M23" s="14">
        <v>0.32</v>
      </c>
      <c r="N23" s="14">
        <v>0.46</v>
      </c>
      <c r="O23" s="14">
        <v>0.5</v>
      </c>
      <c r="P23" s="14">
        <v>0.66</v>
      </c>
      <c r="Q23" s="14">
        <v>0.57000000000000006</v>
      </c>
      <c r="R23" s="14">
        <v>0.47</v>
      </c>
      <c r="S23" s="14">
        <v>0.51</v>
      </c>
      <c r="T23" s="14">
        <v>0.48</v>
      </c>
      <c r="U23" s="14">
        <v>0.68</v>
      </c>
      <c r="V23" s="14">
        <v>0.6</v>
      </c>
      <c r="W23" s="14">
        <v>0.73</v>
      </c>
      <c r="X23" s="14">
        <v>0.53</v>
      </c>
      <c r="Y23" s="14">
        <v>0.56000000000000005</v>
      </c>
      <c r="Z23" s="14">
        <v>0.63</v>
      </c>
      <c r="AA23" s="14">
        <v>0.47</v>
      </c>
      <c r="AB23" s="14">
        <v>0.55000000000000004</v>
      </c>
      <c r="AC23" s="14">
        <v>0.49</v>
      </c>
      <c r="AD23" s="14">
        <v>0.46</v>
      </c>
      <c r="AE23" s="14">
        <v>0.70000000000000007</v>
      </c>
      <c r="AF23" s="14">
        <v>0.57999999999999996</v>
      </c>
    </row>
    <row r="24" spans="1:32">
      <c r="A24" s="20"/>
      <c r="B24" s="11" t="s">
        <v>1381</v>
      </c>
      <c r="C24" s="12">
        <v>9699</v>
      </c>
      <c r="D24" s="12">
        <v>312</v>
      </c>
      <c r="E24" s="12">
        <v>336</v>
      </c>
      <c r="F24" s="12">
        <v>381</v>
      </c>
      <c r="G24" s="12">
        <v>303</v>
      </c>
      <c r="H24" s="12">
        <v>460</v>
      </c>
      <c r="I24" s="12">
        <v>617</v>
      </c>
      <c r="J24" s="12">
        <v>156</v>
      </c>
      <c r="K24" s="12">
        <v>351</v>
      </c>
      <c r="L24" s="12">
        <v>276</v>
      </c>
      <c r="M24" s="12">
        <v>572</v>
      </c>
      <c r="N24" s="12">
        <v>441</v>
      </c>
      <c r="O24" s="12">
        <v>374</v>
      </c>
      <c r="P24" s="12">
        <v>291</v>
      </c>
      <c r="Q24" s="12">
        <v>380</v>
      </c>
      <c r="R24" s="12">
        <v>203</v>
      </c>
      <c r="S24" s="12">
        <v>275</v>
      </c>
      <c r="T24" s="12">
        <v>278</v>
      </c>
      <c r="U24" s="12">
        <v>115</v>
      </c>
      <c r="V24" s="12">
        <v>296</v>
      </c>
      <c r="W24" s="12">
        <v>106</v>
      </c>
      <c r="X24" s="12">
        <v>373</v>
      </c>
      <c r="Y24" s="12">
        <v>347</v>
      </c>
      <c r="Z24" s="12">
        <v>262</v>
      </c>
      <c r="AA24" s="12">
        <v>403</v>
      </c>
      <c r="AB24" s="12">
        <v>317</v>
      </c>
      <c r="AC24" s="12">
        <v>395</v>
      </c>
      <c r="AD24" s="12">
        <v>428</v>
      </c>
      <c r="AE24" s="12">
        <v>218</v>
      </c>
      <c r="AF24" s="12">
        <v>334</v>
      </c>
    </row>
    <row r="25" spans="1:32">
      <c r="A25" s="20"/>
      <c r="B25" s="13" t="s">
        <v>1382</v>
      </c>
      <c r="C25" s="14">
        <v>0.36</v>
      </c>
      <c r="D25" s="14">
        <v>0.31</v>
      </c>
      <c r="E25" s="14">
        <v>0.33</v>
      </c>
      <c r="F25" s="14">
        <v>0.38</v>
      </c>
      <c r="G25" s="14">
        <v>0.3</v>
      </c>
      <c r="H25" s="14">
        <v>0.38</v>
      </c>
      <c r="I25" s="14">
        <v>0.41</v>
      </c>
      <c r="J25" s="14">
        <v>0.54</v>
      </c>
      <c r="K25" s="14">
        <v>0.35</v>
      </c>
      <c r="L25" s="14">
        <v>0.27</v>
      </c>
      <c r="M25" s="14">
        <v>0.57000000000000006</v>
      </c>
      <c r="N25" s="14">
        <v>0.44</v>
      </c>
      <c r="O25" s="14">
        <v>0.37</v>
      </c>
      <c r="P25" s="14">
        <v>0.28000000000000003</v>
      </c>
      <c r="Q25" s="14">
        <v>0.37</v>
      </c>
      <c r="R25" s="14">
        <v>0.41</v>
      </c>
      <c r="S25" s="14">
        <v>0.27</v>
      </c>
      <c r="T25" s="14">
        <v>0.27</v>
      </c>
      <c r="U25" s="14">
        <v>0.22</v>
      </c>
      <c r="V25" s="14">
        <v>0.28999999999999998</v>
      </c>
      <c r="W25" s="14">
        <v>0.21</v>
      </c>
      <c r="X25" s="14">
        <v>0.37</v>
      </c>
      <c r="Y25" s="14">
        <v>0.35</v>
      </c>
      <c r="Z25" s="14">
        <v>0.26</v>
      </c>
      <c r="AA25" s="14">
        <v>0.38</v>
      </c>
      <c r="AB25" s="14">
        <v>0.3</v>
      </c>
      <c r="AC25" s="14">
        <v>0.39</v>
      </c>
      <c r="AD25" s="14">
        <v>0.43</v>
      </c>
      <c r="AE25" s="14">
        <v>0.22</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1424</v>
      </c>
      <c r="C3" s="18"/>
      <c r="D3" s="18"/>
      <c r="E3" s="18"/>
      <c r="F3" s="18"/>
      <c r="H3" s="18" t="s">
        <v>1425</v>
      </c>
      <c r="I3" s="18"/>
      <c r="J3" s="18"/>
      <c r="K3" s="18"/>
      <c r="L3" s="18"/>
    </row>
    <row r="4" spans="1:32" ht="27" customHeight="1">
      <c r="B4" s="18" t="s">
        <v>1426</v>
      </c>
      <c r="C4" s="18"/>
      <c r="D4" s="18"/>
      <c r="E4" s="18"/>
      <c r="F4" s="18"/>
      <c r="H4" s="18" t="s">
        <v>1427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2744</v>
      </c>
      <c r="D12" s="12">
        <v>122</v>
      </c>
      <c r="E12" s="12">
        <v>77</v>
      </c>
      <c r="F12" s="12">
        <v>88</v>
      </c>
      <c r="G12" s="12">
        <v>90</v>
      </c>
      <c r="H12" s="12">
        <v>75</v>
      </c>
      <c r="I12" s="12">
        <v>93</v>
      </c>
      <c r="J12" s="12">
        <v>18</v>
      </c>
      <c r="K12" s="12">
        <v>102</v>
      </c>
      <c r="L12" s="12">
        <v>148</v>
      </c>
      <c r="M12" s="12">
        <v>67</v>
      </c>
      <c r="N12" s="12">
        <v>97</v>
      </c>
      <c r="O12" s="12">
        <v>143</v>
      </c>
      <c r="P12" s="12">
        <v>129</v>
      </c>
      <c r="Q12" s="12">
        <v>121</v>
      </c>
      <c r="R12" s="12">
        <v>42</v>
      </c>
      <c r="S12" s="12">
        <v>98</v>
      </c>
      <c r="T12" s="12">
        <v>95</v>
      </c>
      <c r="U12" s="12">
        <v>87</v>
      </c>
      <c r="V12" s="12">
        <v>126</v>
      </c>
      <c r="W12" s="12">
        <v>106</v>
      </c>
      <c r="X12" s="12">
        <v>81</v>
      </c>
      <c r="Y12" s="12">
        <v>166</v>
      </c>
      <c r="Z12" s="12">
        <v>124</v>
      </c>
      <c r="AA12" s="12">
        <v>46</v>
      </c>
      <c r="AB12" s="12">
        <v>148</v>
      </c>
      <c r="AC12" s="12">
        <v>70</v>
      </c>
      <c r="AD12" s="12">
        <v>100</v>
      </c>
      <c r="AE12" s="12">
        <v>99</v>
      </c>
      <c r="AF12" s="12">
        <v>96</v>
      </c>
    </row>
    <row r="13" spans="1:32">
      <c r="A13" s="20"/>
      <c r="B13" s="13" t="s">
        <v>1387</v>
      </c>
      <c r="C13" s="14">
        <v>0.11</v>
      </c>
      <c r="D13" s="14">
        <v>0.12</v>
      </c>
      <c r="E13" s="14">
        <v>0.08</v>
      </c>
      <c r="F13" s="14">
        <v>0.09</v>
      </c>
      <c r="G13" s="14">
        <v>0.09</v>
      </c>
      <c r="H13" s="14">
        <v>0.06</v>
      </c>
      <c r="I13" s="14">
        <v>0.06</v>
      </c>
      <c r="J13" s="14">
        <v>0.06</v>
      </c>
      <c r="K13" s="14">
        <v>0.1</v>
      </c>
      <c r="L13" s="14">
        <v>0.15</v>
      </c>
      <c r="M13" s="14">
        <v>7.0000000000000007E-2</v>
      </c>
      <c r="N13" s="14">
        <v>0.1</v>
      </c>
      <c r="O13" s="14">
        <v>0.14000000000000001</v>
      </c>
      <c r="P13" s="14">
        <v>0.13</v>
      </c>
      <c r="Q13" s="14">
        <v>0.12</v>
      </c>
      <c r="R13" s="14">
        <v>0.08</v>
      </c>
      <c r="S13" s="14">
        <v>0.1</v>
      </c>
      <c r="T13" s="14">
        <v>0.09</v>
      </c>
      <c r="U13" s="14">
        <v>0.17</v>
      </c>
      <c r="V13" s="14">
        <v>0.13</v>
      </c>
      <c r="W13" s="14">
        <v>0.21</v>
      </c>
      <c r="X13" s="14">
        <v>0.08</v>
      </c>
      <c r="Y13" s="14">
        <v>0.16</v>
      </c>
      <c r="Z13" s="14">
        <v>0.12</v>
      </c>
      <c r="AA13" s="14">
        <v>0.04</v>
      </c>
      <c r="AB13" s="14">
        <v>0.14000000000000001</v>
      </c>
      <c r="AC13" s="14">
        <v>7.0000000000000007E-2</v>
      </c>
      <c r="AD13" s="14">
        <v>0.1</v>
      </c>
      <c r="AE13" s="14">
        <v>0.1</v>
      </c>
      <c r="AF13" s="14">
        <v>0.09</v>
      </c>
    </row>
    <row r="14" spans="1:32">
      <c r="A14" s="20"/>
      <c r="B14" s="11" t="s">
        <v>1371</v>
      </c>
      <c r="C14" s="12">
        <v>9772</v>
      </c>
      <c r="D14" s="12">
        <v>438</v>
      </c>
      <c r="E14" s="12">
        <v>353</v>
      </c>
      <c r="F14" s="12">
        <v>346</v>
      </c>
      <c r="G14" s="12">
        <v>372</v>
      </c>
      <c r="H14" s="12">
        <v>428</v>
      </c>
      <c r="I14" s="12">
        <v>524</v>
      </c>
      <c r="J14" s="12">
        <v>96</v>
      </c>
      <c r="K14" s="12">
        <v>362</v>
      </c>
      <c r="L14" s="12">
        <v>378</v>
      </c>
      <c r="M14" s="12">
        <v>232</v>
      </c>
      <c r="N14" s="12">
        <v>320</v>
      </c>
      <c r="O14" s="12">
        <v>326</v>
      </c>
      <c r="P14" s="12">
        <v>501</v>
      </c>
      <c r="Q14" s="12">
        <v>449</v>
      </c>
      <c r="R14" s="12">
        <v>178</v>
      </c>
      <c r="S14" s="12">
        <v>382</v>
      </c>
      <c r="T14" s="12">
        <v>393</v>
      </c>
      <c r="U14" s="12">
        <v>231</v>
      </c>
      <c r="V14" s="12">
        <v>450</v>
      </c>
      <c r="W14" s="12">
        <v>221</v>
      </c>
      <c r="X14" s="12">
        <v>377</v>
      </c>
      <c r="Y14" s="12">
        <v>356</v>
      </c>
      <c r="Z14" s="12">
        <v>460</v>
      </c>
      <c r="AA14" s="12">
        <v>403</v>
      </c>
      <c r="AB14" s="12">
        <v>412</v>
      </c>
      <c r="AC14" s="12">
        <v>375</v>
      </c>
      <c r="AD14" s="12">
        <v>358</v>
      </c>
      <c r="AE14" s="12">
        <v>489</v>
      </c>
      <c r="AF14" s="12">
        <v>313</v>
      </c>
    </row>
    <row r="15" spans="1:32">
      <c r="A15" s="20"/>
      <c r="B15" s="13" t="s">
        <v>1372</v>
      </c>
      <c r="C15" s="14">
        <v>0.37</v>
      </c>
      <c r="D15" s="14">
        <v>0.44</v>
      </c>
      <c r="E15" s="14">
        <v>0.35</v>
      </c>
      <c r="F15" s="14">
        <v>0.35</v>
      </c>
      <c r="G15" s="14">
        <v>0.37</v>
      </c>
      <c r="H15" s="14">
        <v>0.35</v>
      </c>
      <c r="I15" s="14">
        <v>0.34</v>
      </c>
      <c r="J15" s="14">
        <v>0.33</v>
      </c>
      <c r="K15" s="14">
        <v>0.36</v>
      </c>
      <c r="L15" s="14">
        <v>0.37</v>
      </c>
      <c r="M15" s="14">
        <v>0.23</v>
      </c>
      <c r="N15" s="14">
        <v>0.32</v>
      </c>
      <c r="O15" s="14">
        <v>0.33</v>
      </c>
      <c r="P15" s="14">
        <v>0.49</v>
      </c>
      <c r="Q15" s="14">
        <v>0.44</v>
      </c>
      <c r="R15" s="14">
        <v>0.36</v>
      </c>
      <c r="S15" s="14">
        <v>0.38</v>
      </c>
      <c r="T15" s="14">
        <v>0.39</v>
      </c>
      <c r="U15" s="14">
        <v>0.46</v>
      </c>
      <c r="V15" s="14">
        <v>0.44</v>
      </c>
      <c r="W15" s="14">
        <v>0.44</v>
      </c>
      <c r="X15" s="14">
        <v>0.37</v>
      </c>
      <c r="Y15" s="14">
        <v>0.35</v>
      </c>
      <c r="Z15" s="14">
        <v>0.46</v>
      </c>
      <c r="AA15" s="14">
        <v>0.38</v>
      </c>
      <c r="AB15" s="14">
        <v>0.4</v>
      </c>
      <c r="AC15" s="14">
        <v>0.37</v>
      </c>
      <c r="AD15" s="14">
        <v>0.36</v>
      </c>
      <c r="AE15" s="14">
        <v>0.49</v>
      </c>
      <c r="AF15" s="14">
        <v>0.31</v>
      </c>
    </row>
    <row r="16" spans="1:32">
      <c r="A16" s="20"/>
      <c r="B16" s="11" t="s">
        <v>1373</v>
      </c>
      <c r="C16" s="12">
        <v>8167</v>
      </c>
      <c r="D16" s="12">
        <v>296</v>
      </c>
      <c r="E16" s="12">
        <v>278</v>
      </c>
      <c r="F16" s="12">
        <v>326</v>
      </c>
      <c r="G16" s="12">
        <v>323</v>
      </c>
      <c r="H16" s="12">
        <v>360</v>
      </c>
      <c r="I16" s="12">
        <v>479</v>
      </c>
      <c r="J16" s="12">
        <v>119</v>
      </c>
      <c r="K16" s="12">
        <v>305</v>
      </c>
      <c r="L16" s="12">
        <v>253</v>
      </c>
      <c r="M16" s="12">
        <v>375</v>
      </c>
      <c r="N16" s="12">
        <v>334</v>
      </c>
      <c r="O16" s="12">
        <v>323</v>
      </c>
      <c r="P16" s="12">
        <v>266</v>
      </c>
      <c r="Q16" s="12">
        <v>321</v>
      </c>
      <c r="R16" s="12">
        <v>172</v>
      </c>
      <c r="S16" s="12">
        <v>229</v>
      </c>
      <c r="T16" s="12">
        <v>239</v>
      </c>
      <c r="U16" s="12">
        <v>99</v>
      </c>
      <c r="V16" s="12">
        <v>267</v>
      </c>
      <c r="W16" s="12">
        <v>116</v>
      </c>
      <c r="X16" s="12">
        <v>367</v>
      </c>
      <c r="Y16" s="12">
        <v>269</v>
      </c>
      <c r="Z16" s="12">
        <v>262</v>
      </c>
      <c r="AA16" s="12">
        <v>321</v>
      </c>
      <c r="AB16" s="12">
        <v>243</v>
      </c>
      <c r="AC16" s="12">
        <v>362</v>
      </c>
      <c r="AD16" s="12">
        <v>353</v>
      </c>
      <c r="AE16" s="12">
        <v>306</v>
      </c>
      <c r="AF16" s="12">
        <v>390</v>
      </c>
    </row>
    <row r="17" spans="1:32">
      <c r="A17" s="20"/>
      <c r="B17" s="13" t="s">
        <v>1374</v>
      </c>
      <c r="C17" s="14">
        <v>0.31</v>
      </c>
      <c r="D17" s="14">
        <v>0.28999999999999998</v>
      </c>
      <c r="E17" s="14">
        <v>0.27</v>
      </c>
      <c r="F17" s="14">
        <v>0.32</v>
      </c>
      <c r="G17" s="14">
        <v>0.32</v>
      </c>
      <c r="H17" s="14">
        <v>0.3</v>
      </c>
      <c r="I17" s="14">
        <v>0.32</v>
      </c>
      <c r="J17" s="14">
        <v>0.4</v>
      </c>
      <c r="K17" s="14">
        <v>0.31</v>
      </c>
      <c r="L17" s="14">
        <v>0.25</v>
      </c>
      <c r="M17" s="14">
        <v>0.37</v>
      </c>
      <c r="N17" s="14">
        <v>0.33</v>
      </c>
      <c r="O17" s="14">
        <v>0.32</v>
      </c>
      <c r="P17" s="14">
        <v>0.26</v>
      </c>
      <c r="Q17" s="14">
        <v>0.31</v>
      </c>
      <c r="R17" s="14">
        <v>0.34</v>
      </c>
      <c r="S17" s="14">
        <v>0.23</v>
      </c>
      <c r="T17" s="14">
        <v>0.23</v>
      </c>
      <c r="U17" s="14">
        <v>0.2</v>
      </c>
      <c r="V17" s="14">
        <v>0.26</v>
      </c>
      <c r="W17" s="14">
        <v>0.23</v>
      </c>
      <c r="X17" s="14">
        <v>0.36</v>
      </c>
      <c r="Y17" s="14">
        <v>0.27</v>
      </c>
      <c r="Z17" s="14">
        <v>0.26</v>
      </c>
      <c r="AA17" s="14">
        <v>0.31</v>
      </c>
      <c r="AB17" s="14">
        <v>0.23</v>
      </c>
      <c r="AC17" s="14">
        <v>0.36</v>
      </c>
      <c r="AD17" s="14">
        <v>0.35</v>
      </c>
      <c r="AE17" s="14">
        <v>0.3</v>
      </c>
      <c r="AF17" s="14">
        <v>0.38</v>
      </c>
    </row>
    <row r="18" spans="1:32">
      <c r="A18" s="20"/>
      <c r="B18" s="11" t="s">
        <v>1375</v>
      </c>
      <c r="C18" s="12">
        <v>2662</v>
      </c>
      <c r="D18" s="12">
        <v>98</v>
      </c>
      <c r="E18" s="12">
        <v>106</v>
      </c>
      <c r="F18" s="12">
        <v>114</v>
      </c>
      <c r="G18" s="12">
        <v>123</v>
      </c>
      <c r="H18" s="12">
        <v>131</v>
      </c>
      <c r="I18" s="12">
        <v>177</v>
      </c>
      <c r="J18" s="12">
        <v>46</v>
      </c>
      <c r="K18" s="12">
        <v>83</v>
      </c>
      <c r="L18" s="12">
        <v>101</v>
      </c>
      <c r="M18" s="12">
        <v>195</v>
      </c>
      <c r="N18" s="12">
        <v>141</v>
      </c>
      <c r="O18" s="12">
        <v>96</v>
      </c>
      <c r="P18" s="12">
        <v>50</v>
      </c>
      <c r="Q18" s="12">
        <v>78</v>
      </c>
      <c r="R18" s="12">
        <v>29</v>
      </c>
      <c r="S18" s="12">
        <v>56</v>
      </c>
      <c r="T18" s="12">
        <v>57</v>
      </c>
      <c r="U18" s="12">
        <v>32</v>
      </c>
      <c r="V18" s="12">
        <v>69</v>
      </c>
      <c r="W18" s="12">
        <v>20</v>
      </c>
      <c r="X18" s="12">
        <v>132</v>
      </c>
      <c r="Y18" s="12">
        <v>120</v>
      </c>
      <c r="Z18" s="12">
        <v>42</v>
      </c>
      <c r="AA18" s="12">
        <v>123</v>
      </c>
      <c r="AB18" s="12">
        <v>78</v>
      </c>
      <c r="AC18" s="12">
        <v>90</v>
      </c>
      <c r="AD18" s="12">
        <v>89</v>
      </c>
      <c r="AE18" s="12">
        <v>31</v>
      </c>
      <c r="AF18" s="12">
        <v>148</v>
      </c>
    </row>
    <row r="19" spans="1:32">
      <c r="A19" s="20"/>
      <c r="B19" s="13" t="s">
        <v>1376</v>
      </c>
      <c r="C19" s="14">
        <v>0.1</v>
      </c>
      <c r="D19" s="14">
        <v>0.1</v>
      </c>
      <c r="E19" s="14">
        <v>0.1</v>
      </c>
      <c r="F19" s="14">
        <v>0.11</v>
      </c>
      <c r="G19" s="14">
        <v>0.12</v>
      </c>
      <c r="H19" s="14">
        <v>0.11</v>
      </c>
      <c r="I19" s="14">
        <v>0.12</v>
      </c>
      <c r="J19" s="14">
        <v>0.16</v>
      </c>
      <c r="K19" s="14">
        <v>0.08</v>
      </c>
      <c r="L19" s="14">
        <v>0.1</v>
      </c>
      <c r="M19" s="14">
        <v>0.2</v>
      </c>
      <c r="N19" s="14">
        <v>0.14000000000000001</v>
      </c>
      <c r="O19" s="14">
        <v>0.1</v>
      </c>
      <c r="P19" s="14">
        <v>0.05</v>
      </c>
      <c r="Q19" s="14">
        <v>0.08</v>
      </c>
      <c r="R19" s="14">
        <v>0.06</v>
      </c>
      <c r="S19" s="14">
        <v>0.05</v>
      </c>
      <c r="T19" s="14">
        <v>0.06</v>
      </c>
      <c r="U19" s="14">
        <v>0.06</v>
      </c>
      <c r="V19" s="14">
        <v>7.0000000000000007E-2</v>
      </c>
      <c r="W19" s="14">
        <v>0.04</v>
      </c>
      <c r="X19" s="14">
        <v>0.13</v>
      </c>
      <c r="Y19" s="14">
        <v>0.12</v>
      </c>
      <c r="Z19" s="14">
        <v>0.04</v>
      </c>
      <c r="AA19" s="14">
        <v>0.12</v>
      </c>
      <c r="AB19" s="14">
        <v>0.08</v>
      </c>
      <c r="AC19" s="14">
        <v>0.09</v>
      </c>
      <c r="AD19" s="14">
        <v>0.09</v>
      </c>
      <c r="AE19" s="14">
        <v>0.03</v>
      </c>
      <c r="AF19" s="14">
        <v>0.15</v>
      </c>
    </row>
    <row r="20" spans="1:32">
      <c r="A20" s="20"/>
      <c r="B20" s="11" t="s">
        <v>468</v>
      </c>
      <c r="C20" s="12">
        <v>2973</v>
      </c>
      <c r="D20" s="12">
        <v>48</v>
      </c>
      <c r="E20" s="12">
        <v>204</v>
      </c>
      <c r="F20" s="12">
        <v>131</v>
      </c>
      <c r="G20" s="12">
        <v>97</v>
      </c>
      <c r="H20" s="12">
        <v>222</v>
      </c>
      <c r="I20" s="12">
        <v>237</v>
      </c>
      <c r="J20" s="12">
        <v>15</v>
      </c>
      <c r="K20" s="12">
        <v>154</v>
      </c>
      <c r="L20" s="12">
        <v>127</v>
      </c>
      <c r="M20" s="12">
        <v>134</v>
      </c>
      <c r="N20" s="12">
        <v>112</v>
      </c>
      <c r="O20" s="12">
        <v>114</v>
      </c>
      <c r="P20" s="12">
        <v>75</v>
      </c>
      <c r="Q20" s="12">
        <v>50</v>
      </c>
      <c r="R20" s="12">
        <v>78</v>
      </c>
      <c r="S20" s="12">
        <v>243</v>
      </c>
      <c r="T20" s="12">
        <v>230</v>
      </c>
      <c r="U20" s="12">
        <v>57</v>
      </c>
      <c r="V20" s="12">
        <v>105</v>
      </c>
      <c r="W20" s="12">
        <v>40</v>
      </c>
      <c r="X20" s="12">
        <v>63</v>
      </c>
      <c r="Y20" s="12">
        <v>96</v>
      </c>
      <c r="Z20" s="12">
        <v>120</v>
      </c>
      <c r="AA20" s="12">
        <v>160</v>
      </c>
      <c r="AB20" s="12">
        <v>158</v>
      </c>
      <c r="AC20" s="12">
        <v>113</v>
      </c>
      <c r="AD20" s="12">
        <v>105</v>
      </c>
      <c r="AE20" s="12">
        <v>77</v>
      </c>
      <c r="AF20" s="12">
        <v>73</v>
      </c>
    </row>
    <row r="21" spans="1:32">
      <c r="A21" s="20"/>
      <c r="B21" s="13" t="s">
        <v>469</v>
      </c>
      <c r="C21" s="14">
        <v>0.11</v>
      </c>
      <c r="D21" s="14">
        <v>0.05</v>
      </c>
      <c r="E21" s="14">
        <v>0.2</v>
      </c>
      <c r="F21" s="14">
        <v>0.13</v>
      </c>
      <c r="G21" s="14">
        <v>0.1</v>
      </c>
      <c r="H21" s="14">
        <v>0.18</v>
      </c>
      <c r="I21" s="14">
        <v>0.16</v>
      </c>
      <c r="J21" s="14">
        <v>0.05</v>
      </c>
      <c r="K21" s="14">
        <v>0.15</v>
      </c>
      <c r="L21" s="14">
        <v>0.13</v>
      </c>
      <c r="M21" s="14">
        <v>0.13</v>
      </c>
      <c r="N21" s="14">
        <v>0.11</v>
      </c>
      <c r="O21" s="14">
        <v>0.11</v>
      </c>
      <c r="P21" s="14">
        <v>7.0000000000000007E-2</v>
      </c>
      <c r="Q21" s="14">
        <v>0.05</v>
      </c>
      <c r="R21" s="14">
        <v>0.16</v>
      </c>
      <c r="S21" s="14">
        <v>0.24</v>
      </c>
      <c r="T21" s="14">
        <v>0.23</v>
      </c>
      <c r="U21" s="14">
        <v>0.11</v>
      </c>
      <c r="V21" s="14">
        <v>0.1</v>
      </c>
      <c r="W21" s="14">
        <v>0.08</v>
      </c>
      <c r="X21" s="14">
        <v>0.06</v>
      </c>
      <c r="Y21" s="14">
        <v>0.1</v>
      </c>
      <c r="Z21" s="14">
        <v>0.12</v>
      </c>
      <c r="AA21" s="14">
        <v>0.15</v>
      </c>
      <c r="AB21" s="14">
        <v>0.15</v>
      </c>
      <c r="AC21" s="14">
        <v>0.11</v>
      </c>
      <c r="AD21" s="14">
        <v>0.1</v>
      </c>
      <c r="AE21" s="14">
        <v>0.08</v>
      </c>
      <c r="AF21" s="14">
        <v>7.0000000000000007E-2</v>
      </c>
    </row>
    <row r="22" spans="1:32">
      <c r="A22" s="20"/>
      <c r="B22" s="11" t="s">
        <v>1379</v>
      </c>
      <c r="C22" s="12">
        <v>12516</v>
      </c>
      <c r="D22" s="12">
        <v>560</v>
      </c>
      <c r="E22" s="12">
        <v>430</v>
      </c>
      <c r="F22" s="12">
        <v>434</v>
      </c>
      <c r="G22" s="12">
        <v>462</v>
      </c>
      <c r="H22" s="12">
        <v>503</v>
      </c>
      <c r="I22" s="12">
        <v>617</v>
      </c>
      <c r="J22" s="12">
        <v>114</v>
      </c>
      <c r="K22" s="12">
        <v>464</v>
      </c>
      <c r="L22" s="12">
        <v>526</v>
      </c>
      <c r="M22" s="12">
        <v>299</v>
      </c>
      <c r="N22" s="12">
        <v>417</v>
      </c>
      <c r="O22" s="12">
        <v>469</v>
      </c>
      <c r="P22" s="12">
        <v>630</v>
      </c>
      <c r="Q22" s="12">
        <v>570</v>
      </c>
      <c r="R22" s="12">
        <v>220</v>
      </c>
      <c r="S22" s="12">
        <v>480</v>
      </c>
      <c r="T22" s="12">
        <v>488</v>
      </c>
      <c r="U22" s="12">
        <v>318</v>
      </c>
      <c r="V22" s="12">
        <v>576</v>
      </c>
      <c r="W22" s="12">
        <v>327</v>
      </c>
      <c r="X22" s="12">
        <v>458</v>
      </c>
      <c r="Y22" s="12">
        <v>522</v>
      </c>
      <c r="Z22" s="12">
        <v>584</v>
      </c>
      <c r="AA22" s="12">
        <v>449</v>
      </c>
      <c r="AB22" s="12">
        <v>560</v>
      </c>
      <c r="AC22" s="12">
        <v>445</v>
      </c>
      <c r="AD22" s="12">
        <v>458</v>
      </c>
      <c r="AE22" s="12">
        <v>588</v>
      </c>
      <c r="AF22" s="12">
        <v>409</v>
      </c>
    </row>
    <row r="23" spans="1:32">
      <c r="A23" s="20"/>
      <c r="B23" s="13" t="s">
        <v>1380</v>
      </c>
      <c r="C23" s="14">
        <v>0.48</v>
      </c>
      <c r="D23" s="14">
        <v>0.56000000000000005</v>
      </c>
      <c r="E23" s="14">
        <v>0.43</v>
      </c>
      <c r="F23" s="14">
        <v>0.44</v>
      </c>
      <c r="G23" s="14">
        <v>0.46</v>
      </c>
      <c r="H23" s="14">
        <v>0.41</v>
      </c>
      <c r="I23" s="14">
        <v>0.4</v>
      </c>
      <c r="J23" s="14">
        <v>0.39</v>
      </c>
      <c r="K23" s="14">
        <v>0.46</v>
      </c>
      <c r="L23" s="14">
        <v>0.52</v>
      </c>
      <c r="M23" s="14">
        <v>0.3</v>
      </c>
      <c r="N23" s="14">
        <v>0.42</v>
      </c>
      <c r="O23" s="14">
        <v>0.47</v>
      </c>
      <c r="P23" s="14">
        <v>0.62</v>
      </c>
      <c r="Q23" s="14">
        <v>0.56000000000000005</v>
      </c>
      <c r="R23" s="14">
        <v>0.44</v>
      </c>
      <c r="S23" s="14">
        <v>0.48</v>
      </c>
      <c r="T23" s="14">
        <v>0.48</v>
      </c>
      <c r="U23" s="14">
        <v>0.63</v>
      </c>
      <c r="V23" s="14">
        <v>0.57000000000000006</v>
      </c>
      <c r="W23" s="14">
        <v>0.65</v>
      </c>
      <c r="X23" s="14">
        <v>0.45</v>
      </c>
      <c r="Y23" s="14">
        <v>0.51</v>
      </c>
      <c r="Z23" s="14">
        <v>0.57999999999999996</v>
      </c>
      <c r="AA23" s="14">
        <v>0.42</v>
      </c>
      <c r="AB23" s="14">
        <v>0.54</v>
      </c>
      <c r="AC23" s="14">
        <v>0.44</v>
      </c>
      <c r="AD23" s="14">
        <v>0.46</v>
      </c>
      <c r="AE23" s="14">
        <v>0.59</v>
      </c>
      <c r="AF23" s="14">
        <v>0.4</v>
      </c>
    </row>
    <row r="24" spans="1:32">
      <c r="A24" s="20"/>
      <c r="B24" s="11" t="s">
        <v>1381</v>
      </c>
      <c r="C24" s="12">
        <v>10829</v>
      </c>
      <c r="D24" s="12">
        <v>394</v>
      </c>
      <c r="E24" s="12">
        <v>384</v>
      </c>
      <c r="F24" s="12">
        <v>440</v>
      </c>
      <c r="G24" s="12">
        <v>446</v>
      </c>
      <c r="H24" s="12">
        <v>491</v>
      </c>
      <c r="I24" s="12">
        <v>656</v>
      </c>
      <c r="J24" s="12">
        <v>165</v>
      </c>
      <c r="K24" s="12">
        <v>388</v>
      </c>
      <c r="L24" s="12">
        <v>354</v>
      </c>
      <c r="M24" s="12">
        <v>570</v>
      </c>
      <c r="N24" s="12">
        <v>475</v>
      </c>
      <c r="O24" s="12">
        <v>419</v>
      </c>
      <c r="P24" s="12">
        <v>316</v>
      </c>
      <c r="Q24" s="12">
        <v>399</v>
      </c>
      <c r="R24" s="12">
        <v>201</v>
      </c>
      <c r="S24" s="12">
        <v>285</v>
      </c>
      <c r="T24" s="12">
        <v>296</v>
      </c>
      <c r="U24" s="12">
        <v>131</v>
      </c>
      <c r="V24" s="12">
        <v>336</v>
      </c>
      <c r="W24" s="12">
        <v>136</v>
      </c>
      <c r="X24" s="12">
        <v>499</v>
      </c>
      <c r="Y24" s="12">
        <v>389</v>
      </c>
      <c r="Z24" s="12">
        <v>304</v>
      </c>
      <c r="AA24" s="12">
        <v>444</v>
      </c>
      <c r="AB24" s="12">
        <v>321</v>
      </c>
      <c r="AC24" s="12">
        <v>452</v>
      </c>
      <c r="AD24" s="12">
        <v>442</v>
      </c>
      <c r="AE24" s="12">
        <v>337</v>
      </c>
      <c r="AF24" s="12">
        <v>538</v>
      </c>
    </row>
    <row r="25" spans="1:32">
      <c r="A25" s="20"/>
      <c r="B25" s="13" t="s">
        <v>1382</v>
      </c>
      <c r="C25" s="14">
        <v>0.41</v>
      </c>
      <c r="D25" s="14">
        <v>0.39</v>
      </c>
      <c r="E25" s="14">
        <v>0.37</v>
      </c>
      <c r="F25" s="14">
        <v>0.43</v>
      </c>
      <c r="G25" s="14">
        <v>0.44</v>
      </c>
      <c r="H25" s="14">
        <v>0.41</v>
      </c>
      <c r="I25" s="14">
        <v>0.44</v>
      </c>
      <c r="J25" s="14">
        <v>0.56000000000000005</v>
      </c>
      <c r="K25" s="14">
        <v>0.39</v>
      </c>
      <c r="L25" s="14">
        <v>0.35</v>
      </c>
      <c r="M25" s="14">
        <v>0.57000000000000006</v>
      </c>
      <c r="N25" s="14">
        <v>0.47</v>
      </c>
      <c r="O25" s="14">
        <v>0.42</v>
      </c>
      <c r="P25" s="14">
        <v>0.31</v>
      </c>
      <c r="Q25" s="14">
        <v>0.39</v>
      </c>
      <c r="R25" s="14">
        <v>0.4</v>
      </c>
      <c r="S25" s="14">
        <v>0.28000000000000003</v>
      </c>
      <c r="T25" s="14">
        <v>0.28999999999999998</v>
      </c>
      <c r="U25" s="14">
        <v>0.26</v>
      </c>
      <c r="V25" s="14">
        <v>0.33</v>
      </c>
      <c r="W25" s="14">
        <v>0.27</v>
      </c>
      <c r="X25" s="14">
        <v>0.49</v>
      </c>
      <c r="Y25" s="14">
        <v>0.39</v>
      </c>
      <c r="Z25" s="14">
        <v>0.3</v>
      </c>
      <c r="AA25" s="14">
        <v>0.43</v>
      </c>
      <c r="AB25" s="14">
        <v>0.31</v>
      </c>
      <c r="AC25" s="14">
        <v>0.45</v>
      </c>
      <c r="AD25" s="14">
        <v>0.44</v>
      </c>
      <c r="AE25" s="14">
        <v>0.33</v>
      </c>
      <c r="AF25" s="14">
        <v>0.53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1428</v>
      </c>
      <c r="C3" s="18"/>
      <c r="D3" s="18"/>
      <c r="E3" s="18"/>
      <c r="F3" s="18"/>
      <c r="H3" s="18" t="s">
        <v>1429</v>
      </c>
      <c r="I3" s="18"/>
      <c r="J3" s="18"/>
      <c r="K3" s="18"/>
      <c r="L3" s="18"/>
    </row>
    <row r="4" spans="1:32" ht="27" customHeight="1">
      <c r="B4" s="18" t="s">
        <v>1430</v>
      </c>
      <c r="C4" s="18"/>
      <c r="D4" s="18"/>
      <c r="E4" s="18"/>
      <c r="F4" s="18"/>
      <c r="H4" s="18" t="s">
        <v>1431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2660</v>
      </c>
      <c r="D12" s="12">
        <v>112</v>
      </c>
      <c r="E12" s="12">
        <v>91</v>
      </c>
      <c r="F12" s="12">
        <v>98</v>
      </c>
      <c r="G12" s="12">
        <v>99</v>
      </c>
      <c r="H12" s="12">
        <v>72</v>
      </c>
      <c r="I12" s="12">
        <v>93</v>
      </c>
      <c r="J12" s="12">
        <v>21</v>
      </c>
      <c r="K12" s="12">
        <v>86</v>
      </c>
      <c r="L12" s="12">
        <v>166</v>
      </c>
      <c r="M12" s="12">
        <v>61</v>
      </c>
      <c r="N12" s="12">
        <v>81</v>
      </c>
      <c r="O12" s="12">
        <v>123</v>
      </c>
      <c r="P12" s="12">
        <v>181</v>
      </c>
      <c r="Q12" s="12">
        <v>141</v>
      </c>
      <c r="R12" s="12">
        <v>41</v>
      </c>
      <c r="S12" s="12">
        <v>74</v>
      </c>
      <c r="T12" s="12">
        <v>96</v>
      </c>
      <c r="U12" s="12">
        <v>85</v>
      </c>
      <c r="V12" s="12">
        <v>137</v>
      </c>
      <c r="W12" s="12">
        <v>79</v>
      </c>
      <c r="X12" s="12">
        <v>69</v>
      </c>
      <c r="Y12" s="12">
        <v>170</v>
      </c>
      <c r="Z12" s="12">
        <v>108</v>
      </c>
      <c r="AA12" s="12">
        <v>57</v>
      </c>
      <c r="AB12" s="12">
        <v>171</v>
      </c>
      <c r="AC12" s="12">
        <v>71</v>
      </c>
      <c r="AD12" s="12">
        <v>97</v>
      </c>
      <c r="AE12" s="12">
        <v>48</v>
      </c>
      <c r="AF12" s="12">
        <v>66</v>
      </c>
    </row>
    <row r="13" spans="1:32">
      <c r="A13" s="20"/>
      <c r="B13" s="13" t="s">
        <v>1387</v>
      </c>
      <c r="C13" s="14">
        <v>0.1</v>
      </c>
      <c r="D13" s="14">
        <v>0.11</v>
      </c>
      <c r="E13" s="14">
        <v>0.09</v>
      </c>
      <c r="F13" s="14">
        <v>0.1</v>
      </c>
      <c r="G13" s="14">
        <v>0.1</v>
      </c>
      <c r="H13" s="14">
        <v>0.06</v>
      </c>
      <c r="I13" s="14">
        <v>0.06</v>
      </c>
      <c r="J13" s="14">
        <v>7.0000000000000007E-2</v>
      </c>
      <c r="K13" s="14">
        <v>0.08</v>
      </c>
      <c r="L13" s="14">
        <v>0.16</v>
      </c>
      <c r="M13" s="14">
        <v>0.06</v>
      </c>
      <c r="N13" s="14">
        <v>0.08</v>
      </c>
      <c r="O13" s="14">
        <v>0.12</v>
      </c>
      <c r="P13" s="14">
        <v>0.18</v>
      </c>
      <c r="Q13" s="14">
        <v>0.14000000000000001</v>
      </c>
      <c r="R13" s="14">
        <v>0.08</v>
      </c>
      <c r="S13" s="14">
        <v>7.0000000000000007E-2</v>
      </c>
      <c r="T13" s="14">
        <v>0.09</v>
      </c>
      <c r="U13" s="14">
        <v>0.17</v>
      </c>
      <c r="V13" s="14">
        <v>0.13</v>
      </c>
      <c r="W13" s="14">
        <v>0.15</v>
      </c>
      <c r="X13" s="14">
        <v>7.0000000000000007E-2</v>
      </c>
      <c r="Y13" s="14">
        <v>0.17</v>
      </c>
      <c r="Z13" s="14">
        <v>0.11</v>
      </c>
      <c r="AA13" s="14">
        <v>0.06</v>
      </c>
      <c r="AB13" s="14">
        <v>0.17</v>
      </c>
      <c r="AC13" s="14">
        <v>7.0000000000000007E-2</v>
      </c>
      <c r="AD13" s="14">
        <v>0.1</v>
      </c>
      <c r="AE13" s="14">
        <v>0.05</v>
      </c>
      <c r="AF13" s="14">
        <v>0.06</v>
      </c>
    </row>
    <row r="14" spans="1:32">
      <c r="A14" s="20"/>
      <c r="B14" s="11" t="s">
        <v>1371</v>
      </c>
      <c r="C14" s="12">
        <v>8489</v>
      </c>
      <c r="D14" s="12">
        <v>376</v>
      </c>
      <c r="E14" s="12">
        <v>247</v>
      </c>
      <c r="F14" s="12">
        <v>326</v>
      </c>
      <c r="G14" s="12">
        <v>295</v>
      </c>
      <c r="H14" s="12">
        <v>346</v>
      </c>
      <c r="I14" s="12">
        <v>422</v>
      </c>
      <c r="J14" s="12">
        <v>76</v>
      </c>
      <c r="K14" s="12">
        <v>271</v>
      </c>
      <c r="L14" s="12">
        <v>330</v>
      </c>
      <c r="M14" s="12">
        <v>230</v>
      </c>
      <c r="N14" s="12">
        <v>284</v>
      </c>
      <c r="O14" s="12">
        <v>260</v>
      </c>
      <c r="P14" s="12">
        <v>420</v>
      </c>
      <c r="Q14" s="12">
        <v>432</v>
      </c>
      <c r="R14" s="12">
        <v>146</v>
      </c>
      <c r="S14" s="12">
        <v>301</v>
      </c>
      <c r="T14" s="12">
        <v>298</v>
      </c>
      <c r="U14" s="12">
        <v>162</v>
      </c>
      <c r="V14" s="12">
        <v>404</v>
      </c>
      <c r="W14" s="12">
        <v>150</v>
      </c>
      <c r="X14" s="12">
        <v>278</v>
      </c>
      <c r="Y14" s="12">
        <v>290</v>
      </c>
      <c r="Z14" s="12">
        <v>460</v>
      </c>
      <c r="AA14" s="12">
        <v>391</v>
      </c>
      <c r="AB14" s="12">
        <v>393</v>
      </c>
      <c r="AC14" s="12">
        <v>290</v>
      </c>
      <c r="AD14" s="12">
        <v>268</v>
      </c>
      <c r="AE14" s="12">
        <v>309</v>
      </c>
      <c r="AF14" s="12">
        <v>230</v>
      </c>
    </row>
    <row r="15" spans="1:32">
      <c r="A15" s="20"/>
      <c r="B15" s="13" t="s">
        <v>1372</v>
      </c>
      <c r="C15" s="14">
        <v>0.32</v>
      </c>
      <c r="D15" s="14">
        <v>0.38</v>
      </c>
      <c r="E15" s="14">
        <v>0.24</v>
      </c>
      <c r="F15" s="14">
        <v>0.32</v>
      </c>
      <c r="G15" s="14">
        <v>0.28999999999999998</v>
      </c>
      <c r="H15" s="14">
        <v>0.28000000000000003</v>
      </c>
      <c r="I15" s="14">
        <v>0.28000000000000003</v>
      </c>
      <c r="J15" s="14">
        <v>0.26</v>
      </c>
      <c r="K15" s="14">
        <v>0.27</v>
      </c>
      <c r="L15" s="14">
        <v>0.33</v>
      </c>
      <c r="M15" s="14">
        <v>0.23</v>
      </c>
      <c r="N15" s="14">
        <v>0.28000000000000003</v>
      </c>
      <c r="O15" s="14">
        <v>0.26</v>
      </c>
      <c r="P15" s="14">
        <v>0.41</v>
      </c>
      <c r="Q15" s="14">
        <v>0.43</v>
      </c>
      <c r="R15" s="14">
        <v>0.28999999999999998</v>
      </c>
      <c r="S15" s="14">
        <v>0.3</v>
      </c>
      <c r="T15" s="14">
        <v>0.28999999999999998</v>
      </c>
      <c r="U15" s="14">
        <v>0.32</v>
      </c>
      <c r="V15" s="14">
        <v>0.4</v>
      </c>
      <c r="W15" s="14">
        <v>0.3</v>
      </c>
      <c r="X15" s="14">
        <v>0.27</v>
      </c>
      <c r="Y15" s="14">
        <v>0.28999999999999998</v>
      </c>
      <c r="Z15" s="14">
        <v>0.45</v>
      </c>
      <c r="AA15" s="14">
        <v>0.37</v>
      </c>
      <c r="AB15" s="14">
        <v>0.38</v>
      </c>
      <c r="AC15" s="14">
        <v>0.28999999999999998</v>
      </c>
      <c r="AD15" s="14">
        <v>0.27</v>
      </c>
      <c r="AE15" s="14">
        <v>0.31</v>
      </c>
      <c r="AF15" s="14">
        <v>0.23</v>
      </c>
    </row>
    <row r="16" spans="1:32">
      <c r="A16" s="20"/>
      <c r="B16" s="11" t="s">
        <v>1373</v>
      </c>
      <c r="C16" s="12">
        <v>7331</v>
      </c>
      <c r="D16" s="12">
        <v>304</v>
      </c>
      <c r="E16" s="12">
        <v>222</v>
      </c>
      <c r="F16" s="12">
        <v>275</v>
      </c>
      <c r="G16" s="12">
        <v>305</v>
      </c>
      <c r="H16" s="12">
        <v>375</v>
      </c>
      <c r="I16" s="12">
        <v>483</v>
      </c>
      <c r="J16" s="12">
        <v>109</v>
      </c>
      <c r="K16" s="12">
        <v>278</v>
      </c>
      <c r="L16" s="12">
        <v>219</v>
      </c>
      <c r="M16" s="12">
        <v>355</v>
      </c>
      <c r="N16" s="12">
        <v>278</v>
      </c>
      <c r="O16" s="12">
        <v>226</v>
      </c>
      <c r="P16" s="12">
        <v>265</v>
      </c>
      <c r="Q16" s="12">
        <v>309</v>
      </c>
      <c r="R16" s="12">
        <v>138</v>
      </c>
      <c r="S16" s="12">
        <v>256</v>
      </c>
      <c r="T16" s="12">
        <v>199</v>
      </c>
      <c r="U16" s="12">
        <v>91</v>
      </c>
      <c r="V16" s="12">
        <v>240</v>
      </c>
      <c r="W16" s="12">
        <v>109</v>
      </c>
      <c r="X16" s="12">
        <v>386</v>
      </c>
      <c r="Y16" s="12">
        <v>193</v>
      </c>
      <c r="Z16" s="12">
        <v>232</v>
      </c>
      <c r="AA16" s="12">
        <v>298</v>
      </c>
      <c r="AB16" s="12">
        <v>190</v>
      </c>
      <c r="AC16" s="12">
        <v>308</v>
      </c>
      <c r="AD16" s="12">
        <v>290</v>
      </c>
      <c r="AE16" s="12">
        <v>338</v>
      </c>
      <c r="AF16" s="12">
        <v>397</v>
      </c>
    </row>
    <row r="17" spans="1:32">
      <c r="A17" s="20"/>
      <c r="B17" s="13" t="s">
        <v>1374</v>
      </c>
      <c r="C17" s="14">
        <v>0.28000000000000003</v>
      </c>
      <c r="D17" s="14">
        <v>0.3</v>
      </c>
      <c r="E17" s="14">
        <v>0.22</v>
      </c>
      <c r="F17" s="14">
        <v>0.27</v>
      </c>
      <c r="G17" s="14">
        <v>0.3</v>
      </c>
      <c r="H17" s="14">
        <v>0.31</v>
      </c>
      <c r="I17" s="14">
        <v>0.32</v>
      </c>
      <c r="J17" s="14">
        <v>0.37</v>
      </c>
      <c r="K17" s="14">
        <v>0.28000000000000003</v>
      </c>
      <c r="L17" s="14">
        <v>0.22</v>
      </c>
      <c r="M17" s="14">
        <v>0.35</v>
      </c>
      <c r="N17" s="14">
        <v>0.28000000000000003</v>
      </c>
      <c r="O17" s="14">
        <v>0.22</v>
      </c>
      <c r="P17" s="14">
        <v>0.26</v>
      </c>
      <c r="Q17" s="14">
        <v>0.3</v>
      </c>
      <c r="R17" s="14">
        <v>0.28000000000000003</v>
      </c>
      <c r="S17" s="14">
        <v>0.25</v>
      </c>
      <c r="T17" s="14">
        <v>0.2</v>
      </c>
      <c r="U17" s="14">
        <v>0.18</v>
      </c>
      <c r="V17" s="14">
        <v>0.24</v>
      </c>
      <c r="W17" s="14">
        <v>0.22</v>
      </c>
      <c r="X17" s="14">
        <v>0.38</v>
      </c>
      <c r="Y17" s="14">
        <v>0.19</v>
      </c>
      <c r="Z17" s="14">
        <v>0.23</v>
      </c>
      <c r="AA17" s="14">
        <v>0.28000000000000003</v>
      </c>
      <c r="AB17" s="14">
        <v>0.18</v>
      </c>
      <c r="AC17" s="14">
        <v>0.31</v>
      </c>
      <c r="AD17" s="14">
        <v>0.28999999999999998</v>
      </c>
      <c r="AE17" s="14">
        <v>0.33</v>
      </c>
      <c r="AF17" s="14">
        <v>0.39</v>
      </c>
    </row>
    <row r="18" spans="1:32">
      <c r="A18" s="20"/>
      <c r="B18" s="11" t="s">
        <v>1375</v>
      </c>
      <c r="C18" s="12">
        <v>2557</v>
      </c>
      <c r="D18" s="12">
        <v>110</v>
      </c>
      <c r="E18" s="12">
        <v>115</v>
      </c>
      <c r="F18" s="12">
        <v>115</v>
      </c>
      <c r="G18" s="12">
        <v>98</v>
      </c>
      <c r="H18" s="12">
        <v>128</v>
      </c>
      <c r="I18" s="12">
        <v>175</v>
      </c>
      <c r="J18" s="12">
        <v>47</v>
      </c>
      <c r="K18" s="12">
        <v>78</v>
      </c>
      <c r="L18" s="12">
        <v>98</v>
      </c>
      <c r="M18" s="12">
        <v>120</v>
      </c>
      <c r="N18" s="12">
        <v>104</v>
      </c>
      <c r="O18" s="12">
        <v>108</v>
      </c>
      <c r="P18" s="12">
        <v>49</v>
      </c>
      <c r="Q18" s="12">
        <v>63</v>
      </c>
      <c r="R18" s="12">
        <v>44</v>
      </c>
      <c r="S18" s="12">
        <v>67</v>
      </c>
      <c r="T18" s="12">
        <v>71</v>
      </c>
      <c r="U18" s="12">
        <v>37</v>
      </c>
      <c r="V18" s="12">
        <v>81</v>
      </c>
      <c r="W18" s="12">
        <v>25</v>
      </c>
      <c r="X18" s="12">
        <v>139</v>
      </c>
      <c r="Y18" s="12">
        <v>135</v>
      </c>
      <c r="Z18" s="12">
        <v>49</v>
      </c>
      <c r="AA18" s="12">
        <v>97</v>
      </c>
      <c r="AB18" s="12">
        <v>75</v>
      </c>
      <c r="AC18" s="12">
        <v>104</v>
      </c>
      <c r="AD18" s="12">
        <v>94</v>
      </c>
      <c r="AE18" s="12">
        <v>108</v>
      </c>
      <c r="AF18" s="12">
        <v>159</v>
      </c>
    </row>
    <row r="19" spans="1:32">
      <c r="A19" s="20"/>
      <c r="B19" s="13" t="s">
        <v>1376</v>
      </c>
      <c r="C19" s="14">
        <v>0.1</v>
      </c>
      <c r="D19" s="14">
        <v>0.11</v>
      </c>
      <c r="E19" s="14">
        <v>0.11</v>
      </c>
      <c r="F19" s="14">
        <v>0.12</v>
      </c>
      <c r="G19" s="14">
        <v>0.1</v>
      </c>
      <c r="H19" s="14">
        <v>0.11</v>
      </c>
      <c r="I19" s="14">
        <v>0.12</v>
      </c>
      <c r="J19" s="14">
        <v>0.16</v>
      </c>
      <c r="K19" s="14">
        <v>0.08</v>
      </c>
      <c r="L19" s="14">
        <v>0.1</v>
      </c>
      <c r="M19" s="14">
        <v>0.12</v>
      </c>
      <c r="N19" s="14">
        <v>0.1</v>
      </c>
      <c r="O19" s="14">
        <v>0.11</v>
      </c>
      <c r="P19" s="14">
        <v>0.05</v>
      </c>
      <c r="Q19" s="14">
        <v>0.06</v>
      </c>
      <c r="R19" s="14">
        <v>0.09</v>
      </c>
      <c r="S19" s="14">
        <v>7.0000000000000007E-2</v>
      </c>
      <c r="T19" s="14">
        <v>7.0000000000000007E-2</v>
      </c>
      <c r="U19" s="14">
        <v>7.0000000000000007E-2</v>
      </c>
      <c r="V19" s="14">
        <v>0.08</v>
      </c>
      <c r="W19" s="14">
        <v>0.05</v>
      </c>
      <c r="X19" s="14">
        <v>0.13</v>
      </c>
      <c r="Y19" s="14">
        <v>0.13</v>
      </c>
      <c r="Z19" s="14">
        <v>0.05</v>
      </c>
      <c r="AA19" s="14">
        <v>0.09</v>
      </c>
      <c r="AB19" s="14">
        <v>7.0000000000000007E-2</v>
      </c>
      <c r="AC19" s="14">
        <v>0.1</v>
      </c>
      <c r="AD19" s="14">
        <v>0.09</v>
      </c>
      <c r="AE19" s="14">
        <v>0.11</v>
      </c>
      <c r="AF19" s="14">
        <v>0.16</v>
      </c>
    </row>
    <row r="20" spans="1:32">
      <c r="A20" s="20"/>
      <c r="B20" s="11" t="s">
        <v>468</v>
      </c>
      <c r="C20" s="12">
        <v>5283</v>
      </c>
      <c r="D20" s="12">
        <v>100</v>
      </c>
      <c r="E20" s="12">
        <v>342</v>
      </c>
      <c r="F20" s="12">
        <v>191</v>
      </c>
      <c r="G20" s="12">
        <v>207</v>
      </c>
      <c r="H20" s="12">
        <v>295</v>
      </c>
      <c r="I20" s="12">
        <v>337</v>
      </c>
      <c r="J20" s="12">
        <v>42</v>
      </c>
      <c r="K20" s="12">
        <v>293</v>
      </c>
      <c r="L20" s="12">
        <v>194</v>
      </c>
      <c r="M20" s="12">
        <v>236</v>
      </c>
      <c r="N20" s="12">
        <v>257</v>
      </c>
      <c r="O20" s="12">
        <v>286</v>
      </c>
      <c r="P20" s="12">
        <v>107</v>
      </c>
      <c r="Q20" s="12">
        <v>73</v>
      </c>
      <c r="R20" s="12">
        <v>131</v>
      </c>
      <c r="S20" s="12">
        <v>310</v>
      </c>
      <c r="T20" s="12">
        <v>351</v>
      </c>
      <c r="U20" s="12">
        <v>133</v>
      </c>
      <c r="V20" s="12">
        <v>154</v>
      </c>
      <c r="W20" s="12">
        <v>140</v>
      </c>
      <c r="X20" s="12">
        <v>149</v>
      </c>
      <c r="Y20" s="12">
        <v>221</v>
      </c>
      <c r="Z20" s="12">
        <v>158</v>
      </c>
      <c r="AA20" s="12">
        <v>210</v>
      </c>
      <c r="AB20" s="12">
        <v>209</v>
      </c>
      <c r="AC20" s="12">
        <v>237</v>
      </c>
      <c r="AD20" s="12">
        <v>258</v>
      </c>
      <c r="AE20" s="12">
        <v>198</v>
      </c>
      <c r="AF20" s="12">
        <v>168</v>
      </c>
    </row>
    <row r="21" spans="1:32">
      <c r="A21" s="20"/>
      <c r="B21" s="13" t="s">
        <v>469</v>
      </c>
      <c r="C21" s="14">
        <v>0.2</v>
      </c>
      <c r="D21" s="14">
        <v>0.1</v>
      </c>
      <c r="E21" s="14">
        <v>0.34</v>
      </c>
      <c r="F21" s="14">
        <v>0.19</v>
      </c>
      <c r="G21" s="14">
        <v>0.21</v>
      </c>
      <c r="H21" s="14">
        <v>0.24</v>
      </c>
      <c r="I21" s="14">
        <v>0.22</v>
      </c>
      <c r="J21" s="14">
        <v>0.14000000000000001</v>
      </c>
      <c r="K21" s="14">
        <v>0.28999999999999998</v>
      </c>
      <c r="L21" s="14">
        <v>0.19</v>
      </c>
      <c r="M21" s="14">
        <v>0.24</v>
      </c>
      <c r="N21" s="14">
        <v>0.26</v>
      </c>
      <c r="O21" s="14">
        <v>0.28999999999999998</v>
      </c>
      <c r="P21" s="14">
        <v>0.1</v>
      </c>
      <c r="Q21" s="14">
        <v>7.0000000000000007E-2</v>
      </c>
      <c r="R21" s="14">
        <v>0.26</v>
      </c>
      <c r="S21" s="14">
        <v>0.31</v>
      </c>
      <c r="T21" s="14">
        <v>0.35</v>
      </c>
      <c r="U21" s="14">
        <v>0.26</v>
      </c>
      <c r="V21" s="14">
        <v>0.15</v>
      </c>
      <c r="W21" s="14">
        <v>0.28000000000000003</v>
      </c>
      <c r="X21" s="14">
        <v>0.15</v>
      </c>
      <c r="Y21" s="14">
        <v>0.22</v>
      </c>
      <c r="Z21" s="14">
        <v>0.16</v>
      </c>
      <c r="AA21" s="14">
        <v>0.2</v>
      </c>
      <c r="AB21" s="14">
        <v>0.2</v>
      </c>
      <c r="AC21" s="14">
        <v>0.23</v>
      </c>
      <c r="AD21" s="14">
        <v>0.25</v>
      </c>
      <c r="AE21" s="14">
        <v>0.2</v>
      </c>
      <c r="AF21" s="14">
        <v>0.16</v>
      </c>
    </row>
    <row r="22" spans="1:32">
      <c r="A22" s="20"/>
      <c r="B22" s="11" t="s">
        <v>1379</v>
      </c>
      <c r="C22" s="12">
        <v>11149</v>
      </c>
      <c r="D22" s="12">
        <v>488</v>
      </c>
      <c r="E22" s="12">
        <v>338</v>
      </c>
      <c r="F22" s="12">
        <v>424</v>
      </c>
      <c r="G22" s="12">
        <v>394</v>
      </c>
      <c r="H22" s="12">
        <v>418</v>
      </c>
      <c r="I22" s="12">
        <v>515</v>
      </c>
      <c r="J22" s="12">
        <v>97</v>
      </c>
      <c r="K22" s="12">
        <v>357</v>
      </c>
      <c r="L22" s="12">
        <v>496</v>
      </c>
      <c r="M22" s="12">
        <v>291</v>
      </c>
      <c r="N22" s="12">
        <v>365</v>
      </c>
      <c r="O22" s="12">
        <v>383</v>
      </c>
      <c r="P22" s="12">
        <v>601</v>
      </c>
      <c r="Q22" s="12">
        <v>573</v>
      </c>
      <c r="R22" s="12">
        <v>187</v>
      </c>
      <c r="S22" s="12">
        <v>375</v>
      </c>
      <c r="T22" s="12">
        <v>394</v>
      </c>
      <c r="U22" s="12">
        <v>247</v>
      </c>
      <c r="V22" s="12">
        <v>541</v>
      </c>
      <c r="W22" s="12">
        <v>229</v>
      </c>
      <c r="X22" s="12">
        <v>347</v>
      </c>
      <c r="Y22" s="12">
        <v>460</v>
      </c>
      <c r="Z22" s="12">
        <v>568</v>
      </c>
      <c r="AA22" s="12">
        <v>448</v>
      </c>
      <c r="AB22" s="12">
        <v>564</v>
      </c>
      <c r="AC22" s="12">
        <v>361</v>
      </c>
      <c r="AD22" s="12">
        <v>365</v>
      </c>
      <c r="AE22" s="12">
        <v>357</v>
      </c>
      <c r="AF22" s="12">
        <v>296</v>
      </c>
    </row>
    <row r="23" spans="1:32">
      <c r="A23" s="20"/>
      <c r="B23" s="13" t="s">
        <v>1380</v>
      </c>
      <c r="C23" s="14">
        <v>0.42</v>
      </c>
      <c r="D23" s="14">
        <v>0.49</v>
      </c>
      <c r="E23" s="14">
        <v>0.33</v>
      </c>
      <c r="F23" s="14">
        <v>0.42</v>
      </c>
      <c r="G23" s="14">
        <v>0.39</v>
      </c>
      <c r="H23" s="14">
        <v>0.34</v>
      </c>
      <c r="I23" s="14">
        <v>0.34</v>
      </c>
      <c r="J23" s="14">
        <v>0.33</v>
      </c>
      <c r="K23" s="14">
        <v>0.35</v>
      </c>
      <c r="L23" s="14">
        <v>0.49</v>
      </c>
      <c r="M23" s="14">
        <v>0.28999999999999998</v>
      </c>
      <c r="N23" s="14">
        <v>0.36</v>
      </c>
      <c r="O23" s="14">
        <v>0.38</v>
      </c>
      <c r="P23" s="14">
        <v>0.59</v>
      </c>
      <c r="Q23" s="14">
        <v>0.57000000000000006</v>
      </c>
      <c r="R23" s="14">
        <v>0.37</v>
      </c>
      <c r="S23" s="14">
        <v>0.37</v>
      </c>
      <c r="T23" s="14">
        <v>0.38</v>
      </c>
      <c r="U23" s="14">
        <v>0.49</v>
      </c>
      <c r="V23" s="14">
        <v>0.53</v>
      </c>
      <c r="W23" s="14">
        <v>0.45</v>
      </c>
      <c r="X23" s="14">
        <v>0.34</v>
      </c>
      <c r="Y23" s="14">
        <v>0.46</v>
      </c>
      <c r="Z23" s="14">
        <v>0.56000000000000005</v>
      </c>
      <c r="AA23" s="14">
        <v>0.43</v>
      </c>
      <c r="AB23" s="14">
        <v>0.55000000000000004</v>
      </c>
      <c r="AC23" s="14">
        <v>0.36</v>
      </c>
      <c r="AD23" s="14">
        <v>0.37</v>
      </c>
      <c r="AE23" s="14">
        <v>0.36</v>
      </c>
      <c r="AF23" s="14">
        <v>0.28999999999999998</v>
      </c>
    </row>
    <row r="24" spans="1:32">
      <c r="A24" s="20"/>
      <c r="B24" s="11" t="s">
        <v>1381</v>
      </c>
      <c r="C24" s="12">
        <v>9888</v>
      </c>
      <c r="D24" s="12">
        <v>414</v>
      </c>
      <c r="E24" s="12">
        <v>337</v>
      </c>
      <c r="F24" s="12">
        <v>390</v>
      </c>
      <c r="G24" s="12">
        <v>403</v>
      </c>
      <c r="H24" s="12">
        <v>503</v>
      </c>
      <c r="I24" s="12">
        <v>658</v>
      </c>
      <c r="J24" s="12">
        <v>156</v>
      </c>
      <c r="K24" s="12">
        <v>356</v>
      </c>
      <c r="L24" s="12">
        <v>317</v>
      </c>
      <c r="M24" s="12">
        <v>475</v>
      </c>
      <c r="N24" s="12">
        <v>382</v>
      </c>
      <c r="O24" s="12">
        <v>334</v>
      </c>
      <c r="P24" s="12">
        <v>314</v>
      </c>
      <c r="Q24" s="12">
        <v>372</v>
      </c>
      <c r="R24" s="12">
        <v>182</v>
      </c>
      <c r="S24" s="12">
        <v>323</v>
      </c>
      <c r="T24" s="12">
        <v>270</v>
      </c>
      <c r="U24" s="12">
        <v>128</v>
      </c>
      <c r="V24" s="12">
        <v>321</v>
      </c>
      <c r="W24" s="12">
        <v>134</v>
      </c>
      <c r="X24" s="12">
        <v>525</v>
      </c>
      <c r="Y24" s="12">
        <v>328</v>
      </c>
      <c r="Z24" s="12">
        <v>281</v>
      </c>
      <c r="AA24" s="12">
        <v>395</v>
      </c>
      <c r="AB24" s="12">
        <v>265</v>
      </c>
      <c r="AC24" s="12">
        <v>412</v>
      </c>
      <c r="AD24" s="12">
        <v>384</v>
      </c>
      <c r="AE24" s="12">
        <v>446</v>
      </c>
      <c r="AF24" s="12">
        <v>556</v>
      </c>
    </row>
    <row r="25" spans="1:32">
      <c r="A25" s="20"/>
      <c r="B25" s="13" t="s">
        <v>1382</v>
      </c>
      <c r="C25" s="14">
        <v>0.38</v>
      </c>
      <c r="D25" s="14">
        <v>0.41</v>
      </c>
      <c r="E25" s="14">
        <v>0.33</v>
      </c>
      <c r="F25" s="14">
        <v>0.39</v>
      </c>
      <c r="G25" s="14">
        <v>0.4</v>
      </c>
      <c r="H25" s="14">
        <v>0.42</v>
      </c>
      <c r="I25" s="14">
        <v>0.44</v>
      </c>
      <c r="J25" s="14">
        <v>0.53</v>
      </c>
      <c r="K25" s="14">
        <v>0.36</v>
      </c>
      <c r="L25" s="14">
        <v>0.32</v>
      </c>
      <c r="M25" s="14">
        <v>0.47</v>
      </c>
      <c r="N25" s="14">
        <v>0.38</v>
      </c>
      <c r="O25" s="14">
        <v>0.33</v>
      </c>
      <c r="P25" s="14">
        <v>0.31</v>
      </c>
      <c r="Q25" s="14">
        <v>0.36</v>
      </c>
      <c r="R25" s="14">
        <v>0.37</v>
      </c>
      <c r="S25" s="14">
        <v>0.32</v>
      </c>
      <c r="T25" s="14">
        <v>0.27</v>
      </c>
      <c r="U25" s="14">
        <v>0.25</v>
      </c>
      <c r="V25" s="14">
        <v>0.32</v>
      </c>
      <c r="W25" s="14">
        <v>0.27</v>
      </c>
      <c r="X25" s="14">
        <v>0.51</v>
      </c>
      <c r="Y25" s="14">
        <v>0.32</v>
      </c>
      <c r="Z25" s="14">
        <v>0.28000000000000003</v>
      </c>
      <c r="AA25" s="14">
        <v>0.37</v>
      </c>
      <c r="AB25" s="14">
        <v>0.25</v>
      </c>
      <c r="AC25" s="14">
        <v>0.41</v>
      </c>
      <c r="AD25" s="14">
        <v>0.38</v>
      </c>
      <c r="AE25" s="14">
        <v>0.44</v>
      </c>
      <c r="AF25" s="14">
        <v>0.55000000000000004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1432</v>
      </c>
      <c r="C3" s="18"/>
      <c r="D3" s="18"/>
      <c r="E3" s="18"/>
      <c r="F3" s="18"/>
      <c r="H3" s="18" t="s">
        <v>1433</v>
      </c>
      <c r="I3" s="18"/>
      <c r="J3" s="18"/>
      <c r="K3" s="18"/>
      <c r="L3" s="18"/>
    </row>
    <row r="4" spans="1:32" ht="27" customHeight="1">
      <c r="B4" s="18" t="s">
        <v>1434</v>
      </c>
      <c r="C4" s="18"/>
      <c r="D4" s="18"/>
      <c r="E4" s="18"/>
      <c r="F4" s="18"/>
      <c r="H4" s="18" t="s">
        <v>1435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2509</v>
      </c>
      <c r="D12" s="12">
        <v>118</v>
      </c>
      <c r="E12" s="12">
        <v>64</v>
      </c>
      <c r="F12" s="12">
        <v>93</v>
      </c>
      <c r="G12" s="12">
        <v>65</v>
      </c>
      <c r="H12" s="12">
        <v>63</v>
      </c>
      <c r="I12" s="12">
        <v>84</v>
      </c>
      <c r="J12" s="12">
        <v>21</v>
      </c>
      <c r="K12" s="12">
        <v>72</v>
      </c>
      <c r="L12" s="12">
        <v>143</v>
      </c>
      <c r="M12" s="12">
        <v>49</v>
      </c>
      <c r="N12" s="12">
        <v>93</v>
      </c>
      <c r="O12" s="12">
        <v>160</v>
      </c>
      <c r="P12" s="12">
        <v>88</v>
      </c>
      <c r="Q12" s="12">
        <v>114</v>
      </c>
      <c r="R12" s="12">
        <v>32</v>
      </c>
      <c r="S12" s="12">
        <v>91</v>
      </c>
      <c r="T12" s="12">
        <v>59</v>
      </c>
      <c r="U12" s="12">
        <v>92</v>
      </c>
      <c r="V12" s="12">
        <v>106</v>
      </c>
      <c r="W12" s="12">
        <v>82</v>
      </c>
      <c r="X12" s="12">
        <v>65</v>
      </c>
      <c r="Y12" s="12">
        <v>128</v>
      </c>
      <c r="Z12" s="12">
        <v>100</v>
      </c>
      <c r="AA12" s="12">
        <v>59</v>
      </c>
      <c r="AB12" s="12">
        <v>96</v>
      </c>
      <c r="AC12" s="12">
        <v>65</v>
      </c>
      <c r="AD12" s="12">
        <v>65</v>
      </c>
      <c r="AE12" s="12">
        <v>56</v>
      </c>
      <c r="AF12" s="12">
        <v>68</v>
      </c>
    </row>
    <row r="13" spans="1:32">
      <c r="A13" s="20"/>
      <c r="B13" s="13" t="s">
        <v>1387</v>
      </c>
      <c r="C13" s="14">
        <v>0.1</v>
      </c>
      <c r="D13" s="14">
        <v>0.12</v>
      </c>
      <c r="E13" s="14">
        <v>0.06</v>
      </c>
      <c r="F13" s="14">
        <v>0.09</v>
      </c>
      <c r="G13" s="14">
        <v>0.06</v>
      </c>
      <c r="H13" s="14">
        <v>0.05</v>
      </c>
      <c r="I13" s="14">
        <v>0.06</v>
      </c>
      <c r="J13" s="14">
        <v>7.0000000000000007E-2</v>
      </c>
      <c r="K13" s="14">
        <v>7.0000000000000007E-2</v>
      </c>
      <c r="L13" s="14">
        <v>0.14000000000000001</v>
      </c>
      <c r="M13" s="14">
        <v>0.05</v>
      </c>
      <c r="N13" s="14">
        <v>0.09</v>
      </c>
      <c r="O13" s="14">
        <v>0.16</v>
      </c>
      <c r="P13" s="14">
        <v>0.09</v>
      </c>
      <c r="Q13" s="14">
        <v>0.11</v>
      </c>
      <c r="R13" s="14">
        <v>7.0000000000000007E-2</v>
      </c>
      <c r="S13" s="14">
        <v>0.09</v>
      </c>
      <c r="T13" s="14">
        <v>0.06</v>
      </c>
      <c r="U13" s="14">
        <v>0.18</v>
      </c>
      <c r="V13" s="14">
        <v>0.1</v>
      </c>
      <c r="W13" s="14">
        <v>0.17</v>
      </c>
      <c r="X13" s="14">
        <v>0.06</v>
      </c>
      <c r="Y13" s="14">
        <v>0.13</v>
      </c>
      <c r="Z13" s="14">
        <v>0.1</v>
      </c>
      <c r="AA13" s="14">
        <v>0.06</v>
      </c>
      <c r="AB13" s="14">
        <v>0.09</v>
      </c>
      <c r="AC13" s="14">
        <v>0.06</v>
      </c>
      <c r="AD13" s="14">
        <v>0.06</v>
      </c>
      <c r="AE13" s="14">
        <v>0.06</v>
      </c>
      <c r="AF13" s="14">
        <v>7.0000000000000007E-2</v>
      </c>
    </row>
    <row r="14" spans="1:32">
      <c r="A14" s="20"/>
      <c r="B14" s="11" t="s">
        <v>1371</v>
      </c>
      <c r="C14" s="12">
        <v>8299</v>
      </c>
      <c r="D14" s="12">
        <v>397</v>
      </c>
      <c r="E14" s="12">
        <v>258</v>
      </c>
      <c r="F14" s="12">
        <v>288</v>
      </c>
      <c r="G14" s="12">
        <v>247</v>
      </c>
      <c r="H14" s="12">
        <v>327</v>
      </c>
      <c r="I14" s="12">
        <v>396</v>
      </c>
      <c r="J14" s="12">
        <v>69</v>
      </c>
      <c r="K14" s="12">
        <v>301</v>
      </c>
      <c r="L14" s="12">
        <v>350</v>
      </c>
      <c r="M14" s="12">
        <v>203</v>
      </c>
      <c r="N14" s="12">
        <v>291</v>
      </c>
      <c r="O14" s="12">
        <v>257</v>
      </c>
      <c r="P14" s="12">
        <v>432</v>
      </c>
      <c r="Q14" s="12">
        <v>412</v>
      </c>
      <c r="R14" s="12">
        <v>153</v>
      </c>
      <c r="S14" s="12">
        <v>315</v>
      </c>
      <c r="T14" s="12">
        <v>316</v>
      </c>
      <c r="U14" s="12">
        <v>190</v>
      </c>
      <c r="V14" s="12">
        <v>439</v>
      </c>
      <c r="W14" s="12">
        <v>142</v>
      </c>
      <c r="X14" s="12">
        <v>308</v>
      </c>
      <c r="Y14" s="12">
        <v>296</v>
      </c>
      <c r="Z14" s="12">
        <v>462</v>
      </c>
      <c r="AA14" s="12">
        <v>346</v>
      </c>
      <c r="AB14" s="12">
        <v>361</v>
      </c>
      <c r="AC14" s="12">
        <v>298</v>
      </c>
      <c r="AD14" s="12">
        <v>255</v>
      </c>
      <c r="AE14" s="12">
        <v>289</v>
      </c>
      <c r="AF14" s="12">
        <v>215</v>
      </c>
    </row>
    <row r="15" spans="1:32">
      <c r="A15" s="20"/>
      <c r="B15" s="13" t="s">
        <v>1372</v>
      </c>
      <c r="C15" s="14">
        <v>0.32</v>
      </c>
      <c r="D15" s="14">
        <v>0.39</v>
      </c>
      <c r="E15" s="14">
        <v>0.25</v>
      </c>
      <c r="F15" s="14">
        <v>0.28999999999999998</v>
      </c>
      <c r="G15" s="14">
        <v>0.25</v>
      </c>
      <c r="H15" s="14">
        <v>0.27</v>
      </c>
      <c r="I15" s="14">
        <v>0.26</v>
      </c>
      <c r="J15" s="14">
        <v>0.23</v>
      </c>
      <c r="K15" s="14">
        <v>0.3</v>
      </c>
      <c r="L15" s="14">
        <v>0.35</v>
      </c>
      <c r="M15" s="14">
        <v>0.2</v>
      </c>
      <c r="N15" s="14">
        <v>0.28999999999999998</v>
      </c>
      <c r="O15" s="14">
        <v>0.26</v>
      </c>
      <c r="P15" s="14">
        <v>0.42</v>
      </c>
      <c r="Q15" s="14">
        <v>0.41</v>
      </c>
      <c r="R15" s="14">
        <v>0.31</v>
      </c>
      <c r="S15" s="14">
        <v>0.31</v>
      </c>
      <c r="T15" s="14">
        <v>0.31</v>
      </c>
      <c r="U15" s="14">
        <v>0.37</v>
      </c>
      <c r="V15" s="14">
        <v>0.43</v>
      </c>
      <c r="W15" s="14">
        <v>0.28000000000000003</v>
      </c>
      <c r="X15" s="14">
        <v>0.3</v>
      </c>
      <c r="Y15" s="14">
        <v>0.28999999999999998</v>
      </c>
      <c r="Z15" s="14">
        <v>0.46</v>
      </c>
      <c r="AA15" s="14">
        <v>0.33</v>
      </c>
      <c r="AB15" s="14">
        <v>0.35</v>
      </c>
      <c r="AC15" s="14">
        <v>0.3</v>
      </c>
      <c r="AD15" s="14">
        <v>0.25</v>
      </c>
      <c r="AE15" s="14">
        <v>0.28999999999999998</v>
      </c>
      <c r="AF15" s="14">
        <v>0.21</v>
      </c>
    </row>
    <row r="16" spans="1:32">
      <c r="A16" s="20"/>
      <c r="B16" s="11" t="s">
        <v>1373</v>
      </c>
      <c r="C16" s="12">
        <v>9331</v>
      </c>
      <c r="D16" s="12">
        <v>348</v>
      </c>
      <c r="E16" s="12">
        <v>376</v>
      </c>
      <c r="F16" s="12">
        <v>377</v>
      </c>
      <c r="G16" s="12">
        <v>447</v>
      </c>
      <c r="H16" s="12">
        <v>451</v>
      </c>
      <c r="I16" s="12">
        <v>594</v>
      </c>
      <c r="J16" s="12">
        <v>143</v>
      </c>
      <c r="K16" s="12">
        <v>376</v>
      </c>
      <c r="L16" s="12">
        <v>288</v>
      </c>
      <c r="M16" s="12">
        <v>372</v>
      </c>
      <c r="N16" s="12">
        <v>373</v>
      </c>
      <c r="O16" s="12">
        <v>323</v>
      </c>
      <c r="P16" s="12">
        <v>332</v>
      </c>
      <c r="Q16" s="12">
        <v>339</v>
      </c>
      <c r="R16" s="12">
        <v>196</v>
      </c>
      <c r="S16" s="12">
        <v>313</v>
      </c>
      <c r="T16" s="12">
        <v>386</v>
      </c>
      <c r="U16" s="12">
        <v>131</v>
      </c>
      <c r="V16" s="12">
        <v>302</v>
      </c>
      <c r="W16" s="12">
        <v>196</v>
      </c>
      <c r="X16" s="12">
        <v>463</v>
      </c>
      <c r="Y16" s="12">
        <v>307</v>
      </c>
      <c r="Z16" s="12">
        <v>284</v>
      </c>
      <c r="AA16" s="12">
        <v>360</v>
      </c>
      <c r="AB16" s="12">
        <v>288</v>
      </c>
      <c r="AC16" s="12">
        <v>404</v>
      </c>
      <c r="AD16" s="12">
        <v>451</v>
      </c>
      <c r="AE16" s="12">
        <v>458</v>
      </c>
      <c r="AF16" s="12">
        <v>476</v>
      </c>
    </row>
    <row r="17" spans="1:32">
      <c r="A17" s="20"/>
      <c r="B17" s="13" t="s">
        <v>1374</v>
      </c>
      <c r="C17" s="14">
        <v>0.35</v>
      </c>
      <c r="D17" s="14">
        <v>0.35</v>
      </c>
      <c r="E17" s="14">
        <v>0.37</v>
      </c>
      <c r="F17" s="14">
        <v>0.37</v>
      </c>
      <c r="G17" s="14">
        <v>0.44</v>
      </c>
      <c r="H17" s="14">
        <v>0.37</v>
      </c>
      <c r="I17" s="14">
        <v>0.39</v>
      </c>
      <c r="J17" s="14">
        <v>0.49</v>
      </c>
      <c r="K17" s="14">
        <v>0.37</v>
      </c>
      <c r="L17" s="14">
        <v>0.28000000000000003</v>
      </c>
      <c r="M17" s="14">
        <v>0.37</v>
      </c>
      <c r="N17" s="14">
        <v>0.37</v>
      </c>
      <c r="O17" s="14">
        <v>0.32</v>
      </c>
      <c r="P17" s="14">
        <v>0.32</v>
      </c>
      <c r="Q17" s="14">
        <v>0.33</v>
      </c>
      <c r="R17" s="14">
        <v>0.39</v>
      </c>
      <c r="S17" s="14">
        <v>0.31</v>
      </c>
      <c r="T17" s="14">
        <v>0.38</v>
      </c>
      <c r="U17" s="14">
        <v>0.26</v>
      </c>
      <c r="V17" s="14">
        <v>0.3</v>
      </c>
      <c r="W17" s="14">
        <v>0.39</v>
      </c>
      <c r="X17" s="14">
        <v>0.46</v>
      </c>
      <c r="Y17" s="14">
        <v>0.3</v>
      </c>
      <c r="Z17" s="14">
        <v>0.28000000000000003</v>
      </c>
      <c r="AA17" s="14">
        <v>0.34</v>
      </c>
      <c r="AB17" s="14">
        <v>0.28000000000000003</v>
      </c>
      <c r="AC17" s="14">
        <v>0.4</v>
      </c>
      <c r="AD17" s="14">
        <v>0.45</v>
      </c>
      <c r="AE17" s="14">
        <v>0.46</v>
      </c>
      <c r="AF17" s="14">
        <v>0.46</v>
      </c>
    </row>
    <row r="18" spans="1:32">
      <c r="A18" s="20"/>
      <c r="B18" s="11" t="s">
        <v>1375</v>
      </c>
      <c r="C18" s="12">
        <v>3512</v>
      </c>
      <c r="D18" s="12">
        <v>93</v>
      </c>
      <c r="E18" s="12">
        <v>182</v>
      </c>
      <c r="F18" s="12">
        <v>147</v>
      </c>
      <c r="G18" s="12">
        <v>128</v>
      </c>
      <c r="H18" s="12">
        <v>156</v>
      </c>
      <c r="I18" s="12">
        <v>199</v>
      </c>
      <c r="J18" s="12">
        <v>43</v>
      </c>
      <c r="K18" s="12">
        <v>119</v>
      </c>
      <c r="L18" s="12">
        <v>127</v>
      </c>
      <c r="M18" s="12">
        <v>278</v>
      </c>
      <c r="N18" s="12">
        <v>160</v>
      </c>
      <c r="O18" s="12">
        <v>150</v>
      </c>
      <c r="P18" s="12">
        <v>98</v>
      </c>
      <c r="Q18" s="12">
        <v>109</v>
      </c>
      <c r="R18" s="12">
        <v>66</v>
      </c>
      <c r="S18" s="12">
        <v>78</v>
      </c>
      <c r="T18" s="12">
        <v>69</v>
      </c>
      <c r="U18" s="12">
        <v>40</v>
      </c>
      <c r="V18" s="12">
        <v>80</v>
      </c>
      <c r="W18" s="12">
        <v>41</v>
      </c>
      <c r="X18" s="12">
        <v>115</v>
      </c>
      <c r="Y18" s="12">
        <v>191</v>
      </c>
      <c r="Z18" s="12">
        <v>73</v>
      </c>
      <c r="AA18" s="12">
        <v>160</v>
      </c>
      <c r="AB18" s="12">
        <v>165</v>
      </c>
      <c r="AC18" s="12">
        <v>145</v>
      </c>
      <c r="AD18" s="12">
        <v>168</v>
      </c>
      <c r="AE18" s="12">
        <v>114</v>
      </c>
      <c r="AF18" s="12">
        <v>173</v>
      </c>
    </row>
    <row r="19" spans="1:32">
      <c r="A19" s="20"/>
      <c r="B19" s="13" t="s">
        <v>1376</v>
      </c>
      <c r="C19" s="14">
        <v>0.13</v>
      </c>
      <c r="D19" s="14">
        <v>0.09</v>
      </c>
      <c r="E19" s="14">
        <v>0.18</v>
      </c>
      <c r="F19" s="14">
        <v>0.15</v>
      </c>
      <c r="G19" s="14">
        <v>0.13</v>
      </c>
      <c r="H19" s="14">
        <v>0.13</v>
      </c>
      <c r="I19" s="14">
        <v>0.13</v>
      </c>
      <c r="J19" s="14">
        <v>0.15</v>
      </c>
      <c r="K19" s="14">
        <v>0.12</v>
      </c>
      <c r="L19" s="14">
        <v>0.13</v>
      </c>
      <c r="M19" s="14">
        <v>0.28000000000000003</v>
      </c>
      <c r="N19" s="14">
        <v>0.16</v>
      </c>
      <c r="O19" s="14">
        <v>0.15</v>
      </c>
      <c r="P19" s="14">
        <v>0.1</v>
      </c>
      <c r="Q19" s="14">
        <v>0.11</v>
      </c>
      <c r="R19" s="14">
        <v>0.13</v>
      </c>
      <c r="S19" s="14">
        <v>0.08</v>
      </c>
      <c r="T19" s="14">
        <v>7.0000000000000007E-2</v>
      </c>
      <c r="U19" s="14">
        <v>0.08</v>
      </c>
      <c r="V19" s="14">
        <v>0.08</v>
      </c>
      <c r="W19" s="14">
        <v>0.08</v>
      </c>
      <c r="X19" s="14">
        <v>0.11</v>
      </c>
      <c r="Y19" s="14">
        <v>0.19</v>
      </c>
      <c r="Z19" s="14">
        <v>7.0000000000000007E-2</v>
      </c>
      <c r="AA19" s="14">
        <v>0.15</v>
      </c>
      <c r="AB19" s="14">
        <v>0.16</v>
      </c>
      <c r="AC19" s="14">
        <v>0.14000000000000001</v>
      </c>
      <c r="AD19" s="14">
        <v>0.17</v>
      </c>
      <c r="AE19" s="14">
        <v>0.11</v>
      </c>
      <c r="AF19" s="14">
        <v>0.17</v>
      </c>
    </row>
    <row r="20" spans="1:32">
      <c r="A20" s="20"/>
      <c r="B20" s="11" t="s">
        <v>468</v>
      </c>
      <c r="C20" s="12">
        <v>2668</v>
      </c>
      <c r="D20" s="12">
        <v>47</v>
      </c>
      <c r="E20" s="12">
        <v>138</v>
      </c>
      <c r="F20" s="12">
        <v>100</v>
      </c>
      <c r="G20" s="12">
        <v>117</v>
      </c>
      <c r="H20" s="12">
        <v>219</v>
      </c>
      <c r="I20" s="12">
        <v>237</v>
      </c>
      <c r="J20" s="12">
        <v>18</v>
      </c>
      <c r="K20" s="12">
        <v>139</v>
      </c>
      <c r="L20" s="12">
        <v>99</v>
      </c>
      <c r="M20" s="12">
        <v>101</v>
      </c>
      <c r="N20" s="12">
        <v>86</v>
      </c>
      <c r="O20" s="12">
        <v>112</v>
      </c>
      <c r="P20" s="12">
        <v>72</v>
      </c>
      <c r="Q20" s="12">
        <v>45</v>
      </c>
      <c r="R20" s="12">
        <v>52</v>
      </c>
      <c r="S20" s="12">
        <v>212</v>
      </c>
      <c r="T20" s="12">
        <v>185</v>
      </c>
      <c r="U20" s="12">
        <v>54</v>
      </c>
      <c r="V20" s="12">
        <v>91</v>
      </c>
      <c r="W20" s="12">
        <v>41</v>
      </c>
      <c r="X20" s="12">
        <v>69</v>
      </c>
      <c r="Y20" s="12">
        <v>87</v>
      </c>
      <c r="Z20" s="12">
        <v>88</v>
      </c>
      <c r="AA20" s="12">
        <v>128</v>
      </c>
      <c r="AB20" s="12">
        <v>130</v>
      </c>
      <c r="AC20" s="12">
        <v>98</v>
      </c>
      <c r="AD20" s="12">
        <v>68</v>
      </c>
      <c r="AE20" s="12">
        <v>83</v>
      </c>
      <c r="AF20" s="12">
        <v>88</v>
      </c>
    </row>
    <row r="21" spans="1:32">
      <c r="A21" s="20"/>
      <c r="B21" s="13" t="s">
        <v>469</v>
      </c>
      <c r="C21" s="14">
        <v>0.1</v>
      </c>
      <c r="D21" s="14">
        <v>0.05</v>
      </c>
      <c r="E21" s="14">
        <v>0.14000000000000001</v>
      </c>
      <c r="F21" s="14">
        <v>0.1</v>
      </c>
      <c r="G21" s="14">
        <v>0.12</v>
      </c>
      <c r="H21" s="14">
        <v>0.18</v>
      </c>
      <c r="I21" s="14">
        <v>0.16</v>
      </c>
      <c r="J21" s="14">
        <v>0.06</v>
      </c>
      <c r="K21" s="14">
        <v>0.14000000000000001</v>
      </c>
      <c r="L21" s="14">
        <v>0.1</v>
      </c>
      <c r="M21" s="14">
        <v>0.1</v>
      </c>
      <c r="N21" s="14">
        <v>0.09</v>
      </c>
      <c r="O21" s="14">
        <v>0.11</v>
      </c>
      <c r="P21" s="14">
        <v>7.0000000000000007E-2</v>
      </c>
      <c r="Q21" s="14">
        <v>0.04</v>
      </c>
      <c r="R21" s="14">
        <v>0.1</v>
      </c>
      <c r="S21" s="14">
        <v>0.21</v>
      </c>
      <c r="T21" s="14">
        <v>0.18</v>
      </c>
      <c r="U21" s="14">
        <v>0.11</v>
      </c>
      <c r="V21" s="14">
        <v>0.09</v>
      </c>
      <c r="W21" s="14">
        <v>0.08</v>
      </c>
      <c r="X21" s="14">
        <v>7.0000000000000007E-2</v>
      </c>
      <c r="Y21" s="14">
        <v>0.09</v>
      </c>
      <c r="Z21" s="14">
        <v>0.09</v>
      </c>
      <c r="AA21" s="14">
        <v>0.12</v>
      </c>
      <c r="AB21" s="14">
        <v>0.12</v>
      </c>
      <c r="AC21" s="14">
        <v>0.1</v>
      </c>
      <c r="AD21" s="14">
        <v>7.0000000000000007E-2</v>
      </c>
      <c r="AE21" s="14">
        <v>0.08</v>
      </c>
      <c r="AF21" s="14">
        <v>0.09</v>
      </c>
    </row>
    <row r="22" spans="1:32">
      <c r="A22" s="20"/>
      <c r="B22" s="11" t="s">
        <v>1379</v>
      </c>
      <c r="C22" s="12">
        <v>10808</v>
      </c>
      <c r="D22" s="12">
        <v>515</v>
      </c>
      <c r="E22" s="12">
        <v>322</v>
      </c>
      <c r="F22" s="12">
        <v>381</v>
      </c>
      <c r="G22" s="12">
        <v>312</v>
      </c>
      <c r="H22" s="12">
        <v>390</v>
      </c>
      <c r="I22" s="12">
        <v>480</v>
      </c>
      <c r="J22" s="12">
        <v>90</v>
      </c>
      <c r="K22" s="12">
        <v>373</v>
      </c>
      <c r="L22" s="12">
        <v>493</v>
      </c>
      <c r="M22" s="12">
        <v>252</v>
      </c>
      <c r="N22" s="12">
        <v>384</v>
      </c>
      <c r="O22" s="12">
        <v>417</v>
      </c>
      <c r="P22" s="12">
        <v>520</v>
      </c>
      <c r="Q22" s="12">
        <v>526</v>
      </c>
      <c r="R22" s="12">
        <v>185</v>
      </c>
      <c r="S22" s="12">
        <v>406</v>
      </c>
      <c r="T22" s="12">
        <v>375</v>
      </c>
      <c r="U22" s="12">
        <v>282</v>
      </c>
      <c r="V22" s="12">
        <v>545</v>
      </c>
      <c r="W22" s="12">
        <v>224</v>
      </c>
      <c r="X22" s="12">
        <v>373</v>
      </c>
      <c r="Y22" s="12">
        <v>424</v>
      </c>
      <c r="Z22" s="12">
        <v>562</v>
      </c>
      <c r="AA22" s="12">
        <v>405</v>
      </c>
      <c r="AB22" s="12">
        <v>457</v>
      </c>
      <c r="AC22" s="12">
        <v>363</v>
      </c>
      <c r="AD22" s="12">
        <v>320</v>
      </c>
      <c r="AE22" s="12">
        <v>345</v>
      </c>
      <c r="AF22" s="12">
        <v>283</v>
      </c>
    </row>
    <row r="23" spans="1:32">
      <c r="A23" s="20"/>
      <c r="B23" s="13" t="s">
        <v>1380</v>
      </c>
      <c r="C23" s="14">
        <v>0.42</v>
      </c>
      <c r="D23" s="14">
        <v>0.51</v>
      </c>
      <c r="E23" s="14">
        <v>0.31</v>
      </c>
      <c r="F23" s="14">
        <v>0.38</v>
      </c>
      <c r="G23" s="14">
        <v>0.31</v>
      </c>
      <c r="H23" s="14">
        <v>0.32</v>
      </c>
      <c r="I23" s="14">
        <v>0.32</v>
      </c>
      <c r="J23" s="14">
        <v>0.3</v>
      </c>
      <c r="K23" s="14">
        <v>0.37</v>
      </c>
      <c r="L23" s="14">
        <v>0.49</v>
      </c>
      <c r="M23" s="14">
        <v>0.25</v>
      </c>
      <c r="N23" s="14">
        <v>0.38</v>
      </c>
      <c r="O23" s="14">
        <v>0.42</v>
      </c>
      <c r="P23" s="14">
        <v>0.51</v>
      </c>
      <c r="Q23" s="14">
        <v>0.52</v>
      </c>
      <c r="R23" s="14">
        <v>0.38</v>
      </c>
      <c r="S23" s="14">
        <v>0.4</v>
      </c>
      <c r="T23" s="14">
        <v>0.37</v>
      </c>
      <c r="U23" s="14">
        <v>0.55000000000000004</v>
      </c>
      <c r="V23" s="14">
        <v>0.53</v>
      </c>
      <c r="W23" s="14">
        <v>0.45</v>
      </c>
      <c r="X23" s="14">
        <v>0.36</v>
      </c>
      <c r="Y23" s="14">
        <v>0.42</v>
      </c>
      <c r="Z23" s="14">
        <v>0.56000000000000005</v>
      </c>
      <c r="AA23" s="14">
        <v>0.39</v>
      </c>
      <c r="AB23" s="14">
        <v>0.44</v>
      </c>
      <c r="AC23" s="14">
        <v>0.36</v>
      </c>
      <c r="AD23" s="14">
        <v>0.31</v>
      </c>
      <c r="AE23" s="14">
        <v>0.35</v>
      </c>
      <c r="AF23" s="14">
        <v>0.28000000000000003</v>
      </c>
    </row>
    <row r="24" spans="1:32">
      <c r="A24" s="20"/>
      <c r="B24" s="11" t="s">
        <v>1381</v>
      </c>
      <c r="C24" s="12">
        <v>12843</v>
      </c>
      <c r="D24" s="12">
        <v>441</v>
      </c>
      <c r="E24" s="12">
        <v>558</v>
      </c>
      <c r="F24" s="12">
        <v>524</v>
      </c>
      <c r="G24" s="12">
        <v>575</v>
      </c>
      <c r="H24" s="12">
        <v>607</v>
      </c>
      <c r="I24" s="12">
        <v>793</v>
      </c>
      <c r="J24" s="12">
        <v>186</v>
      </c>
      <c r="K24" s="12">
        <v>495</v>
      </c>
      <c r="L24" s="12">
        <v>415</v>
      </c>
      <c r="M24" s="12">
        <v>650</v>
      </c>
      <c r="N24" s="12">
        <v>533</v>
      </c>
      <c r="O24" s="12">
        <v>473</v>
      </c>
      <c r="P24" s="12">
        <v>430</v>
      </c>
      <c r="Q24" s="12">
        <v>448</v>
      </c>
      <c r="R24" s="12">
        <v>262</v>
      </c>
      <c r="S24" s="12">
        <v>391</v>
      </c>
      <c r="T24" s="12">
        <v>455</v>
      </c>
      <c r="U24" s="12">
        <v>171</v>
      </c>
      <c r="V24" s="12">
        <v>382</v>
      </c>
      <c r="W24" s="12">
        <v>237</v>
      </c>
      <c r="X24" s="12">
        <v>578</v>
      </c>
      <c r="Y24" s="12">
        <v>498</v>
      </c>
      <c r="Z24" s="12">
        <v>357</v>
      </c>
      <c r="AA24" s="12">
        <v>520</v>
      </c>
      <c r="AB24" s="12">
        <v>453</v>
      </c>
      <c r="AC24" s="12">
        <v>549</v>
      </c>
      <c r="AD24" s="12">
        <v>619</v>
      </c>
      <c r="AE24" s="12">
        <v>572</v>
      </c>
      <c r="AF24" s="12">
        <v>649</v>
      </c>
    </row>
    <row r="25" spans="1:32">
      <c r="A25" s="20"/>
      <c r="B25" s="13" t="s">
        <v>1382</v>
      </c>
      <c r="C25" s="14">
        <v>0.48</v>
      </c>
      <c r="D25" s="14">
        <v>0.44</v>
      </c>
      <c r="E25" s="14">
        <v>0.55000000000000004</v>
      </c>
      <c r="F25" s="14">
        <v>0.52</v>
      </c>
      <c r="G25" s="14">
        <v>0.57000000000000006</v>
      </c>
      <c r="H25" s="14">
        <v>0.5</v>
      </c>
      <c r="I25" s="14">
        <v>0.52</v>
      </c>
      <c r="J25" s="14">
        <v>0.64</v>
      </c>
      <c r="K25" s="14">
        <v>0.49</v>
      </c>
      <c r="L25" s="14">
        <v>0.41</v>
      </c>
      <c r="M25" s="14">
        <v>0.65</v>
      </c>
      <c r="N25" s="14">
        <v>0.53</v>
      </c>
      <c r="O25" s="14">
        <v>0.47</v>
      </c>
      <c r="P25" s="14">
        <v>0.42</v>
      </c>
      <c r="Q25" s="14">
        <v>0.44</v>
      </c>
      <c r="R25" s="14">
        <v>0.52</v>
      </c>
      <c r="S25" s="14">
        <v>0.39</v>
      </c>
      <c r="T25" s="14">
        <v>0.45</v>
      </c>
      <c r="U25" s="14">
        <v>0.34</v>
      </c>
      <c r="V25" s="14">
        <v>0.38</v>
      </c>
      <c r="W25" s="14">
        <v>0.47</v>
      </c>
      <c r="X25" s="14">
        <v>0.57000000000000006</v>
      </c>
      <c r="Y25" s="14">
        <v>0.49</v>
      </c>
      <c r="Z25" s="14">
        <v>0.35</v>
      </c>
      <c r="AA25" s="14">
        <v>0.49</v>
      </c>
      <c r="AB25" s="14">
        <v>0.44</v>
      </c>
      <c r="AC25" s="14">
        <v>0.54</v>
      </c>
      <c r="AD25" s="14">
        <v>0.62</v>
      </c>
      <c r="AE25" s="14">
        <v>0.57000000000000006</v>
      </c>
      <c r="AF25" s="14">
        <v>0.63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1436</v>
      </c>
      <c r="C3" s="18"/>
      <c r="D3" s="18"/>
      <c r="E3" s="18"/>
      <c r="F3" s="18"/>
      <c r="H3" s="18" t="s">
        <v>1437</v>
      </c>
      <c r="I3" s="18"/>
      <c r="J3" s="18"/>
      <c r="K3" s="18"/>
      <c r="L3" s="18"/>
    </row>
    <row r="4" spans="1:32" ht="27" customHeight="1">
      <c r="B4" s="18" t="s">
        <v>1438</v>
      </c>
      <c r="C4" s="18"/>
      <c r="D4" s="18"/>
      <c r="E4" s="18"/>
      <c r="F4" s="18"/>
      <c r="H4" s="18" t="s">
        <v>1439</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3423</v>
      </c>
      <c r="D12" s="12">
        <v>131</v>
      </c>
      <c r="E12" s="12">
        <v>92</v>
      </c>
      <c r="F12" s="12">
        <v>137</v>
      </c>
      <c r="G12" s="12">
        <v>88</v>
      </c>
      <c r="H12" s="12">
        <v>85</v>
      </c>
      <c r="I12" s="12">
        <v>104</v>
      </c>
      <c r="J12" s="12">
        <v>19</v>
      </c>
      <c r="K12" s="12">
        <v>102</v>
      </c>
      <c r="L12" s="12">
        <v>198</v>
      </c>
      <c r="M12" s="12">
        <v>74</v>
      </c>
      <c r="N12" s="12">
        <v>119</v>
      </c>
      <c r="O12" s="12">
        <v>149</v>
      </c>
      <c r="P12" s="12">
        <v>169</v>
      </c>
      <c r="Q12" s="12">
        <v>204</v>
      </c>
      <c r="R12" s="12">
        <v>42</v>
      </c>
      <c r="S12" s="12">
        <v>72</v>
      </c>
      <c r="T12" s="12">
        <v>106</v>
      </c>
      <c r="U12" s="12">
        <v>92</v>
      </c>
      <c r="V12" s="12">
        <v>214</v>
      </c>
      <c r="W12" s="12">
        <v>111</v>
      </c>
      <c r="X12" s="12">
        <v>78</v>
      </c>
      <c r="Y12" s="12">
        <v>194</v>
      </c>
      <c r="Z12" s="12">
        <v>164</v>
      </c>
      <c r="AA12" s="12">
        <v>96</v>
      </c>
      <c r="AB12" s="12">
        <v>186</v>
      </c>
      <c r="AC12" s="12">
        <v>77</v>
      </c>
      <c r="AD12" s="12">
        <v>127</v>
      </c>
      <c r="AE12" s="12">
        <v>48</v>
      </c>
      <c r="AF12" s="12">
        <v>79</v>
      </c>
    </row>
    <row r="13" spans="1:32">
      <c r="A13" s="20"/>
      <c r="B13" s="13" t="s">
        <v>1387</v>
      </c>
      <c r="C13" s="14">
        <v>0.13</v>
      </c>
      <c r="D13" s="14">
        <v>0.13</v>
      </c>
      <c r="E13" s="14">
        <v>0.09</v>
      </c>
      <c r="F13" s="14">
        <v>0.14000000000000001</v>
      </c>
      <c r="G13" s="14">
        <v>0.09</v>
      </c>
      <c r="H13" s="14">
        <v>7.0000000000000007E-2</v>
      </c>
      <c r="I13" s="14">
        <v>7.0000000000000007E-2</v>
      </c>
      <c r="J13" s="14">
        <v>0.06</v>
      </c>
      <c r="K13" s="14">
        <v>0.1</v>
      </c>
      <c r="L13" s="14">
        <v>0.2</v>
      </c>
      <c r="M13" s="14">
        <v>7.0000000000000007E-2</v>
      </c>
      <c r="N13" s="14">
        <v>0.12</v>
      </c>
      <c r="O13" s="14">
        <v>0.15</v>
      </c>
      <c r="P13" s="14">
        <v>0.16</v>
      </c>
      <c r="Q13" s="14">
        <v>0.2</v>
      </c>
      <c r="R13" s="14">
        <v>0.08</v>
      </c>
      <c r="S13" s="14">
        <v>7.0000000000000007E-2</v>
      </c>
      <c r="T13" s="14">
        <v>0.1</v>
      </c>
      <c r="U13" s="14">
        <v>0.18</v>
      </c>
      <c r="V13" s="14">
        <v>0.21</v>
      </c>
      <c r="W13" s="14">
        <v>0.22</v>
      </c>
      <c r="X13" s="14">
        <v>0.08</v>
      </c>
      <c r="Y13" s="14">
        <v>0.19</v>
      </c>
      <c r="Z13" s="14">
        <v>0.16</v>
      </c>
      <c r="AA13" s="14">
        <v>0.09</v>
      </c>
      <c r="AB13" s="14">
        <v>0.18</v>
      </c>
      <c r="AC13" s="14">
        <v>0.08</v>
      </c>
      <c r="AD13" s="14">
        <v>0.13</v>
      </c>
      <c r="AE13" s="14">
        <v>0.05</v>
      </c>
      <c r="AF13" s="14">
        <v>0.08</v>
      </c>
    </row>
    <row r="14" spans="1:32">
      <c r="A14" s="20"/>
      <c r="B14" s="11" t="s">
        <v>1371</v>
      </c>
      <c r="C14" s="12">
        <v>9892</v>
      </c>
      <c r="D14" s="12">
        <v>449</v>
      </c>
      <c r="E14" s="12">
        <v>344</v>
      </c>
      <c r="F14" s="12">
        <v>362</v>
      </c>
      <c r="G14" s="12">
        <v>369</v>
      </c>
      <c r="H14" s="12">
        <v>412</v>
      </c>
      <c r="I14" s="12">
        <v>513</v>
      </c>
      <c r="J14" s="12">
        <v>102</v>
      </c>
      <c r="K14" s="12">
        <v>350</v>
      </c>
      <c r="L14" s="12">
        <v>378</v>
      </c>
      <c r="M14" s="12">
        <v>284</v>
      </c>
      <c r="N14" s="12">
        <v>374</v>
      </c>
      <c r="O14" s="12">
        <v>339</v>
      </c>
      <c r="P14" s="12">
        <v>468</v>
      </c>
      <c r="Q14" s="12">
        <v>445</v>
      </c>
      <c r="R14" s="12">
        <v>182</v>
      </c>
      <c r="S14" s="12">
        <v>376</v>
      </c>
      <c r="T14" s="12">
        <v>368</v>
      </c>
      <c r="U14" s="12">
        <v>237</v>
      </c>
      <c r="V14" s="12">
        <v>415</v>
      </c>
      <c r="W14" s="12">
        <v>180</v>
      </c>
      <c r="X14" s="12">
        <v>300</v>
      </c>
      <c r="Y14" s="12">
        <v>359</v>
      </c>
      <c r="Z14" s="12">
        <v>482</v>
      </c>
      <c r="AA14" s="12">
        <v>447</v>
      </c>
      <c r="AB14" s="12">
        <v>432</v>
      </c>
      <c r="AC14" s="12">
        <v>392</v>
      </c>
      <c r="AD14" s="12">
        <v>326</v>
      </c>
      <c r="AE14" s="12">
        <v>341</v>
      </c>
      <c r="AF14" s="12">
        <v>301</v>
      </c>
    </row>
    <row r="15" spans="1:32">
      <c r="A15" s="20"/>
      <c r="B15" s="13" t="s">
        <v>1372</v>
      </c>
      <c r="C15" s="14">
        <v>0.37</v>
      </c>
      <c r="D15" s="14">
        <v>0.45</v>
      </c>
      <c r="E15" s="14">
        <v>0.34</v>
      </c>
      <c r="F15" s="14">
        <v>0.36</v>
      </c>
      <c r="G15" s="14">
        <v>0.37</v>
      </c>
      <c r="H15" s="14">
        <v>0.34</v>
      </c>
      <c r="I15" s="14">
        <v>0.34</v>
      </c>
      <c r="J15" s="14">
        <v>0.35</v>
      </c>
      <c r="K15" s="14">
        <v>0.35</v>
      </c>
      <c r="L15" s="14">
        <v>0.38</v>
      </c>
      <c r="M15" s="14">
        <v>0.28000000000000003</v>
      </c>
      <c r="N15" s="14">
        <v>0.37</v>
      </c>
      <c r="O15" s="14">
        <v>0.34</v>
      </c>
      <c r="P15" s="14">
        <v>0.46</v>
      </c>
      <c r="Q15" s="14">
        <v>0.44</v>
      </c>
      <c r="R15" s="14">
        <v>0.36</v>
      </c>
      <c r="S15" s="14">
        <v>0.37</v>
      </c>
      <c r="T15" s="14">
        <v>0.36</v>
      </c>
      <c r="U15" s="14">
        <v>0.47</v>
      </c>
      <c r="V15" s="14">
        <v>0.41</v>
      </c>
      <c r="W15" s="14">
        <v>0.36</v>
      </c>
      <c r="X15" s="14">
        <v>0.28999999999999998</v>
      </c>
      <c r="Y15" s="14">
        <v>0.36</v>
      </c>
      <c r="Z15" s="14">
        <v>0.48</v>
      </c>
      <c r="AA15" s="14">
        <v>0.42</v>
      </c>
      <c r="AB15" s="14">
        <v>0.42</v>
      </c>
      <c r="AC15" s="14">
        <v>0.39</v>
      </c>
      <c r="AD15" s="14">
        <v>0.32</v>
      </c>
      <c r="AE15" s="14">
        <v>0.34</v>
      </c>
      <c r="AF15" s="14">
        <v>0.28999999999999998</v>
      </c>
    </row>
    <row r="16" spans="1:32">
      <c r="A16" s="20"/>
      <c r="B16" s="11" t="s">
        <v>1373</v>
      </c>
      <c r="C16" s="12">
        <v>7326</v>
      </c>
      <c r="D16" s="12">
        <v>300</v>
      </c>
      <c r="E16" s="12">
        <v>240</v>
      </c>
      <c r="F16" s="12">
        <v>254</v>
      </c>
      <c r="G16" s="12">
        <v>287</v>
      </c>
      <c r="H16" s="12">
        <v>386</v>
      </c>
      <c r="I16" s="12">
        <v>500</v>
      </c>
      <c r="J16" s="12">
        <v>115</v>
      </c>
      <c r="K16" s="12">
        <v>228</v>
      </c>
      <c r="L16" s="12">
        <v>205</v>
      </c>
      <c r="M16" s="12">
        <v>359</v>
      </c>
      <c r="N16" s="12">
        <v>269</v>
      </c>
      <c r="O16" s="12">
        <v>270</v>
      </c>
      <c r="P16" s="12">
        <v>263</v>
      </c>
      <c r="Q16" s="12">
        <v>271</v>
      </c>
      <c r="R16" s="12">
        <v>160</v>
      </c>
      <c r="S16" s="12">
        <v>219</v>
      </c>
      <c r="T16" s="12">
        <v>190</v>
      </c>
      <c r="U16" s="12">
        <v>79</v>
      </c>
      <c r="V16" s="12">
        <v>228</v>
      </c>
      <c r="W16" s="12">
        <v>130</v>
      </c>
      <c r="X16" s="12">
        <v>418</v>
      </c>
      <c r="Y16" s="12">
        <v>218</v>
      </c>
      <c r="Z16" s="12">
        <v>207</v>
      </c>
      <c r="AA16" s="12">
        <v>249</v>
      </c>
      <c r="AB16" s="12">
        <v>190</v>
      </c>
      <c r="AC16" s="12">
        <v>328</v>
      </c>
      <c r="AD16" s="12">
        <v>301</v>
      </c>
      <c r="AE16" s="12">
        <v>353</v>
      </c>
      <c r="AF16" s="12">
        <v>367</v>
      </c>
    </row>
    <row r="17" spans="1:32">
      <c r="A17" s="20"/>
      <c r="B17" s="13" t="s">
        <v>1374</v>
      </c>
      <c r="C17" s="14">
        <v>0.28000000000000003</v>
      </c>
      <c r="D17" s="14">
        <v>0.3</v>
      </c>
      <c r="E17" s="14">
        <v>0.23</v>
      </c>
      <c r="F17" s="14">
        <v>0.25</v>
      </c>
      <c r="G17" s="14">
        <v>0.28000000000000003</v>
      </c>
      <c r="H17" s="14">
        <v>0.32</v>
      </c>
      <c r="I17" s="14">
        <v>0.33</v>
      </c>
      <c r="J17" s="14">
        <v>0.39</v>
      </c>
      <c r="K17" s="14">
        <v>0.23</v>
      </c>
      <c r="L17" s="14">
        <v>0.2</v>
      </c>
      <c r="M17" s="14">
        <v>0.36</v>
      </c>
      <c r="N17" s="14">
        <v>0.27</v>
      </c>
      <c r="O17" s="14">
        <v>0.27</v>
      </c>
      <c r="P17" s="14">
        <v>0.26</v>
      </c>
      <c r="Q17" s="14">
        <v>0.27</v>
      </c>
      <c r="R17" s="14">
        <v>0.32</v>
      </c>
      <c r="S17" s="14">
        <v>0.22</v>
      </c>
      <c r="T17" s="14">
        <v>0.19</v>
      </c>
      <c r="U17" s="14">
        <v>0.16</v>
      </c>
      <c r="V17" s="14">
        <v>0.22</v>
      </c>
      <c r="W17" s="14">
        <v>0.26</v>
      </c>
      <c r="X17" s="14">
        <v>0.41</v>
      </c>
      <c r="Y17" s="14">
        <v>0.22</v>
      </c>
      <c r="Z17" s="14">
        <v>0.21</v>
      </c>
      <c r="AA17" s="14">
        <v>0.24</v>
      </c>
      <c r="AB17" s="14">
        <v>0.18</v>
      </c>
      <c r="AC17" s="14">
        <v>0.32</v>
      </c>
      <c r="AD17" s="14">
        <v>0.3</v>
      </c>
      <c r="AE17" s="14">
        <v>0.35</v>
      </c>
      <c r="AF17" s="14">
        <v>0.36</v>
      </c>
    </row>
    <row r="18" spans="1:32">
      <c r="A18" s="20"/>
      <c r="B18" s="11" t="s">
        <v>1375</v>
      </c>
      <c r="C18" s="12">
        <v>1513</v>
      </c>
      <c r="D18" s="12">
        <v>51</v>
      </c>
      <c r="E18" s="12">
        <v>60</v>
      </c>
      <c r="F18" s="12">
        <v>61</v>
      </c>
      <c r="G18" s="12">
        <v>57</v>
      </c>
      <c r="H18" s="12">
        <v>61</v>
      </c>
      <c r="I18" s="12">
        <v>85</v>
      </c>
      <c r="J18" s="12">
        <v>23</v>
      </c>
      <c r="K18" s="12">
        <v>35</v>
      </c>
      <c r="L18" s="12">
        <v>65</v>
      </c>
      <c r="M18" s="12">
        <v>81</v>
      </c>
      <c r="N18" s="12">
        <v>68</v>
      </c>
      <c r="O18" s="12">
        <v>74</v>
      </c>
      <c r="P18" s="12">
        <v>38</v>
      </c>
      <c r="Q18" s="12">
        <v>34</v>
      </c>
      <c r="R18" s="12">
        <v>18</v>
      </c>
      <c r="S18" s="12">
        <v>24</v>
      </c>
      <c r="T18" s="12">
        <v>28</v>
      </c>
      <c r="U18" s="12">
        <v>36</v>
      </c>
      <c r="V18" s="12">
        <v>35</v>
      </c>
      <c r="W18" s="12">
        <v>25</v>
      </c>
      <c r="X18" s="12">
        <v>112</v>
      </c>
      <c r="Y18" s="12">
        <v>73</v>
      </c>
      <c r="Z18" s="12">
        <v>19</v>
      </c>
      <c r="AA18" s="12">
        <v>69</v>
      </c>
      <c r="AB18" s="12">
        <v>54</v>
      </c>
      <c r="AC18" s="12">
        <v>69</v>
      </c>
      <c r="AD18" s="12">
        <v>66</v>
      </c>
      <c r="AE18" s="12">
        <v>54</v>
      </c>
      <c r="AF18" s="12">
        <v>113</v>
      </c>
    </row>
    <row r="19" spans="1:32">
      <c r="A19" s="20"/>
      <c r="B19" s="13" t="s">
        <v>1376</v>
      </c>
      <c r="C19" s="14">
        <v>0.06</v>
      </c>
      <c r="D19" s="14">
        <v>0.05</v>
      </c>
      <c r="E19" s="14">
        <v>0.06</v>
      </c>
      <c r="F19" s="14">
        <v>0.06</v>
      </c>
      <c r="G19" s="14">
        <v>0.06</v>
      </c>
      <c r="H19" s="14">
        <v>0.05</v>
      </c>
      <c r="I19" s="14">
        <v>0.06</v>
      </c>
      <c r="J19" s="14">
        <v>0.08</v>
      </c>
      <c r="K19" s="14">
        <v>0.03</v>
      </c>
      <c r="L19" s="14">
        <v>0.06</v>
      </c>
      <c r="M19" s="14">
        <v>0.08</v>
      </c>
      <c r="N19" s="14">
        <v>7.0000000000000007E-2</v>
      </c>
      <c r="O19" s="14">
        <v>7.0000000000000007E-2</v>
      </c>
      <c r="P19" s="14">
        <v>0.04</v>
      </c>
      <c r="Q19" s="14">
        <v>0.03</v>
      </c>
      <c r="R19" s="14">
        <v>0.04</v>
      </c>
      <c r="S19" s="14">
        <v>0.02</v>
      </c>
      <c r="T19" s="14">
        <v>0.03</v>
      </c>
      <c r="U19" s="14">
        <v>7.0000000000000007E-2</v>
      </c>
      <c r="V19" s="14">
        <v>0.04</v>
      </c>
      <c r="W19" s="14">
        <v>0.05</v>
      </c>
      <c r="X19" s="14">
        <v>0.11</v>
      </c>
      <c r="Y19" s="14">
        <v>7.0000000000000007E-2</v>
      </c>
      <c r="Z19" s="14">
        <v>0.02</v>
      </c>
      <c r="AA19" s="14">
        <v>7.0000000000000007E-2</v>
      </c>
      <c r="AB19" s="14">
        <v>0.05</v>
      </c>
      <c r="AC19" s="14">
        <v>7.0000000000000007E-2</v>
      </c>
      <c r="AD19" s="14">
        <v>7.0000000000000007E-2</v>
      </c>
      <c r="AE19" s="14">
        <v>0.05</v>
      </c>
      <c r="AF19" s="14">
        <v>0.11</v>
      </c>
    </row>
    <row r="20" spans="1:32">
      <c r="A20" s="20"/>
      <c r="B20" s="11" t="s">
        <v>468</v>
      </c>
      <c r="C20" s="12">
        <v>4164</v>
      </c>
      <c r="D20" s="12">
        <v>72</v>
      </c>
      <c r="E20" s="12">
        <v>282</v>
      </c>
      <c r="F20" s="12">
        <v>192</v>
      </c>
      <c r="G20" s="12">
        <v>202</v>
      </c>
      <c r="H20" s="12">
        <v>273</v>
      </c>
      <c r="I20" s="12">
        <v>308</v>
      </c>
      <c r="J20" s="12">
        <v>35</v>
      </c>
      <c r="K20" s="12">
        <v>290</v>
      </c>
      <c r="L20" s="12">
        <v>160</v>
      </c>
      <c r="M20" s="12">
        <v>206</v>
      </c>
      <c r="N20" s="12">
        <v>174</v>
      </c>
      <c r="O20" s="12">
        <v>171</v>
      </c>
      <c r="P20" s="12">
        <v>83</v>
      </c>
      <c r="Q20" s="12">
        <v>65</v>
      </c>
      <c r="R20" s="12">
        <v>97</v>
      </c>
      <c r="S20" s="12">
        <v>317</v>
      </c>
      <c r="T20" s="12">
        <v>322</v>
      </c>
      <c r="U20" s="12">
        <v>63</v>
      </c>
      <c r="V20" s="12">
        <v>125</v>
      </c>
      <c r="W20" s="12">
        <v>56</v>
      </c>
      <c r="X20" s="12">
        <v>113</v>
      </c>
      <c r="Y20" s="12">
        <v>164</v>
      </c>
      <c r="Z20" s="12">
        <v>135</v>
      </c>
      <c r="AA20" s="12">
        <v>192</v>
      </c>
      <c r="AB20" s="12">
        <v>178</v>
      </c>
      <c r="AC20" s="12">
        <v>143</v>
      </c>
      <c r="AD20" s="12">
        <v>186</v>
      </c>
      <c r="AE20" s="12">
        <v>205</v>
      </c>
      <c r="AF20" s="12">
        <v>159</v>
      </c>
    </row>
    <row r="21" spans="1:32">
      <c r="A21" s="20"/>
      <c r="B21" s="13" t="s">
        <v>469</v>
      </c>
      <c r="C21" s="14">
        <v>0.16</v>
      </c>
      <c r="D21" s="14">
        <v>7.0000000000000007E-2</v>
      </c>
      <c r="E21" s="14">
        <v>0.28000000000000003</v>
      </c>
      <c r="F21" s="14">
        <v>0.19</v>
      </c>
      <c r="G21" s="14">
        <v>0.2</v>
      </c>
      <c r="H21" s="14">
        <v>0.22</v>
      </c>
      <c r="I21" s="14">
        <v>0.2</v>
      </c>
      <c r="J21" s="14">
        <v>0.12</v>
      </c>
      <c r="K21" s="14">
        <v>0.28999999999999998</v>
      </c>
      <c r="L21" s="14">
        <v>0.16</v>
      </c>
      <c r="M21" s="14">
        <v>0.21</v>
      </c>
      <c r="N21" s="14">
        <v>0.17</v>
      </c>
      <c r="O21" s="14">
        <v>0.17</v>
      </c>
      <c r="P21" s="14">
        <v>0.08</v>
      </c>
      <c r="Q21" s="14">
        <v>0.06</v>
      </c>
      <c r="R21" s="14">
        <v>0.2</v>
      </c>
      <c r="S21" s="14">
        <v>0.32</v>
      </c>
      <c r="T21" s="14">
        <v>0.32</v>
      </c>
      <c r="U21" s="14">
        <v>0.12</v>
      </c>
      <c r="V21" s="14">
        <v>0.12</v>
      </c>
      <c r="W21" s="14">
        <v>0.11</v>
      </c>
      <c r="X21" s="14">
        <v>0.11</v>
      </c>
      <c r="Y21" s="14">
        <v>0.16</v>
      </c>
      <c r="Z21" s="14">
        <v>0.13</v>
      </c>
      <c r="AA21" s="14">
        <v>0.18</v>
      </c>
      <c r="AB21" s="14">
        <v>0.17</v>
      </c>
      <c r="AC21" s="14">
        <v>0.14000000000000001</v>
      </c>
      <c r="AD21" s="14">
        <v>0.18</v>
      </c>
      <c r="AE21" s="14">
        <v>0.21</v>
      </c>
      <c r="AF21" s="14">
        <v>0.16</v>
      </c>
    </row>
    <row r="22" spans="1:32">
      <c r="A22" s="20"/>
      <c r="B22" s="11" t="s">
        <v>1379</v>
      </c>
      <c r="C22" s="12">
        <v>13315</v>
      </c>
      <c r="D22" s="12">
        <v>580</v>
      </c>
      <c r="E22" s="12">
        <v>436</v>
      </c>
      <c r="F22" s="12">
        <v>499</v>
      </c>
      <c r="G22" s="12">
        <v>457</v>
      </c>
      <c r="H22" s="12">
        <v>497</v>
      </c>
      <c r="I22" s="12">
        <v>617</v>
      </c>
      <c r="J22" s="12">
        <v>121</v>
      </c>
      <c r="K22" s="12">
        <v>452</v>
      </c>
      <c r="L22" s="12">
        <v>576</v>
      </c>
      <c r="M22" s="12">
        <v>358</v>
      </c>
      <c r="N22" s="12">
        <v>493</v>
      </c>
      <c r="O22" s="12">
        <v>488</v>
      </c>
      <c r="P22" s="12">
        <v>637</v>
      </c>
      <c r="Q22" s="12">
        <v>649</v>
      </c>
      <c r="R22" s="12">
        <v>224</v>
      </c>
      <c r="S22" s="12">
        <v>448</v>
      </c>
      <c r="T22" s="12">
        <v>474</v>
      </c>
      <c r="U22" s="12">
        <v>329</v>
      </c>
      <c r="V22" s="12">
        <v>629</v>
      </c>
      <c r="W22" s="12">
        <v>291</v>
      </c>
      <c r="X22" s="12">
        <v>378</v>
      </c>
      <c r="Y22" s="12">
        <v>553</v>
      </c>
      <c r="Z22" s="12">
        <v>646</v>
      </c>
      <c r="AA22" s="12">
        <v>543</v>
      </c>
      <c r="AB22" s="12">
        <v>618</v>
      </c>
      <c r="AC22" s="12">
        <v>469</v>
      </c>
      <c r="AD22" s="12">
        <v>453</v>
      </c>
      <c r="AE22" s="12">
        <v>389</v>
      </c>
      <c r="AF22" s="12">
        <v>380</v>
      </c>
    </row>
    <row r="23" spans="1:32">
      <c r="A23" s="20"/>
      <c r="B23" s="13" t="s">
        <v>1380</v>
      </c>
      <c r="C23" s="14">
        <v>0.5</v>
      </c>
      <c r="D23" s="14">
        <v>0.57999999999999996</v>
      </c>
      <c r="E23" s="14">
        <v>0.43</v>
      </c>
      <c r="F23" s="14">
        <v>0.5</v>
      </c>
      <c r="G23" s="14">
        <v>0.46</v>
      </c>
      <c r="H23" s="14">
        <v>0.41</v>
      </c>
      <c r="I23" s="14">
        <v>0.41</v>
      </c>
      <c r="J23" s="14">
        <v>0.41</v>
      </c>
      <c r="K23" s="14">
        <v>0.45</v>
      </c>
      <c r="L23" s="14">
        <v>0.57999999999999996</v>
      </c>
      <c r="M23" s="14">
        <v>0.35</v>
      </c>
      <c r="N23" s="14">
        <v>0.49</v>
      </c>
      <c r="O23" s="14">
        <v>0.49</v>
      </c>
      <c r="P23" s="14">
        <v>0.62</v>
      </c>
      <c r="Q23" s="14">
        <v>0.64</v>
      </c>
      <c r="R23" s="14">
        <v>0.44</v>
      </c>
      <c r="S23" s="14">
        <v>0.44</v>
      </c>
      <c r="T23" s="14">
        <v>0.46</v>
      </c>
      <c r="U23" s="14">
        <v>0.65</v>
      </c>
      <c r="V23" s="14">
        <v>0.62</v>
      </c>
      <c r="W23" s="14">
        <v>0.57999999999999996</v>
      </c>
      <c r="X23" s="14">
        <v>0.37</v>
      </c>
      <c r="Y23" s="14">
        <v>0.55000000000000004</v>
      </c>
      <c r="Z23" s="14">
        <v>0.64</v>
      </c>
      <c r="AA23" s="14">
        <v>0.51</v>
      </c>
      <c r="AB23" s="14">
        <v>0.6</v>
      </c>
      <c r="AC23" s="14">
        <v>0.47</v>
      </c>
      <c r="AD23" s="14">
        <v>0.45</v>
      </c>
      <c r="AE23" s="14">
        <v>0.39</v>
      </c>
      <c r="AF23" s="14">
        <v>0.37</v>
      </c>
    </row>
    <row r="24" spans="1:32">
      <c r="A24" s="20"/>
      <c r="B24" s="11" t="s">
        <v>1381</v>
      </c>
      <c r="C24" s="12">
        <v>8839</v>
      </c>
      <c r="D24" s="12">
        <v>351</v>
      </c>
      <c r="E24" s="12">
        <v>300</v>
      </c>
      <c r="F24" s="12">
        <v>315</v>
      </c>
      <c r="G24" s="12">
        <v>344</v>
      </c>
      <c r="H24" s="12">
        <v>447</v>
      </c>
      <c r="I24" s="12">
        <v>585</v>
      </c>
      <c r="J24" s="12">
        <v>138</v>
      </c>
      <c r="K24" s="12">
        <v>263</v>
      </c>
      <c r="L24" s="12">
        <v>270</v>
      </c>
      <c r="M24" s="12">
        <v>440</v>
      </c>
      <c r="N24" s="12">
        <v>337</v>
      </c>
      <c r="O24" s="12">
        <v>344</v>
      </c>
      <c r="P24" s="12">
        <v>301</v>
      </c>
      <c r="Q24" s="12">
        <v>305</v>
      </c>
      <c r="R24" s="12">
        <v>178</v>
      </c>
      <c r="S24" s="12">
        <v>243</v>
      </c>
      <c r="T24" s="12">
        <v>218</v>
      </c>
      <c r="U24" s="12">
        <v>115</v>
      </c>
      <c r="V24" s="12">
        <v>263</v>
      </c>
      <c r="W24" s="12">
        <v>155</v>
      </c>
      <c r="X24" s="12">
        <v>530</v>
      </c>
      <c r="Y24" s="12">
        <v>291</v>
      </c>
      <c r="Z24" s="12">
        <v>226</v>
      </c>
      <c r="AA24" s="12">
        <v>318</v>
      </c>
      <c r="AB24" s="12">
        <v>244</v>
      </c>
      <c r="AC24" s="12">
        <v>397</v>
      </c>
      <c r="AD24" s="12">
        <v>367</v>
      </c>
      <c r="AE24" s="12">
        <v>407</v>
      </c>
      <c r="AF24" s="12">
        <v>480</v>
      </c>
    </row>
    <row r="25" spans="1:32">
      <c r="A25" s="20"/>
      <c r="B25" s="13" t="s">
        <v>1382</v>
      </c>
      <c r="C25" s="14">
        <v>0.34</v>
      </c>
      <c r="D25" s="14">
        <v>0.35</v>
      </c>
      <c r="E25" s="14">
        <v>0.28999999999999998</v>
      </c>
      <c r="F25" s="14">
        <v>0.31</v>
      </c>
      <c r="G25" s="14">
        <v>0.34</v>
      </c>
      <c r="H25" s="14">
        <v>0.37</v>
      </c>
      <c r="I25" s="14">
        <v>0.39</v>
      </c>
      <c r="J25" s="14">
        <v>0.47</v>
      </c>
      <c r="K25" s="14">
        <v>0.26</v>
      </c>
      <c r="L25" s="14">
        <v>0.26</v>
      </c>
      <c r="M25" s="14">
        <v>0.44</v>
      </c>
      <c r="N25" s="14">
        <v>0.34</v>
      </c>
      <c r="O25" s="14">
        <v>0.34</v>
      </c>
      <c r="P25" s="14">
        <v>0.3</v>
      </c>
      <c r="Q25" s="14">
        <v>0.3</v>
      </c>
      <c r="R25" s="14">
        <v>0.36</v>
      </c>
      <c r="S25" s="14">
        <v>0.24</v>
      </c>
      <c r="T25" s="14">
        <v>0.22</v>
      </c>
      <c r="U25" s="14">
        <v>0.23</v>
      </c>
      <c r="V25" s="14">
        <v>0.26</v>
      </c>
      <c r="W25" s="14">
        <v>0.31</v>
      </c>
      <c r="X25" s="14">
        <v>0.52</v>
      </c>
      <c r="Y25" s="14">
        <v>0.28999999999999998</v>
      </c>
      <c r="Z25" s="14">
        <v>0.23</v>
      </c>
      <c r="AA25" s="14">
        <v>0.31</v>
      </c>
      <c r="AB25" s="14">
        <v>0.23</v>
      </c>
      <c r="AC25" s="14">
        <v>0.39</v>
      </c>
      <c r="AD25" s="14">
        <v>0.37</v>
      </c>
      <c r="AE25" s="14">
        <v>0.4</v>
      </c>
      <c r="AF25" s="14">
        <v>0.47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1440</v>
      </c>
      <c r="C3" s="18"/>
      <c r="D3" s="18"/>
      <c r="E3" s="18"/>
      <c r="F3" s="18"/>
      <c r="H3" s="18" t="s">
        <v>1441</v>
      </c>
      <c r="I3" s="18"/>
      <c r="J3" s="18"/>
      <c r="K3" s="18"/>
      <c r="L3" s="18"/>
    </row>
    <row r="4" spans="1:32" ht="27" customHeight="1">
      <c r="B4" s="18" t="s">
        <v>1442</v>
      </c>
      <c r="C4" s="18"/>
      <c r="D4" s="18"/>
      <c r="E4" s="18"/>
      <c r="F4" s="18"/>
      <c r="H4" s="18" t="s">
        <v>1443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1369</v>
      </c>
      <c r="C12" s="12">
        <v>2306</v>
      </c>
      <c r="D12" s="12">
        <v>100</v>
      </c>
      <c r="E12" s="12">
        <v>86</v>
      </c>
      <c r="F12" s="12">
        <v>89</v>
      </c>
      <c r="G12" s="12">
        <v>84</v>
      </c>
      <c r="H12" s="12">
        <v>59</v>
      </c>
      <c r="I12" s="12">
        <v>74</v>
      </c>
      <c r="J12" s="12">
        <v>15</v>
      </c>
      <c r="K12" s="12">
        <v>70</v>
      </c>
      <c r="L12" s="12">
        <v>141</v>
      </c>
      <c r="M12" s="12">
        <v>55</v>
      </c>
      <c r="N12" s="12">
        <v>73</v>
      </c>
      <c r="O12" s="12">
        <v>118</v>
      </c>
      <c r="P12" s="12">
        <v>90</v>
      </c>
      <c r="Q12" s="12">
        <v>116</v>
      </c>
      <c r="R12" s="12">
        <v>37</v>
      </c>
      <c r="S12" s="12">
        <v>59</v>
      </c>
      <c r="T12" s="12">
        <v>94</v>
      </c>
      <c r="U12" s="12">
        <v>72</v>
      </c>
      <c r="V12" s="12">
        <v>103</v>
      </c>
      <c r="W12" s="12">
        <v>92</v>
      </c>
      <c r="X12" s="12">
        <v>68</v>
      </c>
      <c r="Y12" s="12">
        <v>132</v>
      </c>
      <c r="Z12" s="12">
        <v>91</v>
      </c>
      <c r="AA12" s="12">
        <v>67</v>
      </c>
      <c r="AB12" s="12">
        <v>133</v>
      </c>
      <c r="AC12" s="12">
        <v>64</v>
      </c>
      <c r="AD12" s="12">
        <v>78</v>
      </c>
      <c r="AE12" s="12">
        <v>69</v>
      </c>
      <c r="AF12" s="12">
        <v>71</v>
      </c>
    </row>
    <row r="13" spans="1:32">
      <c r="A13" s="20"/>
      <c r="B13" s="13" t="s">
        <v>1387</v>
      </c>
      <c r="C13" s="14">
        <v>0.09</v>
      </c>
      <c r="D13" s="14">
        <v>0.1</v>
      </c>
      <c r="E13" s="14">
        <v>0.09</v>
      </c>
      <c r="F13" s="14">
        <v>0.09</v>
      </c>
      <c r="G13" s="14">
        <v>0.08</v>
      </c>
      <c r="H13" s="14">
        <v>0.05</v>
      </c>
      <c r="I13" s="14">
        <v>0.05</v>
      </c>
      <c r="J13" s="14">
        <v>0.05</v>
      </c>
      <c r="K13" s="14">
        <v>7.0000000000000007E-2</v>
      </c>
      <c r="L13" s="14">
        <v>0.14000000000000001</v>
      </c>
      <c r="M13" s="14">
        <v>0.06</v>
      </c>
      <c r="N13" s="14">
        <v>7.0000000000000007E-2</v>
      </c>
      <c r="O13" s="14">
        <v>0.12</v>
      </c>
      <c r="P13" s="14">
        <v>0.09</v>
      </c>
      <c r="Q13" s="14">
        <v>0.11</v>
      </c>
      <c r="R13" s="14">
        <v>7.0000000000000007E-2</v>
      </c>
      <c r="S13" s="14">
        <v>0.06</v>
      </c>
      <c r="T13" s="14">
        <v>0.09</v>
      </c>
      <c r="U13" s="14">
        <v>0.14000000000000001</v>
      </c>
      <c r="V13" s="14">
        <v>0.1</v>
      </c>
      <c r="W13" s="14">
        <v>0.18</v>
      </c>
      <c r="X13" s="14">
        <v>7.0000000000000007E-2</v>
      </c>
      <c r="Y13" s="14">
        <v>0.13</v>
      </c>
      <c r="Z13" s="14">
        <v>0.09</v>
      </c>
      <c r="AA13" s="14">
        <v>7.0000000000000007E-2</v>
      </c>
      <c r="AB13" s="14">
        <v>0.13</v>
      </c>
      <c r="AC13" s="14">
        <v>0.06</v>
      </c>
      <c r="AD13" s="14">
        <v>0.08</v>
      </c>
      <c r="AE13" s="14">
        <v>7.0000000000000007E-2</v>
      </c>
      <c r="AF13" s="14">
        <v>7.0000000000000007E-2</v>
      </c>
    </row>
    <row r="14" spans="1:32">
      <c r="A14" s="20"/>
      <c r="B14" s="11" t="s">
        <v>1371</v>
      </c>
      <c r="C14" s="12">
        <v>10670</v>
      </c>
      <c r="D14" s="12">
        <v>462</v>
      </c>
      <c r="E14" s="12">
        <v>340</v>
      </c>
      <c r="F14" s="12">
        <v>386</v>
      </c>
      <c r="G14" s="12">
        <v>360</v>
      </c>
      <c r="H14" s="12">
        <v>460</v>
      </c>
      <c r="I14" s="12">
        <v>584</v>
      </c>
      <c r="J14" s="12">
        <v>124</v>
      </c>
      <c r="K14" s="12">
        <v>399</v>
      </c>
      <c r="L14" s="12">
        <v>434</v>
      </c>
      <c r="M14" s="12">
        <v>312</v>
      </c>
      <c r="N14" s="12">
        <v>386</v>
      </c>
      <c r="O14" s="12">
        <v>359</v>
      </c>
      <c r="P14" s="12">
        <v>502</v>
      </c>
      <c r="Q14" s="12">
        <v>468</v>
      </c>
      <c r="R14" s="12">
        <v>174</v>
      </c>
      <c r="S14" s="12">
        <v>369</v>
      </c>
      <c r="T14" s="12">
        <v>463</v>
      </c>
      <c r="U14" s="12">
        <v>240</v>
      </c>
      <c r="V14" s="12">
        <v>475</v>
      </c>
      <c r="W14" s="12">
        <v>238</v>
      </c>
      <c r="X14" s="12">
        <v>362</v>
      </c>
      <c r="Y14" s="12">
        <v>429</v>
      </c>
      <c r="Z14" s="12">
        <v>516</v>
      </c>
      <c r="AA14" s="12">
        <v>445</v>
      </c>
      <c r="AB14" s="12">
        <v>447</v>
      </c>
      <c r="AC14" s="12">
        <v>412</v>
      </c>
      <c r="AD14" s="12">
        <v>380</v>
      </c>
      <c r="AE14" s="12">
        <v>414</v>
      </c>
      <c r="AF14" s="12">
        <v>312</v>
      </c>
    </row>
    <row r="15" spans="1:32">
      <c r="A15" s="20"/>
      <c r="B15" s="13" t="s">
        <v>1372</v>
      </c>
      <c r="C15" s="14">
        <v>0.4</v>
      </c>
      <c r="D15" s="14">
        <v>0.46</v>
      </c>
      <c r="E15" s="14">
        <v>0.33</v>
      </c>
      <c r="F15" s="14">
        <v>0.38</v>
      </c>
      <c r="G15" s="14">
        <v>0.36</v>
      </c>
      <c r="H15" s="14">
        <v>0.38</v>
      </c>
      <c r="I15" s="14">
        <v>0.39</v>
      </c>
      <c r="J15" s="14">
        <v>0.42</v>
      </c>
      <c r="K15" s="14">
        <v>0.4</v>
      </c>
      <c r="L15" s="14">
        <v>0.43</v>
      </c>
      <c r="M15" s="14">
        <v>0.31</v>
      </c>
      <c r="N15" s="14">
        <v>0.38</v>
      </c>
      <c r="O15" s="14">
        <v>0.36</v>
      </c>
      <c r="P15" s="14">
        <v>0.49</v>
      </c>
      <c r="Q15" s="14">
        <v>0.46</v>
      </c>
      <c r="R15" s="14">
        <v>0.35</v>
      </c>
      <c r="S15" s="14">
        <v>0.37</v>
      </c>
      <c r="T15" s="14">
        <v>0.46</v>
      </c>
      <c r="U15" s="14">
        <v>0.47</v>
      </c>
      <c r="V15" s="14">
        <v>0.47</v>
      </c>
      <c r="W15" s="14">
        <v>0.47</v>
      </c>
      <c r="X15" s="14">
        <v>0.35</v>
      </c>
      <c r="Y15" s="14">
        <v>0.43</v>
      </c>
      <c r="Z15" s="14">
        <v>0.51</v>
      </c>
      <c r="AA15" s="14">
        <v>0.42</v>
      </c>
      <c r="AB15" s="14">
        <v>0.43</v>
      </c>
      <c r="AC15" s="14">
        <v>0.41</v>
      </c>
      <c r="AD15" s="14">
        <v>0.38</v>
      </c>
      <c r="AE15" s="14">
        <v>0.41</v>
      </c>
      <c r="AF15" s="14">
        <v>0.31</v>
      </c>
    </row>
    <row r="16" spans="1:32">
      <c r="A16" s="20"/>
      <c r="B16" s="11" t="s">
        <v>1373</v>
      </c>
      <c r="C16" s="12">
        <v>7683</v>
      </c>
      <c r="D16" s="12">
        <v>311</v>
      </c>
      <c r="E16" s="12">
        <v>279</v>
      </c>
      <c r="F16" s="12">
        <v>302</v>
      </c>
      <c r="G16" s="12">
        <v>319</v>
      </c>
      <c r="H16" s="12">
        <v>370</v>
      </c>
      <c r="I16" s="12">
        <v>476</v>
      </c>
      <c r="J16" s="12">
        <v>106</v>
      </c>
      <c r="K16" s="12">
        <v>267</v>
      </c>
      <c r="L16" s="12">
        <v>217</v>
      </c>
      <c r="M16" s="12">
        <v>384</v>
      </c>
      <c r="N16" s="12">
        <v>297</v>
      </c>
      <c r="O16" s="12">
        <v>285</v>
      </c>
      <c r="P16" s="12">
        <v>304</v>
      </c>
      <c r="Q16" s="12">
        <v>299</v>
      </c>
      <c r="R16" s="12">
        <v>198</v>
      </c>
      <c r="S16" s="12">
        <v>231</v>
      </c>
      <c r="T16" s="12">
        <v>168</v>
      </c>
      <c r="U16" s="12">
        <v>109</v>
      </c>
      <c r="V16" s="12">
        <v>250</v>
      </c>
      <c r="W16" s="12">
        <v>95</v>
      </c>
      <c r="X16" s="12">
        <v>385</v>
      </c>
      <c r="Y16" s="12">
        <v>246</v>
      </c>
      <c r="Z16" s="12">
        <v>220</v>
      </c>
      <c r="AA16" s="12">
        <v>275</v>
      </c>
      <c r="AB16" s="12">
        <v>227</v>
      </c>
      <c r="AC16" s="12">
        <v>328</v>
      </c>
      <c r="AD16" s="12">
        <v>335</v>
      </c>
      <c r="AE16" s="12">
        <v>330</v>
      </c>
      <c r="AF16" s="12">
        <v>403</v>
      </c>
    </row>
    <row r="17" spans="1:32">
      <c r="A17" s="20"/>
      <c r="B17" s="13" t="s">
        <v>1374</v>
      </c>
      <c r="C17" s="14">
        <v>0.28999999999999998</v>
      </c>
      <c r="D17" s="14">
        <v>0.31</v>
      </c>
      <c r="E17" s="14">
        <v>0.27</v>
      </c>
      <c r="F17" s="14">
        <v>0.3</v>
      </c>
      <c r="G17" s="14">
        <v>0.32</v>
      </c>
      <c r="H17" s="14">
        <v>0.3</v>
      </c>
      <c r="I17" s="14">
        <v>0.31</v>
      </c>
      <c r="J17" s="14">
        <v>0.36</v>
      </c>
      <c r="K17" s="14">
        <v>0.26</v>
      </c>
      <c r="L17" s="14">
        <v>0.21</v>
      </c>
      <c r="M17" s="14">
        <v>0.38</v>
      </c>
      <c r="N17" s="14">
        <v>0.3</v>
      </c>
      <c r="O17" s="14">
        <v>0.28000000000000003</v>
      </c>
      <c r="P17" s="14">
        <v>0.3</v>
      </c>
      <c r="Q17" s="14">
        <v>0.28999999999999998</v>
      </c>
      <c r="R17" s="14">
        <v>0.4</v>
      </c>
      <c r="S17" s="14">
        <v>0.23</v>
      </c>
      <c r="T17" s="14">
        <v>0.16</v>
      </c>
      <c r="U17" s="14">
        <v>0.22</v>
      </c>
      <c r="V17" s="14">
        <v>0.25</v>
      </c>
      <c r="W17" s="14">
        <v>0.19</v>
      </c>
      <c r="X17" s="14">
        <v>0.38</v>
      </c>
      <c r="Y17" s="14">
        <v>0.24</v>
      </c>
      <c r="Z17" s="14">
        <v>0.22</v>
      </c>
      <c r="AA17" s="14">
        <v>0.26</v>
      </c>
      <c r="AB17" s="14">
        <v>0.22</v>
      </c>
      <c r="AC17" s="14">
        <v>0.32</v>
      </c>
      <c r="AD17" s="14">
        <v>0.33</v>
      </c>
      <c r="AE17" s="14">
        <v>0.33</v>
      </c>
      <c r="AF17" s="14">
        <v>0.39</v>
      </c>
    </row>
    <row r="18" spans="1:32">
      <c r="A18" s="20"/>
      <c r="B18" s="11" t="s">
        <v>1375</v>
      </c>
      <c r="C18" s="12">
        <v>1774</v>
      </c>
      <c r="D18" s="12">
        <v>65</v>
      </c>
      <c r="E18" s="12">
        <v>73</v>
      </c>
      <c r="F18" s="12">
        <v>55</v>
      </c>
      <c r="G18" s="12">
        <v>68</v>
      </c>
      <c r="H18" s="12">
        <v>65</v>
      </c>
      <c r="I18" s="12">
        <v>78</v>
      </c>
      <c r="J18" s="12">
        <v>14</v>
      </c>
      <c r="K18" s="12">
        <v>56</v>
      </c>
      <c r="L18" s="12">
        <v>58</v>
      </c>
      <c r="M18" s="12">
        <v>104</v>
      </c>
      <c r="N18" s="12">
        <v>81</v>
      </c>
      <c r="O18" s="12">
        <v>85</v>
      </c>
      <c r="P18" s="12">
        <v>49</v>
      </c>
      <c r="Q18" s="12">
        <v>66</v>
      </c>
      <c r="R18" s="12">
        <v>22</v>
      </c>
      <c r="S18" s="12">
        <v>14</v>
      </c>
      <c r="T18" s="12">
        <v>16</v>
      </c>
      <c r="U18" s="12">
        <v>29</v>
      </c>
      <c r="V18" s="12">
        <v>57</v>
      </c>
      <c r="W18" s="12">
        <v>26</v>
      </c>
      <c r="X18" s="12">
        <v>98</v>
      </c>
      <c r="Y18" s="12">
        <v>76</v>
      </c>
      <c r="Z18" s="12">
        <v>35</v>
      </c>
      <c r="AA18" s="12">
        <v>75</v>
      </c>
      <c r="AB18" s="12">
        <v>67</v>
      </c>
      <c r="AC18" s="12">
        <v>57</v>
      </c>
      <c r="AD18" s="12">
        <v>89</v>
      </c>
      <c r="AE18" s="12">
        <v>45</v>
      </c>
      <c r="AF18" s="12">
        <v>128</v>
      </c>
    </row>
    <row r="19" spans="1:32">
      <c r="A19" s="20"/>
      <c r="B19" s="13" t="s">
        <v>1376</v>
      </c>
      <c r="C19" s="14">
        <v>7.0000000000000007E-2</v>
      </c>
      <c r="D19" s="14">
        <v>0.06</v>
      </c>
      <c r="E19" s="14">
        <v>7.0000000000000007E-2</v>
      </c>
      <c r="F19" s="14">
        <v>0.06</v>
      </c>
      <c r="G19" s="14">
        <v>7.0000000000000007E-2</v>
      </c>
      <c r="H19" s="14">
        <v>0.05</v>
      </c>
      <c r="I19" s="14">
        <v>0.05</v>
      </c>
      <c r="J19" s="14">
        <v>0.05</v>
      </c>
      <c r="K19" s="14">
        <v>0.06</v>
      </c>
      <c r="L19" s="14">
        <v>0.06</v>
      </c>
      <c r="M19" s="14">
        <v>0.1</v>
      </c>
      <c r="N19" s="14">
        <v>0.08</v>
      </c>
      <c r="O19" s="14">
        <v>0.08</v>
      </c>
      <c r="P19" s="14">
        <v>0.05</v>
      </c>
      <c r="Q19" s="14">
        <v>7.0000000000000007E-2</v>
      </c>
      <c r="R19" s="14">
        <v>0.04</v>
      </c>
      <c r="S19" s="14">
        <v>0.01</v>
      </c>
      <c r="T19" s="14">
        <v>0.02</v>
      </c>
      <c r="U19" s="14">
        <v>0.06</v>
      </c>
      <c r="V19" s="14">
        <v>0.05</v>
      </c>
      <c r="W19" s="14">
        <v>0.05</v>
      </c>
      <c r="X19" s="14">
        <v>0.09</v>
      </c>
      <c r="Y19" s="14">
        <v>0.08</v>
      </c>
      <c r="Z19" s="14">
        <v>0.04</v>
      </c>
      <c r="AA19" s="14">
        <v>7.0000000000000007E-2</v>
      </c>
      <c r="AB19" s="14">
        <v>0.06</v>
      </c>
      <c r="AC19" s="14">
        <v>0.06</v>
      </c>
      <c r="AD19" s="14">
        <v>0.09</v>
      </c>
      <c r="AE19" s="14">
        <v>0.05</v>
      </c>
      <c r="AF19" s="14">
        <v>0.13</v>
      </c>
    </row>
    <row r="20" spans="1:32">
      <c r="A20" s="20"/>
      <c r="B20" s="11" t="s">
        <v>468</v>
      </c>
      <c r="C20" s="12">
        <v>3887</v>
      </c>
      <c r="D20" s="12">
        <v>66</v>
      </c>
      <c r="E20" s="12">
        <v>239</v>
      </c>
      <c r="F20" s="12">
        <v>173</v>
      </c>
      <c r="G20" s="12">
        <v>172</v>
      </c>
      <c r="H20" s="12">
        <v>262</v>
      </c>
      <c r="I20" s="12">
        <v>298</v>
      </c>
      <c r="J20" s="12">
        <v>35</v>
      </c>
      <c r="K20" s="12">
        <v>213</v>
      </c>
      <c r="L20" s="12">
        <v>157</v>
      </c>
      <c r="M20" s="12">
        <v>148</v>
      </c>
      <c r="N20" s="12">
        <v>167</v>
      </c>
      <c r="O20" s="12">
        <v>156</v>
      </c>
      <c r="P20" s="12">
        <v>76</v>
      </c>
      <c r="Q20" s="12">
        <v>70</v>
      </c>
      <c r="R20" s="12">
        <v>68</v>
      </c>
      <c r="S20" s="12">
        <v>335</v>
      </c>
      <c r="T20" s="12">
        <v>273</v>
      </c>
      <c r="U20" s="12">
        <v>56</v>
      </c>
      <c r="V20" s="12">
        <v>132</v>
      </c>
      <c r="W20" s="12">
        <v>52</v>
      </c>
      <c r="X20" s="12">
        <v>108</v>
      </c>
      <c r="Y20" s="12">
        <v>124</v>
      </c>
      <c r="Z20" s="12">
        <v>146</v>
      </c>
      <c r="AA20" s="12">
        <v>191</v>
      </c>
      <c r="AB20" s="12">
        <v>165</v>
      </c>
      <c r="AC20" s="12">
        <v>149</v>
      </c>
      <c r="AD20" s="12">
        <v>123</v>
      </c>
      <c r="AE20" s="12">
        <v>144</v>
      </c>
      <c r="AF20" s="12">
        <v>105</v>
      </c>
    </row>
    <row r="21" spans="1:32">
      <c r="A21" s="20"/>
      <c r="B21" s="13" t="s">
        <v>469</v>
      </c>
      <c r="C21" s="14">
        <v>0.15</v>
      </c>
      <c r="D21" s="14">
        <v>7.0000000000000007E-2</v>
      </c>
      <c r="E21" s="14">
        <v>0.24</v>
      </c>
      <c r="F21" s="14">
        <v>0.17</v>
      </c>
      <c r="G21" s="14">
        <v>0.17</v>
      </c>
      <c r="H21" s="14">
        <v>0.22</v>
      </c>
      <c r="I21" s="14">
        <v>0.2</v>
      </c>
      <c r="J21" s="14">
        <v>0.12</v>
      </c>
      <c r="K21" s="14">
        <v>0.21</v>
      </c>
      <c r="L21" s="14">
        <v>0.16</v>
      </c>
      <c r="M21" s="14">
        <v>0.15</v>
      </c>
      <c r="N21" s="14">
        <v>0.17</v>
      </c>
      <c r="O21" s="14">
        <v>0.16</v>
      </c>
      <c r="P21" s="14">
        <v>7.0000000000000007E-2</v>
      </c>
      <c r="Q21" s="14">
        <v>7.0000000000000007E-2</v>
      </c>
      <c r="R21" s="14">
        <v>0.14000000000000001</v>
      </c>
      <c r="S21" s="14">
        <v>0.33</v>
      </c>
      <c r="T21" s="14">
        <v>0.27</v>
      </c>
      <c r="U21" s="14">
        <v>0.11</v>
      </c>
      <c r="V21" s="14">
        <v>0.13</v>
      </c>
      <c r="W21" s="14">
        <v>0.11</v>
      </c>
      <c r="X21" s="14">
        <v>0.11</v>
      </c>
      <c r="Y21" s="14">
        <v>0.12</v>
      </c>
      <c r="Z21" s="14">
        <v>0.14000000000000001</v>
      </c>
      <c r="AA21" s="14">
        <v>0.18</v>
      </c>
      <c r="AB21" s="14">
        <v>0.16</v>
      </c>
      <c r="AC21" s="14">
        <v>0.15</v>
      </c>
      <c r="AD21" s="14">
        <v>0.12</v>
      </c>
      <c r="AE21" s="14">
        <v>0.14000000000000001</v>
      </c>
      <c r="AF21" s="14">
        <v>0.1</v>
      </c>
    </row>
    <row r="22" spans="1:32">
      <c r="A22" s="20"/>
      <c r="B22" s="11" t="s">
        <v>1379</v>
      </c>
      <c r="C22" s="12">
        <v>12976</v>
      </c>
      <c r="D22" s="12">
        <v>562</v>
      </c>
      <c r="E22" s="12">
        <v>426</v>
      </c>
      <c r="F22" s="12">
        <v>475</v>
      </c>
      <c r="G22" s="12">
        <v>444</v>
      </c>
      <c r="H22" s="12">
        <v>519</v>
      </c>
      <c r="I22" s="12">
        <v>658</v>
      </c>
      <c r="J22" s="12">
        <v>139</v>
      </c>
      <c r="K22" s="12">
        <v>469</v>
      </c>
      <c r="L22" s="12">
        <v>575</v>
      </c>
      <c r="M22" s="12">
        <v>367</v>
      </c>
      <c r="N22" s="12">
        <v>459</v>
      </c>
      <c r="O22" s="12">
        <v>477</v>
      </c>
      <c r="P22" s="12">
        <v>592</v>
      </c>
      <c r="Q22" s="12">
        <v>584</v>
      </c>
      <c r="R22" s="12">
        <v>211</v>
      </c>
      <c r="S22" s="12">
        <v>428</v>
      </c>
      <c r="T22" s="12">
        <v>557</v>
      </c>
      <c r="U22" s="12">
        <v>312</v>
      </c>
      <c r="V22" s="12">
        <v>578</v>
      </c>
      <c r="W22" s="12">
        <v>330</v>
      </c>
      <c r="X22" s="12">
        <v>430</v>
      </c>
      <c r="Y22" s="12">
        <v>561</v>
      </c>
      <c r="Z22" s="12">
        <v>607</v>
      </c>
      <c r="AA22" s="12">
        <v>512</v>
      </c>
      <c r="AB22" s="12">
        <v>580</v>
      </c>
      <c r="AC22" s="12">
        <v>476</v>
      </c>
      <c r="AD22" s="12">
        <v>458</v>
      </c>
      <c r="AE22" s="12">
        <v>483</v>
      </c>
      <c r="AF22" s="12">
        <v>383</v>
      </c>
    </row>
    <row r="23" spans="1:32">
      <c r="A23" s="20"/>
      <c r="B23" s="13" t="s">
        <v>1380</v>
      </c>
      <c r="C23" s="14">
        <v>0.49</v>
      </c>
      <c r="D23" s="14">
        <v>0.56000000000000005</v>
      </c>
      <c r="E23" s="14">
        <v>0.42</v>
      </c>
      <c r="F23" s="14">
        <v>0.47</v>
      </c>
      <c r="G23" s="14">
        <v>0.44</v>
      </c>
      <c r="H23" s="14">
        <v>0.43</v>
      </c>
      <c r="I23" s="14">
        <v>0.44</v>
      </c>
      <c r="J23" s="14">
        <v>0.47</v>
      </c>
      <c r="K23" s="14">
        <v>0.47</v>
      </c>
      <c r="L23" s="14">
        <v>0.57000000000000006</v>
      </c>
      <c r="M23" s="14">
        <v>0.37</v>
      </c>
      <c r="N23" s="14">
        <v>0.45</v>
      </c>
      <c r="O23" s="14">
        <v>0.48</v>
      </c>
      <c r="P23" s="14">
        <v>0.57999999999999996</v>
      </c>
      <c r="Q23" s="14">
        <v>0.57000000000000006</v>
      </c>
      <c r="R23" s="14">
        <v>0.42</v>
      </c>
      <c r="S23" s="14">
        <v>0.43</v>
      </c>
      <c r="T23" s="14">
        <v>0.55000000000000004</v>
      </c>
      <c r="U23" s="14">
        <v>0.61</v>
      </c>
      <c r="V23" s="14">
        <v>0.57000000000000006</v>
      </c>
      <c r="W23" s="14">
        <v>0.65</v>
      </c>
      <c r="X23" s="14">
        <v>0.42</v>
      </c>
      <c r="Y23" s="14">
        <v>0.56000000000000005</v>
      </c>
      <c r="Z23" s="14">
        <v>0.6</v>
      </c>
      <c r="AA23" s="14">
        <v>0.49</v>
      </c>
      <c r="AB23" s="14">
        <v>0.56000000000000005</v>
      </c>
      <c r="AC23" s="14">
        <v>0.47</v>
      </c>
      <c r="AD23" s="14">
        <v>0.46</v>
      </c>
      <c r="AE23" s="14">
        <v>0.48</v>
      </c>
      <c r="AF23" s="14">
        <v>0.38</v>
      </c>
    </row>
    <row r="24" spans="1:32">
      <c r="A24" s="20"/>
      <c r="B24" s="11" t="s">
        <v>1381</v>
      </c>
      <c r="C24" s="12">
        <v>9457</v>
      </c>
      <c r="D24" s="12">
        <v>376</v>
      </c>
      <c r="E24" s="12">
        <v>352</v>
      </c>
      <c r="F24" s="12">
        <v>357</v>
      </c>
      <c r="G24" s="12">
        <v>387</v>
      </c>
      <c r="H24" s="12">
        <v>435</v>
      </c>
      <c r="I24" s="12">
        <v>554</v>
      </c>
      <c r="J24" s="12">
        <v>120</v>
      </c>
      <c r="K24" s="12">
        <v>323</v>
      </c>
      <c r="L24" s="12">
        <v>275</v>
      </c>
      <c r="M24" s="12">
        <v>488</v>
      </c>
      <c r="N24" s="12">
        <v>378</v>
      </c>
      <c r="O24" s="12">
        <v>370</v>
      </c>
      <c r="P24" s="12">
        <v>353</v>
      </c>
      <c r="Q24" s="12">
        <v>365</v>
      </c>
      <c r="R24" s="12">
        <v>220</v>
      </c>
      <c r="S24" s="12">
        <v>245</v>
      </c>
      <c r="T24" s="12">
        <v>184</v>
      </c>
      <c r="U24" s="12">
        <v>138</v>
      </c>
      <c r="V24" s="12">
        <v>307</v>
      </c>
      <c r="W24" s="12">
        <v>121</v>
      </c>
      <c r="X24" s="12">
        <v>483</v>
      </c>
      <c r="Y24" s="12">
        <v>322</v>
      </c>
      <c r="Z24" s="12">
        <v>255</v>
      </c>
      <c r="AA24" s="12">
        <v>350</v>
      </c>
      <c r="AB24" s="12">
        <v>294</v>
      </c>
      <c r="AC24" s="12">
        <v>385</v>
      </c>
      <c r="AD24" s="12">
        <v>424</v>
      </c>
      <c r="AE24" s="12">
        <v>375</v>
      </c>
      <c r="AF24" s="12">
        <v>531</v>
      </c>
    </row>
    <row r="25" spans="1:32">
      <c r="A25" s="20"/>
      <c r="B25" s="13" t="s">
        <v>1382</v>
      </c>
      <c r="C25" s="14">
        <v>0.36</v>
      </c>
      <c r="D25" s="14">
        <v>0.37</v>
      </c>
      <c r="E25" s="14">
        <v>0.34</v>
      </c>
      <c r="F25" s="14">
        <v>0.36</v>
      </c>
      <c r="G25" s="14">
        <v>0.39</v>
      </c>
      <c r="H25" s="14">
        <v>0.35</v>
      </c>
      <c r="I25" s="14">
        <v>0.36</v>
      </c>
      <c r="J25" s="14">
        <v>0.41</v>
      </c>
      <c r="K25" s="14">
        <v>0.32</v>
      </c>
      <c r="L25" s="14">
        <v>0.27</v>
      </c>
      <c r="M25" s="14">
        <v>0.48</v>
      </c>
      <c r="N25" s="14">
        <v>0.38</v>
      </c>
      <c r="O25" s="14">
        <v>0.36</v>
      </c>
      <c r="P25" s="14">
        <v>0.35</v>
      </c>
      <c r="Q25" s="14">
        <v>0.36</v>
      </c>
      <c r="R25" s="14">
        <v>0.44</v>
      </c>
      <c r="S25" s="14">
        <v>0.24</v>
      </c>
      <c r="T25" s="14">
        <v>0.18</v>
      </c>
      <c r="U25" s="14">
        <v>0.28000000000000003</v>
      </c>
      <c r="V25" s="14">
        <v>0.3</v>
      </c>
      <c r="W25" s="14">
        <v>0.24</v>
      </c>
      <c r="X25" s="14">
        <v>0.47</v>
      </c>
      <c r="Y25" s="14">
        <v>0.32</v>
      </c>
      <c r="Z25" s="14">
        <v>0.26</v>
      </c>
      <c r="AA25" s="14">
        <v>0.33</v>
      </c>
      <c r="AB25" s="14">
        <v>0.28000000000000003</v>
      </c>
      <c r="AC25" s="14">
        <v>0.38</v>
      </c>
      <c r="AD25" s="14">
        <v>0.42</v>
      </c>
      <c r="AE25" s="14">
        <v>0.38</v>
      </c>
      <c r="AF25" s="14">
        <v>0.52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331</v>
      </c>
      <c r="C3" s="18"/>
      <c r="D3" s="18"/>
      <c r="E3" s="18"/>
      <c r="F3" s="18"/>
      <c r="H3" s="18" t="s">
        <v>332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1444</v>
      </c>
      <c r="C12" s="12">
        <v>3252</v>
      </c>
      <c r="D12" s="12">
        <v>140</v>
      </c>
      <c r="E12" s="12">
        <v>109</v>
      </c>
      <c r="F12" s="12">
        <v>122</v>
      </c>
      <c r="G12" s="12">
        <v>145</v>
      </c>
      <c r="H12" s="12">
        <v>145</v>
      </c>
      <c r="I12" s="12">
        <v>175</v>
      </c>
      <c r="J12" s="12">
        <v>31</v>
      </c>
      <c r="K12" s="12">
        <v>124</v>
      </c>
      <c r="L12" s="12">
        <v>157</v>
      </c>
      <c r="M12" s="12">
        <v>120</v>
      </c>
      <c r="N12" s="12">
        <v>125</v>
      </c>
      <c r="O12" s="12">
        <v>147</v>
      </c>
      <c r="P12" s="12">
        <v>121</v>
      </c>
      <c r="Q12" s="12">
        <v>116</v>
      </c>
      <c r="R12" s="12">
        <v>61</v>
      </c>
      <c r="S12" s="12">
        <v>121</v>
      </c>
      <c r="T12" s="12">
        <v>113</v>
      </c>
      <c r="U12" s="12">
        <v>66</v>
      </c>
      <c r="V12" s="12">
        <v>125</v>
      </c>
      <c r="W12" s="12">
        <v>56</v>
      </c>
      <c r="X12" s="12">
        <v>150</v>
      </c>
      <c r="Y12" s="12">
        <v>122</v>
      </c>
      <c r="Z12" s="12">
        <v>116</v>
      </c>
      <c r="AA12" s="12">
        <v>125</v>
      </c>
      <c r="AB12" s="12">
        <v>135</v>
      </c>
      <c r="AC12" s="12">
        <v>115</v>
      </c>
      <c r="AD12" s="12">
        <v>117</v>
      </c>
      <c r="AE12" s="12">
        <v>131</v>
      </c>
      <c r="AF12" s="12">
        <v>56</v>
      </c>
    </row>
    <row r="13" spans="1:32">
      <c r="A13" s="20"/>
      <c r="B13" s="13" t="s">
        <v>1444</v>
      </c>
      <c r="C13" s="14">
        <v>0.12</v>
      </c>
      <c r="D13" s="14">
        <v>0.14000000000000001</v>
      </c>
      <c r="E13" s="14">
        <v>0.11</v>
      </c>
      <c r="F13" s="14">
        <v>0.12</v>
      </c>
      <c r="G13" s="14">
        <v>0.15</v>
      </c>
      <c r="H13" s="14">
        <v>0.12</v>
      </c>
      <c r="I13" s="14">
        <v>0.12</v>
      </c>
      <c r="J13" s="14">
        <v>0.11</v>
      </c>
      <c r="K13" s="14">
        <v>0.12</v>
      </c>
      <c r="L13" s="14">
        <v>0.16</v>
      </c>
      <c r="M13" s="14">
        <v>0.12</v>
      </c>
      <c r="N13" s="14">
        <v>0.12</v>
      </c>
      <c r="O13" s="14">
        <v>0.15</v>
      </c>
      <c r="P13" s="14">
        <v>0.12</v>
      </c>
      <c r="Q13" s="14">
        <v>0.11</v>
      </c>
      <c r="R13" s="14">
        <v>0.12</v>
      </c>
      <c r="S13" s="14">
        <v>0.12</v>
      </c>
      <c r="T13" s="14">
        <v>0.11</v>
      </c>
      <c r="U13" s="14">
        <v>0.13</v>
      </c>
      <c r="V13" s="14">
        <v>0.12</v>
      </c>
      <c r="W13" s="14">
        <v>0.11</v>
      </c>
      <c r="X13" s="14">
        <v>0.15</v>
      </c>
      <c r="Y13" s="14">
        <v>0.12</v>
      </c>
      <c r="Z13" s="14">
        <v>0.12</v>
      </c>
      <c r="AA13" s="14">
        <v>0.12</v>
      </c>
      <c r="AB13" s="14">
        <v>0.13</v>
      </c>
      <c r="AC13" s="14">
        <v>0.11</v>
      </c>
      <c r="AD13" s="14">
        <v>0.12</v>
      </c>
      <c r="AE13" s="14">
        <v>0.13</v>
      </c>
      <c r="AF13" s="14">
        <v>0.05</v>
      </c>
    </row>
    <row r="14" spans="1:32">
      <c r="A14" s="20"/>
      <c r="B14" s="11" t="s">
        <v>1445</v>
      </c>
      <c r="C14" s="12">
        <v>5656</v>
      </c>
      <c r="D14" s="12">
        <v>233</v>
      </c>
      <c r="E14" s="12">
        <v>196</v>
      </c>
      <c r="F14" s="12">
        <v>219</v>
      </c>
      <c r="G14" s="12">
        <v>234</v>
      </c>
      <c r="H14" s="12">
        <v>273</v>
      </c>
      <c r="I14" s="12">
        <v>333</v>
      </c>
      <c r="J14" s="12">
        <v>60</v>
      </c>
      <c r="K14" s="12">
        <v>238</v>
      </c>
      <c r="L14" s="12">
        <v>241</v>
      </c>
      <c r="M14" s="12">
        <v>188</v>
      </c>
      <c r="N14" s="12">
        <v>203</v>
      </c>
      <c r="O14" s="12">
        <v>219</v>
      </c>
      <c r="P14" s="12">
        <v>216</v>
      </c>
      <c r="Q14" s="12">
        <v>189</v>
      </c>
      <c r="R14" s="12">
        <v>138</v>
      </c>
      <c r="S14" s="12">
        <v>222</v>
      </c>
      <c r="T14" s="12">
        <v>237</v>
      </c>
      <c r="U14" s="12">
        <v>142</v>
      </c>
      <c r="V14" s="12">
        <v>223</v>
      </c>
      <c r="W14" s="12">
        <v>162</v>
      </c>
      <c r="X14" s="12">
        <v>218</v>
      </c>
      <c r="Y14" s="12">
        <v>238</v>
      </c>
      <c r="Z14" s="12">
        <v>239</v>
      </c>
      <c r="AA14" s="12">
        <v>203</v>
      </c>
      <c r="AB14" s="12">
        <v>222</v>
      </c>
      <c r="AC14" s="12">
        <v>211</v>
      </c>
      <c r="AD14" s="12">
        <v>241</v>
      </c>
      <c r="AE14" s="12">
        <v>229</v>
      </c>
      <c r="AF14" s="12">
        <v>270</v>
      </c>
    </row>
    <row r="15" spans="1:32">
      <c r="A15" s="20"/>
      <c r="B15" s="13" t="s">
        <v>1445</v>
      </c>
      <c r="C15" s="14">
        <v>0.22</v>
      </c>
      <c r="D15" s="14">
        <v>0.23</v>
      </c>
      <c r="E15" s="14">
        <v>0.19</v>
      </c>
      <c r="F15" s="14">
        <v>0.22</v>
      </c>
      <c r="G15" s="14">
        <v>0.23</v>
      </c>
      <c r="H15" s="14">
        <v>0.22</v>
      </c>
      <c r="I15" s="14">
        <v>0.22</v>
      </c>
      <c r="J15" s="14">
        <v>0.2</v>
      </c>
      <c r="K15" s="14">
        <v>0.24</v>
      </c>
      <c r="L15" s="14">
        <v>0.24</v>
      </c>
      <c r="M15" s="14">
        <v>0.19</v>
      </c>
      <c r="N15" s="14">
        <v>0.2</v>
      </c>
      <c r="O15" s="14">
        <v>0.22</v>
      </c>
      <c r="P15" s="14">
        <v>0.21</v>
      </c>
      <c r="Q15" s="14">
        <v>0.19</v>
      </c>
      <c r="R15" s="14">
        <v>0.28000000000000003</v>
      </c>
      <c r="S15" s="14">
        <v>0.22</v>
      </c>
      <c r="T15" s="14">
        <v>0.24</v>
      </c>
      <c r="U15" s="14">
        <v>0.28000000000000003</v>
      </c>
      <c r="V15" s="14">
        <v>0.22</v>
      </c>
      <c r="W15" s="14">
        <v>0.32</v>
      </c>
      <c r="X15" s="14">
        <v>0.21</v>
      </c>
      <c r="Y15" s="14">
        <v>0.24</v>
      </c>
      <c r="Z15" s="14">
        <v>0.24</v>
      </c>
      <c r="AA15" s="14">
        <v>0.19</v>
      </c>
      <c r="AB15" s="14">
        <v>0.21</v>
      </c>
      <c r="AC15" s="14">
        <v>0.21</v>
      </c>
      <c r="AD15" s="14">
        <v>0.24</v>
      </c>
      <c r="AE15" s="14">
        <v>0.23</v>
      </c>
      <c r="AF15" s="14">
        <v>0.27</v>
      </c>
    </row>
    <row r="16" spans="1:32">
      <c r="A16" s="20"/>
      <c r="B16" s="11" t="s">
        <v>1446</v>
      </c>
      <c r="C16" s="12">
        <v>6435</v>
      </c>
      <c r="D16" s="12">
        <v>233</v>
      </c>
      <c r="E16" s="12">
        <v>266</v>
      </c>
      <c r="F16" s="12">
        <v>278</v>
      </c>
      <c r="G16" s="12">
        <v>222</v>
      </c>
      <c r="H16" s="12">
        <v>269</v>
      </c>
      <c r="I16" s="12">
        <v>333</v>
      </c>
      <c r="J16" s="12">
        <v>64</v>
      </c>
      <c r="K16" s="12">
        <v>249</v>
      </c>
      <c r="L16" s="12">
        <v>275</v>
      </c>
      <c r="M16" s="12">
        <v>262</v>
      </c>
      <c r="N16" s="12">
        <v>276</v>
      </c>
      <c r="O16" s="12">
        <v>225</v>
      </c>
      <c r="P16" s="12">
        <v>242</v>
      </c>
      <c r="Q16" s="12">
        <v>253</v>
      </c>
      <c r="R16" s="12">
        <v>124</v>
      </c>
      <c r="S16" s="12">
        <v>245</v>
      </c>
      <c r="T16" s="12">
        <v>245</v>
      </c>
      <c r="U16" s="12">
        <v>131</v>
      </c>
      <c r="V16" s="12">
        <v>279</v>
      </c>
      <c r="W16" s="12">
        <v>119</v>
      </c>
      <c r="X16" s="12">
        <v>231</v>
      </c>
      <c r="Y16" s="12">
        <v>238</v>
      </c>
      <c r="Z16" s="12">
        <v>266</v>
      </c>
      <c r="AA16" s="12">
        <v>264</v>
      </c>
      <c r="AB16" s="12">
        <v>280</v>
      </c>
      <c r="AC16" s="12">
        <v>260</v>
      </c>
      <c r="AD16" s="12">
        <v>278</v>
      </c>
      <c r="AE16" s="12">
        <v>216</v>
      </c>
      <c r="AF16" s="12">
        <v>251</v>
      </c>
    </row>
    <row r="17" spans="1:32">
      <c r="A17" s="20"/>
      <c r="B17" s="13" t="s">
        <v>1446</v>
      </c>
      <c r="C17" s="14">
        <v>0.24</v>
      </c>
      <c r="D17" s="14">
        <v>0.23</v>
      </c>
      <c r="E17" s="14">
        <v>0.26</v>
      </c>
      <c r="F17" s="14">
        <v>0.28000000000000003</v>
      </c>
      <c r="G17" s="14">
        <v>0.22</v>
      </c>
      <c r="H17" s="14">
        <v>0.22</v>
      </c>
      <c r="I17" s="14">
        <v>0.22</v>
      </c>
      <c r="J17" s="14">
        <v>0.22</v>
      </c>
      <c r="K17" s="14">
        <v>0.25</v>
      </c>
      <c r="L17" s="14">
        <v>0.27</v>
      </c>
      <c r="M17" s="14">
        <v>0.26</v>
      </c>
      <c r="N17" s="14">
        <v>0.28000000000000003</v>
      </c>
      <c r="O17" s="14">
        <v>0.22</v>
      </c>
      <c r="P17" s="14">
        <v>0.24</v>
      </c>
      <c r="Q17" s="14">
        <v>0.25</v>
      </c>
      <c r="R17" s="14">
        <v>0.25</v>
      </c>
      <c r="S17" s="14">
        <v>0.24</v>
      </c>
      <c r="T17" s="14">
        <v>0.24</v>
      </c>
      <c r="U17" s="14">
        <v>0.26</v>
      </c>
      <c r="V17" s="14">
        <v>0.28000000000000003</v>
      </c>
      <c r="W17" s="14">
        <v>0.24</v>
      </c>
      <c r="X17" s="14">
        <v>0.23</v>
      </c>
      <c r="Y17" s="14">
        <v>0.24</v>
      </c>
      <c r="Z17" s="14">
        <v>0.26</v>
      </c>
      <c r="AA17" s="14">
        <v>0.25</v>
      </c>
      <c r="AB17" s="14">
        <v>0.27</v>
      </c>
      <c r="AC17" s="14">
        <v>0.26</v>
      </c>
      <c r="AD17" s="14">
        <v>0.27</v>
      </c>
      <c r="AE17" s="14">
        <v>0.22</v>
      </c>
      <c r="AF17" s="14">
        <v>0.25</v>
      </c>
    </row>
    <row r="18" spans="1:32">
      <c r="A18" s="20"/>
      <c r="B18" s="11" t="s">
        <v>1447</v>
      </c>
      <c r="C18" s="12">
        <v>10976</v>
      </c>
      <c r="D18" s="12">
        <v>397</v>
      </c>
      <c r="E18" s="12">
        <v>447</v>
      </c>
      <c r="F18" s="12">
        <v>387</v>
      </c>
      <c r="G18" s="12">
        <v>403</v>
      </c>
      <c r="H18" s="12">
        <v>529</v>
      </c>
      <c r="I18" s="12">
        <v>668</v>
      </c>
      <c r="J18" s="12">
        <v>139</v>
      </c>
      <c r="K18" s="12">
        <v>394</v>
      </c>
      <c r="L18" s="12">
        <v>334</v>
      </c>
      <c r="M18" s="12">
        <v>434</v>
      </c>
      <c r="N18" s="12">
        <v>400</v>
      </c>
      <c r="O18" s="12">
        <v>412</v>
      </c>
      <c r="P18" s="12">
        <v>443</v>
      </c>
      <c r="Q18" s="12">
        <v>462</v>
      </c>
      <c r="R18" s="12">
        <v>176</v>
      </c>
      <c r="S18" s="12">
        <v>420</v>
      </c>
      <c r="T18" s="12">
        <v>418</v>
      </c>
      <c r="U18" s="12">
        <v>167</v>
      </c>
      <c r="V18" s="12">
        <v>390</v>
      </c>
      <c r="W18" s="12">
        <v>166</v>
      </c>
      <c r="X18" s="12">
        <v>422</v>
      </c>
      <c r="Y18" s="12">
        <v>409</v>
      </c>
      <c r="Z18" s="12">
        <v>387</v>
      </c>
      <c r="AA18" s="12">
        <v>460</v>
      </c>
      <c r="AB18" s="12">
        <v>402</v>
      </c>
      <c r="AC18" s="12">
        <v>424</v>
      </c>
      <c r="AD18" s="12">
        <v>370</v>
      </c>
      <c r="AE18" s="12">
        <v>425</v>
      </c>
      <c r="AF18" s="12">
        <v>443</v>
      </c>
    </row>
    <row r="19" spans="1:32">
      <c r="A19" s="20"/>
      <c r="B19" s="13" t="s">
        <v>1447</v>
      </c>
      <c r="C19" s="14">
        <v>0.42</v>
      </c>
      <c r="D19" s="14">
        <v>0.4</v>
      </c>
      <c r="E19" s="14">
        <v>0.44</v>
      </c>
      <c r="F19" s="14">
        <v>0.38</v>
      </c>
      <c r="G19" s="14">
        <v>0.4</v>
      </c>
      <c r="H19" s="14">
        <v>0.44</v>
      </c>
      <c r="I19" s="14">
        <v>0.44</v>
      </c>
      <c r="J19" s="14">
        <v>0.47</v>
      </c>
      <c r="K19" s="14">
        <v>0.39</v>
      </c>
      <c r="L19" s="14">
        <v>0.33</v>
      </c>
      <c r="M19" s="14">
        <v>0.43</v>
      </c>
      <c r="N19" s="14">
        <v>0.4</v>
      </c>
      <c r="O19" s="14">
        <v>0.41</v>
      </c>
      <c r="P19" s="14">
        <v>0.43</v>
      </c>
      <c r="Q19" s="14">
        <v>0.45</v>
      </c>
      <c r="R19" s="14">
        <v>0.35</v>
      </c>
      <c r="S19" s="14">
        <v>0.42</v>
      </c>
      <c r="T19" s="14">
        <v>0.41</v>
      </c>
      <c r="U19" s="14">
        <v>0.33</v>
      </c>
      <c r="V19" s="14">
        <v>0.38</v>
      </c>
      <c r="W19" s="14">
        <v>0.33</v>
      </c>
      <c r="X19" s="14">
        <v>0.41</v>
      </c>
      <c r="Y19" s="14">
        <v>0.4</v>
      </c>
      <c r="Z19" s="14">
        <v>0.38</v>
      </c>
      <c r="AA19" s="14">
        <v>0.44</v>
      </c>
      <c r="AB19" s="14">
        <v>0.39</v>
      </c>
      <c r="AC19" s="14">
        <v>0.42</v>
      </c>
      <c r="AD19" s="14">
        <v>0.37</v>
      </c>
      <c r="AE19" s="14">
        <v>0.42</v>
      </c>
      <c r="AF19" s="14">
        <v>0.43</v>
      </c>
    </row>
    <row r="20" spans="1:32">
      <c r="A20" s="20"/>
      <c r="B20" s="11" t="s">
        <v>1448</v>
      </c>
      <c r="C20" s="12">
        <v>49.2</v>
      </c>
      <c r="D20" s="12">
        <v>48.15</v>
      </c>
      <c r="E20" s="12">
        <v>50.59</v>
      </c>
      <c r="F20" s="12">
        <v>48.53</v>
      </c>
      <c r="G20" s="12">
        <v>49.02</v>
      </c>
      <c r="H20" s="12">
        <v>49.81</v>
      </c>
      <c r="I20" s="12">
        <v>50.12</v>
      </c>
      <c r="J20" s="12">
        <v>51.37</v>
      </c>
      <c r="K20" s="12">
        <v>48.78</v>
      </c>
      <c r="L20" s="12">
        <v>46.12</v>
      </c>
      <c r="M20" s="12">
        <v>49.79</v>
      </c>
      <c r="N20" s="12">
        <v>48.8</v>
      </c>
      <c r="O20" s="12">
        <v>48.51</v>
      </c>
      <c r="P20" s="12">
        <v>49.11</v>
      </c>
      <c r="Q20" s="12">
        <v>50.34</v>
      </c>
      <c r="R20" s="12">
        <v>47.24</v>
      </c>
      <c r="S20" s="12">
        <v>49.67</v>
      </c>
      <c r="T20" s="12">
        <v>49.5</v>
      </c>
      <c r="U20" s="12">
        <v>45.96</v>
      </c>
      <c r="V20" s="12">
        <v>48.29</v>
      </c>
      <c r="W20" s="12">
        <v>45.87</v>
      </c>
      <c r="X20" s="12">
        <v>48.38</v>
      </c>
      <c r="Y20" s="12">
        <v>48.49</v>
      </c>
      <c r="Z20" s="12">
        <v>48.25</v>
      </c>
      <c r="AA20" s="12">
        <v>50.32</v>
      </c>
      <c r="AB20" s="12">
        <v>47.92</v>
      </c>
      <c r="AC20" s="12">
        <v>50.09</v>
      </c>
      <c r="AD20" s="12">
        <v>47.46</v>
      </c>
      <c r="AE20" s="12">
        <v>49.76</v>
      </c>
      <c r="AF20" s="12">
        <v>51.83</v>
      </c>
    </row>
    <row r="21" spans="1:32">
      <c r="A21" s="20"/>
      <c r="B21" s="13" t="s">
        <v>1449</v>
      </c>
      <c r="C21" s="15" t="s">
        <v>459</v>
      </c>
      <c r="D21" s="15" t="s">
        <v>459</v>
      </c>
      <c r="E21" s="15" t="s">
        <v>459</v>
      </c>
      <c r="F21" s="15" t="s">
        <v>459</v>
      </c>
      <c r="G21" s="15" t="s">
        <v>459</v>
      </c>
      <c r="H21" s="15" t="s">
        <v>459</v>
      </c>
      <c r="I21" s="15" t="s">
        <v>459</v>
      </c>
      <c r="J21" s="15" t="s">
        <v>459</v>
      </c>
      <c r="K21" s="15" t="s">
        <v>459</v>
      </c>
      <c r="L21" s="15" t="s">
        <v>459</v>
      </c>
      <c r="M21" s="15" t="s">
        <v>459</v>
      </c>
      <c r="N21" s="15" t="s">
        <v>459</v>
      </c>
      <c r="O21" s="15" t="s">
        <v>459</v>
      </c>
      <c r="P21" s="15" t="s">
        <v>459</v>
      </c>
      <c r="Q21" s="15" t="s">
        <v>459</v>
      </c>
      <c r="R21" s="15" t="s">
        <v>459</v>
      </c>
      <c r="S21" s="15" t="s">
        <v>459</v>
      </c>
      <c r="T21" s="15" t="s">
        <v>459</v>
      </c>
      <c r="U21" s="15" t="s">
        <v>459</v>
      </c>
      <c r="V21" s="15" t="s">
        <v>459</v>
      </c>
      <c r="W21" s="15" t="s">
        <v>459</v>
      </c>
      <c r="X21" s="15" t="s">
        <v>459</v>
      </c>
      <c r="Y21" s="15" t="s">
        <v>459</v>
      </c>
      <c r="Z21" s="15" t="s">
        <v>459</v>
      </c>
      <c r="AA21" s="15" t="s">
        <v>459</v>
      </c>
      <c r="AB21" s="15" t="s">
        <v>459</v>
      </c>
      <c r="AC21" s="15" t="s">
        <v>459</v>
      </c>
      <c r="AD21" s="15" t="s">
        <v>459</v>
      </c>
      <c r="AE21" s="15" t="s">
        <v>459</v>
      </c>
      <c r="AF21" s="15" t="s">
        <v>459</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333</v>
      </c>
      <c r="C3" s="18"/>
      <c r="D3" s="18"/>
      <c r="E3" s="18"/>
      <c r="F3" s="18"/>
      <c r="H3" s="18" t="s">
        <v>334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1444</v>
      </c>
      <c r="C12" s="12">
        <v>3252</v>
      </c>
      <c r="D12" s="12">
        <v>140</v>
      </c>
      <c r="E12" s="12">
        <v>109</v>
      </c>
      <c r="F12" s="12">
        <v>122</v>
      </c>
      <c r="G12" s="12">
        <v>145</v>
      </c>
      <c r="H12" s="12">
        <v>145</v>
      </c>
      <c r="I12" s="12">
        <v>175</v>
      </c>
      <c r="J12" s="12">
        <v>31</v>
      </c>
      <c r="K12" s="12">
        <v>124</v>
      </c>
      <c r="L12" s="12">
        <v>157</v>
      </c>
      <c r="M12" s="12">
        <v>120</v>
      </c>
      <c r="N12" s="12">
        <v>125</v>
      </c>
      <c r="O12" s="12">
        <v>147</v>
      </c>
      <c r="P12" s="12">
        <v>121</v>
      </c>
      <c r="Q12" s="12">
        <v>116</v>
      </c>
      <c r="R12" s="12">
        <v>61</v>
      </c>
      <c r="S12" s="12">
        <v>121</v>
      </c>
      <c r="T12" s="12">
        <v>113</v>
      </c>
      <c r="U12" s="12">
        <v>66</v>
      </c>
      <c r="V12" s="12">
        <v>125</v>
      </c>
      <c r="W12" s="12">
        <v>56</v>
      </c>
      <c r="X12" s="12">
        <v>150</v>
      </c>
      <c r="Y12" s="12">
        <v>122</v>
      </c>
      <c r="Z12" s="12">
        <v>116</v>
      </c>
      <c r="AA12" s="12">
        <v>125</v>
      </c>
      <c r="AB12" s="12">
        <v>135</v>
      </c>
      <c r="AC12" s="12">
        <v>115</v>
      </c>
      <c r="AD12" s="12">
        <v>117</v>
      </c>
      <c r="AE12" s="12">
        <v>131</v>
      </c>
      <c r="AF12" s="12">
        <v>56</v>
      </c>
    </row>
    <row r="13" spans="1:32">
      <c r="A13" s="20"/>
      <c r="B13" s="13" t="s">
        <v>1444</v>
      </c>
      <c r="C13" s="14">
        <v>0.13</v>
      </c>
      <c r="D13" s="14">
        <v>0.14000000000000001</v>
      </c>
      <c r="E13" s="14">
        <v>0.11</v>
      </c>
      <c r="F13" s="14">
        <v>0.12</v>
      </c>
      <c r="G13" s="14">
        <v>0.14000000000000001</v>
      </c>
      <c r="H13" s="14">
        <v>0.12</v>
      </c>
      <c r="I13" s="14">
        <v>0.12</v>
      </c>
      <c r="J13" s="14">
        <v>0.1</v>
      </c>
      <c r="K13" s="14">
        <v>0.12</v>
      </c>
      <c r="L13" s="14">
        <v>0.16</v>
      </c>
      <c r="M13" s="14">
        <v>0.12</v>
      </c>
      <c r="N13" s="14">
        <v>0.13</v>
      </c>
      <c r="O13" s="14">
        <v>0.15</v>
      </c>
      <c r="P13" s="14">
        <v>0.12</v>
      </c>
      <c r="Q13" s="14">
        <v>0.11</v>
      </c>
      <c r="R13" s="14">
        <v>0.12</v>
      </c>
      <c r="S13" s="14">
        <v>0.12</v>
      </c>
      <c r="T13" s="14">
        <v>0.11</v>
      </c>
      <c r="U13" s="14">
        <v>0.13</v>
      </c>
      <c r="V13" s="14">
        <v>0.12</v>
      </c>
      <c r="W13" s="14">
        <v>0.11</v>
      </c>
      <c r="X13" s="14">
        <v>0.15</v>
      </c>
      <c r="Y13" s="14">
        <v>0.12</v>
      </c>
      <c r="Z13" s="14">
        <v>0.12</v>
      </c>
      <c r="AA13" s="14">
        <v>0.12</v>
      </c>
      <c r="AB13" s="14">
        <v>0.13</v>
      </c>
      <c r="AC13" s="14">
        <v>0.11</v>
      </c>
      <c r="AD13" s="14">
        <v>0.12</v>
      </c>
      <c r="AE13" s="14">
        <v>0.13</v>
      </c>
      <c r="AF13" s="14">
        <v>0.06</v>
      </c>
    </row>
    <row r="14" spans="1:32">
      <c r="A14" s="20"/>
      <c r="B14" s="11" t="s">
        <v>1450</v>
      </c>
      <c r="C14" s="12">
        <v>3413</v>
      </c>
      <c r="D14" s="12">
        <v>129</v>
      </c>
      <c r="E14" s="12">
        <v>109</v>
      </c>
      <c r="F14" s="12">
        <v>128</v>
      </c>
      <c r="G14" s="12">
        <v>122</v>
      </c>
      <c r="H14" s="12">
        <v>166</v>
      </c>
      <c r="I14" s="12">
        <v>195</v>
      </c>
      <c r="J14" s="12">
        <v>29</v>
      </c>
      <c r="K14" s="12">
        <v>134</v>
      </c>
      <c r="L14" s="12">
        <v>148</v>
      </c>
      <c r="M14" s="12">
        <v>112</v>
      </c>
      <c r="N14" s="12">
        <v>131</v>
      </c>
      <c r="O14" s="12">
        <v>148</v>
      </c>
      <c r="P14" s="12">
        <v>139</v>
      </c>
      <c r="Q14" s="12">
        <v>111</v>
      </c>
      <c r="R14" s="12">
        <v>79</v>
      </c>
      <c r="S14" s="12">
        <v>147</v>
      </c>
      <c r="T14" s="12">
        <v>128</v>
      </c>
      <c r="U14" s="12">
        <v>75</v>
      </c>
      <c r="V14" s="12">
        <v>136</v>
      </c>
      <c r="W14" s="12">
        <v>116</v>
      </c>
      <c r="X14" s="12">
        <v>135</v>
      </c>
      <c r="Y14" s="12">
        <v>148</v>
      </c>
      <c r="Z14" s="12">
        <v>134</v>
      </c>
      <c r="AA14" s="12">
        <v>117</v>
      </c>
      <c r="AB14" s="12">
        <v>114</v>
      </c>
      <c r="AC14" s="12">
        <v>121</v>
      </c>
      <c r="AD14" s="12">
        <v>157</v>
      </c>
      <c r="AE14" s="12">
        <v>148</v>
      </c>
      <c r="AF14" s="12">
        <v>160</v>
      </c>
    </row>
    <row r="15" spans="1:32">
      <c r="A15" s="20"/>
      <c r="B15" s="13" t="s">
        <v>1450</v>
      </c>
      <c r="C15" s="14">
        <v>0.13</v>
      </c>
      <c r="D15" s="14">
        <v>0.13</v>
      </c>
      <c r="E15" s="14">
        <v>0.1</v>
      </c>
      <c r="F15" s="14">
        <v>0.13</v>
      </c>
      <c r="G15" s="14">
        <v>0.12</v>
      </c>
      <c r="H15" s="14">
        <v>0.13</v>
      </c>
      <c r="I15" s="14">
        <v>0.13</v>
      </c>
      <c r="J15" s="14">
        <v>0.1</v>
      </c>
      <c r="K15" s="14">
        <v>0.13</v>
      </c>
      <c r="L15" s="14">
        <v>0.15</v>
      </c>
      <c r="M15" s="14">
        <v>0.11</v>
      </c>
      <c r="N15" s="14">
        <v>0.13</v>
      </c>
      <c r="O15" s="14">
        <v>0.15</v>
      </c>
      <c r="P15" s="14">
        <v>0.14000000000000001</v>
      </c>
      <c r="Q15" s="14">
        <v>0.11</v>
      </c>
      <c r="R15" s="14">
        <v>0.16</v>
      </c>
      <c r="S15" s="14">
        <v>0.15</v>
      </c>
      <c r="T15" s="14">
        <v>0.13</v>
      </c>
      <c r="U15" s="14">
        <v>0.15</v>
      </c>
      <c r="V15" s="14">
        <v>0.13</v>
      </c>
      <c r="W15" s="14">
        <v>0.23</v>
      </c>
      <c r="X15" s="14">
        <v>0.13</v>
      </c>
      <c r="Y15" s="14">
        <v>0.15</v>
      </c>
      <c r="Z15" s="14">
        <v>0.13</v>
      </c>
      <c r="AA15" s="14">
        <v>0.11</v>
      </c>
      <c r="AB15" s="14">
        <v>0.11</v>
      </c>
      <c r="AC15" s="14">
        <v>0.12</v>
      </c>
      <c r="AD15" s="14">
        <v>0.16</v>
      </c>
      <c r="AE15" s="14">
        <v>0.15</v>
      </c>
      <c r="AF15" s="14">
        <v>0.16</v>
      </c>
    </row>
    <row r="16" spans="1:32">
      <c r="A16" s="20"/>
      <c r="B16" s="11" t="s">
        <v>1451</v>
      </c>
      <c r="C16" s="12">
        <v>4247</v>
      </c>
      <c r="D16" s="12">
        <v>172</v>
      </c>
      <c r="E16" s="12">
        <v>152</v>
      </c>
      <c r="F16" s="12">
        <v>178</v>
      </c>
      <c r="G16" s="12">
        <v>170</v>
      </c>
      <c r="H16" s="12">
        <v>192</v>
      </c>
      <c r="I16" s="12">
        <v>244</v>
      </c>
      <c r="J16" s="12">
        <v>52</v>
      </c>
      <c r="K16" s="12">
        <v>186</v>
      </c>
      <c r="L16" s="12">
        <v>187</v>
      </c>
      <c r="M16" s="12">
        <v>150</v>
      </c>
      <c r="N16" s="12">
        <v>163</v>
      </c>
      <c r="O16" s="12">
        <v>142</v>
      </c>
      <c r="P16" s="12">
        <v>151</v>
      </c>
      <c r="Q16" s="12">
        <v>150</v>
      </c>
      <c r="R16" s="12">
        <v>102</v>
      </c>
      <c r="S16" s="12">
        <v>139</v>
      </c>
      <c r="T16" s="12">
        <v>187</v>
      </c>
      <c r="U16" s="12">
        <v>108</v>
      </c>
      <c r="V16" s="12">
        <v>159</v>
      </c>
      <c r="W16" s="12">
        <v>73</v>
      </c>
      <c r="X16" s="12">
        <v>158</v>
      </c>
      <c r="Y16" s="12">
        <v>176</v>
      </c>
      <c r="Z16" s="12">
        <v>193</v>
      </c>
      <c r="AA16" s="12">
        <v>144</v>
      </c>
      <c r="AB16" s="12">
        <v>211</v>
      </c>
      <c r="AC16" s="12">
        <v>167</v>
      </c>
      <c r="AD16" s="12">
        <v>175</v>
      </c>
      <c r="AE16" s="12">
        <v>153</v>
      </c>
      <c r="AF16" s="12">
        <v>186</v>
      </c>
    </row>
    <row r="17" spans="1:32">
      <c r="A17" s="20"/>
      <c r="B17" s="13" t="s">
        <v>1451</v>
      </c>
      <c r="C17" s="14">
        <v>0.16</v>
      </c>
      <c r="D17" s="14">
        <v>0.17</v>
      </c>
      <c r="E17" s="14">
        <v>0.15</v>
      </c>
      <c r="F17" s="14">
        <v>0.18</v>
      </c>
      <c r="G17" s="14">
        <v>0.17</v>
      </c>
      <c r="H17" s="14">
        <v>0.16</v>
      </c>
      <c r="I17" s="14">
        <v>0.16</v>
      </c>
      <c r="J17" s="14">
        <v>0.18</v>
      </c>
      <c r="K17" s="14">
        <v>0.19</v>
      </c>
      <c r="L17" s="14">
        <v>0.19</v>
      </c>
      <c r="M17" s="14">
        <v>0.15</v>
      </c>
      <c r="N17" s="14">
        <v>0.16</v>
      </c>
      <c r="O17" s="14">
        <v>0.14000000000000001</v>
      </c>
      <c r="P17" s="14">
        <v>0.15</v>
      </c>
      <c r="Q17" s="14">
        <v>0.15</v>
      </c>
      <c r="R17" s="14">
        <v>0.2</v>
      </c>
      <c r="S17" s="14">
        <v>0.14000000000000001</v>
      </c>
      <c r="T17" s="14">
        <v>0.18</v>
      </c>
      <c r="U17" s="14">
        <v>0.21</v>
      </c>
      <c r="V17" s="14">
        <v>0.16</v>
      </c>
      <c r="W17" s="14">
        <v>0.15</v>
      </c>
      <c r="X17" s="14">
        <v>0.15</v>
      </c>
      <c r="Y17" s="14">
        <v>0.17</v>
      </c>
      <c r="Z17" s="14">
        <v>0.19</v>
      </c>
      <c r="AA17" s="14">
        <v>0.14000000000000001</v>
      </c>
      <c r="AB17" s="14">
        <v>0.2</v>
      </c>
      <c r="AC17" s="14">
        <v>0.17</v>
      </c>
      <c r="AD17" s="14">
        <v>0.17</v>
      </c>
      <c r="AE17" s="14">
        <v>0.15</v>
      </c>
      <c r="AF17" s="14">
        <v>0.18</v>
      </c>
    </row>
    <row r="18" spans="1:32">
      <c r="A18" s="20"/>
      <c r="B18" s="11" t="s">
        <v>1452</v>
      </c>
      <c r="C18" s="12">
        <v>4431</v>
      </c>
      <c r="D18" s="12">
        <v>165</v>
      </c>
      <c r="E18" s="12">
        <v>201</v>
      </c>
      <c r="F18" s="12">
        <v>191</v>
      </c>
      <c r="G18" s="12">
        <v>164</v>
      </c>
      <c r="H18" s="12">
        <v>185</v>
      </c>
      <c r="I18" s="12">
        <v>228</v>
      </c>
      <c r="J18" s="12">
        <v>44</v>
      </c>
      <c r="K18" s="12">
        <v>168</v>
      </c>
      <c r="L18" s="12">
        <v>181</v>
      </c>
      <c r="M18" s="12">
        <v>188</v>
      </c>
      <c r="N18" s="12">
        <v>185</v>
      </c>
      <c r="O18" s="12">
        <v>154</v>
      </c>
      <c r="P18" s="12">
        <v>168</v>
      </c>
      <c r="Q18" s="12">
        <v>180</v>
      </c>
      <c r="R18" s="12">
        <v>81</v>
      </c>
      <c r="S18" s="12">
        <v>181</v>
      </c>
      <c r="T18" s="12">
        <v>168</v>
      </c>
      <c r="U18" s="12">
        <v>90</v>
      </c>
      <c r="V18" s="12">
        <v>206</v>
      </c>
      <c r="W18" s="12">
        <v>92</v>
      </c>
      <c r="X18" s="12">
        <v>155</v>
      </c>
      <c r="Y18" s="12">
        <v>153</v>
      </c>
      <c r="Z18" s="12">
        <v>178</v>
      </c>
      <c r="AA18" s="12">
        <v>207</v>
      </c>
      <c r="AB18" s="12">
        <v>177</v>
      </c>
      <c r="AC18" s="12">
        <v>184</v>
      </c>
      <c r="AD18" s="12">
        <v>186</v>
      </c>
      <c r="AE18" s="12">
        <v>144</v>
      </c>
      <c r="AF18" s="12">
        <v>175</v>
      </c>
    </row>
    <row r="19" spans="1:32">
      <c r="A19" s="20"/>
      <c r="B19" s="13" t="s">
        <v>1452</v>
      </c>
      <c r="C19" s="14">
        <v>0.17</v>
      </c>
      <c r="D19" s="14">
        <v>0.16</v>
      </c>
      <c r="E19" s="14">
        <v>0.2</v>
      </c>
      <c r="F19" s="14">
        <v>0.19</v>
      </c>
      <c r="G19" s="14">
        <v>0.16</v>
      </c>
      <c r="H19" s="14">
        <v>0.15</v>
      </c>
      <c r="I19" s="14">
        <v>0.15</v>
      </c>
      <c r="J19" s="14">
        <v>0.15</v>
      </c>
      <c r="K19" s="14">
        <v>0.17</v>
      </c>
      <c r="L19" s="14">
        <v>0.18</v>
      </c>
      <c r="M19" s="14">
        <v>0.19</v>
      </c>
      <c r="N19" s="14">
        <v>0.19</v>
      </c>
      <c r="O19" s="14">
        <v>0.15</v>
      </c>
      <c r="P19" s="14">
        <v>0.16</v>
      </c>
      <c r="Q19" s="14">
        <v>0.18</v>
      </c>
      <c r="R19" s="14">
        <v>0.16</v>
      </c>
      <c r="S19" s="14">
        <v>0.18</v>
      </c>
      <c r="T19" s="14">
        <v>0.17</v>
      </c>
      <c r="U19" s="14">
        <v>0.18</v>
      </c>
      <c r="V19" s="14">
        <v>0.2</v>
      </c>
      <c r="W19" s="14">
        <v>0.18</v>
      </c>
      <c r="X19" s="14">
        <v>0.15</v>
      </c>
      <c r="Y19" s="14">
        <v>0.15</v>
      </c>
      <c r="Z19" s="14">
        <v>0.18</v>
      </c>
      <c r="AA19" s="14">
        <v>0.2</v>
      </c>
      <c r="AB19" s="14">
        <v>0.17</v>
      </c>
      <c r="AC19" s="14">
        <v>0.18</v>
      </c>
      <c r="AD19" s="14">
        <v>0.19</v>
      </c>
      <c r="AE19" s="14">
        <v>0.14000000000000001</v>
      </c>
      <c r="AF19" s="14">
        <v>0.17</v>
      </c>
    </row>
    <row r="20" spans="1:32">
      <c r="A20" s="20"/>
      <c r="B20" s="11" t="s">
        <v>1453</v>
      </c>
      <c r="C20" s="12">
        <v>4286</v>
      </c>
      <c r="D20" s="12">
        <v>158</v>
      </c>
      <c r="E20" s="12">
        <v>166</v>
      </c>
      <c r="F20" s="12">
        <v>142</v>
      </c>
      <c r="G20" s="12">
        <v>157</v>
      </c>
      <c r="H20" s="12">
        <v>221</v>
      </c>
      <c r="I20" s="12">
        <v>275</v>
      </c>
      <c r="J20" s="12">
        <v>53</v>
      </c>
      <c r="K20" s="12">
        <v>149</v>
      </c>
      <c r="L20" s="12">
        <v>142</v>
      </c>
      <c r="M20" s="12">
        <v>164</v>
      </c>
      <c r="N20" s="12">
        <v>164</v>
      </c>
      <c r="O20" s="12">
        <v>152</v>
      </c>
      <c r="P20" s="12">
        <v>169</v>
      </c>
      <c r="Q20" s="12">
        <v>180</v>
      </c>
      <c r="R20" s="12">
        <v>72</v>
      </c>
      <c r="S20" s="12">
        <v>165</v>
      </c>
      <c r="T20" s="12">
        <v>176</v>
      </c>
      <c r="U20" s="12">
        <v>77</v>
      </c>
      <c r="V20" s="12">
        <v>144</v>
      </c>
      <c r="W20" s="12">
        <v>61</v>
      </c>
      <c r="X20" s="12">
        <v>169</v>
      </c>
      <c r="Y20" s="12">
        <v>176</v>
      </c>
      <c r="Z20" s="12">
        <v>144</v>
      </c>
      <c r="AA20" s="12">
        <v>169</v>
      </c>
      <c r="AB20" s="12">
        <v>155</v>
      </c>
      <c r="AC20" s="12">
        <v>166</v>
      </c>
      <c r="AD20" s="12">
        <v>150</v>
      </c>
      <c r="AE20" s="12">
        <v>151</v>
      </c>
      <c r="AF20" s="12">
        <v>163</v>
      </c>
    </row>
    <row r="21" spans="1:32">
      <c r="A21" s="20"/>
      <c r="B21" s="13" t="s">
        <v>1453</v>
      </c>
      <c r="C21" s="14">
        <v>0.16</v>
      </c>
      <c r="D21" s="14">
        <v>0.16</v>
      </c>
      <c r="E21" s="14">
        <v>0.16</v>
      </c>
      <c r="F21" s="14">
        <v>0.14000000000000001</v>
      </c>
      <c r="G21" s="14">
        <v>0.16</v>
      </c>
      <c r="H21" s="14">
        <v>0.18</v>
      </c>
      <c r="I21" s="14">
        <v>0.18</v>
      </c>
      <c r="J21" s="14">
        <v>0.18</v>
      </c>
      <c r="K21" s="14">
        <v>0.15</v>
      </c>
      <c r="L21" s="14">
        <v>0.14000000000000001</v>
      </c>
      <c r="M21" s="14">
        <v>0.16</v>
      </c>
      <c r="N21" s="14">
        <v>0.16</v>
      </c>
      <c r="O21" s="14">
        <v>0.15</v>
      </c>
      <c r="P21" s="14">
        <v>0.17</v>
      </c>
      <c r="Q21" s="14">
        <v>0.17</v>
      </c>
      <c r="R21" s="14">
        <v>0.14000000000000001</v>
      </c>
      <c r="S21" s="14">
        <v>0.16</v>
      </c>
      <c r="T21" s="14">
        <v>0.17</v>
      </c>
      <c r="U21" s="14">
        <v>0.15</v>
      </c>
      <c r="V21" s="14">
        <v>0.14000000000000001</v>
      </c>
      <c r="W21" s="14">
        <v>0.12</v>
      </c>
      <c r="X21" s="14">
        <v>0.17</v>
      </c>
      <c r="Y21" s="14">
        <v>0.17</v>
      </c>
      <c r="Z21" s="14">
        <v>0.14000000000000001</v>
      </c>
      <c r="AA21" s="14">
        <v>0.16</v>
      </c>
      <c r="AB21" s="14">
        <v>0.15</v>
      </c>
      <c r="AC21" s="14">
        <v>0.16</v>
      </c>
      <c r="AD21" s="14">
        <v>0.15</v>
      </c>
      <c r="AE21" s="14">
        <v>0.15</v>
      </c>
      <c r="AF21" s="14">
        <v>0.16</v>
      </c>
    </row>
    <row r="22" spans="1:32">
      <c r="A22" s="20"/>
      <c r="B22" s="11" t="s">
        <v>1454</v>
      </c>
      <c r="C22" s="12">
        <v>4300</v>
      </c>
      <c r="D22" s="12">
        <v>149</v>
      </c>
      <c r="E22" s="12">
        <v>192</v>
      </c>
      <c r="F22" s="12">
        <v>165</v>
      </c>
      <c r="G22" s="12">
        <v>118</v>
      </c>
      <c r="H22" s="12">
        <v>166</v>
      </c>
      <c r="I22" s="12">
        <v>222</v>
      </c>
      <c r="J22" s="12">
        <v>56</v>
      </c>
      <c r="K22" s="12">
        <v>145</v>
      </c>
      <c r="L22" s="12">
        <v>116</v>
      </c>
      <c r="M22" s="12">
        <v>178</v>
      </c>
      <c r="N22" s="12">
        <v>154</v>
      </c>
      <c r="O22" s="12">
        <v>159</v>
      </c>
      <c r="P22" s="12">
        <v>209</v>
      </c>
      <c r="Q22" s="12">
        <v>205</v>
      </c>
      <c r="R22" s="12">
        <v>62</v>
      </c>
      <c r="S22" s="12">
        <v>140</v>
      </c>
      <c r="T22" s="12">
        <v>122</v>
      </c>
      <c r="U22" s="12">
        <v>61</v>
      </c>
      <c r="V22" s="12">
        <v>180</v>
      </c>
      <c r="W22" s="12">
        <v>63</v>
      </c>
      <c r="X22" s="12">
        <v>175</v>
      </c>
      <c r="Y22" s="12">
        <v>168</v>
      </c>
      <c r="Z22" s="12">
        <v>171</v>
      </c>
      <c r="AA22" s="12">
        <v>171</v>
      </c>
      <c r="AB22" s="12">
        <v>198</v>
      </c>
      <c r="AC22" s="12">
        <v>142</v>
      </c>
      <c r="AD22" s="12">
        <v>166</v>
      </c>
      <c r="AE22" s="12">
        <v>160</v>
      </c>
      <c r="AF22" s="12">
        <v>116</v>
      </c>
    </row>
    <row r="23" spans="1:32">
      <c r="A23" s="20"/>
      <c r="B23" s="13" t="s">
        <v>1454</v>
      </c>
      <c r="C23" s="14">
        <v>0.16</v>
      </c>
      <c r="D23" s="14">
        <v>0.15</v>
      </c>
      <c r="E23" s="14">
        <v>0.19</v>
      </c>
      <c r="F23" s="14">
        <v>0.16</v>
      </c>
      <c r="G23" s="14">
        <v>0.12</v>
      </c>
      <c r="H23" s="14">
        <v>0.14000000000000001</v>
      </c>
      <c r="I23" s="14">
        <v>0.15</v>
      </c>
      <c r="J23" s="14">
        <v>0.19</v>
      </c>
      <c r="K23" s="14">
        <v>0.14000000000000001</v>
      </c>
      <c r="L23" s="14">
        <v>0.11</v>
      </c>
      <c r="M23" s="14">
        <v>0.18</v>
      </c>
      <c r="N23" s="14">
        <v>0.15</v>
      </c>
      <c r="O23" s="14">
        <v>0.16</v>
      </c>
      <c r="P23" s="14">
        <v>0.2</v>
      </c>
      <c r="Q23" s="14">
        <v>0.2</v>
      </c>
      <c r="R23" s="14">
        <v>0.13</v>
      </c>
      <c r="S23" s="14">
        <v>0.14000000000000001</v>
      </c>
      <c r="T23" s="14">
        <v>0.12</v>
      </c>
      <c r="U23" s="14">
        <v>0.12</v>
      </c>
      <c r="V23" s="14">
        <v>0.18</v>
      </c>
      <c r="W23" s="14">
        <v>0.13</v>
      </c>
      <c r="X23" s="14">
        <v>0.17</v>
      </c>
      <c r="Y23" s="14">
        <v>0.17</v>
      </c>
      <c r="Z23" s="14">
        <v>0.17</v>
      </c>
      <c r="AA23" s="14">
        <v>0.16</v>
      </c>
      <c r="AB23" s="14">
        <v>0.19</v>
      </c>
      <c r="AC23" s="14">
        <v>0.14000000000000001</v>
      </c>
      <c r="AD23" s="14">
        <v>0.16</v>
      </c>
      <c r="AE23" s="14">
        <v>0.16</v>
      </c>
      <c r="AF23" s="14">
        <v>0.11</v>
      </c>
    </row>
    <row r="24" spans="1:32">
      <c r="A24" s="20"/>
      <c r="B24" s="11" t="s">
        <v>1455</v>
      </c>
      <c r="C24" s="12">
        <v>2389</v>
      </c>
      <c r="D24" s="12">
        <v>90</v>
      </c>
      <c r="E24" s="12">
        <v>90</v>
      </c>
      <c r="F24" s="12">
        <v>80</v>
      </c>
      <c r="G24" s="12">
        <v>128</v>
      </c>
      <c r="H24" s="12">
        <v>142</v>
      </c>
      <c r="I24" s="12">
        <v>171</v>
      </c>
      <c r="J24" s="12">
        <v>30</v>
      </c>
      <c r="K24" s="12">
        <v>100</v>
      </c>
      <c r="L24" s="12">
        <v>76</v>
      </c>
      <c r="M24" s="12">
        <v>91</v>
      </c>
      <c r="N24" s="12">
        <v>83</v>
      </c>
      <c r="O24" s="12">
        <v>101</v>
      </c>
      <c r="P24" s="12">
        <v>65</v>
      </c>
      <c r="Q24" s="12">
        <v>78</v>
      </c>
      <c r="R24" s="12">
        <v>42</v>
      </c>
      <c r="S24" s="12">
        <v>115</v>
      </c>
      <c r="T24" s="12">
        <v>120</v>
      </c>
      <c r="U24" s="12">
        <v>29</v>
      </c>
      <c r="V24" s="12">
        <v>66</v>
      </c>
      <c r="W24" s="12">
        <v>42</v>
      </c>
      <c r="X24" s="12">
        <v>78</v>
      </c>
      <c r="Y24" s="12">
        <v>66</v>
      </c>
      <c r="Z24" s="12">
        <v>72</v>
      </c>
      <c r="AA24" s="12">
        <v>120</v>
      </c>
      <c r="AB24" s="12">
        <v>50</v>
      </c>
      <c r="AC24" s="12">
        <v>115</v>
      </c>
      <c r="AD24" s="12">
        <v>54</v>
      </c>
      <c r="AE24" s="12">
        <v>115</v>
      </c>
      <c r="AF24" s="12">
        <v>164</v>
      </c>
    </row>
    <row r="25" spans="1:32">
      <c r="A25" s="20"/>
      <c r="B25" s="13" t="s">
        <v>1455</v>
      </c>
      <c r="C25" s="14">
        <v>0.09</v>
      </c>
      <c r="D25" s="14">
        <v>0.09</v>
      </c>
      <c r="E25" s="14">
        <v>0.09</v>
      </c>
      <c r="F25" s="14">
        <v>0.08</v>
      </c>
      <c r="G25" s="14">
        <v>0.13</v>
      </c>
      <c r="H25" s="14">
        <v>0.12</v>
      </c>
      <c r="I25" s="14">
        <v>0.11</v>
      </c>
      <c r="J25" s="14">
        <v>0.1</v>
      </c>
      <c r="K25" s="14">
        <v>0.1</v>
      </c>
      <c r="L25" s="14">
        <v>7.0000000000000007E-2</v>
      </c>
      <c r="M25" s="14">
        <v>0.09</v>
      </c>
      <c r="N25" s="14">
        <v>0.08</v>
      </c>
      <c r="O25" s="14">
        <v>0.1</v>
      </c>
      <c r="P25" s="14">
        <v>0.06</v>
      </c>
      <c r="Q25" s="14">
        <v>0.08</v>
      </c>
      <c r="R25" s="14">
        <v>0.09</v>
      </c>
      <c r="S25" s="14">
        <v>0.11</v>
      </c>
      <c r="T25" s="14">
        <v>0.12</v>
      </c>
      <c r="U25" s="14">
        <v>0.06</v>
      </c>
      <c r="V25" s="14">
        <v>7.0000000000000007E-2</v>
      </c>
      <c r="W25" s="14">
        <v>0.08</v>
      </c>
      <c r="X25" s="14">
        <v>0.08</v>
      </c>
      <c r="Y25" s="14">
        <v>7.0000000000000007E-2</v>
      </c>
      <c r="Z25" s="14">
        <v>7.0000000000000007E-2</v>
      </c>
      <c r="AA25" s="14">
        <v>0.11</v>
      </c>
      <c r="AB25" s="14">
        <v>0.05</v>
      </c>
      <c r="AC25" s="14">
        <v>0.12</v>
      </c>
      <c r="AD25" s="14">
        <v>0.05</v>
      </c>
      <c r="AE25" s="14">
        <v>0.12</v>
      </c>
      <c r="AF25" s="14">
        <v>0.16</v>
      </c>
    </row>
    <row r="26" spans="1:32">
      <c r="A26" s="20"/>
      <c r="B26" s="11" t="s">
        <v>1448</v>
      </c>
      <c r="C26" s="12">
        <v>49.2</v>
      </c>
      <c r="D26" s="12">
        <v>48.15</v>
      </c>
      <c r="E26" s="12">
        <v>50.59</v>
      </c>
      <c r="F26" s="12">
        <v>48.53</v>
      </c>
      <c r="G26" s="12">
        <v>49.02</v>
      </c>
      <c r="H26" s="12">
        <v>49.81</v>
      </c>
      <c r="I26" s="12">
        <v>50.12</v>
      </c>
      <c r="J26" s="12">
        <v>51.37</v>
      </c>
      <c r="K26" s="12">
        <v>48.78</v>
      </c>
      <c r="L26" s="12">
        <v>46.12</v>
      </c>
      <c r="M26" s="12">
        <v>49.79</v>
      </c>
      <c r="N26" s="12">
        <v>48.8</v>
      </c>
      <c r="O26" s="12">
        <v>48.51</v>
      </c>
      <c r="P26" s="12">
        <v>49.11</v>
      </c>
      <c r="Q26" s="12">
        <v>50.34</v>
      </c>
      <c r="R26" s="12">
        <v>47.24</v>
      </c>
      <c r="S26" s="12">
        <v>49.67</v>
      </c>
      <c r="T26" s="12">
        <v>49.5</v>
      </c>
      <c r="U26" s="12">
        <v>45.96</v>
      </c>
      <c r="V26" s="12">
        <v>48.29</v>
      </c>
      <c r="W26" s="12">
        <v>45.87</v>
      </c>
      <c r="X26" s="12">
        <v>48.38</v>
      </c>
      <c r="Y26" s="12">
        <v>48.49</v>
      </c>
      <c r="Z26" s="12">
        <v>48.25</v>
      </c>
      <c r="AA26" s="12">
        <v>50.32</v>
      </c>
      <c r="AB26" s="12">
        <v>47.92</v>
      </c>
      <c r="AC26" s="12">
        <v>50.09</v>
      </c>
      <c r="AD26" s="12">
        <v>47.46</v>
      </c>
      <c r="AE26" s="12">
        <v>49.76</v>
      </c>
      <c r="AF26" s="12">
        <v>51.83</v>
      </c>
    </row>
    <row r="27" spans="1:32">
      <c r="A27" s="20"/>
      <c r="B27" s="13" t="s">
        <v>1449</v>
      </c>
      <c r="C27" s="15" t="s">
        <v>459</v>
      </c>
      <c r="D27" s="15" t="s">
        <v>459</v>
      </c>
      <c r="E27" s="15" t="s">
        <v>459</v>
      </c>
      <c r="F27" s="15" t="s">
        <v>459</v>
      </c>
      <c r="G27" s="15" t="s">
        <v>459</v>
      </c>
      <c r="H27" s="15" t="s">
        <v>459</v>
      </c>
      <c r="I27" s="15" t="s">
        <v>459</v>
      </c>
      <c r="J27" s="15" t="s">
        <v>459</v>
      </c>
      <c r="K27" s="15" t="s">
        <v>459</v>
      </c>
      <c r="L27" s="15" t="s">
        <v>459</v>
      </c>
      <c r="M27" s="15" t="s">
        <v>459</v>
      </c>
      <c r="N27" s="15" t="s">
        <v>459</v>
      </c>
      <c r="O27" s="15" t="s">
        <v>459</v>
      </c>
      <c r="P27" s="15" t="s">
        <v>459</v>
      </c>
      <c r="Q27" s="15" t="s">
        <v>459</v>
      </c>
      <c r="R27" s="15" t="s">
        <v>459</v>
      </c>
      <c r="S27" s="15" t="s">
        <v>459</v>
      </c>
      <c r="T27" s="15" t="s">
        <v>459</v>
      </c>
      <c r="U27" s="15" t="s">
        <v>459</v>
      </c>
      <c r="V27" s="15" t="s">
        <v>459</v>
      </c>
      <c r="W27" s="15" t="s">
        <v>459</v>
      </c>
      <c r="X27" s="15" t="s">
        <v>459</v>
      </c>
      <c r="Y27" s="15" t="s">
        <v>459</v>
      </c>
      <c r="Z27" s="15" t="s">
        <v>459</v>
      </c>
      <c r="AA27" s="15" t="s">
        <v>459</v>
      </c>
      <c r="AB27" s="15" t="s">
        <v>459</v>
      </c>
      <c r="AC27" s="15" t="s">
        <v>459</v>
      </c>
      <c r="AD27" s="15" t="s">
        <v>459</v>
      </c>
      <c r="AE27" s="15" t="s">
        <v>459</v>
      </c>
      <c r="AF27" s="15" t="s">
        <v>459</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335</v>
      </c>
      <c r="C3" s="18"/>
      <c r="D3" s="18"/>
      <c r="E3" s="18"/>
      <c r="F3" s="18"/>
      <c r="H3" s="18" t="s">
        <v>336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HYPERLINK("#Content!A169","&lt;&lt;Back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1456</v>
      </c>
      <c r="C12" s="12">
        <v>5318</v>
      </c>
      <c r="D12" s="12">
        <v>209</v>
      </c>
      <c r="E12" s="12">
        <v>170</v>
      </c>
      <c r="F12" s="12">
        <v>191</v>
      </c>
      <c r="G12" s="12">
        <v>199</v>
      </c>
      <c r="H12" s="12">
        <v>264</v>
      </c>
      <c r="I12" s="12">
        <v>313</v>
      </c>
      <c r="J12" s="12">
        <v>49</v>
      </c>
      <c r="K12" s="12">
        <v>202</v>
      </c>
      <c r="L12" s="12">
        <v>237</v>
      </c>
      <c r="M12" s="12">
        <v>185</v>
      </c>
      <c r="N12" s="12">
        <v>205</v>
      </c>
      <c r="O12" s="12">
        <v>242</v>
      </c>
      <c r="P12" s="12">
        <v>198</v>
      </c>
      <c r="Q12" s="12">
        <v>180</v>
      </c>
      <c r="R12" s="12">
        <v>109</v>
      </c>
      <c r="S12" s="12">
        <v>198</v>
      </c>
      <c r="T12" s="12">
        <v>188</v>
      </c>
      <c r="U12" s="12">
        <v>116</v>
      </c>
      <c r="V12" s="12">
        <v>214</v>
      </c>
      <c r="W12" s="12">
        <v>137</v>
      </c>
      <c r="X12" s="12">
        <v>235</v>
      </c>
      <c r="Y12" s="12">
        <v>208</v>
      </c>
      <c r="Z12" s="12">
        <v>187</v>
      </c>
      <c r="AA12" s="12">
        <v>198</v>
      </c>
      <c r="AB12" s="12">
        <v>207</v>
      </c>
      <c r="AC12" s="12">
        <v>173</v>
      </c>
      <c r="AD12" s="12">
        <v>195</v>
      </c>
      <c r="AE12" s="12">
        <v>190</v>
      </c>
      <c r="AF12" s="12">
        <v>121</v>
      </c>
    </row>
    <row r="13" spans="1:32">
      <c r="A13" s="20"/>
      <c r="B13" s="13" t="s">
        <v>1456</v>
      </c>
      <c r="C13" s="14">
        <v>0.2</v>
      </c>
      <c r="D13" s="14">
        <v>0.21</v>
      </c>
      <c r="E13" s="14">
        <v>0.17</v>
      </c>
      <c r="F13" s="14">
        <v>0.19</v>
      </c>
      <c r="G13" s="14">
        <v>0.2</v>
      </c>
      <c r="H13" s="14">
        <v>0.22</v>
      </c>
      <c r="I13" s="14">
        <v>0.21</v>
      </c>
      <c r="J13" s="14">
        <v>0.17</v>
      </c>
      <c r="K13" s="14">
        <v>0.2</v>
      </c>
      <c r="L13" s="14">
        <v>0.24</v>
      </c>
      <c r="M13" s="14">
        <v>0.18</v>
      </c>
      <c r="N13" s="14">
        <v>0.2</v>
      </c>
      <c r="O13" s="14">
        <v>0.24</v>
      </c>
      <c r="P13" s="14">
        <v>0.19</v>
      </c>
      <c r="Q13" s="14">
        <v>0.18</v>
      </c>
      <c r="R13" s="14">
        <v>0.22</v>
      </c>
      <c r="S13" s="14">
        <v>0.2</v>
      </c>
      <c r="T13" s="14">
        <v>0.18</v>
      </c>
      <c r="U13" s="14">
        <v>0.23</v>
      </c>
      <c r="V13" s="14">
        <v>0.21</v>
      </c>
      <c r="W13" s="14">
        <v>0.27</v>
      </c>
      <c r="X13" s="14">
        <v>0.23</v>
      </c>
      <c r="Y13" s="14">
        <v>0.21</v>
      </c>
      <c r="Z13" s="14">
        <v>0.19</v>
      </c>
      <c r="AA13" s="14">
        <v>0.19</v>
      </c>
      <c r="AB13" s="14">
        <v>0.2</v>
      </c>
      <c r="AC13" s="14">
        <v>0.17</v>
      </c>
      <c r="AD13" s="14">
        <v>0.19</v>
      </c>
      <c r="AE13" s="14">
        <v>0.19</v>
      </c>
      <c r="AF13" s="14">
        <v>0.12</v>
      </c>
    </row>
    <row r="14" spans="1:32">
      <c r="A14" s="20"/>
      <c r="B14" s="11" t="s">
        <v>1457</v>
      </c>
      <c r="C14" s="12">
        <v>14312</v>
      </c>
      <c r="D14" s="12">
        <v>555</v>
      </c>
      <c r="E14" s="12">
        <v>566</v>
      </c>
      <c r="F14" s="12">
        <v>569</v>
      </c>
      <c r="G14" s="12">
        <v>559</v>
      </c>
      <c r="H14" s="12">
        <v>644</v>
      </c>
      <c r="I14" s="12">
        <v>804</v>
      </c>
      <c r="J14" s="12">
        <v>160</v>
      </c>
      <c r="K14" s="12">
        <v>559</v>
      </c>
      <c r="L14" s="12">
        <v>578</v>
      </c>
      <c r="M14" s="12">
        <v>549</v>
      </c>
      <c r="N14" s="12">
        <v>563</v>
      </c>
      <c r="O14" s="12">
        <v>501</v>
      </c>
      <c r="P14" s="12">
        <v>550</v>
      </c>
      <c r="Q14" s="12">
        <v>556</v>
      </c>
      <c r="R14" s="12">
        <v>286</v>
      </c>
      <c r="S14" s="12">
        <v>555</v>
      </c>
      <c r="T14" s="12">
        <v>584</v>
      </c>
      <c r="U14" s="12">
        <v>300</v>
      </c>
      <c r="V14" s="12">
        <v>557</v>
      </c>
      <c r="W14" s="12">
        <v>261</v>
      </c>
      <c r="X14" s="12">
        <v>533</v>
      </c>
      <c r="Y14" s="12">
        <v>567</v>
      </c>
      <c r="Z14" s="12">
        <v>578</v>
      </c>
      <c r="AA14" s="12">
        <v>564</v>
      </c>
      <c r="AB14" s="12">
        <v>585</v>
      </c>
      <c r="AC14" s="12">
        <v>579</v>
      </c>
      <c r="AD14" s="12">
        <v>591</v>
      </c>
      <c r="AE14" s="12">
        <v>537</v>
      </c>
      <c r="AF14" s="12">
        <v>619</v>
      </c>
    </row>
    <row r="15" spans="1:32">
      <c r="A15" s="20"/>
      <c r="B15" s="13" t="s">
        <v>1457</v>
      </c>
      <c r="C15" s="14">
        <v>0.54</v>
      </c>
      <c r="D15" s="14">
        <v>0.55000000000000004</v>
      </c>
      <c r="E15" s="14">
        <v>0.55000000000000004</v>
      </c>
      <c r="F15" s="14">
        <v>0.57000000000000006</v>
      </c>
      <c r="G15" s="14">
        <v>0.56000000000000005</v>
      </c>
      <c r="H15" s="14">
        <v>0.53</v>
      </c>
      <c r="I15" s="14">
        <v>0.53</v>
      </c>
      <c r="J15" s="14">
        <v>0.54</v>
      </c>
      <c r="K15" s="14">
        <v>0.56000000000000005</v>
      </c>
      <c r="L15" s="14">
        <v>0.57000000000000006</v>
      </c>
      <c r="M15" s="14">
        <v>0.55000000000000004</v>
      </c>
      <c r="N15" s="14">
        <v>0.56000000000000005</v>
      </c>
      <c r="O15" s="14">
        <v>0.5</v>
      </c>
      <c r="P15" s="14">
        <v>0.54</v>
      </c>
      <c r="Q15" s="14">
        <v>0.54</v>
      </c>
      <c r="R15" s="14">
        <v>0.57000000000000006</v>
      </c>
      <c r="S15" s="14">
        <v>0.55000000000000004</v>
      </c>
      <c r="T15" s="14">
        <v>0.57999999999999996</v>
      </c>
      <c r="U15" s="14">
        <v>0.59</v>
      </c>
      <c r="V15" s="14">
        <v>0.55000000000000004</v>
      </c>
      <c r="W15" s="14">
        <v>0.52</v>
      </c>
      <c r="X15" s="14">
        <v>0.52</v>
      </c>
      <c r="Y15" s="14">
        <v>0.56000000000000005</v>
      </c>
      <c r="Z15" s="14">
        <v>0.57000000000000006</v>
      </c>
      <c r="AA15" s="14">
        <v>0.53</v>
      </c>
      <c r="AB15" s="14">
        <v>0.56000000000000005</v>
      </c>
      <c r="AC15" s="14">
        <v>0.57000000000000006</v>
      </c>
      <c r="AD15" s="14">
        <v>0.59</v>
      </c>
      <c r="AE15" s="14">
        <v>0.54</v>
      </c>
      <c r="AF15" s="14">
        <v>0.61</v>
      </c>
    </row>
    <row r="16" spans="1:32">
      <c r="A16" s="20"/>
      <c r="B16" s="11" t="s">
        <v>1458</v>
      </c>
      <c r="C16" s="12">
        <v>6690</v>
      </c>
      <c r="D16" s="12">
        <v>239</v>
      </c>
      <c r="E16" s="12">
        <v>282</v>
      </c>
      <c r="F16" s="12">
        <v>245</v>
      </c>
      <c r="G16" s="12">
        <v>246</v>
      </c>
      <c r="H16" s="12">
        <v>308</v>
      </c>
      <c r="I16" s="12">
        <v>393</v>
      </c>
      <c r="J16" s="12">
        <v>86</v>
      </c>
      <c r="K16" s="12">
        <v>245</v>
      </c>
      <c r="L16" s="12">
        <v>192</v>
      </c>
      <c r="M16" s="12">
        <v>269</v>
      </c>
      <c r="N16" s="12">
        <v>236</v>
      </c>
      <c r="O16" s="12">
        <v>260</v>
      </c>
      <c r="P16" s="12">
        <v>274</v>
      </c>
      <c r="Q16" s="12">
        <v>283</v>
      </c>
      <c r="R16" s="12">
        <v>105</v>
      </c>
      <c r="S16" s="12">
        <v>255</v>
      </c>
      <c r="T16" s="12">
        <v>242</v>
      </c>
      <c r="U16" s="12">
        <v>90</v>
      </c>
      <c r="V16" s="12">
        <v>246</v>
      </c>
      <c r="W16" s="12">
        <v>105</v>
      </c>
      <c r="X16" s="12">
        <v>253</v>
      </c>
      <c r="Y16" s="12">
        <v>234</v>
      </c>
      <c r="Z16" s="12">
        <v>243</v>
      </c>
      <c r="AA16" s="12">
        <v>291</v>
      </c>
      <c r="AB16" s="12">
        <v>247</v>
      </c>
      <c r="AC16" s="12">
        <v>258</v>
      </c>
      <c r="AD16" s="12">
        <v>220</v>
      </c>
      <c r="AE16" s="12">
        <v>275</v>
      </c>
      <c r="AF16" s="12">
        <v>280</v>
      </c>
    </row>
    <row r="17" spans="1:32">
      <c r="A17" s="20"/>
      <c r="B17" s="13" t="s">
        <v>1458</v>
      </c>
      <c r="C17" s="14">
        <v>0.26</v>
      </c>
      <c r="D17" s="14">
        <v>0.24</v>
      </c>
      <c r="E17" s="14">
        <v>0.28000000000000003</v>
      </c>
      <c r="F17" s="14">
        <v>0.24</v>
      </c>
      <c r="G17" s="14">
        <v>0.24</v>
      </c>
      <c r="H17" s="14">
        <v>0.25</v>
      </c>
      <c r="I17" s="14">
        <v>0.26</v>
      </c>
      <c r="J17" s="14">
        <v>0.28999999999999998</v>
      </c>
      <c r="K17" s="14">
        <v>0.24</v>
      </c>
      <c r="L17" s="14">
        <v>0.19</v>
      </c>
      <c r="M17" s="14">
        <v>0.27</v>
      </c>
      <c r="N17" s="14">
        <v>0.24</v>
      </c>
      <c r="O17" s="14">
        <v>0.26</v>
      </c>
      <c r="P17" s="14">
        <v>0.27</v>
      </c>
      <c r="Q17" s="14">
        <v>0.28000000000000003</v>
      </c>
      <c r="R17" s="14">
        <v>0.21</v>
      </c>
      <c r="S17" s="14">
        <v>0.25</v>
      </c>
      <c r="T17" s="14">
        <v>0.24</v>
      </c>
      <c r="U17" s="14">
        <v>0.18</v>
      </c>
      <c r="V17" s="14">
        <v>0.24</v>
      </c>
      <c r="W17" s="14">
        <v>0.21</v>
      </c>
      <c r="X17" s="14">
        <v>0.25</v>
      </c>
      <c r="Y17" s="14">
        <v>0.23</v>
      </c>
      <c r="Z17" s="14">
        <v>0.24</v>
      </c>
      <c r="AA17" s="14">
        <v>0.28000000000000003</v>
      </c>
      <c r="AB17" s="14">
        <v>0.24</v>
      </c>
      <c r="AC17" s="14">
        <v>0.26</v>
      </c>
      <c r="AD17" s="14">
        <v>0.22</v>
      </c>
      <c r="AE17" s="14">
        <v>0.27</v>
      </c>
      <c r="AF17" s="14">
        <v>0.27</v>
      </c>
    </row>
    <row r="18" spans="1:32">
      <c r="A18" s="20"/>
      <c r="B18" s="11" t="s">
        <v>1448</v>
      </c>
      <c r="C18" s="12">
        <v>49.2</v>
      </c>
      <c r="D18" s="12">
        <v>48.15</v>
      </c>
      <c r="E18" s="12">
        <v>50.59</v>
      </c>
      <c r="F18" s="12">
        <v>48.53</v>
      </c>
      <c r="G18" s="12">
        <v>49.02</v>
      </c>
      <c r="H18" s="12">
        <v>49.81</v>
      </c>
      <c r="I18" s="12">
        <v>50.12</v>
      </c>
      <c r="J18" s="12">
        <v>51.37</v>
      </c>
      <c r="K18" s="12">
        <v>48.78</v>
      </c>
      <c r="L18" s="12">
        <v>46.12</v>
      </c>
      <c r="M18" s="12">
        <v>49.79</v>
      </c>
      <c r="N18" s="12">
        <v>48.8</v>
      </c>
      <c r="O18" s="12">
        <v>48.51</v>
      </c>
      <c r="P18" s="12">
        <v>49.11</v>
      </c>
      <c r="Q18" s="12">
        <v>50.34</v>
      </c>
      <c r="R18" s="12">
        <v>47.24</v>
      </c>
      <c r="S18" s="12">
        <v>49.67</v>
      </c>
      <c r="T18" s="12">
        <v>49.5</v>
      </c>
      <c r="U18" s="12">
        <v>45.96</v>
      </c>
      <c r="V18" s="12">
        <v>48.29</v>
      </c>
      <c r="W18" s="12">
        <v>45.87</v>
      </c>
      <c r="X18" s="12">
        <v>48.38</v>
      </c>
      <c r="Y18" s="12">
        <v>48.49</v>
      </c>
      <c r="Z18" s="12">
        <v>48.25</v>
      </c>
      <c r="AA18" s="12">
        <v>50.32</v>
      </c>
      <c r="AB18" s="12">
        <v>47.92</v>
      </c>
      <c r="AC18" s="12">
        <v>50.09</v>
      </c>
      <c r="AD18" s="12">
        <v>47.46</v>
      </c>
      <c r="AE18" s="12">
        <v>49.76</v>
      </c>
      <c r="AF18" s="12">
        <v>51.83</v>
      </c>
    </row>
    <row r="19" spans="1:32">
      <c r="A19" s="20"/>
      <c r="B19" s="13" t="s">
        <v>1449</v>
      </c>
      <c r="C19" s="15" t="s">
        <v>459</v>
      </c>
      <c r="D19" s="15" t="s">
        <v>459</v>
      </c>
      <c r="E19" s="15" t="s">
        <v>459</v>
      </c>
      <c r="F19" s="15" t="s">
        <v>459</v>
      </c>
      <c r="G19" s="15" t="s">
        <v>459</v>
      </c>
      <c r="H19" s="15" t="s">
        <v>459</v>
      </c>
      <c r="I19" s="15" t="s">
        <v>459</v>
      </c>
      <c r="J19" s="15" t="s">
        <v>459</v>
      </c>
      <c r="K19" s="15" t="s">
        <v>459</v>
      </c>
      <c r="L19" s="15" t="s">
        <v>459</v>
      </c>
      <c r="M19" s="15" t="s">
        <v>459</v>
      </c>
      <c r="N19" s="15" t="s">
        <v>459</v>
      </c>
      <c r="O19" s="15" t="s">
        <v>459</v>
      </c>
      <c r="P19" s="15" t="s">
        <v>459</v>
      </c>
      <c r="Q19" s="15" t="s">
        <v>459</v>
      </c>
      <c r="R19" s="15" t="s">
        <v>459</v>
      </c>
      <c r="S19" s="15" t="s">
        <v>459</v>
      </c>
      <c r="T19" s="15" t="s">
        <v>459</v>
      </c>
      <c r="U19" s="15" t="s">
        <v>459</v>
      </c>
      <c r="V19" s="15" t="s">
        <v>459</v>
      </c>
      <c r="W19" s="15" t="s">
        <v>459</v>
      </c>
      <c r="X19" s="15" t="s">
        <v>459</v>
      </c>
      <c r="Y19" s="15" t="s">
        <v>459</v>
      </c>
      <c r="Z19" s="15" t="s">
        <v>459</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337</v>
      </c>
      <c r="C3" s="18"/>
      <c r="D3" s="18"/>
      <c r="E3" s="18"/>
      <c r="F3" s="18"/>
      <c r="H3" s="18" t="s">
        <v>338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1459</v>
      </c>
      <c r="C12" s="12">
        <v>1038</v>
      </c>
      <c r="D12" s="12">
        <v>35</v>
      </c>
      <c r="E12" s="12">
        <v>32</v>
      </c>
      <c r="F12" s="12">
        <v>32</v>
      </c>
      <c r="G12" s="12">
        <v>57</v>
      </c>
      <c r="H12" s="12">
        <v>73</v>
      </c>
      <c r="I12" s="12">
        <v>87</v>
      </c>
      <c r="J12" s="12">
        <v>14</v>
      </c>
      <c r="K12" s="12">
        <v>50</v>
      </c>
      <c r="L12" s="12">
        <v>30</v>
      </c>
      <c r="M12" s="12">
        <v>33</v>
      </c>
      <c r="N12" s="12">
        <v>43</v>
      </c>
      <c r="O12" s="12">
        <v>44</v>
      </c>
      <c r="P12" s="12">
        <v>19</v>
      </c>
      <c r="Q12" s="12">
        <v>27</v>
      </c>
      <c r="R12" s="12">
        <v>21</v>
      </c>
      <c r="S12" s="12">
        <v>58</v>
      </c>
      <c r="T12" s="12">
        <v>66</v>
      </c>
      <c r="U12" s="12">
        <v>12</v>
      </c>
      <c r="V12" s="12">
        <v>22</v>
      </c>
      <c r="W12" s="12">
        <v>18</v>
      </c>
      <c r="X12" s="12">
        <v>19</v>
      </c>
      <c r="Y12" s="12">
        <v>32</v>
      </c>
      <c r="Z12" s="12">
        <v>24</v>
      </c>
      <c r="AA12" s="12">
        <v>45</v>
      </c>
      <c r="AB12" s="12">
        <v>21</v>
      </c>
      <c r="AC12" s="12">
        <v>57</v>
      </c>
      <c r="AD12" s="12">
        <v>13</v>
      </c>
      <c r="AE12" s="12">
        <v>55</v>
      </c>
      <c r="AF12" s="12">
        <v>89</v>
      </c>
    </row>
    <row r="13" spans="1:32">
      <c r="A13" s="20"/>
      <c r="B13" s="13" t="s">
        <v>1460</v>
      </c>
      <c r="C13" s="14">
        <v>0.04</v>
      </c>
      <c r="D13" s="14">
        <v>0.03</v>
      </c>
      <c r="E13" s="14">
        <v>0.03</v>
      </c>
      <c r="F13" s="14">
        <v>0.03</v>
      </c>
      <c r="G13" s="14">
        <v>0.06</v>
      </c>
      <c r="H13" s="14">
        <v>0.06</v>
      </c>
      <c r="I13" s="14">
        <v>0.06</v>
      </c>
      <c r="J13" s="14">
        <v>0.05</v>
      </c>
      <c r="K13" s="14">
        <v>0.05</v>
      </c>
      <c r="L13" s="14">
        <v>0.03</v>
      </c>
      <c r="M13" s="14">
        <v>0.03</v>
      </c>
      <c r="N13" s="14">
        <v>0.04</v>
      </c>
      <c r="O13" s="14">
        <v>0.04</v>
      </c>
      <c r="P13" s="14">
        <v>0.02</v>
      </c>
      <c r="Q13" s="14">
        <v>0.03</v>
      </c>
      <c r="R13" s="14">
        <v>0.04</v>
      </c>
      <c r="S13" s="14">
        <v>0.06</v>
      </c>
      <c r="T13" s="14">
        <v>7.0000000000000007E-2</v>
      </c>
      <c r="U13" s="14">
        <v>0.02</v>
      </c>
      <c r="V13" s="14">
        <v>0.02</v>
      </c>
      <c r="W13" s="14">
        <v>0.04</v>
      </c>
      <c r="X13" s="14">
        <v>0.02</v>
      </c>
      <c r="Y13" s="14">
        <v>0.03</v>
      </c>
      <c r="Z13" s="14">
        <v>0.02</v>
      </c>
      <c r="AA13" s="14">
        <v>0.04</v>
      </c>
      <c r="AB13" s="14">
        <v>0.02</v>
      </c>
      <c r="AC13" s="14">
        <v>0.06</v>
      </c>
      <c r="AD13" s="14">
        <v>0.01</v>
      </c>
      <c r="AE13" s="14">
        <v>0.06</v>
      </c>
      <c r="AF13" s="14">
        <v>0.09</v>
      </c>
    </row>
    <row r="14" spans="1:32">
      <c r="A14" s="20"/>
      <c r="B14" s="11" t="s">
        <v>1461</v>
      </c>
      <c r="C14" s="12">
        <v>7318</v>
      </c>
      <c r="D14" s="12">
        <v>269</v>
      </c>
      <c r="E14" s="12">
        <v>306</v>
      </c>
      <c r="F14" s="12">
        <v>268</v>
      </c>
      <c r="G14" s="12">
        <v>253</v>
      </c>
      <c r="H14" s="12">
        <v>335</v>
      </c>
      <c r="I14" s="12">
        <v>432</v>
      </c>
      <c r="J14" s="12">
        <v>97</v>
      </c>
      <c r="K14" s="12">
        <v>255</v>
      </c>
      <c r="L14" s="12">
        <v>209</v>
      </c>
      <c r="M14" s="12">
        <v>279</v>
      </c>
      <c r="N14" s="12">
        <v>244</v>
      </c>
      <c r="O14" s="12">
        <v>284</v>
      </c>
      <c r="P14" s="12">
        <v>311</v>
      </c>
      <c r="Q14" s="12">
        <v>320</v>
      </c>
      <c r="R14" s="12">
        <v>114</v>
      </c>
      <c r="S14" s="12">
        <v>272</v>
      </c>
      <c r="T14" s="12">
        <v>243</v>
      </c>
      <c r="U14" s="12">
        <v>108</v>
      </c>
      <c r="V14" s="12">
        <v>270</v>
      </c>
      <c r="W14" s="12">
        <v>108</v>
      </c>
      <c r="X14" s="12">
        <v>299</v>
      </c>
      <c r="Y14" s="12">
        <v>281</v>
      </c>
      <c r="Z14" s="12">
        <v>270</v>
      </c>
      <c r="AA14" s="12">
        <v>310</v>
      </c>
      <c r="AB14" s="12">
        <v>277</v>
      </c>
      <c r="AC14" s="12">
        <v>265</v>
      </c>
      <c r="AD14" s="12">
        <v>265</v>
      </c>
      <c r="AE14" s="12">
        <v>292</v>
      </c>
      <c r="AF14" s="12">
        <v>247</v>
      </c>
    </row>
    <row r="15" spans="1:32">
      <c r="A15" s="20"/>
      <c r="B15" s="13" t="s">
        <v>1461</v>
      </c>
      <c r="C15" s="14">
        <v>0.28000000000000003</v>
      </c>
      <c r="D15" s="14">
        <v>0.27</v>
      </c>
      <c r="E15" s="14">
        <v>0.3</v>
      </c>
      <c r="F15" s="14">
        <v>0.27</v>
      </c>
      <c r="G15" s="14">
        <v>0.25</v>
      </c>
      <c r="H15" s="14">
        <v>0.27</v>
      </c>
      <c r="I15" s="14">
        <v>0.28000000000000003</v>
      </c>
      <c r="J15" s="14">
        <v>0.33</v>
      </c>
      <c r="K15" s="14">
        <v>0.25</v>
      </c>
      <c r="L15" s="14">
        <v>0.21</v>
      </c>
      <c r="M15" s="14">
        <v>0.28000000000000003</v>
      </c>
      <c r="N15" s="14">
        <v>0.24</v>
      </c>
      <c r="O15" s="14">
        <v>0.28000000000000003</v>
      </c>
      <c r="P15" s="14">
        <v>0.3</v>
      </c>
      <c r="Q15" s="14">
        <v>0.31</v>
      </c>
      <c r="R15" s="14">
        <v>0.23</v>
      </c>
      <c r="S15" s="14">
        <v>0.27</v>
      </c>
      <c r="T15" s="14">
        <v>0.24</v>
      </c>
      <c r="U15" s="14">
        <v>0.22</v>
      </c>
      <c r="V15" s="14">
        <v>0.27</v>
      </c>
      <c r="W15" s="14">
        <v>0.22</v>
      </c>
      <c r="X15" s="14">
        <v>0.28999999999999998</v>
      </c>
      <c r="Y15" s="14">
        <v>0.28000000000000003</v>
      </c>
      <c r="Z15" s="14">
        <v>0.27</v>
      </c>
      <c r="AA15" s="14">
        <v>0.28999999999999998</v>
      </c>
      <c r="AB15" s="14">
        <v>0.27</v>
      </c>
      <c r="AC15" s="14">
        <v>0.26</v>
      </c>
      <c r="AD15" s="14">
        <v>0.26</v>
      </c>
      <c r="AE15" s="14">
        <v>0.28999999999999998</v>
      </c>
      <c r="AF15" s="14">
        <v>0.24</v>
      </c>
    </row>
    <row r="16" spans="1:32">
      <c r="A16" s="20"/>
      <c r="B16" s="11" t="s">
        <v>1462</v>
      </c>
      <c r="C16" s="12">
        <v>7051</v>
      </c>
      <c r="D16" s="12">
        <v>258</v>
      </c>
      <c r="E16" s="12">
        <v>310</v>
      </c>
      <c r="F16" s="12">
        <v>278</v>
      </c>
      <c r="G16" s="12">
        <v>257</v>
      </c>
      <c r="H16" s="12">
        <v>306</v>
      </c>
      <c r="I16" s="12">
        <v>377</v>
      </c>
      <c r="J16" s="12">
        <v>71</v>
      </c>
      <c r="K16" s="12">
        <v>257</v>
      </c>
      <c r="L16" s="12">
        <v>277</v>
      </c>
      <c r="M16" s="12">
        <v>310</v>
      </c>
      <c r="N16" s="12">
        <v>299</v>
      </c>
      <c r="O16" s="12">
        <v>238</v>
      </c>
      <c r="P16" s="12">
        <v>281</v>
      </c>
      <c r="Q16" s="12">
        <v>296</v>
      </c>
      <c r="R16" s="12">
        <v>123</v>
      </c>
      <c r="S16" s="12">
        <v>271</v>
      </c>
      <c r="T16" s="12">
        <v>278</v>
      </c>
      <c r="U16" s="12">
        <v>137</v>
      </c>
      <c r="V16" s="12">
        <v>304</v>
      </c>
      <c r="W16" s="12">
        <v>132</v>
      </c>
      <c r="X16" s="12">
        <v>259</v>
      </c>
      <c r="Y16" s="12">
        <v>249</v>
      </c>
      <c r="Z16" s="12">
        <v>270</v>
      </c>
      <c r="AA16" s="12">
        <v>313</v>
      </c>
      <c r="AB16" s="12">
        <v>281</v>
      </c>
      <c r="AC16" s="12">
        <v>284</v>
      </c>
      <c r="AD16" s="12">
        <v>278</v>
      </c>
      <c r="AE16" s="12">
        <v>222</v>
      </c>
      <c r="AF16" s="12">
        <v>282</v>
      </c>
    </row>
    <row r="17" spans="1:32">
      <c r="A17" s="20"/>
      <c r="B17" s="13" t="s">
        <v>1462</v>
      </c>
      <c r="C17" s="14">
        <v>0.27</v>
      </c>
      <c r="D17" s="14">
        <v>0.26</v>
      </c>
      <c r="E17" s="14">
        <v>0.3</v>
      </c>
      <c r="F17" s="14">
        <v>0.28000000000000003</v>
      </c>
      <c r="G17" s="14">
        <v>0.26</v>
      </c>
      <c r="H17" s="14">
        <v>0.25</v>
      </c>
      <c r="I17" s="14">
        <v>0.25</v>
      </c>
      <c r="J17" s="14">
        <v>0.24</v>
      </c>
      <c r="K17" s="14">
        <v>0.26</v>
      </c>
      <c r="L17" s="14">
        <v>0.27</v>
      </c>
      <c r="M17" s="14">
        <v>0.31</v>
      </c>
      <c r="N17" s="14">
        <v>0.3</v>
      </c>
      <c r="O17" s="14">
        <v>0.24</v>
      </c>
      <c r="P17" s="14">
        <v>0.27</v>
      </c>
      <c r="Q17" s="14">
        <v>0.28999999999999998</v>
      </c>
      <c r="R17" s="14">
        <v>0.24</v>
      </c>
      <c r="S17" s="14">
        <v>0.27</v>
      </c>
      <c r="T17" s="14">
        <v>0.27</v>
      </c>
      <c r="U17" s="14">
        <v>0.27</v>
      </c>
      <c r="V17" s="14">
        <v>0.3</v>
      </c>
      <c r="W17" s="14">
        <v>0.26</v>
      </c>
      <c r="X17" s="14">
        <v>0.25</v>
      </c>
      <c r="Y17" s="14">
        <v>0.25</v>
      </c>
      <c r="Z17" s="14">
        <v>0.27</v>
      </c>
      <c r="AA17" s="14">
        <v>0.3</v>
      </c>
      <c r="AB17" s="14">
        <v>0.27</v>
      </c>
      <c r="AC17" s="14">
        <v>0.28000000000000003</v>
      </c>
      <c r="AD17" s="14">
        <v>0.28000000000000003</v>
      </c>
      <c r="AE17" s="14">
        <v>0.22</v>
      </c>
      <c r="AF17" s="14">
        <v>0.28000000000000003</v>
      </c>
    </row>
    <row r="18" spans="1:32">
      <c r="A18" s="20"/>
      <c r="B18" s="11" t="s">
        <v>1463</v>
      </c>
      <c r="C18" s="12">
        <v>6272</v>
      </c>
      <c r="D18" s="12">
        <v>261</v>
      </c>
      <c r="E18" s="12">
        <v>222</v>
      </c>
      <c r="F18" s="12">
        <v>271</v>
      </c>
      <c r="G18" s="12">
        <v>265</v>
      </c>
      <c r="H18" s="12">
        <v>264</v>
      </c>
      <c r="I18" s="12">
        <v>329</v>
      </c>
      <c r="J18" s="12">
        <v>65</v>
      </c>
      <c r="K18" s="12">
        <v>271</v>
      </c>
      <c r="L18" s="12">
        <v>285</v>
      </c>
      <c r="M18" s="12">
        <v>221</v>
      </c>
      <c r="N18" s="12">
        <v>238</v>
      </c>
      <c r="O18" s="12">
        <v>226</v>
      </c>
      <c r="P18" s="12">
        <v>241</v>
      </c>
      <c r="Q18" s="12">
        <v>221</v>
      </c>
      <c r="R18" s="12">
        <v>154</v>
      </c>
      <c r="S18" s="12">
        <v>235</v>
      </c>
      <c r="T18" s="12">
        <v>263</v>
      </c>
      <c r="U18" s="12">
        <v>148</v>
      </c>
      <c r="V18" s="12">
        <v>247</v>
      </c>
      <c r="W18" s="12">
        <v>127</v>
      </c>
      <c r="X18" s="12">
        <v>245</v>
      </c>
      <c r="Y18" s="12">
        <v>269</v>
      </c>
      <c r="Z18" s="12">
        <v>283</v>
      </c>
      <c r="AA18" s="12">
        <v>212</v>
      </c>
      <c r="AB18" s="12">
        <v>283</v>
      </c>
      <c r="AC18" s="12">
        <v>253</v>
      </c>
      <c r="AD18" s="12">
        <v>277</v>
      </c>
      <c r="AE18" s="12">
        <v>265</v>
      </c>
      <c r="AF18" s="12">
        <v>311</v>
      </c>
    </row>
    <row r="19" spans="1:32">
      <c r="A19" s="20"/>
      <c r="B19" s="13" t="s">
        <v>1463</v>
      </c>
      <c r="C19" s="14">
        <v>0.24</v>
      </c>
      <c r="D19" s="14">
        <v>0.26</v>
      </c>
      <c r="E19" s="14">
        <v>0.22</v>
      </c>
      <c r="F19" s="14">
        <v>0.27</v>
      </c>
      <c r="G19" s="14">
        <v>0.26</v>
      </c>
      <c r="H19" s="14">
        <v>0.22</v>
      </c>
      <c r="I19" s="14">
        <v>0.22</v>
      </c>
      <c r="J19" s="14">
        <v>0.22</v>
      </c>
      <c r="K19" s="14">
        <v>0.27</v>
      </c>
      <c r="L19" s="14">
        <v>0.28000000000000003</v>
      </c>
      <c r="M19" s="14">
        <v>0.22</v>
      </c>
      <c r="N19" s="14">
        <v>0.24</v>
      </c>
      <c r="O19" s="14">
        <v>0.23</v>
      </c>
      <c r="P19" s="14">
        <v>0.24</v>
      </c>
      <c r="Q19" s="14">
        <v>0.22</v>
      </c>
      <c r="R19" s="14">
        <v>0.31</v>
      </c>
      <c r="S19" s="14">
        <v>0.23</v>
      </c>
      <c r="T19" s="14">
        <v>0.26</v>
      </c>
      <c r="U19" s="14">
        <v>0.28999999999999998</v>
      </c>
      <c r="V19" s="14">
        <v>0.24</v>
      </c>
      <c r="W19" s="14">
        <v>0.25</v>
      </c>
      <c r="X19" s="14">
        <v>0.24</v>
      </c>
      <c r="Y19" s="14">
        <v>0.27</v>
      </c>
      <c r="Z19" s="14">
        <v>0.28000000000000003</v>
      </c>
      <c r="AA19" s="14">
        <v>0.2</v>
      </c>
      <c r="AB19" s="14">
        <v>0.27</v>
      </c>
      <c r="AC19" s="14">
        <v>0.25</v>
      </c>
      <c r="AD19" s="14">
        <v>0.28000000000000003</v>
      </c>
      <c r="AE19" s="14">
        <v>0.26</v>
      </c>
      <c r="AF19" s="14">
        <v>0.3</v>
      </c>
    </row>
    <row r="20" spans="1:32">
      <c r="A20" s="20"/>
      <c r="B20" s="11" t="s">
        <v>1464</v>
      </c>
      <c r="C20" s="12">
        <v>4640</v>
      </c>
      <c r="D20" s="12">
        <v>180</v>
      </c>
      <c r="E20" s="12">
        <v>148</v>
      </c>
      <c r="F20" s="12">
        <v>156</v>
      </c>
      <c r="G20" s="12">
        <v>172</v>
      </c>
      <c r="H20" s="12">
        <v>238</v>
      </c>
      <c r="I20" s="12">
        <v>285</v>
      </c>
      <c r="J20" s="12">
        <v>46</v>
      </c>
      <c r="K20" s="12">
        <v>173</v>
      </c>
      <c r="L20" s="12">
        <v>207</v>
      </c>
      <c r="M20" s="12">
        <v>160</v>
      </c>
      <c r="N20" s="12">
        <v>181</v>
      </c>
      <c r="O20" s="12">
        <v>211</v>
      </c>
      <c r="P20" s="12">
        <v>170</v>
      </c>
      <c r="Q20" s="12">
        <v>156</v>
      </c>
      <c r="R20" s="12">
        <v>88</v>
      </c>
      <c r="S20" s="12">
        <v>172</v>
      </c>
      <c r="T20" s="12">
        <v>165</v>
      </c>
      <c r="U20" s="12">
        <v>102</v>
      </c>
      <c r="V20" s="12">
        <v>174</v>
      </c>
      <c r="W20" s="12">
        <v>118</v>
      </c>
      <c r="X20" s="12">
        <v>199</v>
      </c>
      <c r="Y20" s="12">
        <v>177</v>
      </c>
      <c r="Z20" s="12">
        <v>161</v>
      </c>
      <c r="AA20" s="12">
        <v>173</v>
      </c>
      <c r="AB20" s="12">
        <v>177</v>
      </c>
      <c r="AC20" s="12">
        <v>150</v>
      </c>
      <c r="AD20" s="12">
        <v>173</v>
      </c>
      <c r="AE20" s="12">
        <v>167</v>
      </c>
      <c r="AF20" s="12">
        <v>92</v>
      </c>
    </row>
    <row r="21" spans="1:32">
      <c r="A21" s="20"/>
      <c r="B21" s="13" t="s">
        <v>1465</v>
      </c>
      <c r="C21" s="14">
        <v>0.17</v>
      </c>
      <c r="D21" s="14">
        <v>0.18</v>
      </c>
      <c r="E21" s="14">
        <v>0.15</v>
      </c>
      <c r="F21" s="14">
        <v>0.15</v>
      </c>
      <c r="G21" s="14">
        <v>0.17</v>
      </c>
      <c r="H21" s="14">
        <v>0.2</v>
      </c>
      <c r="I21" s="14">
        <v>0.19</v>
      </c>
      <c r="J21" s="14">
        <v>0.16</v>
      </c>
      <c r="K21" s="14">
        <v>0.17</v>
      </c>
      <c r="L21" s="14">
        <v>0.21</v>
      </c>
      <c r="M21" s="14">
        <v>0.16</v>
      </c>
      <c r="N21" s="14">
        <v>0.18</v>
      </c>
      <c r="O21" s="14">
        <v>0.21</v>
      </c>
      <c r="P21" s="14">
        <v>0.17</v>
      </c>
      <c r="Q21" s="14">
        <v>0.15</v>
      </c>
      <c r="R21" s="14">
        <v>0.18</v>
      </c>
      <c r="S21" s="14">
        <v>0.17</v>
      </c>
      <c r="T21" s="14">
        <v>0.16</v>
      </c>
      <c r="U21" s="14">
        <v>0.2</v>
      </c>
      <c r="V21" s="14">
        <v>0.17</v>
      </c>
      <c r="W21" s="14">
        <v>0.23</v>
      </c>
      <c r="X21" s="14">
        <v>0.2</v>
      </c>
      <c r="Y21" s="14">
        <v>0.17</v>
      </c>
      <c r="Z21" s="14">
        <v>0.16</v>
      </c>
      <c r="AA21" s="14">
        <v>0.17</v>
      </c>
      <c r="AB21" s="14">
        <v>0.17</v>
      </c>
      <c r="AC21" s="14">
        <v>0.15</v>
      </c>
      <c r="AD21" s="14">
        <v>0.17</v>
      </c>
      <c r="AE21" s="14">
        <v>0.17</v>
      </c>
      <c r="AF21" s="14">
        <v>0.09</v>
      </c>
    </row>
    <row r="22" spans="1:32">
      <c r="A22" s="20"/>
      <c r="B22" s="11" t="s">
        <v>1448</v>
      </c>
      <c r="C22" s="12">
        <v>49.2</v>
      </c>
      <c r="D22" s="12">
        <v>48.15</v>
      </c>
      <c r="E22" s="12">
        <v>50.59</v>
      </c>
      <c r="F22" s="12">
        <v>48.53</v>
      </c>
      <c r="G22" s="12">
        <v>49.02</v>
      </c>
      <c r="H22" s="12">
        <v>49.81</v>
      </c>
      <c r="I22" s="12">
        <v>50.12</v>
      </c>
      <c r="J22" s="12">
        <v>51.37</v>
      </c>
      <c r="K22" s="12">
        <v>48.78</v>
      </c>
      <c r="L22" s="12">
        <v>46.12</v>
      </c>
      <c r="M22" s="12">
        <v>49.79</v>
      </c>
      <c r="N22" s="12">
        <v>48.8</v>
      </c>
      <c r="O22" s="12">
        <v>48.51</v>
      </c>
      <c r="P22" s="12">
        <v>49.11</v>
      </c>
      <c r="Q22" s="12">
        <v>50.34</v>
      </c>
      <c r="R22" s="12">
        <v>47.24</v>
      </c>
      <c r="S22" s="12">
        <v>49.67</v>
      </c>
      <c r="T22" s="12">
        <v>49.5</v>
      </c>
      <c r="U22" s="12">
        <v>45.96</v>
      </c>
      <c r="V22" s="12">
        <v>48.29</v>
      </c>
      <c r="W22" s="12">
        <v>45.87</v>
      </c>
      <c r="X22" s="12">
        <v>48.38</v>
      </c>
      <c r="Y22" s="12">
        <v>48.49</v>
      </c>
      <c r="Z22" s="12">
        <v>48.25</v>
      </c>
      <c r="AA22" s="12">
        <v>50.32</v>
      </c>
      <c r="AB22" s="12">
        <v>47.92</v>
      </c>
      <c r="AC22" s="12">
        <v>50.09</v>
      </c>
      <c r="AD22" s="12">
        <v>47.46</v>
      </c>
      <c r="AE22" s="12">
        <v>49.76</v>
      </c>
      <c r="AF22" s="12">
        <v>51.83</v>
      </c>
    </row>
    <row r="23" spans="1:32">
      <c r="A23" s="20"/>
      <c r="B23" s="13" t="s">
        <v>1449</v>
      </c>
      <c r="C23" s="15" t="s">
        <v>459</v>
      </c>
      <c r="D23" s="15" t="s">
        <v>459</v>
      </c>
      <c r="E23" s="15" t="s">
        <v>459</v>
      </c>
      <c r="F23" s="15" t="s">
        <v>459</v>
      </c>
      <c r="G23" s="15" t="s">
        <v>459</v>
      </c>
      <c r="H23" s="15" t="s">
        <v>459</v>
      </c>
      <c r="I23" s="15" t="s">
        <v>459</v>
      </c>
      <c r="J23" s="15" t="s">
        <v>459</v>
      </c>
      <c r="K23" s="15" t="s">
        <v>459</v>
      </c>
      <c r="L23" s="15" t="s">
        <v>459</v>
      </c>
      <c r="M23" s="15" t="s">
        <v>459</v>
      </c>
      <c r="N23" s="15" t="s">
        <v>459</v>
      </c>
      <c r="O23" s="15" t="s">
        <v>459</v>
      </c>
      <c r="P23" s="15" t="s">
        <v>459</v>
      </c>
      <c r="Q23" s="15" t="s">
        <v>459</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4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339</v>
      </c>
      <c r="C3" s="18"/>
      <c r="D3" s="18"/>
      <c r="E3" s="18"/>
      <c r="F3" s="18"/>
      <c r="H3" s="18" t="s">
        <v>340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1466</v>
      </c>
      <c r="C12" s="12">
        <v>6526</v>
      </c>
      <c r="D12" s="12">
        <v>186</v>
      </c>
      <c r="E12" s="12">
        <v>318</v>
      </c>
      <c r="F12" s="12">
        <v>199</v>
      </c>
      <c r="G12" s="12">
        <v>226</v>
      </c>
      <c r="H12" s="12">
        <v>267</v>
      </c>
      <c r="I12" s="12">
        <v>336</v>
      </c>
      <c r="J12" s="12">
        <v>70</v>
      </c>
      <c r="K12" s="12">
        <v>159</v>
      </c>
      <c r="L12" s="12">
        <v>203</v>
      </c>
      <c r="M12" s="12">
        <v>265</v>
      </c>
      <c r="N12" s="12">
        <v>228</v>
      </c>
      <c r="O12" s="12">
        <v>202</v>
      </c>
      <c r="P12" s="12">
        <v>218</v>
      </c>
      <c r="Q12" s="12">
        <v>304</v>
      </c>
      <c r="R12" s="12">
        <v>128</v>
      </c>
      <c r="S12" s="12">
        <v>222</v>
      </c>
      <c r="T12" s="12">
        <v>293</v>
      </c>
      <c r="U12" s="12">
        <v>92</v>
      </c>
      <c r="V12" s="12">
        <v>295</v>
      </c>
      <c r="W12" s="12">
        <v>120</v>
      </c>
      <c r="X12" s="12">
        <v>195</v>
      </c>
      <c r="Y12" s="12">
        <v>345</v>
      </c>
      <c r="Z12" s="12">
        <v>335</v>
      </c>
      <c r="AA12" s="12">
        <v>284</v>
      </c>
      <c r="AB12" s="12">
        <v>350</v>
      </c>
      <c r="AC12" s="12">
        <v>229</v>
      </c>
      <c r="AD12" s="12">
        <v>207</v>
      </c>
      <c r="AE12" s="12">
        <v>256</v>
      </c>
      <c r="AF12" s="12">
        <v>194</v>
      </c>
    </row>
    <row r="13" spans="1:32" ht="24.95">
      <c r="A13" s="20"/>
      <c r="B13" s="13" t="s">
        <v>1467</v>
      </c>
      <c r="C13" s="14">
        <v>0.25</v>
      </c>
      <c r="D13" s="14">
        <v>0.19</v>
      </c>
      <c r="E13" s="14">
        <v>0.31</v>
      </c>
      <c r="F13" s="14">
        <v>0.2</v>
      </c>
      <c r="G13" s="14">
        <v>0.22</v>
      </c>
      <c r="H13" s="14">
        <v>0.22</v>
      </c>
      <c r="I13" s="14">
        <v>0.22</v>
      </c>
      <c r="J13" s="14">
        <v>0.24</v>
      </c>
      <c r="K13" s="14">
        <v>0.16</v>
      </c>
      <c r="L13" s="14">
        <v>0.2</v>
      </c>
      <c r="M13" s="14">
        <v>0.26</v>
      </c>
      <c r="N13" s="14">
        <v>0.23</v>
      </c>
      <c r="O13" s="14">
        <v>0.2</v>
      </c>
      <c r="P13" s="14">
        <v>0.21</v>
      </c>
      <c r="Q13" s="14">
        <v>0.3</v>
      </c>
      <c r="R13" s="14">
        <v>0.26</v>
      </c>
      <c r="S13" s="14">
        <v>0.22</v>
      </c>
      <c r="T13" s="14">
        <v>0.28999999999999998</v>
      </c>
      <c r="U13" s="14">
        <v>0.18</v>
      </c>
      <c r="V13" s="14">
        <v>0.28999999999999998</v>
      </c>
      <c r="W13" s="14">
        <v>0.24</v>
      </c>
      <c r="X13" s="14">
        <v>0.19</v>
      </c>
      <c r="Y13" s="14">
        <v>0.34</v>
      </c>
      <c r="Z13" s="14">
        <v>0.33</v>
      </c>
      <c r="AA13" s="14">
        <v>0.27</v>
      </c>
      <c r="AB13" s="14">
        <v>0.34</v>
      </c>
      <c r="AC13" s="14">
        <v>0.23</v>
      </c>
      <c r="AD13" s="14">
        <v>0.21</v>
      </c>
      <c r="AE13" s="14">
        <v>0.26</v>
      </c>
      <c r="AF13" s="14">
        <v>0.19</v>
      </c>
    </row>
    <row r="14" spans="1:32" ht="36.950000000000003">
      <c r="A14" s="20"/>
      <c r="B14" s="11" t="s">
        <v>1468</v>
      </c>
      <c r="C14" s="12">
        <v>5771</v>
      </c>
      <c r="D14" s="12">
        <v>134</v>
      </c>
      <c r="E14" s="12">
        <v>252</v>
      </c>
      <c r="F14" s="12">
        <v>194</v>
      </c>
      <c r="G14" s="12">
        <v>201</v>
      </c>
      <c r="H14" s="12">
        <v>240</v>
      </c>
      <c r="I14" s="12">
        <v>272</v>
      </c>
      <c r="J14" s="12">
        <v>32</v>
      </c>
      <c r="K14" s="12">
        <v>135</v>
      </c>
      <c r="L14" s="12">
        <v>321</v>
      </c>
      <c r="M14" s="12">
        <v>304</v>
      </c>
      <c r="N14" s="12">
        <v>272</v>
      </c>
      <c r="O14" s="12">
        <v>106</v>
      </c>
      <c r="P14" s="12">
        <v>289</v>
      </c>
      <c r="Q14" s="12">
        <v>305</v>
      </c>
      <c r="R14" s="12">
        <v>168</v>
      </c>
      <c r="S14" s="12">
        <v>173</v>
      </c>
      <c r="T14" s="12">
        <v>214</v>
      </c>
      <c r="U14" s="12">
        <v>156</v>
      </c>
      <c r="V14" s="12">
        <v>242</v>
      </c>
      <c r="W14" s="12">
        <v>129</v>
      </c>
      <c r="X14" s="12">
        <v>199</v>
      </c>
      <c r="Y14" s="12">
        <v>202</v>
      </c>
      <c r="Z14" s="12">
        <v>241</v>
      </c>
      <c r="AA14" s="12">
        <v>327</v>
      </c>
      <c r="AB14" s="12">
        <v>343</v>
      </c>
      <c r="AC14" s="12">
        <v>272</v>
      </c>
      <c r="AD14" s="12">
        <v>350</v>
      </c>
      <c r="AE14" s="12">
        <v>164</v>
      </c>
      <c r="AF14" s="12">
        <v>147</v>
      </c>
    </row>
    <row r="15" spans="1:32" ht="36.950000000000003">
      <c r="A15" s="20"/>
      <c r="B15" s="13" t="s">
        <v>1469</v>
      </c>
      <c r="C15" s="14">
        <v>0.22</v>
      </c>
      <c r="D15" s="14">
        <v>0.13</v>
      </c>
      <c r="E15" s="14">
        <v>0.25</v>
      </c>
      <c r="F15" s="14">
        <v>0.19</v>
      </c>
      <c r="G15" s="14">
        <v>0.2</v>
      </c>
      <c r="H15" s="14">
        <v>0.2</v>
      </c>
      <c r="I15" s="14">
        <v>0.18</v>
      </c>
      <c r="J15" s="14">
        <v>0.11</v>
      </c>
      <c r="K15" s="14">
        <v>0.13</v>
      </c>
      <c r="L15" s="14">
        <v>0.32</v>
      </c>
      <c r="M15" s="14">
        <v>0.3</v>
      </c>
      <c r="N15" s="14">
        <v>0.27</v>
      </c>
      <c r="O15" s="14">
        <v>0.11</v>
      </c>
      <c r="P15" s="14">
        <v>0.28000000000000003</v>
      </c>
      <c r="Q15" s="14">
        <v>0.3</v>
      </c>
      <c r="R15" s="14">
        <v>0.34</v>
      </c>
      <c r="S15" s="14">
        <v>0.17</v>
      </c>
      <c r="T15" s="14">
        <v>0.21</v>
      </c>
      <c r="U15" s="14">
        <v>0.31</v>
      </c>
      <c r="V15" s="14">
        <v>0.24</v>
      </c>
      <c r="W15" s="14">
        <v>0.26</v>
      </c>
      <c r="X15" s="14">
        <v>0.2</v>
      </c>
      <c r="Y15" s="14">
        <v>0.2</v>
      </c>
      <c r="Z15" s="14">
        <v>0.24</v>
      </c>
      <c r="AA15" s="14">
        <v>0.31</v>
      </c>
      <c r="AB15" s="14">
        <v>0.33</v>
      </c>
      <c r="AC15" s="14">
        <v>0.27</v>
      </c>
      <c r="AD15" s="14">
        <v>0.35</v>
      </c>
      <c r="AE15" s="14">
        <v>0.16</v>
      </c>
      <c r="AF15" s="14">
        <v>0.14000000000000001</v>
      </c>
    </row>
    <row r="16" spans="1:32" ht="48.95">
      <c r="A16" s="20"/>
      <c r="B16" s="11" t="s">
        <v>1470</v>
      </c>
      <c r="C16" s="12">
        <v>177</v>
      </c>
      <c r="D16" s="12">
        <v>18</v>
      </c>
      <c r="E16" s="12">
        <v>7</v>
      </c>
      <c r="F16" s="12">
        <v>6</v>
      </c>
      <c r="G16" s="12">
        <v>9</v>
      </c>
      <c r="H16" s="12">
        <v>2</v>
      </c>
      <c r="I16" s="12">
        <v>4</v>
      </c>
      <c r="J16" s="12">
        <v>2</v>
      </c>
      <c r="K16" s="12">
        <v>9</v>
      </c>
      <c r="L16" s="12">
        <v>0</v>
      </c>
      <c r="M16" s="12">
        <v>4</v>
      </c>
      <c r="N16" s="12">
        <v>3</v>
      </c>
      <c r="O16" s="12">
        <v>7</v>
      </c>
      <c r="P16" s="12">
        <v>6</v>
      </c>
      <c r="Q16" s="12">
        <v>12</v>
      </c>
      <c r="R16" s="12">
        <v>0</v>
      </c>
      <c r="S16" s="12">
        <v>13</v>
      </c>
      <c r="T16" s="12">
        <v>0</v>
      </c>
      <c r="U16" s="12">
        <v>7</v>
      </c>
      <c r="V16" s="12">
        <v>8</v>
      </c>
      <c r="W16" s="12">
        <v>3</v>
      </c>
      <c r="X16" s="12">
        <v>5</v>
      </c>
      <c r="Y16" s="12">
        <v>10</v>
      </c>
      <c r="Z16" s="12">
        <v>7</v>
      </c>
      <c r="AA16" s="12">
        <v>1</v>
      </c>
      <c r="AB16" s="12">
        <v>10</v>
      </c>
      <c r="AC16" s="12">
        <v>0</v>
      </c>
      <c r="AD16" s="12">
        <v>11</v>
      </c>
      <c r="AE16" s="12">
        <v>5</v>
      </c>
      <c r="AF16" s="12">
        <v>15</v>
      </c>
    </row>
    <row r="17" spans="1:32" ht="36.950000000000003">
      <c r="A17" s="20"/>
      <c r="B17" s="13" t="s">
        <v>1471</v>
      </c>
      <c r="C17" s="14">
        <v>0.01</v>
      </c>
      <c r="D17" s="14">
        <v>0.02</v>
      </c>
      <c r="E17" s="14">
        <v>0.01</v>
      </c>
      <c r="F17" s="14">
        <v>0.01</v>
      </c>
      <c r="G17" s="14">
        <v>0.01</v>
      </c>
      <c r="H17" s="15" t="s">
        <v>459</v>
      </c>
      <c r="I17" s="15" t="s">
        <v>459</v>
      </c>
      <c r="J17" s="14">
        <v>0.01</v>
      </c>
      <c r="K17" s="14">
        <v>0.01</v>
      </c>
      <c r="L17" s="15" t="s">
        <v>459</v>
      </c>
      <c r="M17" s="15" t="s">
        <v>459</v>
      </c>
      <c r="N17" s="15" t="s">
        <v>459</v>
      </c>
      <c r="O17" s="14">
        <v>0.01</v>
      </c>
      <c r="P17" s="14">
        <v>0.01</v>
      </c>
      <c r="Q17" s="14">
        <v>0.01</v>
      </c>
      <c r="R17" s="15" t="s">
        <v>459</v>
      </c>
      <c r="S17" s="14">
        <v>0.01</v>
      </c>
      <c r="T17" s="15" t="s">
        <v>459</v>
      </c>
      <c r="U17" s="14">
        <v>0.01</v>
      </c>
      <c r="V17" s="14">
        <v>0.01</v>
      </c>
      <c r="W17" s="14">
        <v>0.01</v>
      </c>
      <c r="X17" s="14">
        <v>0.01</v>
      </c>
      <c r="Y17" s="14">
        <v>0.01</v>
      </c>
      <c r="Z17" s="14">
        <v>0.01</v>
      </c>
      <c r="AA17" s="15" t="s">
        <v>459</v>
      </c>
      <c r="AB17" s="14">
        <v>0.01</v>
      </c>
      <c r="AC17" s="15" t="s">
        <v>459</v>
      </c>
      <c r="AD17" s="14">
        <v>0.01</v>
      </c>
      <c r="AE17" s="15" t="s">
        <v>459</v>
      </c>
      <c r="AF17" s="14">
        <v>0.01</v>
      </c>
    </row>
    <row r="18" spans="1:32" ht="60.95">
      <c r="A18" s="20"/>
      <c r="B18" s="11" t="s">
        <v>1472</v>
      </c>
      <c r="C18" s="12">
        <v>128</v>
      </c>
      <c r="D18" s="12">
        <v>20</v>
      </c>
      <c r="E18" s="12">
        <v>4</v>
      </c>
      <c r="F18" s="12">
        <v>12</v>
      </c>
      <c r="G18" s="12">
        <v>8</v>
      </c>
      <c r="H18" s="12">
        <v>3</v>
      </c>
      <c r="I18" s="12">
        <v>7</v>
      </c>
      <c r="J18" s="12">
        <v>4</v>
      </c>
      <c r="K18" s="12">
        <v>13</v>
      </c>
      <c r="L18" s="12">
        <v>2</v>
      </c>
      <c r="M18" s="12">
        <v>0</v>
      </c>
      <c r="N18" s="12">
        <v>3</v>
      </c>
      <c r="O18" s="12">
        <v>4</v>
      </c>
      <c r="P18" s="12">
        <v>4</v>
      </c>
      <c r="Q18" s="12">
        <v>1</v>
      </c>
      <c r="R18" s="12">
        <v>0</v>
      </c>
      <c r="S18" s="12">
        <v>6</v>
      </c>
      <c r="T18" s="12">
        <v>2</v>
      </c>
      <c r="U18" s="12">
        <v>2</v>
      </c>
      <c r="V18" s="12">
        <v>9</v>
      </c>
      <c r="W18" s="12">
        <v>1</v>
      </c>
      <c r="X18" s="12">
        <v>11</v>
      </c>
      <c r="Y18" s="12">
        <v>8</v>
      </c>
      <c r="Z18" s="12">
        <v>6</v>
      </c>
      <c r="AA18" s="12">
        <v>2</v>
      </c>
      <c r="AB18" s="12">
        <v>3</v>
      </c>
      <c r="AC18" s="12">
        <v>3</v>
      </c>
      <c r="AD18" s="12">
        <v>5</v>
      </c>
      <c r="AE18" s="12">
        <v>8</v>
      </c>
      <c r="AF18" s="12">
        <v>9</v>
      </c>
    </row>
    <row r="19" spans="1:32" ht="48.95">
      <c r="A19" s="20"/>
      <c r="B19" s="13" t="s">
        <v>1473</v>
      </c>
      <c r="C19" s="15" t="s">
        <v>459</v>
      </c>
      <c r="D19" s="14">
        <v>0.02</v>
      </c>
      <c r="E19" s="15" t="s">
        <v>459</v>
      </c>
      <c r="F19" s="14">
        <v>0.01</v>
      </c>
      <c r="G19" s="14">
        <v>0.01</v>
      </c>
      <c r="H19" s="15" t="s">
        <v>459</v>
      </c>
      <c r="I19" s="15" t="s">
        <v>459</v>
      </c>
      <c r="J19" s="14">
        <v>0.01</v>
      </c>
      <c r="K19" s="14">
        <v>0.01</v>
      </c>
      <c r="L19" s="15" t="s">
        <v>459</v>
      </c>
      <c r="M19" s="15" t="s">
        <v>459</v>
      </c>
      <c r="N19" s="15" t="s">
        <v>459</v>
      </c>
      <c r="O19" s="15" t="s">
        <v>459</v>
      </c>
      <c r="P19" s="15" t="s">
        <v>459</v>
      </c>
      <c r="Q19" s="15" t="s">
        <v>459</v>
      </c>
      <c r="R19" s="15" t="s">
        <v>459</v>
      </c>
      <c r="S19" s="14">
        <v>0.01</v>
      </c>
      <c r="T19" s="15" t="s">
        <v>459</v>
      </c>
      <c r="U19" s="15" t="s">
        <v>459</v>
      </c>
      <c r="V19" s="14">
        <v>0.01</v>
      </c>
      <c r="W19" s="15" t="s">
        <v>459</v>
      </c>
      <c r="X19" s="14">
        <v>0.01</v>
      </c>
      <c r="Y19" s="14">
        <v>0.01</v>
      </c>
      <c r="Z19" s="14">
        <v>0.01</v>
      </c>
      <c r="AA19" s="15" t="s">
        <v>459</v>
      </c>
      <c r="AB19" s="15" t="s">
        <v>459</v>
      </c>
      <c r="AC19" s="15" t="s">
        <v>459</v>
      </c>
      <c r="AD19" s="15" t="s">
        <v>459</v>
      </c>
      <c r="AE19" s="14">
        <v>0.01</v>
      </c>
      <c r="AF19" s="14">
        <v>0.01</v>
      </c>
    </row>
    <row r="20" spans="1:32" ht="24.95">
      <c r="A20" s="20"/>
      <c r="B20" s="11" t="s">
        <v>1474</v>
      </c>
      <c r="C20" s="12">
        <v>1943</v>
      </c>
      <c r="D20" s="12">
        <v>91</v>
      </c>
      <c r="E20" s="12">
        <v>64</v>
      </c>
      <c r="F20" s="12">
        <v>90</v>
      </c>
      <c r="G20" s="12">
        <v>107</v>
      </c>
      <c r="H20" s="12">
        <v>73</v>
      </c>
      <c r="I20" s="12">
        <v>102</v>
      </c>
      <c r="J20" s="12">
        <v>29</v>
      </c>
      <c r="K20" s="12">
        <v>117</v>
      </c>
      <c r="L20" s="12">
        <v>59</v>
      </c>
      <c r="M20" s="12">
        <v>53</v>
      </c>
      <c r="N20" s="12">
        <v>77</v>
      </c>
      <c r="O20" s="12">
        <v>111</v>
      </c>
      <c r="P20" s="12">
        <v>73</v>
      </c>
      <c r="Q20" s="12">
        <v>36</v>
      </c>
      <c r="R20" s="12">
        <v>41</v>
      </c>
      <c r="S20" s="12">
        <v>86</v>
      </c>
      <c r="T20" s="12">
        <v>61</v>
      </c>
      <c r="U20" s="12">
        <v>38</v>
      </c>
      <c r="V20" s="12">
        <v>96</v>
      </c>
      <c r="W20" s="12">
        <v>22</v>
      </c>
      <c r="X20" s="12">
        <v>106</v>
      </c>
      <c r="Y20" s="12">
        <v>89</v>
      </c>
      <c r="Z20" s="12">
        <v>68</v>
      </c>
      <c r="AA20" s="12">
        <v>41</v>
      </c>
      <c r="AB20" s="12">
        <v>26</v>
      </c>
      <c r="AC20" s="12">
        <v>87</v>
      </c>
      <c r="AD20" s="12">
        <v>57</v>
      </c>
      <c r="AE20" s="12">
        <v>134</v>
      </c>
      <c r="AF20" s="12">
        <v>122</v>
      </c>
    </row>
    <row r="21" spans="1:32" ht="36.950000000000003">
      <c r="A21" s="20"/>
      <c r="B21" s="13" t="s">
        <v>1475</v>
      </c>
      <c r="C21" s="14">
        <v>7.0000000000000007E-2</v>
      </c>
      <c r="D21" s="14">
        <v>0.09</v>
      </c>
      <c r="E21" s="14">
        <v>0.06</v>
      </c>
      <c r="F21" s="14">
        <v>0.09</v>
      </c>
      <c r="G21" s="14">
        <v>0.11</v>
      </c>
      <c r="H21" s="14">
        <v>0.06</v>
      </c>
      <c r="I21" s="14">
        <v>7.0000000000000007E-2</v>
      </c>
      <c r="J21" s="14">
        <v>0.1</v>
      </c>
      <c r="K21" s="14">
        <v>0.12</v>
      </c>
      <c r="L21" s="14">
        <v>0.06</v>
      </c>
      <c r="M21" s="14">
        <v>0.05</v>
      </c>
      <c r="N21" s="14">
        <v>0.08</v>
      </c>
      <c r="O21" s="14">
        <v>0.11</v>
      </c>
      <c r="P21" s="14">
        <v>7.0000000000000007E-2</v>
      </c>
      <c r="Q21" s="14">
        <v>0.04</v>
      </c>
      <c r="R21" s="14">
        <v>0.08</v>
      </c>
      <c r="S21" s="14">
        <v>0.09</v>
      </c>
      <c r="T21" s="14">
        <v>0.06</v>
      </c>
      <c r="U21" s="14">
        <v>0.08</v>
      </c>
      <c r="V21" s="14">
        <v>0.09</v>
      </c>
      <c r="W21" s="14">
        <v>0.04</v>
      </c>
      <c r="X21" s="14">
        <v>0.1</v>
      </c>
      <c r="Y21" s="14">
        <v>0.09</v>
      </c>
      <c r="Z21" s="14">
        <v>7.0000000000000007E-2</v>
      </c>
      <c r="AA21" s="14">
        <v>0.04</v>
      </c>
      <c r="AB21" s="14">
        <v>0.03</v>
      </c>
      <c r="AC21" s="14">
        <v>0.09</v>
      </c>
      <c r="AD21" s="14">
        <v>0.06</v>
      </c>
      <c r="AE21" s="14">
        <v>0.13</v>
      </c>
      <c r="AF21" s="14">
        <v>0.12</v>
      </c>
    </row>
    <row r="22" spans="1:32" ht="36.950000000000003">
      <c r="A22" s="20"/>
      <c r="B22" s="11" t="s">
        <v>1476</v>
      </c>
      <c r="C22" s="12">
        <v>728</v>
      </c>
      <c r="D22" s="12">
        <v>52</v>
      </c>
      <c r="E22" s="12">
        <v>35</v>
      </c>
      <c r="F22" s="12">
        <v>36</v>
      </c>
      <c r="G22" s="12">
        <v>45</v>
      </c>
      <c r="H22" s="12">
        <v>6</v>
      </c>
      <c r="I22" s="12">
        <v>16</v>
      </c>
      <c r="J22" s="12">
        <v>10</v>
      </c>
      <c r="K22" s="12">
        <v>62</v>
      </c>
      <c r="L22" s="12">
        <v>26</v>
      </c>
      <c r="M22" s="12">
        <v>1</v>
      </c>
      <c r="N22" s="12">
        <v>29</v>
      </c>
      <c r="O22" s="12">
        <v>59</v>
      </c>
      <c r="P22" s="12">
        <v>16</v>
      </c>
      <c r="Q22" s="12">
        <v>11</v>
      </c>
      <c r="R22" s="12">
        <v>6</v>
      </c>
      <c r="S22" s="12">
        <v>46</v>
      </c>
      <c r="T22" s="12">
        <v>13</v>
      </c>
      <c r="U22" s="12">
        <v>12</v>
      </c>
      <c r="V22" s="12">
        <v>27</v>
      </c>
      <c r="W22" s="12">
        <v>9</v>
      </c>
      <c r="X22" s="12">
        <v>59</v>
      </c>
      <c r="Y22" s="12">
        <v>36</v>
      </c>
      <c r="Z22" s="12">
        <v>11</v>
      </c>
      <c r="AA22" s="12">
        <v>26</v>
      </c>
      <c r="AB22" s="12">
        <v>3</v>
      </c>
      <c r="AC22" s="12">
        <v>82</v>
      </c>
      <c r="AD22" s="12">
        <v>27</v>
      </c>
      <c r="AE22" s="12">
        <v>46</v>
      </c>
      <c r="AF22" s="12">
        <v>74</v>
      </c>
    </row>
    <row r="23" spans="1:32" ht="36.950000000000003">
      <c r="A23" s="20"/>
      <c r="B23" s="13" t="s">
        <v>1477</v>
      </c>
      <c r="C23" s="14">
        <v>0.03</v>
      </c>
      <c r="D23" s="14">
        <v>0.05</v>
      </c>
      <c r="E23" s="14">
        <v>0.03</v>
      </c>
      <c r="F23" s="14">
        <v>0.04</v>
      </c>
      <c r="G23" s="14">
        <v>0.05</v>
      </c>
      <c r="H23" s="14">
        <v>0.01</v>
      </c>
      <c r="I23" s="14">
        <v>0.01</v>
      </c>
      <c r="J23" s="14">
        <v>0.03</v>
      </c>
      <c r="K23" s="14">
        <v>0.06</v>
      </c>
      <c r="L23" s="14">
        <v>0.03</v>
      </c>
      <c r="M23" s="15" t="s">
        <v>459</v>
      </c>
      <c r="N23" s="14">
        <v>0.03</v>
      </c>
      <c r="O23" s="14">
        <v>0.06</v>
      </c>
      <c r="P23" s="14">
        <v>0.02</v>
      </c>
      <c r="Q23" s="14">
        <v>0.01</v>
      </c>
      <c r="R23" s="14">
        <v>0.01</v>
      </c>
      <c r="S23" s="14">
        <v>0.05</v>
      </c>
      <c r="T23" s="14">
        <v>0.01</v>
      </c>
      <c r="U23" s="14">
        <v>0.02</v>
      </c>
      <c r="V23" s="14">
        <v>0.03</v>
      </c>
      <c r="W23" s="14">
        <v>0.02</v>
      </c>
      <c r="X23" s="14">
        <v>0.06</v>
      </c>
      <c r="Y23" s="14">
        <v>0.04</v>
      </c>
      <c r="Z23" s="14">
        <v>0.01</v>
      </c>
      <c r="AA23" s="14">
        <v>0.03</v>
      </c>
      <c r="AB23" s="15" t="s">
        <v>459</v>
      </c>
      <c r="AC23" s="14">
        <v>0.08</v>
      </c>
      <c r="AD23" s="14">
        <v>0.03</v>
      </c>
      <c r="AE23" s="14">
        <v>0.05</v>
      </c>
      <c r="AF23" s="14">
        <v>7.0000000000000007E-2</v>
      </c>
    </row>
    <row r="24" spans="1:32" ht="60.95">
      <c r="A24" s="20"/>
      <c r="B24" s="11" t="s">
        <v>1478</v>
      </c>
      <c r="C24" s="12">
        <v>171</v>
      </c>
      <c r="D24" s="12">
        <v>21</v>
      </c>
      <c r="E24" s="12">
        <v>3</v>
      </c>
      <c r="F24" s="12">
        <v>9</v>
      </c>
      <c r="G24" s="12">
        <v>16</v>
      </c>
      <c r="H24" s="12">
        <v>7</v>
      </c>
      <c r="I24" s="12">
        <v>9</v>
      </c>
      <c r="J24" s="12">
        <v>3</v>
      </c>
      <c r="K24" s="12">
        <v>16</v>
      </c>
      <c r="L24" s="12">
        <v>7</v>
      </c>
      <c r="M24" s="12">
        <v>2</v>
      </c>
      <c r="N24" s="12">
        <v>5</v>
      </c>
      <c r="O24" s="12">
        <v>8</v>
      </c>
      <c r="P24" s="12">
        <v>7</v>
      </c>
      <c r="Q24" s="12">
        <v>2</v>
      </c>
      <c r="R24" s="12">
        <v>2</v>
      </c>
      <c r="S24" s="12">
        <v>4</v>
      </c>
      <c r="T24" s="12">
        <v>1</v>
      </c>
      <c r="U24" s="12">
        <v>3</v>
      </c>
      <c r="V24" s="12">
        <v>5</v>
      </c>
      <c r="W24" s="12">
        <v>6</v>
      </c>
      <c r="X24" s="12">
        <v>14</v>
      </c>
      <c r="Y24" s="12">
        <v>9</v>
      </c>
      <c r="Z24" s="12">
        <v>3</v>
      </c>
      <c r="AA24" s="12">
        <v>5</v>
      </c>
      <c r="AB24" s="12">
        <v>1</v>
      </c>
      <c r="AC24" s="12">
        <v>3</v>
      </c>
      <c r="AD24" s="12">
        <v>5</v>
      </c>
      <c r="AE24" s="12">
        <v>7</v>
      </c>
      <c r="AF24" s="12">
        <v>26</v>
      </c>
    </row>
    <row r="25" spans="1:32" ht="36.950000000000003">
      <c r="A25" s="20"/>
      <c r="B25" s="13" t="s">
        <v>1479</v>
      </c>
      <c r="C25" s="14">
        <v>0.01</v>
      </c>
      <c r="D25" s="14">
        <v>0.02</v>
      </c>
      <c r="E25" s="15" t="s">
        <v>459</v>
      </c>
      <c r="F25" s="14">
        <v>0.01</v>
      </c>
      <c r="G25" s="14">
        <v>0.02</v>
      </c>
      <c r="H25" s="14">
        <v>0.01</v>
      </c>
      <c r="I25" s="14">
        <v>0.01</v>
      </c>
      <c r="J25" s="14">
        <v>0.01</v>
      </c>
      <c r="K25" s="14">
        <v>0.02</v>
      </c>
      <c r="L25" s="14">
        <v>0.01</v>
      </c>
      <c r="M25" s="15" t="s">
        <v>459</v>
      </c>
      <c r="N25" s="14">
        <v>0.01</v>
      </c>
      <c r="O25" s="14">
        <v>0.01</v>
      </c>
      <c r="P25" s="14">
        <v>0.01</v>
      </c>
      <c r="Q25" s="15" t="s">
        <v>459</v>
      </c>
      <c r="R25" s="15" t="s">
        <v>459</v>
      </c>
      <c r="S25" s="15" t="s">
        <v>459</v>
      </c>
      <c r="T25" s="15" t="s">
        <v>459</v>
      </c>
      <c r="U25" s="14">
        <v>0.01</v>
      </c>
      <c r="V25" s="15" t="s">
        <v>459</v>
      </c>
      <c r="W25" s="14">
        <v>0.01</v>
      </c>
      <c r="X25" s="14">
        <v>0.01</v>
      </c>
      <c r="Y25" s="14">
        <v>0.01</v>
      </c>
      <c r="Z25" s="15" t="s">
        <v>459</v>
      </c>
      <c r="AA25" s="15" t="s">
        <v>459</v>
      </c>
      <c r="AB25" s="15" t="s">
        <v>459</v>
      </c>
      <c r="AC25" s="15" t="s">
        <v>459</v>
      </c>
      <c r="AD25" s="15" t="s">
        <v>459</v>
      </c>
      <c r="AE25" s="14">
        <v>0.01</v>
      </c>
      <c r="AF25" s="14">
        <v>0.02</v>
      </c>
    </row>
    <row r="26" spans="1:32" ht="72.95">
      <c r="A26" s="20"/>
      <c r="B26" s="11" t="s">
        <v>1480</v>
      </c>
      <c r="C26" s="12">
        <v>84</v>
      </c>
      <c r="D26" s="12">
        <v>21</v>
      </c>
      <c r="E26" s="12">
        <v>2</v>
      </c>
      <c r="F26" s="12">
        <v>9</v>
      </c>
      <c r="G26" s="12">
        <v>2</v>
      </c>
      <c r="H26" s="12">
        <v>2</v>
      </c>
      <c r="I26" s="12">
        <v>4</v>
      </c>
      <c r="J26" s="12">
        <v>2</v>
      </c>
      <c r="K26" s="12">
        <v>21</v>
      </c>
      <c r="L26" s="12">
        <v>5</v>
      </c>
      <c r="M26" s="12">
        <v>0</v>
      </c>
      <c r="N26" s="12">
        <v>4</v>
      </c>
      <c r="O26" s="12">
        <v>2</v>
      </c>
      <c r="P26" s="12">
        <v>2</v>
      </c>
      <c r="Q26" s="12">
        <v>2</v>
      </c>
      <c r="R26" s="12">
        <v>1</v>
      </c>
      <c r="S26" s="12">
        <v>4</v>
      </c>
      <c r="T26" s="12">
        <v>8</v>
      </c>
      <c r="U26" s="12">
        <v>0</v>
      </c>
      <c r="V26" s="12">
        <v>6</v>
      </c>
      <c r="W26" s="12">
        <v>3</v>
      </c>
      <c r="X26" s="12">
        <v>2</v>
      </c>
      <c r="Y26" s="12">
        <v>2</v>
      </c>
      <c r="Z26" s="12">
        <v>2</v>
      </c>
      <c r="AA26" s="12">
        <v>3</v>
      </c>
      <c r="AB26" s="12">
        <v>0</v>
      </c>
      <c r="AC26" s="12">
        <v>4</v>
      </c>
      <c r="AD26" s="12">
        <v>3</v>
      </c>
      <c r="AE26" s="12">
        <v>8</v>
      </c>
      <c r="AF26" s="12">
        <v>6</v>
      </c>
    </row>
    <row r="27" spans="1:32" ht="48.95">
      <c r="A27" s="20"/>
      <c r="B27" s="13" t="s">
        <v>1481</v>
      </c>
      <c r="C27" s="15" t="s">
        <v>459</v>
      </c>
      <c r="D27" s="14">
        <v>0.02</v>
      </c>
      <c r="E27" s="15" t="s">
        <v>459</v>
      </c>
      <c r="F27" s="14">
        <v>0.01</v>
      </c>
      <c r="G27" s="15" t="s">
        <v>459</v>
      </c>
      <c r="H27" s="15" t="s">
        <v>459</v>
      </c>
      <c r="I27" s="15" t="s">
        <v>459</v>
      </c>
      <c r="J27" s="14">
        <v>0.01</v>
      </c>
      <c r="K27" s="14">
        <v>0.02</v>
      </c>
      <c r="L27" s="15" t="s">
        <v>459</v>
      </c>
      <c r="M27" s="15" t="s">
        <v>459</v>
      </c>
      <c r="N27" s="15" t="s">
        <v>459</v>
      </c>
      <c r="O27" s="15" t="s">
        <v>459</v>
      </c>
      <c r="P27" s="15" t="s">
        <v>459</v>
      </c>
      <c r="Q27" s="15" t="s">
        <v>459</v>
      </c>
      <c r="R27" s="15" t="s">
        <v>459</v>
      </c>
      <c r="S27" s="15" t="s">
        <v>459</v>
      </c>
      <c r="T27" s="14">
        <v>0.01</v>
      </c>
      <c r="U27" s="15" t="s">
        <v>459</v>
      </c>
      <c r="V27" s="14">
        <v>0.01</v>
      </c>
      <c r="W27" s="14">
        <v>0.01</v>
      </c>
      <c r="X27" s="15" t="s">
        <v>459</v>
      </c>
      <c r="Y27" s="15" t="s">
        <v>459</v>
      </c>
      <c r="Z27" s="15" t="s">
        <v>459</v>
      </c>
      <c r="AA27" s="15" t="s">
        <v>459</v>
      </c>
      <c r="AB27" s="15" t="s">
        <v>459</v>
      </c>
      <c r="AC27" s="15" t="s">
        <v>459</v>
      </c>
      <c r="AD27" s="15" t="s">
        <v>459</v>
      </c>
      <c r="AE27" s="14">
        <v>0.01</v>
      </c>
      <c r="AF27" s="14">
        <v>0.01</v>
      </c>
    </row>
    <row r="28" spans="1:32" ht="24.95">
      <c r="A28" s="20"/>
      <c r="B28" s="11" t="s">
        <v>1482</v>
      </c>
      <c r="C28" s="12">
        <v>5951</v>
      </c>
      <c r="D28" s="12">
        <v>241</v>
      </c>
      <c r="E28" s="12">
        <v>149</v>
      </c>
      <c r="F28" s="12">
        <v>179</v>
      </c>
      <c r="G28" s="12">
        <v>226</v>
      </c>
      <c r="H28" s="12">
        <v>332</v>
      </c>
      <c r="I28" s="12">
        <v>404</v>
      </c>
      <c r="J28" s="12">
        <v>72</v>
      </c>
      <c r="K28" s="12">
        <v>215</v>
      </c>
      <c r="L28" s="12">
        <v>249</v>
      </c>
      <c r="M28" s="12">
        <v>224</v>
      </c>
      <c r="N28" s="12">
        <v>242</v>
      </c>
      <c r="O28" s="12">
        <v>264</v>
      </c>
      <c r="P28" s="12">
        <v>211</v>
      </c>
      <c r="Q28" s="12">
        <v>217</v>
      </c>
      <c r="R28" s="12">
        <v>78</v>
      </c>
      <c r="S28" s="12">
        <v>195</v>
      </c>
      <c r="T28" s="12">
        <v>177</v>
      </c>
      <c r="U28" s="12">
        <v>112</v>
      </c>
      <c r="V28" s="12">
        <v>120</v>
      </c>
      <c r="W28" s="12">
        <v>137</v>
      </c>
      <c r="X28" s="12">
        <v>285</v>
      </c>
      <c r="Y28" s="12">
        <v>162</v>
      </c>
      <c r="Z28" s="12">
        <v>172</v>
      </c>
      <c r="AA28" s="12">
        <v>195</v>
      </c>
      <c r="AB28" s="12">
        <v>161</v>
      </c>
      <c r="AC28" s="12">
        <v>171</v>
      </c>
      <c r="AD28" s="12">
        <v>166</v>
      </c>
      <c r="AE28" s="12">
        <v>208</v>
      </c>
      <c r="AF28" s="12">
        <v>262</v>
      </c>
    </row>
    <row r="29" spans="1:32">
      <c r="A29" s="20"/>
      <c r="B29" s="13" t="s">
        <v>1483</v>
      </c>
      <c r="C29" s="14">
        <v>0.23</v>
      </c>
      <c r="D29" s="14">
        <v>0.24</v>
      </c>
      <c r="E29" s="14">
        <v>0.15</v>
      </c>
      <c r="F29" s="14">
        <v>0.18</v>
      </c>
      <c r="G29" s="14">
        <v>0.22</v>
      </c>
      <c r="H29" s="14">
        <v>0.27</v>
      </c>
      <c r="I29" s="14">
        <v>0.27</v>
      </c>
      <c r="J29" s="14">
        <v>0.24</v>
      </c>
      <c r="K29" s="14">
        <v>0.21</v>
      </c>
      <c r="L29" s="14">
        <v>0.25</v>
      </c>
      <c r="M29" s="14">
        <v>0.22</v>
      </c>
      <c r="N29" s="14">
        <v>0.24</v>
      </c>
      <c r="O29" s="14">
        <v>0.26</v>
      </c>
      <c r="P29" s="14">
        <v>0.21</v>
      </c>
      <c r="Q29" s="14">
        <v>0.21</v>
      </c>
      <c r="R29" s="14">
        <v>0.16</v>
      </c>
      <c r="S29" s="14">
        <v>0.19</v>
      </c>
      <c r="T29" s="14">
        <v>0.17</v>
      </c>
      <c r="U29" s="14">
        <v>0.22</v>
      </c>
      <c r="V29" s="14">
        <v>0.12</v>
      </c>
      <c r="W29" s="14">
        <v>0.27</v>
      </c>
      <c r="X29" s="14">
        <v>0.28000000000000003</v>
      </c>
      <c r="Y29" s="14">
        <v>0.16</v>
      </c>
      <c r="Z29" s="14">
        <v>0.17</v>
      </c>
      <c r="AA29" s="14">
        <v>0.19</v>
      </c>
      <c r="AB29" s="14">
        <v>0.16</v>
      </c>
      <c r="AC29" s="14">
        <v>0.17</v>
      </c>
      <c r="AD29" s="14">
        <v>0.16</v>
      </c>
      <c r="AE29" s="14">
        <v>0.21</v>
      </c>
      <c r="AF29" s="14">
        <v>0.26</v>
      </c>
    </row>
    <row r="30" spans="1:32" ht="24.95">
      <c r="A30" s="20"/>
      <c r="B30" s="11" t="s">
        <v>1484</v>
      </c>
      <c r="C30" s="12">
        <v>494</v>
      </c>
      <c r="D30" s="12">
        <v>48</v>
      </c>
      <c r="E30" s="12">
        <v>8</v>
      </c>
      <c r="F30" s="12">
        <v>21</v>
      </c>
      <c r="G30" s="12">
        <v>29</v>
      </c>
      <c r="H30" s="12">
        <v>28</v>
      </c>
      <c r="I30" s="12">
        <v>38</v>
      </c>
      <c r="J30" s="12">
        <v>10</v>
      </c>
      <c r="K30" s="12">
        <v>30</v>
      </c>
      <c r="L30" s="12">
        <v>40</v>
      </c>
      <c r="M30" s="12">
        <v>4</v>
      </c>
      <c r="N30" s="12">
        <v>18</v>
      </c>
      <c r="O30" s="12">
        <v>38</v>
      </c>
      <c r="P30" s="12">
        <v>5</v>
      </c>
      <c r="Q30" s="12">
        <v>3</v>
      </c>
      <c r="R30" s="12">
        <v>8</v>
      </c>
      <c r="S30" s="12">
        <v>22</v>
      </c>
      <c r="T30" s="12">
        <v>9</v>
      </c>
      <c r="U30" s="12">
        <v>17</v>
      </c>
      <c r="V30" s="12">
        <v>12</v>
      </c>
      <c r="W30" s="12">
        <v>20</v>
      </c>
      <c r="X30" s="12">
        <v>20</v>
      </c>
      <c r="Y30" s="12">
        <v>15</v>
      </c>
      <c r="Z30" s="12">
        <v>5</v>
      </c>
      <c r="AA30" s="12">
        <v>8</v>
      </c>
      <c r="AB30" s="12">
        <v>4</v>
      </c>
      <c r="AC30" s="12">
        <v>15</v>
      </c>
      <c r="AD30" s="12">
        <v>6</v>
      </c>
      <c r="AE30" s="12">
        <v>5</v>
      </c>
      <c r="AF30" s="12">
        <v>25</v>
      </c>
    </row>
    <row r="31" spans="1:32">
      <c r="A31" s="20"/>
      <c r="B31" s="13" t="s">
        <v>1485</v>
      </c>
      <c r="C31" s="14">
        <v>0.02</v>
      </c>
      <c r="D31" s="14">
        <v>0.05</v>
      </c>
      <c r="E31" s="14">
        <v>0.01</v>
      </c>
      <c r="F31" s="14">
        <v>0.02</v>
      </c>
      <c r="G31" s="14">
        <v>0.03</v>
      </c>
      <c r="H31" s="14">
        <v>0.02</v>
      </c>
      <c r="I31" s="14">
        <v>0.03</v>
      </c>
      <c r="J31" s="14">
        <v>0.03</v>
      </c>
      <c r="K31" s="14">
        <v>0.03</v>
      </c>
      <c r="L31" s="14">
        <v>0.04</v>
      </c>
      <c r="M31" s="14">
        <v>0.01</v>
      </c>
      <c r="N31" s="14">
        <v>0.02</v>
      </c>
      <c r="O31" s="14">
        <v>0.04</v>
      </c>
      <c r="P31" s="14">
        <v>0.01</v>
      </c>
      <c r="Q31" s="15" t="s">
        <v>459</v>
      </c>
      <c r="R31" s="14">
        <v>0.02</v>
      </c>
      <c r="S31" s="14">
        <v>0.02</v>
      </c>
      <c r="T31" s="14">
        <v>0.01</v>
      </c>
      <c r="U31" s="14">
        <v>0.03</v>
      </c>
      <c r="V31" s="14">
        <v>0.01</v>
      </c>
      <c r="W31" s="14">
        <v>0.04</v>
      </c>
      <c r="X31" s="14">
        <v>0.02</v>
      </c>
      <c r="Y31" s="14">
        <v>0.01</v>
      </c>
      <c r="Z31" s="15" t="s">
        <v>459</v>
      </c>
      <c r="AA31" s="14">
        <v>0.01</v>
      </c>
      <c r="AB31" s="15" t="s">
        <v>459</v>
      </c>
      <c r="AC31" s="14">
        <v>0.01</v>
      </c>
      <c r="AD31" s="14">
        <v>0.01</v>
      </c>
      <c r="AE31" s="14">
        <v>0.01</v>
      </c>
      <c r="AF31" s="14">
        <v>0.02</v>
      </c>
    </row>
    <row r="32" spans="1:32" ht="24.95">
      <c r="A32" s="20"/>
      <c r="B32" s="11" t="s">
        <v>1486</v>
      </c>
      <c r="C32" s="12">
        <v>1517</v>
      </c>
      <c r="D32" s="12">
        <v>42</v>
      </c>
      <c r="E32" s="12">
        <v>48</v>
      </c>
      <c r="F32" s="12">
        <v>101</v>
      </c>
      <c r="G32" s="12">
        <v>44</v>
      </c>
      <c r="H32" s="12">
        <v>107</v>
      </c>
      <c r="I32" s="12">
        <v>130</v>
      </c>
      <c r="J32" s="12">
        <v>23</v>
      </c>
      <c r="K32" s="12">
        <v>86</v>
      </c>
      <c r="L32" s="12">
        <v>20</v>
      </c>
      <c r="M32" s="12">
        <v>47</v>
      </c>
      <c r="N32" s="12">
        <v>48</v>
      </c>
      <c r="O32" s="12">
        <v>92</v>
      </c>
      <c r="P32" s="12">
        <v>51</v>
      </c>
      <c r="Q32" s="12">
        <v>35</v>
      </c>
      <c r="R32" s="12">
        <v>15</v>
      </c>
      <c r="S32" s="12">
        <v>60</v>
      </c>
      <c r="T32" s="12">
        <v>82</v>
      </c>
      <c r="U32" s="12">
        <v>20</v>
      </c>
      <c r="V32" s="12">
        <v>79</v>
      </c>
      <c r="W32" s="12">
        <v>9</v>
      </c>
      <c r="X32" s="12">
        <v>21</v>
      </c>
      <c r="Y32" s="12">
        <v>60</v>
      </c>
      <c r="Z32" s="12">
        <v>29</v>
      </c>
      <c r="AA32" s="12">
        <v>44</v>
      </c>
      <c r="AB32" s="12">
        <v>20</v>
      </c>
      <c r="AC32" s="12">
        <v>29</v>
      </c>
      <c r="AD32" s="12">
        <v>48</v>
      </c>
      <c r="AE32" s="12">
        <v>65</v>
      </c>
      <c r="AF32" s="12">
        <v>46</v>
      </c>
    </row>
    <row r="33" spans="1:32" ht="24.95">
      <c r="A33" s="20"/>
      <c r="B33" s="13" t="s">
        <v>1487</v>
      </c>
      <c r="C33" s="14">
        <v>0.06</v>
      </c>
      <c r="D33" s="14">
        <v>0.04</v>
      </c>
      <c r="E33" s="14">
        <v>0.05</v>
      </c>
      <c r="F33" s="14">
        <v>0.1</v>
      </c>
      <c r="G33" s="14">
        <v>0.04</v>
      </c>
      <c r="H33" s="14">
        <v>0.09</v>
      </c>
      <c r="I33" s="14">
        <v>0.09</v>
      </c>
      <c r="J33" s="14">
        <v>0.08</v>
      </c>
      <c r="K33" s="14">
        <v>0.09</v>
      </c>
      <c r="L33" s="14">
        <v>0.02</v>
      </c>
      <c r="M33" s="14">
        <v>0.05</v>
      </c>
      <c r="N33" s="14">
        <v>0.05</v>
      </c>
      <c r="O33" s="14">
        <v>0.09</v>
      </c>
      <c r="P33" s="14">
        <v>0.05</v>
      </c>
      <c r="Q33" s="14">
        <v>0.04</v>
      </c>
      <c r="R33" s="14">
        <v>0.03</v>
      </c>
      <c r="S33" s="14">
        <v>0.06</v>
      </c>
      <c r="T33" s="14">
        <v>0.08</v>
      </c>
      <c r="U33" s="14">
        <v>0.04</v>
      </c>
      <c r="V33" s="14">
        <v>0.08</v>
      </c>
      <c r="W33" s="14">
        <v>0.02</v>
      </c>
      <c r="X33" s="14">
        <v>0.02</v>
      </c>
      <c r="Y33" s="14">
        <v>0.06</v>
      </c>
      <c r="Z33" s="14">
        <v>0.03</v>
      </c>
      <c r="AA33" s="14">
        <v>0.04</v>
      </c>
      <c r="AB33" s="14">
        <v>0.02</v>
      </c>
      <c r="AC33" s="14">
        <v>0.03</v>
      </c>
      <c r="AD33" s="14">
        <v>0.05</v>
      </c>
      <c r="AE33" s="14">
        <v>0.06</v>
      </c>
      <c r="AF33" s="14">
        <v>0.05</v>
      </c>
    </row>
    <row r="34" spans="1:32" ht="24.95">
      <c r="A34" s="20"/>
      <c r="B34" s="11" t="s">
        <v>1488</v>
      </c>
      <c r="C34" s="12">
        <v>581</v>
      </c>
      <c r="D34" s="12">
        <v>35</v>
      </c>
      <c r="E34" s="12">
        <v>15</v>
      </c>
      <c r="F34" s="12">
        <v>31</v>
      </c>
      <c r="G34" s="12">
        <v>22</v>
      </c>
      <c r="H34" s="12">
        <v>25</v>
      </c>
      <c r="I34" s="12">
        <v>31</v>
      </c>
      <c r="J34" s="12">
        <v>5</v>
      </c>
      <c r="K34" s="12">
        <v>18</v>
      </c>
      <c r="L34" s="12">
        <v>17</v>
      </c>
      <c r="M34" s="12">
        <v>27</v>
      </c>
      <c r="N34" s="12">
        <v>19</v>
      </c>
      <c r="O34" s="12">
        <v>33</v>
      </c>
      <c r="P34" s="12">
        <v>22</v>
      </c>
      <c r="Q34" s="12">
        <v>12</v>
      </c>
      <c r="R34" s="12">
        <v>22</v>
      </c>
      <c r="S34" s="12">
        <v>33</v>
      </c>
      <c r="T34" s="12">
        <v>29</v>
      </c>
      <c r="U34" s="12">
        <v>16</v>
      </c>
      <c r="V34" s="12">
        <v>24</v>
      </c>
      <c r="W34" s="12">
        <v>10</v>
      </c>
      <c r="X34" s="12">
        <v>45</v>
      </c>
      <c r="Y34" s="12">
        <v>14</v>
      </c>
      <c r="Z34" s="12">
        <v>15</v>
      </c>
      <c r="AA34" s="12">
        <v>19</v>
      </c>
      <c r="AB34" s="12">
        <v>8</v>
      </c>
      <c r="AC34" s="12">
        <v>25</v>
      </c>
      <c r="AD34" s="12">
        <v>26</v>
      </c>
      <c r="AE34" s="12">
        <v>21</v>
      </c>
      <c r="AF34" s="12">
        <v>37</v>
      </c>
    </row>
    <row r="35" spans="1:32" ht="24.95">
      <c r="A35" s="20"/>
      <c r="B35" s="13" t="s">
        <v>1489</v>
      </c>
      <c r="C35" s="14">
        <v>0.02</v>
      </c>
      <c r="D35" s="14">
        <v>0.03</v>
      </c>
      <c r="E35" s="14">
        <v>0.02</v>
      </c>
      <c r="F35" s="14">
        <v>0.03</v>
      </c>
      <c r="G35" s="14">
        <v>0.02</v>
      </c>
      <c r="H35" s="14">
        <v>0.02</v>
      </c>
      <c r="I35" s="14">
        <v>0.02</v>
      </c>
      <c r="J35" s="14">
        <v>0.02</v>
      </c>
      <c r="K35" s="14">
        <v>0.02</v>
      </c>
      <c r="L35" s="14">
        <v>0.02</v>
      </c>
      <c r="M35" s="14">
        <v>0.03</v>
      </c>
      <c r="N35" s="14">
        <v>0.02</v>
      </c>
      <c r="O35" s="14">
        <v>0.03</v>
      </c>
      <c r="P35" s="14">
        <v>0.02</v>
      </c>
      <c r="Q35" s="14">
        <v>0.01</v>
      </c>
      <c r="R35" s="14">
        <v>0.04</v>
      </c>
      <c r="S35" s="14">
        <v>0.03</v>
      </c>
      <c r="T35" s="14">
        <v>0.03</v>
      </c>
      <c r="U35" s="14">
        <v>0.03</v>
      </c>
      <c r="V35" s="14">
        <v>0.02</v>
      </c>
      <c r="W35" s="14">
        <v>0.02</v>
      </c>
      <c r="X35" s="14">
        <v>0.04</v>
      </c>
      <c r="Y35" s="14">
        <v>0.01</v>
      </c>
      <c r="Z35" s="14">
        <v>0.01</v>
      </c>
      <c r="AA35" s="14">
        <v>0.02</v>
      </c>
      <c r="AB35" s="14">
        <v>0.01</v>
      </c>
      <c r="AC35" s="14">
        <v>0.03</v>
      </c>
      <c r="AD35" s="14">
        <v>0.02</v>
      </c>
      <c r="AE35" s="14">
        <v>0.02</v>
      </c>
      <c r="AF35" s="14">
        <v>0.04</v>
      </c>
    </row>
    <row r="36" spans="1:32" ht="24.95">
      <c r="A36" s="20"/>
      <c r="B36" s="11" t="s">
        <v>1490</v>
      </c>
      <c r="C36" s="12">
        <v>1816</v>
      </c>
      <c r="D36" s="12">
        <v>48</v>
      </c>
      <c r="E36" s="12">
        <v>94</v>
      </c>
      <c r="F36" s="12">
        <v>101</v>
      </c>
      <c r="G36" s="12">
        <v>60</v>
      </c>
      <c r="H36" s="12">
        <v>109</v>
      </c>
      <c r="I36" s="12">
        <v>137</v>
      </c>
      <c r="J36" s="12">
        <v>28</v>
      </c>
      <c r="K36" s="12">
        <v>100</v>
      </c>
      <c r="L36" s="12">
        <v>44</v>
      </c>
      <c r="M36" s="12">
        <v>60</v>
      </c>
      <c r="N36" s="12">
        <v>43</v>
      </c>
      <c r="O36" s="12">
        <v>64</v>
      </c>
      <c r="P36" s="12">
        <v>75</v>
      </c>
      <c r="Q36" s="12">
        <v>63</v>
      </c>
      <c r="R36" s="12">
        <v>24</v>
      </c>
      <c r="S36" s="12">
        <v>109</v>
      </c>
      <c r="T36" s="12">
        <v>99</v>
      </c>
      <c r="U36" s="12">
        <v>24</v>
      </c>
      <c r="V36" s="12">
        <v>84</v>
      </c>
      <c r="W36" s="12">
        <v>27</v>
      </c>
      <c r="X36" s="12">
        <v>21</v>
      </c>
      <c r="Y36" s="12">
        <v>46</v>
      </c>
      <c r="Z36" s="12">
        <v>92</v>
      </c>
      <c r="AA36" s="12">
        <v>83</v>
      </c>
      <c r="AB36" s="12">
        <v>95</v>
      </c>
      <c r="AC36" s="12">
        <v>60</v>
      </c>
      <c r="AD36" s="12">
        <v>68</v>
      </c>
      <c r="AE36" s="12">
        <v>65</v>
      </c>
      <c r="AF36" s="12">
        <v>48</v>
      </c>
    </row>
    <row r="37" spans="1:32">
      <c r="A37" s="20"/>
      <c r="B37" s="13" t="s">
        <v>1491</v>
      </c>
      <c r="C37" s="14">
        <v>7.0000000000000007E-2</v>
      </c>
      <c r="D37" s="14">
        <v>0.05</v>
      </c>
      <c r="E37" s="14">
        <v>0.09</v>
      </c>
      <c r="F37" s="14">
        <v>0.1</v>
      </c>
      <c r="G37" s="14">
        <v>0.06</v>
      </c>
      <c r="H37" s="14">
        <v>0.09</v>
      </c>
      <c r="I37" s="14">
        <v>0.09</v>
      </c>
      <c r="J37" s="14">
        <v>0.1</v>
      </c>
      <c r="K37" s="14">
        <v>0.1</v>
      </c>
      <c r="L37" s="14">
        <v>0.04</v>
      </c>
      <c r="M37" s="14">
        <v>0.06</v>
      </c>
      <c r="N37" s="14">
        <v>0.04</v>
      </c>
      <c r="O37" s="14">
        <v>0.06</v>
      </c>
      <c r="P37" s="14">
        <v>7.0000000000000007E-2</v>
      </c>
      <c r="Q37" s="14">
        <v>0.06</v>
      </c>
      <c r="R37" s="14">
        <v>0.05</v>
      </c>
      <c r="S37" s="14">
        <v>0.11</v>
      </c>
      <c r="T37" s="14">
        <v>0.1</v>
      </c>
      <c r="U37" s="14">
        <v>0.05</v>
      </c>
      <c r="V37" s="14">
        <v>0.08</v>
      </c>
      <c r="W37" s="14">
        <v>0.05</v>
      </c>
      <c r="X37" s="14">
        <v>0.02</v>
      </c>
      <c r="Y37" s="14">
        <v>0.05</v>
      </c>
      <c r="Z37" s="14">
        <v>0.09</v>
      </c>
      <c r="AA37" s="14">
        <v>0.08</v>
      </c>
      <c r="AB37" s="14">
        <v>0.09</v>
      </c>
      <c r="AC37" s="14">
        <v>0.06</v>
      </c>
      <c r="AD37" s="14">
        <v>7.0000000000000007E-2</v>
      </c>
      <c r="AE37" s="14">
        <v>0.06</v>
      </c>
      <c r="AF37" s="14">
        <v>0.05</v>
      </c>
    </row>
    <row r="38" spans="1:32" ht="24.95">
      <c r="A38" s="20"/>
      <c r="B38" s="11" t="s">
        <v>1492</v>
      </c>
      <c r="C38" s="12">
        <v>289</v>
      </c>
      <c r="D38" s="12">
        <v>16</v>
      </c>
      <c r="E38" s="12">
        <v>17</v>
      </c>
      <c r="F38" s="12">
        <v>12</v>
      </c>
      <c r="G38" s="12">
        <v>2</v>
      </c>
      <c r="H38" s="12">
        <v>10</v>
      </c>
      <c r="I38" s="12">
        <v>13</v>
      </c>
      <c r="J38" s="12">
        <v>3</v>
      </c>
      <c r="K38" s="12">
        <v>12</v>
      </c>
      <c r="L38" s="12">
        <v>13</v>
      </c>
      <c r="M38" s="12">
        <v>15</v>
      </c>
      <c r="N38" s="12">
        <v>10</v>
      </c>
      <c r="O38" s="12">
        <v>11</v>
      </c>
      <c r="P38" s="12">
        <v>32</v>
      </c>
      <c r="Q38" s="12">
        <v>9</v>
      </c>
      <c r="R38" s="12">
        <v>5</v>
      </c>
      <c r="S38" s="12">
        <v>22</v>
      </c>
      <c r="T38" s="12">
        <v>18</v>
      </c>
      <c r="U38" s="12">
        <v>4</v>
      </c>
      <c r="V38" s="12">
        <v>10</v>
      </c>
      <c r="W38" s="12">
        <v>7</v>
      </c>
      <c r="X38" s="12">
        <v>18</v>
      </c>
      <c r="Y38" s="12">
        <v>4</v>
      </c>
      <c r="Z38" s="12">
        <v>16</v>
      </c>
      <c r="AA38" s="12">
        <v>15</v>
      </c>
      <c r="AB38" s="12">
        <v>14</v>
      </c>
      <c r="AC38" s="12">
        <v>21</v>
      </c>
      <c r="AD38" s="12">
        <v>19</v>
      </c>
      <c r="AE38" s="12">
        <v>3</v>
      </c>
      <c r="AF38" s="12">
        <v>2</v>
      </c>
    </row>
    <row r="39" spans="1:32">
      <c r="A39" s="20"/>
      <c r="B39" s="13" t="s">
        <v>1493</v>
      </c>
      <c r="C39" s="14">
        <v>0.01</v>
      </c>
      <c r="D39" s="14">
        <v>0.02</v>
      </c>
      <c r="E39" s="14">
        <v>0.02</v>
      </c>
      <c r="F39" s="14">
        <v>0.01</v>
      </c>
      <c r="G39" s="15" t="s">
        <v>459</v>
      </c>
      <c r="H39" s="14">
        <v>0.01</v>
      </c>
      <c r="I39" s="14">
        <v>0.01</v>
      </c>
      <c r="J39" s="14">
        <v>0.01</v>
      </c>
      <c r="K39" s="14">
        <v>0.01</v>
      </c>
      <c r="L39" s="14">
        <v>0.01</v>
      </c>
      <c r="M39" s="14">
        <v>0.02</v>
      </c>
      <c r="N39" s="14">
        <v>0.01</v>
      </c>
      <c r="O39" s="14">
        <v>0.01</v>
      </c>
      <c r="P39" s="14">
        <v>0.03</v>
      </c>
      <c r="Q39" s="14">
        <v>0.01</v>
      </c>
      <c r="R39" s="14">
        <v>0.01</v>
      </c>
      <c r="S39" s="14">
        <v>0.02</v>
      </c>
      <c r="T39" s="14">
        <v>0.02</v>
      </c>
      <c r="U39" s="14">
        <v>0.01</v>
      </c>
      <c r="V39" s="14">
        <v>0.01</v>
      </c>
      <c r="W39" s="14">
        <v>0.01</v>
      </c>
      <c r="X39" s="14">
        <v>0.02</v>
      </c>
      <c r="Y39" s="15" t="s">
        <v>459</v>
      </c>
      <c r="Z39" s="14">
        <v>0.02</v>
      </c>
      <c r="AA39" s="14">
        <v>0.01</v>
      </c>
      <c r="AB39" s="14">
        <v>0.01</v>
      </c>
      <c r="AC39" s="14">
        <v>0.02</v>
      </c>
      <c r="AD39" s="14">
        <v>0.02</v>
      </c>
      <c r="AE39" s="15" t="s">
        <v>459</v>
      </c>
      <c r="AF39" s="15" t="s">
        <v>459</v>
      </c>
    </row>
    <row r="40" spans="1:32">
      <c r="A40" s="20"/>
      <c r="B40" s="11" t="s">
        <v>519</v>
      </c>
      <c r="C40" s="12">
        <v>112</v>
      </c>
      <c r="D40" s="12">
        <v>25</v>
      </c>
      <c r="E40" s="12">
        <v>0</v>
      </c>
      <c r="F40" s="12">
        <v>5</v>
      </c>
      <c r="G40" s="12">
        <v>6</v>
      </c>
      <c r="H40" s="12">
        <v>5</v>
      </c>
      <c r="I40" s="12">
        <v>5</v>
      </c>
      <c r="J40" s="12">
        <v>0</v>
      </c>
      <c r="K40" s="12">
        <v>7</v>
      </c>
      <c r="L40" s="12">
        <v>0</v>
      </c>
      <c r="M40" s="12">
        <v>0</v>
      </c>
      <c r="N40" s="12">
        <v>0</v>
      </c>
      <c r="O40" s="12">
        <v>4</v>
      </c>
      <c r="P40" s="12">
        <v>11</v>
      </c>
      <c r="Q40" s="12">
        <v>6</v>
      </c>
      <c r="R40" s="12">
        <v>0</v>
      </c>
      <c r="S40" s="12">
        <v>7</v>
      </c>
      <c r="T40" s="12">
        <v>0</v>
      </c>
      <c r="U40" s="12">
        <v>3</v>
      </c>
      <c r="V40" s="12">
        <v>0</v>
      </c>
      <c r="W40" s="12">
        <v>0</v>
      </c>
      <c r="X40" s="12">
        <v>21</v>
      </c>
      <c r="Y40" s="12">
        <v>5</v>
      </c>
      <c r="Z40" s="12">
        <v>0</v>
      </c>
      <c r="AA40" s="12">
        <v>0</v>
      </c>
      <c r="AB40" s="12">
        <v>1</v>
      </c>
      <c r="AC40" s="12">
        <v>10</v>
      </c>
      <c r="AD40" s="12">
        <v>7</v>
      </c>
      <c r="AE40" s="12">
        <v>6</v>
      </c>
      <c r="AF40" s="12">
        <v>7</v>
      </c>
    </row>
    <row r="41" spans="1:32">
      <c r="A41" s="20"/>
      <c r="B41" s="13" t="s">
        <v>520</v>
      </c>
      <c r="C41" s="15" t="s">
        <v>459</v>
      </c>
      <c r="D41" s="14">
        <v>0.03</v>
      </c>
      <c r="E41" s="15" t="s">
        <v>459</v>
      </c>
      <c r="F41" s="15" t="s">
        <v>459</v>
      </c>
      <c r="G41" s="14">
        <v>0.01</v>
      </c>
      <c r="H41" s="15" t="s">
        <v>459</v>
      </c>
      <c r="I41" s="15" t="s">
        <v>459</v>
      </c>
      <c r="J41" s="15" t="s">
        <v>459</v>
      </c>
      <c r="K41" s="14">
        <v>0.01</v>
      </c>
      <c r="L41" s="15" t="s">
        <v>459</v>
      </c>
      <c r="M41" s="15" t="s">
        <v>459</v>
      </c>
      <c r="N41" s="15" t="s">
        <v>459</v>
      </c>
      <c r="O41" s="14">
        <v>0.01</v>
      </c>
      <c r="P41" s="14">
        <v>0.01</v>
      </c>
      <c r="Q41" s="14">
        <v>0.01</v>
      </c>
      <c r="R41" s="15" t="s">
        <v>459</v>
      </c>
      <c r="S41" s="14">
        <v>0.01</v>
      </c>
      <c r="T41" s="15" t="s">
        <v>459</v>
      </c>
      <c r="U41" s="14">
        <v>0.01</v>
      </c>
      <c r="V41" s="15" t="s">
        <v>459</v>
      </c>
      <c r="W41" s="15" t="s">
        <v>459</v>
      </c>
      <c r="X41" s="14">
        <v>0.02</v>
      </c>
      <c r="Y41" s="14">
        <v>0.01</v>
      </c>
      <c r="Z41" s="15" t="s">
        <v>459</v>
      </c>
      <c r="AA41" s="15" t="s">
        <v>459</v>
      </c>
      <c r="AB41" s="15" t="s">
        <v>459</v>
      </c>
      <c r="AC41" s="14">
        <v>0.01</v>
      </c>
      <c r="AD41" s="14">
        <v>0.01</v>
      </c>
      <c r="AE41" s="14">
        <v>0.01</v>
      </c>
      <c r="AF41" s="14">
        <v>0.01</v>
      </c>
    </row>
    <row r="42" spans="1:32">
      <c r="A42" s="20"/>
      <c r="B42" s="11" t="s">
        <v>1494</v>
      </c>
      <c r="C42" s="12">
        <v>30</v>
      </c>
      <c r="D42" s="12">
        <v>3</v>
      </c>
      <c r="E42" s="12">
        <v>0</v>
      </c>
      <c r="F42" s="12">
        <v>0</v>
      </c>
      <c r="G42" s="12">
        <v>0</v>
      </c>
      <c r="H42" s="12">
        <v>0</v>
      </c>
      <c r="I42" s="12">
        <v>0</v>
      </c>
      <c r="J42" s="12">
        <v>0</v>
      </c>
      <c r="K42" s="12">
        <v>4</v>
      </c>
      <c r="L42" s="12">
        <v>1</v>
      </c>
      <c r="M42" s="12">
        <v>0</v>
      </c>
      <c r="N42" s="12">
        <v>3</v>
      </c>
      <c r="O42" s="12">
        <v>1</v>
      </c>
      <c r="P42" s="12">
        <v>1</v>
      </c>
      <c r="Q42" s="12">
        <v>0</v>
      </c>
      <c r="R42" s="12">
        <v>1</v>
      </c>
      <c r="S42" s="12">
        <v>5</v>
      </c>
      <c r="T42" s="12">
        <v>8</v>
      </c>
      <c r="U42" s="12">
        <v>1</v>
      </c>
      <c r="V42" s="12">
        <v>0</v>
      </c>
      <c r="W42" s="12">
        <v>0</v>
      </c>
      <c r="X42" s="12">
        <v>2</v>
      </c>
      <c r="Y42" s="12">
        <v>0</v>
      </c>
      <c r="Z42" s="12">
        <v>5</v>
      </c>
      <c r="AA42" s="12">
        <v>1</v>
      </c>
      <c r="AB42" s="12">
        <v>0</v>
      </c>
      <c r="AC42" s="12">
        <v>0</v>
      </c>
      <c r="AD42" s="12">
        <v>0</v>
      </c>
      <c r="AE42" s="12">
        <v>0</v>
      </c>
      <c r="AF42" s="12">
        <v>0</v>
      </c>
    </row>
    <row r="43" spans="1:32">
      <c r="A43" s="20"/>
      <c r="B43" s="13" t="s">
        <v>1495</v>
      </c>
      <c r="C43" s="15" t="s">
        <v>459</v>
      </c>
      <c r="D43" s="15" t="s">
        <v>459</v>
      </c>
      <c r="E43" s="15" t="s">
        <v>459</v>
      </c>
      <c r="F43" s="15" t="s">
        <v>459</v>
      </c>
      <c r="G43" s="15" t="s">
        <v>459</v>
      </c>
      <c r="H43" s="15" t="s">
        <v>459</v>
      </c>
      <c r="I43" s="15" t="s">
        <v>459</v>
      </c>
      <c r="J43" s="15" t="s">
        <v>459</v>
      </c>
      <c r="K43" s="15" t="s">
        <v>459</v>
      </c>
      <c r="L43" s="15" t="s">
        <v>459</v>
      </c>
      <c r="M43" s="15" t="s">
        <v>459</v>
      </c>
      <c r="N43" s="15" t="s">
        <v>459</v>
      </c>
      <c r="O43" s="15" t="s">
        <v>459</v>
      </c>
      <c r="P43" s="15" t="s">
        <v>459</v>
      </c>
      <c r="Q43" s="15" t="s">
        <v>459</v>
      </c>
      <c r="R43" s="15" t="s">
        <v>459</v>
      </c>
      <c r="S43" s="14">
        <v>0.01</v>
      </c>
      <c r="T43" s="14">
        <v>0.01</v>
      </c>
      <c r="U43" s="15" t="s">
        <v>459</v>
      </c>
      <c r="V43" s="15" t="s">
        <v>459</v>
      </c>
      <c r="W43" s="15" t="s">
        <v>459</v>
      </c>
      <c r="X43" s="15" t="s">
        <v>459</v>
      </c>
      <c r="Y43" s="15" t="s">
        <v>459</v>
      </c>
      <c r="Z43" s="14">
        <v>0.01</v>
      </c>
      <c r="AA43" s="15" t="s">
        <v>459</v>
      </c>
      <c r="AB43" s="15" t="s">
        <v>459</v>
      </c>
      <c r="AC43" s="15" t="s">
        <v>459</v>
      </c>
      <c r="AD43" s="15" t="s">
        <v>459</v>
      </c>
      <c r="AE43" s="15" t="s">
        <v>459</v>
      </c>
      <c r="AF43" s="15" t="s">
        <v>459</v>
      </c>
    </row>
  </sheetData>
  <mergeCells count="9">
    <mergeCell ref="H3:L3"/>
    <mergeCell ref="C8:AF8"/>
    <mergeCell ref="B3:F3"/>
    <mergeCell ref="B5:F5"/>
    <mergeCell ref="A10:A43"/>
    <mergeCell ref="H5:L5"/>
    <mergeCell ref="B10:B11"/>
    <mergeCell ref="H4:L4"/>
    <mergeCell ref="B4:F4"/>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341</v>
      </c>
      <c r="C3" s="18"/>
      <c r="D3" s="18"/>
      <c r="E3" s="18"/>
      <c r="F3" s="18"/>
      <c r="H3" s="18" t="s">
        <v>342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1496</v>
      </c>
      <c r="C12" s="12">
        <v>12603</v>
      </c>
      <c r="D12" s="12">
        <v>358</v>
      </c>
      <c r="E12" s="12">
        <v>582</v>
      </c>
      <c r="F12" s="12">
        <v>411</v>
      </c>
      <c r="G12" s="12">
        <v>444</v>
      </c>
      <c r="H12" s="12">
        <v>511</v>
      </c>
      <c r="I12" s="12">
        <v>620</v>
      </c>
      <c r="J12" s="12">
        <v>108</v>
      </c>
      <c r="K12" s="12">
        <v>316</v>
      </c>
      <c r="L12" s="12">
        <v>527</v>
      </c>
      <c r="M12" s="12">
        <v>572</v>
      </c>
      <c r="N12" s="12">
        <v>506</v>
      </c>
      <c r="O12" s="12">
        <v>319</v>
      </c>
      <c r="P12" s="12">
        <v>517</v>
      </c>
      <c r="Q12" s="12">
        <v>623</v>
      </c>
      <c r="R12" s="12">
        <v>296</v>
      </c>
      <c r="S12" s="12">
        <v>414</v>
      </c>
      <c r="T12" s="12">
        <v>508</v>
      </c>
      <c r="U12" s="12">
        <v>257</v>
      </c>
      <c r="V12" s="12">
        <v>555</v>
      </c>
      <c r="W12" s="12">
        <v>253</v>
      </c>
      <c r="X12" s="12">
        <v>409</v>
      </c>
      <c r="Y12" s="12">
        <v>566</v>
      </c>
      <c r="Z12" s="12">
        <v>590</v>
      </c>
      <c r="AA12" s="12">
        <v>615</v>
      </c>
      <c r="AB12" s="12">
        <v>706</v>
      </c>
      <c r="AC12" s="12">
        <v>504</v>
      </c>
      <c r="AD12" s="12">
        <v>574</v>
      </c>
      <c r="AE12" s="12">
        <v>434</v>
      </c>
      <c r="AF12" s="12">
        <v>364</v>
      </c>
    </row>
    <row r="13" spans="1:32">
      <c r="A13" s="20"/>
      <c r="B13" s="13" t="s">
        <v>1497</v>
      </c>
      <c r="C13" s="14">
        <v>0.48</v>
      </c>
      <c r="D13" s="14">
        <v>0.36</v>
      </c>
      <c r="E13" s="14">
        <v>0.57000000000000006</v>
      </c>
      <c r="F13" s="14">
        <v>0.41</v>
      </c>
      <c r="G13" s="14">
        <v>0.44</v>
      </c>
      <c r="H13" s="14">
        <v>0.42</v>
      </c>
      <c r="I13" s="14">
        <v>0.41</v>
      </c>
      <c r="J13" s="14">
        <v>0.37</v>
      </c>
      <c r="K13" s="14">
        <v>0.32</v>
      </c>
      <c r="L13" s="14">
        <v>0.52</v>
      </c>
      <c r="M13" s="14">
        <v>0.57000000000000006</v>
      </c>
      <c r="N13" s="14">
        <v>0.5</v>
      </c>
      <c r="O13" s="14">
        <v>0.32</v>
      </c>
      <c r="P13" s="14">
        <v>0.51</v>
      </c>
      <c r="Q13" s="14">
        <v>0.61</v>
      </c>
      <c r="R13" s="14">
        <v>0.59</v>
      </c>
      <c r="S13" s="14">
        <v>0.41</v>
      </c>
      <c r="T13" s="14">
        <v>0.5</v>
      </c>
      <c r="U13" s="14">
        <v>0.51</v>
      </c>
      <c r="V13" s="14">
        <v>0.55000000000000004</v>
      </c>
      <c r="W13" s="14">
        <v>0.5</v>
      </c>
      <c r="X13" s="14">
        <v>0.4</v>
      </c>
      <c r="Y13" s="14">
        <v>0.56000000000000005</v>
      </c>
      <c r="Z13" s="14">
        <v>0.59</v>
      </c>
      <c r="AA13" s="14">
        <v>0.59</v>
      </c>
      <c r="AB13" s="14">
        <v>0.68</v>
      </c>
      <c r="AC13" s="14">
        <v>0.5</v>
      </c>
      <c r="AD13" s="14">
        <v>0.57000000000000006</v>
      </c>
      <c r="AE13" s="14">
        <v>0.43</v>
      </c>
      <c r="AF13" s="14">
        <v>0.36</v>
      </c>
    </row>
    <row r="14" spans="1:32">
      <c r="A14" s="20"/>
      <c r="B14" s="11" t="s">
        <v>1498</v>
      </c>
      <c r="C14" s="12">
        <v>2926</v>
      </c>
      <c r="D14" s="12">
        <v>186</v>
      </c>
      <c r="E14" s="12">
        <v>105</v>
      </c>
      <c r="F14" s="12">
        <v>143</v>
      </c>
      <c r="G14" s="12">
        <v>171</v>
      </c>
      <c r="H14" s="12">
        <v>88</v>
      </c>
      <c r="I14" s="12">
        <v>132</v>
      </c>
      <c r="J14" s="12">
        <v>44</v>
      </c>
      <c r="K14" s="12">
        <v>216</v>
      </c>
      <c r="L14" s="12">
        <v>96</v>
      </c>
      <c r="M14" s="12">
        <v>55</v>
      </c>
      <c r="N14" s="12">
        <v>115</v>
      </c>
      <c r="O14" s="12">
        <v>179</v>
      </c>
      <c r="P14" s="12">
        <v>97</v>
      </c>
      <c r="Q14" s="12">
        <v>51</v>
      </c>
      <c r="R14" s="12">
        <v>50</v>
      </c>
      <c r="S14" s="12">
        <v>140</v>
      </c>
      <c r="T14" s="12">
        <v>84</v>
      </c>
      <c r="U14" s="12">
        <v>53</v>
      </c>
      <c r="V14" s="12">
        <v>134</v>
      </c>
      <c r="W14" s="12">
        <v>40</v>
      </c>
      <c r="X14" s="12">
        <v>181</v>
      </c>
      <c r="Y14" s="12">
        <v>136</v>
      </c>
      <c r="Z14" s="12">
        <v>84</v>
      </c>
      <c r="AA14" s="12">
        <v>74</v>
      </c>
      <c r="AB14" s="12">
        <v>31</v>
      </c>
      <c r="AC14" s="12">
        <v>176</v>
      </c>
      <c r="AD14" s="12">
        <v>93</v>
      </c>
      <c r="AE14" s="12">
        <v>194</v>
      </c>
      <c r="AF14" s="12">
        <v>228</v>
      </c>
    </row>
    <row r="15" spans="1:32">
      <c r="A15" s="20"/>
      <c r="B15" s="13" t="s">
        <v>1499</v>
      </c>
      <c r="C15" s="14">
        <v>0.11</v>
      </c>
      <c r="D15" s="14">
        <v>0.19</v>
      </c>
      <c r="E15" s="14">
        <v>0.1</v>
      </c>
      <c r="F15" s="14">
        <v>0.14000000000000001</v>
      </c>
      <c r="G15" s="14">
        <v>0.17</v>
      </c>
      <c r="H15" s="14">
        <v>7.0000000000000007E-2</v>
      </c>
      <c r="I15" s="14">
        <v>0.09</v>
      </c>
      <c r="J15" s="14">
        <v>0.15</v>
      </c>
      <c r="K15" s="14">
        <v>0.22</v>
      </c>
      <c r="L15" s="14">
        <v>0.09</v>
      </c>
      <c r="M15" s="14">
        <v>0.06</v>
      </c>
      <c r="N15" s="14">
        <v>0.12</v>
      </c>
      <c r="O15" s="14">
        <v>0.18</v>
      </c>
      <c r="P15" s="14">
        <v>0.1</v>
      </c>
      <c r="Q15" s="14">
        <v>0.05</v>
      </c>
      <c r="R15" s="14">
        <v>0.1</v>
      </c>
      <c r="S15" s="14">
        <v>0.14000000000000001</v>
      </c>
      <c r="T15" s="14">
        <v>0.08</v>
      </c>
      <c r="U15" s="14">
        <v>0.1</v>
      </c>
      <c r="V15" s="14">
        <v>0.13</v>
      </c>
      <c r="W15" s="14">
        <v>0.08</v>
      </c>
      <c r="X15" s="14">
        <v>0.18</v>
      </c>
      <c r="Y15" s="14">
        <v>0.14000000000000001</v>
      </c>
      <c r="Z15" s="14">
        <v>0.08</v>
      </c>
      <c r="AA15" s="14">
        <v>7.0000000000000007E-2</v>
      </c>
      <c r="AB15" s="14">
        <v>0.03</v>
      </c>
      <c r="AC15" s="14">
        <v>0.18</v>
      </c>
      <c r="AD15" s="14">
        <v>0.09</v>
      </c>
      <c r="AE15" s="14">
        <v>0.19</v>
      </c>
      <c r="AF15" s="14">
        <v>0.22</v>
      </c>
    </row>
    <row r="16" spans="1:32">
      <c r="A16" s="20"/>
      <c r="B16" s="11" t="s">
        <v>1500</v>
      </c>
      <c r="C16" s="12">
        <v>6445</v>
      </c>
      <c r="D16" s="12">
        <v>289</v>
      </c>
      <c r="E16" s="12">
        <v>157</v>
      </c>
      <c r="F16" s="12">
        <v>200</v>
      </c>
      <c r="G16" s="12">
        <v>254</v>
      </c>
      <c r="H16" s="12">
        <v>361</v>
      </c>
      <c r="I16" s="12">
        <v>442</v>
      </c>
      <c r="J16" s="12">
        <v>82</v>
      </c>
      <c r="K16" s="12">
        <v>245</v>
      </c>
      <c r="L16" s="12">
        <v>290</v>
      </c>
      <c r="M16" s="12">
        <v>228</v>
      </c>
      <c r="N16" s="12">
        <v>261</v>
      </c>
      <c r="O16" s="12">
        <v>301</v>
      </c>
      <c r="P16" s="12">
        <v>216</v>
      </c>
      <c r="Q16" s="12">
        <v>220</v>
      </c>
      <c r="R16" s="12">
        <v>87</v>
      </c>
      <c r="S16" s="12">
        <v>217</v>
      </c>
      <c r="T16" s="12">
        <v>186</v>
      </c>
      <c r="U16" s="12">
        <v>129</v>
      </c>
      <c r="V16" s="12">
        <v>132</v>
      </c>
      <c r="W16" s="12">
        <v>157</v>
      </c>
      <c r="X16" s="12">
        <v>304</v>
      </c>
      <c r="Y16" s="12">
        <v>177</v>
      </c>
      <c r="Z16" s="12">
        <v>177</v>
      </c>
      <c r="AA16" s="12">
        <v>203</v>
      </c>
      <c r="AB16" s="12">
        <v>165</v>
      </c>
      <c r="AC16" s="12">
        <v>186</v>
      </c>
      <c r="AD16" s="12">
        <v>172</v>
      </c>
      <c r="AE16" s="12">
        <v>213</v>
      </c>
      <c r="AF16" s="12">
        <v>287</v>
      </c>
    </row>
    <row r="17" spans="1:32">
      <c r="A17" s="20"/>
      <c r="B17" s="13" t="s">
        <v>1501</v>
      </c>
      <c r="C17" s="14">
        <v>0.25</v>
      </c>
      <c r="D17" s="14">
        <v>0.28999999999999998</v>
      </c>
      <c r="E17" s="14">
        <v>0.16</v>
      </c>
      <c r="F17" s="14">
        <v>0.2</v>
      </c>
      <c r="G17" s="14">
        <v>0.25</v>
      </c>
      <c r="H17" s="14">
        <v>0.3</v>
      </c>
      <c r="I17" s="14">
        <v>0.28999999999999998</v>
      </c>
      <c r="J17" s="14">
        <v>0.28000000000000003</v>
      </c>
      <c r="K17" s="14">
        <v>0.24</v>
      </c>
      <c r="L17" s="14">
        <v>0.28999999999999998</v>
      </c>
      <c r="M17" s="14">
        <v>0.23</v>
      </c>
      <c r="N17" s="14">
        <v>0.26</v>
      </c>
      <c r="O17" s="14">
        <v>0.3</v>
      </c>
      <c r="P17" s="14">
        <v>0.21</v>
      </c>
      <c r="Q17" s="14">
        <v>0.22</v>
      </c>
      <c r="R17" s="14">
        <v>0.17</v>
      </c>
      <c r="S17" s="14">
        <v>0.21</v>
      </c>
      <c r="T17" s="14">
        <v>0.18</v>
      </c>
      <c r="U17" s="14">
        <v>0.25</v>
      </c>
      <c r="V17" s="14">
        <v>0.13</v>
      </c>
      <c r="W17" s="14">
        <v>0.31</v>
      </c>
      <c r="X17" s="14">
        <v>0.3</v>
      </c>
      <c r="Y17" s="14">
        <v>0.18</v>
      </c>
      <c r="Z17" s="14">
        <v>0.18</v>
      </c>
      <c r="AA17" s="14">
        <v>0.19</v>
      </c>
      <c r="AB17" s="14">
        <v>0.16</v>
      </c>
      <c r="AC17" s="14">
        <v>0.18</v>
      </c>
      <c r="AD17" s="14">
        <v>0.17</v>
      </c>
      <c r="AE17" s="14">
        <v>0.21</v>
      </c>
      <c r="AF17" s="14">
        <v>0.28000000000000003</v>
      </c>
    </row>
    <row r="18" spans="1:32">
      <c r="A18" s="20"/>
      <c r="B18" s="11" t="s">
        <v>1502</v>
      </c>
      <c r="C18" s="12">
        <v>2098</v>
      </c>
      <c r="D18" s="12">
        <v>76</v>
      </c>
      <c r="E18" s="12">
        <v>63</v>
      </c>
      <c r="F18" s="12">
        <v>132</v>
      </c>
      <c r="G18" s="12">
        <v>67</v>
      </c>
      <c r="H18" s="12">
        <v>132</v>
      </c>
      <c r="I18" s="12">
        <v>161</v>
      </c>
      <c r="J18" s="12">
        <v>29</v>
      </c>
      <c r="K18" s="12">
        <v>105</v>
      </c>
      <c r="L18" s="12">
        <v>36</v>
      </c>
      <c r="M18" s="12">
        <v>73</v>
      </c>
      <c r="N18" s="12">
        <v>67</v>
      </c>
      <c r="O18" s="12">
        <v>125</v>
      </c>
      <c r="P18" s="12">
        <v>73</v>
      </c>
      <c r="Q18" s="12">
        <v>47</v>
      </c>
      <c r="R18" s="12">
        <v>37</v>
      </c>
      <c r="S18" s="12">
        <v>92</v>
      </c>
      <c r="T18" s="12">
        <v>112</v>
      </c>
      <c r="U18" s="12">
        <v>35</v>
      </c>
      <c r="V18" s="12">
        <v>103</v>
      </c>
      <c r="W18" s="12">
        <v>19</v>
      </c>
      <c r="X18" s="12">
        <v>65</v>
      </c>
      <c r="Y18" s="12">
        <v>75</v>
      </c>
      <c r="Z18" s="12">
        <v>44</v>
      </c>
      <c r="AA18" s="12">
        <v>63</v>
      </c>
      <c r="AB18" s="12">
        <v>28</v>
      </c>
      <c r="AC18" s="12">
        <v>54</v>
      </c>
      <c r="AD18" s="12">
        <v>74</v>
      </c>
      <c r="AE18" s="12">
        <v>86</v>
      </c>
      <c r="AF18" s="12">
        <v>84</v>
      </c>
    </row>
    <row r="19" spans="1:32">
      <c r="A19" s="20"/>
      <c r="B19" s="13" t="s">
        <v>1503</v>
      </c>
      <c r="C19" s="14">
        <v>0.08</v>
      </c>
      <c r="D19" s="14">
        <v>0.08</v>
      </c>
      <c r="E19" s="14">
        <v>0.06</v>
      </c>
      <c r="F19" s="14">
        <v>0.13</v>
      </c>
      <c r="G19" s="14">
        <v>7.0000000000000007E-2</v>
      </c>
      <c r="H19" s="14">
        <v>0.11</v>
      </c>
      <c r="I19" s="14">
        <v>0.11</v>
      </c>
      <c r="J19" s="14">
        <v>0.1</v>
      </c>
      <c r="K19" s="14">
        <v>0.1</v>
      </c>
      <c r="L19" s="14">
        <v>0.04</v>
      </c>
      <c r="M19" s="14">
        <v>7.0000000000000007E-2</v>
      </c>
      <c r="N19" s="14">
        <v>7.0000000000000007E-2</v>
      </c>
      <c r="O19" s="14">
        <v>0.13</v>
      </c>
      <c r="P19" s="14">
        <v>7.0000000000000007E-2</v>
      </c>
      <c r="Q19" s="14">
        <v>0.05</v>
      </c>
      <c r="R19" s="14">
        <v>0.08</v>
      </c>
      <c r="S19" s="14">
        <v>0.09</v>
      </c>
      <c r="T19" s="14">
        <v>0.11</v>
      </c>
      <c r="U19" s="14">
        <v>7.0000000000000007E-2</v>
      </c>
      <c r="V19" s="14">
        <v>0.1</v>
      </c>
      <c r="W19" s="14">
        <v>0.04</v>
      </c>
      <c r="X19" s="14">
        <v>0.06</v>
      </c>
      <c r="Y19" s="14">
        <v>7.0000000000000007E-2</v>
      </c>
      <c r="Z19" s="14">
        <v>0.04</v>
      </c>
      <c r="AA19" s="14">
        <v>0.06</v>
      </c>
      <c r="AB19" s="14">
        <v>0.03</v>
      </c>
      <c r="AC19" s="14">
        <v>0.05</v>
      </c>
      <c r="AD19" s="14">
        <v>7.0000000000000007E-2</v>
      </c>
      <c r="AE19" s="14">
        <v>0.09</v>
      </c>
      <c r="AF19" s="14">
        <v>0.08</v>
      </c>
    </row>
    <row r="20" spans="1:32">
      <c r="A20" s="20"/>
      <c r="B20" s="11" t="s">
        <v>1504</v>
      </c>
      <c r="C20" s="12">
        <v>2105</v>
      </c>
      <c r="D20" s="12">
        <v>65</v>
      </c>
      <c r="E20" s="12">
        <v>111</v>
      </c>
      <c r="F20" s="12">
        <v>113</v>
      </c>
      <c r="G20" s="12">
        <v>62</v>
      </c>
      <c r="H20" s="12">
        <v>119</v>
      </c>
      <c r="I20" s="12">
        <v>150</v>
      </c>
      <c r="J20" s="12">
        <v>31</v>
      </c>
      <c r="K20" s="12">
        <v>112</v>
      </c>
      <c r="L20" s="12">
        <v>58</v>
      </c>
      <c r="M20" s="12">
        <v>75</v>
      </c>
      <c r="N20" s="12">
        <v>53</v>
      </c>
      <c r="O20" s="12">
        <v>74</v>
      </c>
      <c r="P20" s="12">
        <v>106</v>
      </c>
      <c r="Q20" s="12">
        <v>72</v>
      </c>
      <c r="R20" s="12">
        <v>29</v>
      </c>
      <c r="S20" s="12">
        <v>132</v>
      </c>
      <c r="T20" s="12">
        <v>117</v>
      </c>
      <c r="U20" s="12">
        <v>28</v>
      </c>
      <c r="V20" s="12">
        <v>93</v>
      </c>
      <c r="W20" s="12">
        <v>34</v>
      </c>
      <c r="X20" s="12">
        <v>39</v>
      </c>
      <c r="Y20" s="12">
        <v>50</v>
      </c>
      <c r="Z20" s="12">
        <v>108</v>
      </c>
      <c r="AA20" s="12">
        <v>97</v>
      </c>
      <c r="AB20" s="12">
        <v>109</v>
      </c>
      <c r="AC20" s="12">
        <v>80</v>
      </c>
      <c r="AD20" s="12">
        <v>87</v>
      </c>
      <c r="AE20" s="12">
        <v>68</v>
      </c>
      <c r="AF20" s="12">
        <v>50</v>
      </c>
    </row>
    <row r="21" spans="1:32">
      <c r="A21" s="20"/>
      <c r="B21" s="13" t="s">
        <v>1505</v>
      </c>
      <c r="C21" s="14">
        <v>0.08</v>
      </c>
      <c r="D21" s="14">
        <v>0.06</v>
      </c>
      <c r="E21" s="14">
        <v>0.11</v>
      </c>
      <c r="F21" s="14">
        <v>0.11</v>
      </c>
      <c r="G21" s="14">
        <v>0.06</v>
      </c>
      <c r="H21" s="14">
        <v>0.1</v>
      </c>
      <c r="I21" s="14">
        <v>0.1</v>
      </c>
      <c r="J21" s="14">
        <v>0.1</v>
      </c>
      <c r="K21" s="14">
        <v>0.11</v>
      </c>
      <c r="L21" s="14">
        <v>0.06</v>
      </c>
      <c r="M21" s="14">
        <v>7.0000000000000007E-2</v>
      </c>
      <c r="N21" s="14">
        <v>0.05</v>
      </c>
      <c r="O21" s="14">
        <v>7.0000000000000007E-2</v>
      </c>
      <c r="P21" s="14">
        <v>0.1</v>
      </c>
      <c r="Q21" s="14">
        <v>7.0000000000000007E-2</v>
      </c>
      <c r="R21" s="14">
        <v>0.06</v>
      </c>
      <c r="S21" s="14">
        <v>0.13</v>
      </c>
      <c r="T21" s="14">
        <v>0.12</v>
      </c>
      <c r="U21" s="14">
        <v>0.06</v>
      </c>
      <c r="V21" s="14">
        <v>0.09</v>
      </c>
      <c r="W21" s="14">
        <v>7.0000000000000007E-2</v>
      </c>
      <c r="X21" s="14">
        <v>0.04</v>
      </c>
      <c r="Y21" s="14">
        <v>0.05</v>
      </c>
      <c r="Z21" s="14">
        <v>0.11</v>
      </c>
      <c r="AA21" s="14">
        <v>0.09</v>
      </c>
      <c r="AB21" s="14">
        <v>0.1</v>
      </c>
      <c r="AC21" s="14">
        <v>0.08</v>
      </c>
      <c r="AD21" s="14">
        <v>0.09</v>
      </c>
      <c r="AE21" s="14">
        <v>7.0000000000000007E-2</v>
      </c>
      <c r="AF21" s="14">
        <v>0.05</v>
      </c>
    </row>
    <row r="22" spans="1:32">
      <c r="A22" s="20"/>
      <c r="B22" s="11" t="s">
        <v>519</v>
      </c>
      <c r="C22" s="12">
        <v>112</v>
      </c>
      <c r="D22" s="12">
        <v>25</v>
      </c>
      <c r="E22" s="12">
        <v>0</v>
      </c>
      <c r="F22" s="12">
        <v>5</v>
      </c>
      <c r="G22" s="12">
        <v>6</v>
      </c>
      <c r="H22" s="12">
        <v>5</v>
      </c>
      <c r="I22" s="12">
        <v>5</v>
      </c>
      <c r="J22" s="12">
        <v>0</v>
      </c>
      <c r="K22" s="12">
        <v>7</v>
      </c>
      <c r="L22" s="12">
        <v>0</v>
      </c>
      <c r="M22" s="12">
        <v>0</v>
      </c>
      <c r="N22" s="12">
        <v>0</v>
      </c>
      <c r="O22" s="12">
        <v>4</v>
      </c>
      <c r="P22" s="12">
        <v>11</v>
      </c>
      <c r="Q22" s="12">
        <v>6</v>
      </c>
      <c r="R22" s="12">
        <v>0</v>
      </c>
      <c r="S22" s="12">
        <v>7</v>
      </c>
      <c r="T22" s="12">
        <v>0</v>
      </c>
      <c r="U22" s="12">
        <v>3</v>
      </c>
      <c r="V22" s="12">
        <v>0</v>
      </c>
      <c r="W22" s="12">
        <v>0</v>
      </c>
      <c r="X22" s="12">
        <v>21</v>
      </c>
      <c r="Y22" s="12">
        <v>5</v>
      </c>
      <c r="Z22" s="12">
        <v>0</v>
      </c>
      <c r="AA22" s="12">
        <v>0</v>
      </c>
      <c r="AB22" s="12">
        <v>1</v>
      </c>
      <c r="AC22" s="12">
        <v>10</v>
      </c>
      <c r="AD22" s="12">
        <v>7</v>
      </c>
      <c r="AE22" s="12">
        <v>6</v>
      </c>
      <c r="AF22" s="12">
        <v>7</v>
      </c>
    </row>
    <row r="23" spans="1:32">
      <c r="A23" s="20"/>
      <c r="B23" s="13" t="s">
        <v>520</v>
      </c>
      <c r="C23" s="15" t="s">
        <v>459</v>
      </c>
      <c r="D23" s="14">
        <v>0.02</v>
      </c>
      <c r="E23" s="15" t="s">
        <v>459</v>
      </c>
      <c r="F23" s="14">
        <v>0.01</v>
      </c>
      <c r="G23" s="14">
        <v>0.01</v>
      </c>
      <c r="H23" s="15" t="s">
        <v>459</v>
      </c>
      <c r="I23" s="15" t="s">
        <v>459</v>
      </c>
      <c r="J23" s="15" t="s">
        <v>459</v>
      </c>
      <c r="K23" s="14">
        <v>0.01</v>
      </c>
      <c r="L23" s="15" t="s">
        <v>459</v>
      </c>
      <c r="M23" s="15" t="s">
        <v>459</v>
      </c>
      <c r="N23" s="15" t="s">
        <v>459</v>
      </c>
      <c r="O23" s="15" t="s">
        <v>459</v>
      </c>
      <c r="P23" s="14">
        <v>0.01</v>
      </c>
      <c r="Q23" s="15" t="s">
        <v>459</v>
      </c>
      <c r="R23" s="15" t="s">
        <v>459</v>
      </c>
      <c r="S23" s="14">
        <v>0.01</v>
      </c>
      <c r="T23" s="15" t="s">
        <v>459</v>
      </c>
      <c r="U23" s="14">
        <v>0.01</v>
      </c>
      <c r="V23" s="15" t="s">
        <v>459</v>
      </c>
      <c r="W23" s="15" t="s">
        <v>459</v>
      </c>
      <c r="X23" s="14">
        <v>0.02</v>
      </c>
      <c r="Y23" s="15" t="s">
        <v>459</v>
      </c>
      <c r="Z23" s="15" t="s">
        <v>459</v>
      </c>
      <c r="AA23" s="15" t="s">
        <v>459</v>
      </c>
      <c r="AB23" s="15" t="s">
        <v>459</v>
      </c>
      <c r="AC23" s="14">
        <v>0.01</v>
      </c>
      <c r="AD23" s="14">
        <v>0.01</v>
      </c>
      <c r="AE23" s="14">
        <v>0.01</v>
      </c>
      <c r="AF23" s="14">
        <v>0.01</v>
      </c>
    </row>
    <row r="24" spans="1:32">
      <c r="A24" s="20"/>
      <c r="B24" s="11" t="s">
        <v>1494</v>
      </c>
      <c r="C24" s="12">
        <v>30</v>
      </c>
      <c r="D24" s="12">
        <v>3</v>
      </c>
      <c r="E24" s="12">
        <v>0</v>
      </c>
      <c r="F24" s="12">
        <v>0</v>
      </c>
      <c r="G24" s="12">
        <v>0</v>
      </c>
      <c r="H24" s="12">
        <v>0</v>
      </c>
      <c r="I24" s="12">
        <v>0</v>
      </c>
      <c r="J24" s="12">
        <v>0</v>
      </c>
      <c r="K24" s="12">
        <v>4</v>
      </c>
      <c r="L24" s="12">
        <v>1</v>
      </c>
      <c r="M24" s="12">
        <v>0</v>
      </c>
      <c r="N24" s="12">
        <v>3</v>
      </c>
      <c r="O24" s="12">
        <v>1</v>
      </c>
      <c r="P24" s="12">
        <v>1</v>
      </c>
      <c r="Q24" s="12">
        <v>0</v>
      </c>
      <c r="R24" s="12">
        <v>1</v>
      </c>
      <c r="S24" s="12">
        <v>5</v>
      </c>
      <c r="T24" s="12">
        <v>8</v>
      </c>
      <c r="U24" s="12">
        <v>1</v>
      </c>
      <c r="V24" s="12">
        <v>0</v>
      </c>
      <c r="W24" s="12">
        <v>0</v>
      </c>
      <c r="X24" s="12">
        <v>2</v>
      </c>
      <c r="Y24" s="12">
        <v>0</v>
      </c>
      <c r="Z24" s="12">
        <v>5</v>
      </c>
      <c r="AA24" s="12">
        <v>1</v>
      </c>
      <c r="AB24" s="12">
        <v>0</v>
      </c>
      <c r="AC24" s="12">
        <v>0</v>
      </c>
      <c r="AD24" s="12">
        <v>0</v>
      </c>
      <c r="AE24" s="12">
        <v>0</v>
      </c>
      <c r="AF24" s="12">
        <v>0</v>
      </c>
    </row>
    <row r="25" spans="1:32">
      <c r="A25" s="20"/>
      <c r="B25" s="13" t="s">
        <v>1495</v>
      </c>
      <c r="C25" s="15" t="s">
        <v>459</v>
      </c>
      <c r="D25" s="15" t="s">
        <v>459</v>
      </c>
      <c r="E25" s="15" t="s">
        <v>459</v>
      </c>
      <c r="F25" s="15" t="s">
        <v>459</v>
      </c>
      <c r="G25" s="15" t="s">
        <v>459</v>
      </c>
      <c r="H25" s="15" t="s">
        <v>459</v>
      </c>
      <c r="I25" s="15" t="s">
        <v>459</v>
      </c>
      <c r="J25" s="15" t="s">
        <v>459</v>
      </c>
      <c r="K25" s="15" t="s">
        <v>459</v>
      </c>
      <c r="L25" s="15" t="s">
        <v>459</v>
      </c>
      <c r="M25" s="15" t="s">
        <v>459</v>
      </c>
      <c r="N25" s="15" t="s">
        <v>459</v>
      </c>
      <c r="O25" s="15" t="s">
        <v>459</v>
      </c>
      <c r="P25" s="15" t="s">
        <v>459</v>
      </c>
      <c r="Q25" s="15" t="s">
        <v>459</v>
      </c>
      <c r="R25" s="15" t="s">
        <v>459</v>
      </c>
      <c r="S25" s="14">
        <v>0.01</v>
      </c>
      <c r="T25" s="14">
        <v>0.01</v>
      </c>
      <c r="U25" s="15" t="s">
        <v>459</v>
      </c>
      <c r="V25" s="15" t="s">
        <v>459</v>
      </c>
      <c r="W25" s="15" t="s">
        <v>459</v>
      </c>
      <c r="X25" s="15" t="s">
        <v>459</v>
      </c>
      <c r="Y25" s="15" t="s">
        <v>459</v>
      </c>
      <c r="Z25" s="15" t="s">
        <v>459</v>
      </c>
      <c r="AA25" s="15" t="s">
        <v>459</v>
      </c>
      <c r="AB25" s="15" t="s">
        <v>459</v>
      </c>
      <c r="AC25" s="15" t="s">
        <v>459</v>
      </c>
      <c r="AD25" s="15" t="s">
        <v>459</v>
      </c>
      <c r="AE25" s="15" t="s">
        <v>459</v>
      </c>
      <c r="AF25" s="15" t="s">
        <v>459</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343</v>
      </c>
      <c r="C3" s="18"/>
      <c r="D3" s="18"/>
      <c r="E3" s="18"/>
      <c r="F3" s="18"/>
      <c r="H3" s="18" t="s">
        <v>344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1506</v>
      </c>
      <c r="C12" s="12">
        <v>9285</v>
      </c>
      <c r="D12" s="12">
        <v>331</v>
      </c>
      <c r="E12" s="12">
        <v>290</v>
      </c>
      <c r="F12" s="12">
        <v>381</v>
      </c>
      <c r="G12" s="12">
        <v>330</v>
      </c>
      <c r="H12" s="12">
        <v>549</v>
      </c>
      <c r="I12" s="12">
        <v>671</v>
      </c>
      <c r="J12" s="12">
        <v>122</v>
      </c>
      <c r="K12" s="12">
        <v>401</v>
      </c>
      <c r="L12" s="12">
        <v>313</v>
      </c>
      <c r="M12" s="12">
        <v>330</v>
      </c>
      <c r="N12" s="12">
        <v>334</v>
      </c>
      <c r="O12" s="12">
        <v>419</v>
      </c>
      <c r="P12" s="12">
        <v>336</v>
      </c>
      <c r="Q12" s="12">
        <v>315</v>
      </c>
      <c r="R12" s="12">
        <v>117</v>
      </c>
      <c r="S12" s="12">
        <v>364</v>
      </c>
      <c r="T12" s="12">
        <v>358</v>
      </c>
      <c r="U12" s="12">
        <v>156</v>
      </c>
      <c r="V12" s="12">
        <v>283</v>
      </c>
      <c r="W12" s="12">
        <v>174</v>
      </c>
      <c r="X12" s="12">
        <v>327</v>
      </c>
      <c r="Y12" s="12">
        <v>268</v>
      </c>
      <c r="Z12" s="12">
        <v>294</v>
      </c>
      <c r="AA12" s="12">
        <v>322</v>
      </c>
      <c r="AB12" s="12">
        <v>275</v>
      </c>
      <c r="AC12" s="12">
        <v>260</v>
      </c>
      <c r="AD12" s="12">
        <v>282</v>
      </c>
      <c r="AE12" s="12">
        <v>338</v>
      </c>
      <c r="AF12" s="12">
        <v>356</v>
      </c>
    </row>
    <row r="13" spans="1:32" ht="24.95">
      <c r="A13" s="20"/>
      <c r="B13" s="13" t="s">
        <v>1507</v>
      </c>
      <c r="C13" s="14">
        <v>0.35</v>
      </c>
      <c r="D13" s="14">
        <v>0.33</v>
      </c>
      <c r="E13" s="14">
        <v>0.28000000000000003</v>
      </c>
      <c r="F13" s="14">
        <v>0.38</v>
      </c>
      <c r="G13" s="14">
        <v>0.33</v>
      </c>
      <c r="H13" s="14">
        <v>0.45</v>
      </c>
      <c r="I13" s="14">
        <v>0.45</v>
      </c>
      <c r="J13" s="14">
        <v>0.42</v>
      </c>
      <c r="K13" s="14">
        <v>0.4</v>
      </c>
      <c r="L13" s="14">
        <v>0.31</v>
      </c>
      <c r="M13" s="14">
        <v>0.33</v>
      </c>
      <c r="N13" s="14">
        <v>0.33</v>
      </c>
      <c r="O13" s="14">
        <v>0.42</v>
      </c>
      <c r="P13" s="14">
        <v>0.33</v>
      </c>
      <c r="Q13" s="14">
        <v>0.31</v>
      </c>
      <c r="R13" s="14">
        <v>0.23</v>
      </c>
      <c r="S13" s="14">
        <v>0.36</v>
      </c>
      <c r="T13" s="14">
        <v>0.35</v>
      </c>
      <c r="U13" s="14">
        <v>0.31</v>
      </c>
      <c r="V13" s="14">
        <v>0.28000000000000003</v>
      </c>
      <c r="W13" s="14">
        <v>0.35</v>
      </c>
      <c r="X13" s="14">
        <v>0.32</v>
      </c>
      <c r="Y13" s="14">
        <v>0.27</v>
      </c>
      <c r="Z13" s="14">
        <v>0.28999999999999998</v>
      </c>
      <c r="AA13" s="14">
        <v>0.3</v>
      </c>
      <c r="AB13" s="14">
        <v>0.26</v>
      </c>
      <c r="AC13" s="14">
        <v>0.26</v>
      </c>
      <c r="AD13" s="14">
        <v>0.28000000000000003</v>
      </c>
      <c r="AE13" s="14">
        <v>0.34</v>
      </c>
      <c r="AF13" s="14">
        <v>0.35</v>
      </c>
    </row>
    <row r="14" spans="1:32">
      <c r="A14" s="20"/>
      <c r="B14" s="11" t="s">
        <v>1508</v>
      </c>
      <c r="C14" s="12">
        <v>1364</v>
      </c>
      <c r="D14" s="12">
        <v>99</v>
      </c>
      <c r="E14" s="12">
        <v>41</v>
      </c>
      <c r="F14" s="12">
        <v>64</v>
      </c>
      <c r="G14" s="12">
        <v>53</v>
      </c>
      <c r="H14" s="12">
        <v>63</v>
      </c>
      <c r="I14" s="12">
        <v>82</v>
      </c>
      <c r="J14" s="12">
        <v>19</v>
      </c>
      <c r="K14" s="12">
        <v>60</v>
      </c>
      <c r="L14" s="12">
        <v>70</v>
      </c>
      <c r="M14" s="12">
        <v>45</v>
      </c>
      <c r="N14" s="12">
        <v>47</v>
      </c>
      <c r="O14" s="12">
        <v>82</v>
      </c>
      <c r="P14" s="12">
        <v>59</v>
      </c>
      <c r="Q14" s="12">
        <v>24</v>
      </c>
      <c r="R14" s="12">
        <v>36</v>
      </c>
      <c r="S14" s="12">
        <v>77</v>
      </c>
      <c r="T14" s="12">
        <v>57</v>
      </c>
      <c r="U14" s="12">
        <v>37</v>
      </c>
      <c r="V14" s="12">
        <v>45</v>
      </c>
      <c r="W14" s="12">
        <v>36</v>
      </c>
      <c r="X14" s="12">
        <v>82</v>
      </c>
      <c r="Y14" s="12">
        <v>33</v>
      </c>
      <c r="Z14" s="12">
        <v>35</v>
      </c>
      <c r="AA14" s="12">
        <v>42</v>
      </c>
      <c r="AB14" s="12">
        <v>26</v>
      </c>
      <c r="AC14" s="12">
        <v>60</v>
      </c>
      <c r="AD14" s="12">
        <v>51</v>
      </c>
      <c r="AE14" s="12">
        <v>29</v>
      </c>
      <c r="AF14" s="12">
        <v>65</v>
      </c>
    </row>
    <row r="15" spans="1:32">
      <c r="A15" s="20"/>
      <c r="B15" s="13" t="s">
        <v>1509</v>
      </c>
      <c r="C15" s="14">
        <v>0.05</v>
      </c>
      <c r="D15" s="14">
        <v>0.1</v>
      </c>
      <c r="E15" s="14">
        <v>0.04</v>
      </c>
      <c r="F15" s="14">
        <v>0.06</v>
      </c>
      <c r="G15" s="14">
        <v>0.05</v>
      </c>
      <c r="H15" s="14">
        <v>0.05</v>
      </c>
      <c r="I15" s="14">
        <v>0.05</v>
      </c>
      <c r="J15" s="14">
        <v>0.06</v>
      </c>
      <c r="K15" s="14">
        <v>0.06</v>
      </c>
      <c r="L15" s="14">
        <v>7.0000000000000007E-2</v>
      </c>
      <c r="M15" s="14">
        <v>0.04</v>
      </c>
      <c r="N15" s="14">
        <v>0.05</v>
      </c>
      <c r="O15" s="14">
        <v>0.08</v>
      </c>
      <c r="P15" s="14">
        <v>0.06</v>
      </c>
      <c r="Q15" s="14">
        <v>0.02</v>
      </c>
      <c r="R15" s="14">
        <v>7.0000000000000007E-2</v>
      </c>
      <c r="S15" s="14">
        <v>0.08</v>
      </c>
      <c r="T15" s="14">
        <v>0.06</v>
      </c>
      <c r="U15" s="14">
        <v>7.0000000000000007E-2</v>
      </c>
      <c r="V15" s="14">
        <v>0.04</v>
      </c>
      <c r="W15" s="14">
        <v>7.0000000000000007E-2</v>
      </c>
      <c r="X15" s="14">
        <v>0.08</v>
      </c>
      <c r="Y15" s="14">
        <v>0.03</v>
      </c>
      <c r="Z15" s="14">
        <v>0.03</v>
      </c>
      <c r="AA15" s="14">
        <v>0.04</v>
      </c>
      <c r="AB15" s="14">
        <v>0.03</v>
      </c>
      <c r="AC15" s="14">
        <v>0.06</v>
      </c>
      <c r="AD15" s="14">
        <v>0.05</v>
      </c>
      <c r="AE15" s="14">
        <v>0.03</v>
      </c>
      <c r="AF15" s="14">
        <v>0.06</v>
      </c>
    </row>
    <row r="16" spans="1:32">
      <c r="A16" s="20"/>
      <c r="B16" s="11" t="s">
        <v>1510</v>
      </c>
      <c r="C16" s="12">
        <v>8469</v>
      </c>
      <c r="D16" s="12">
        <v>277</v>
      </c>
      <c r="E16" s="12">
        <v>383</v>
      </c>
      <c r="F16" s="12">
        <v>288</v>
      </c>
      <c r="G16" s="12">
        <v>333</v>
      </c>
      <c r="H16" s="12">
        <v>340</v>
      </c>
      <c r="I16" s="12">
        <v>439</v>
      </c>
      <c r="J16" s="12">
        <v>99</v>
      </c>
      <c r="K16" s="12">
        <v>277</v>
      </c>
      <c r="L16" s="12">
        <v>262</v>
      </c>
      <c r="M16" s="12">
        <v>317</v>
      </c>
      <c r="N16" s="12">
        <v>305</v>
      </c>
      <c r="O16" s="12">
        <v>313</v>
      </c>
      <c r="P16" s="12">
        <v>290</v>
      </c>
      <c r="Q16" s="12">
        <v>341</v>
      </c>
      <c r="R16" s="12">
        <v>169</v>
      </c>
      <c r="S16" s="12">
        <v>309</v>
      </c>
      <c r="T16" s="12">
        <v>354</v>
      </c>
      <c r="U16" s="12">
        <v>130</v>
      </c>
      <c r="V16" s="12">
        <v>391</v>
      </c>
      <c r="W16" s="12">
        <v>142</v>
      </c>
      <c r="X16" s="12">
        <v>301</v>
      </c>
      <c r="Y16" s="12">
        <v>434</v>
      </c>
      <c r="Z16" s="12">
        <v>403</v>
      </c>
      <c r="AA16" s="12">
        <v>324</v>
      </c>
      <c r="AB16" s="12">
        <v>376</v>
      </c>
      <c r="AC16" s="12">
        <v>316</v>
      </c>
      <c r="AD16" s="12">
        <v>264</v>
      </c>
      <c r="AE16" s="12">
        <v>391</v>
      </c>
      <c r="AF16" s="12">
        <v>316</v>
      </c>
    </row>
    <row r="17" spans="1:32" ht="24.95">
      <c r="A17" s="20"/>
      <c r="B17" s="13" t="s">
        <v>1511</v>
      </c>
      <c r="C17" s="14">
        <v>0.32</v>
      </c>
      <c r="D17" s="14">
        <v>0.28000000000000003</v>
      </c>
      <c r="E17" s="14">
        <v>0.38</v>
      </c>
      <c r="F17" s="14">
        <v>0.28999999999999998</v>
      </c>
      <c r="G17" s="14">
        <v>0.33</v>
      </c>
      <c r="H17" s="14">
        <v>0.28000000000000003</v>
      </c>
      <c r="I17" s="14">
        <v>0.28999999999999998</v>
      </c>
      <c r="J17" s="14">
        <v>0.34</v>
      </c>
      <c r="K17" s="14">
        <v>0.28000000000000003</v>
      </c>
      <c r="L17" s="14">
        <v>0.26</v>
      </c>
      <c r="M17" s="14">
        <v>0.32</v>
      </c>
      <c r="N17" s="14">
        <v>0.3</v>
      </c>
      <c r="O17" s="14">
        <v>0.31</v>
      </c>
      <c r="P17" s="14">
        <v>0.28000000000000003</v>
      </c>
      <c r="Q17" s="14">
        <v>0.33</v>
      </c>
      <c r="R17" s="14">
        <v>0.34</v>
      </c>
      <c r="S17" s="14">
        <v>0.31</v>
      </c>
      <c r="T17" s="14">
        <v>0.35</v>
      </c>
      <c r="U17" s="14">
        <v>0.26</v>
      </c>
      <c r="V17" s="14">
        <v>0.39</v>
      </c>
      <c r="W17" s="14">
        <v>0.28000000000000003</v>
      </c>
      <c r="X17" s="14">
        <v>0.3</v>
      </c>
      <c r="Y17" s="14">
        <v>0.43</v>
      </c>
      <c r="Z17" s="14">
        <v>0.4</v>
      </c>
      <c r="AA17" s="14">
        <v>0.31</v>
      </c>
      <c r="AB17" s="14">
        <v>0.36</v>
      </c>
      <c r="AC17" s="14">
        <v>0.31</v>
      </c>
      <c r="AD17" s="14">
        <v>0.26</v>
      </c>
      <c r="AE17" s="14">
        <v>0.39</v>
      </c>
      <c r="AF17" s="14">
        <v>0.31</v>
      </c>
    </row>
    <row r="18" spans="1:32">
      <c r="A18" s="20"/>
      <c r="B18" s="11" t="s">
        <v>1512</v>
      </c>
      <c r="C18" s="12">
        <v>7060</v>
      </c>
      <c r="D18" s="12">
        <v>267</v>
      </c>
      <c r="E18" s="12">
        <v>304</v>
      </c>
      <c r="F18" s="12">
        <v>266</v>
      </c>
      <c r="G18" s="12">
        <v>282</v>
      </c>
      <c r="H18" s="12">
        <v>260</v>
      </c>
      <c r="I18" s="12">
        <v>313</v>
      </c>
      <c r="J18" s="12">
        <v>53</v>
      </c>
      <c r="K18" s="12">
        <v>256</v>
      </c>
      <c r="L18" s="12">
        <v>360</v>
      </c>
      <c r="M18" s="12">
        <v>310</v>
      </c>
      <c r="N18" s="12">
        <v>316</v>
      </c>
      <c r="O18" s="12">
        <v>185</v>
      </c>
      <c r="P18" s="12">
        <v>324</v>
      </c>
      <c r="Q18" s="12">
        <v>334</v>
      </c>
      <c r="R18" s="12">
        <v>177</v>
      </c>
      <c r="S18" s="12">
        <v>246</v>
      </c>
      <c r="T18" s="12">
        <v>238</v>
      </c>
      <c r="U18" s="12">
        <v>180</v>
      </c>
      <c r="V18" s="12">
        <v>298</v>
      </c>
      <c r="W18" s="12">
        <v>151</v>
      </c>
      <c r="X18" s="12">
        <v>289</v>
      </c>
      <c r="Y18" s="12">
        <v>268</v>
      </c>
      <c r="Z18" s="12">
        <v>271</v>
      </c>
      <c r="AA18" s="12">
        <v>364</v>
      </c>
      <c r="AB18" s="12">
        <v>360</v>
      </c>
      <c r="AC18" s="12">
        <v>363</v>
      </c>
      <c r="AD18" s="12">
        <v>402</v>
      </c>
      <c r="AE18" s="12">
        <v>238</v>
      </c>
      <c r="AF18" s="12">
        <v>276</v>
      </c>
    </row>
    <row r="19" spans="1:32">
      <c r="A19" s="20"/>
      <c r="B19" s="13" t="s">
        <v>1513</v>
      </c>
      <c r="C19" s="14">
        <v>0.27</v>
      </c>
      <c r="D19" s="14">
        <v>0.27</v>
      </c>
      <c r="E19" s="14">
        <v>0.3</v>
      </c>
      <c r="F19" s="14">
        <v>0.26</v>
      </c>
      <c r="G19" s="14">
        <v>0.28000000000000003</v>
      </c>
      <c r="H19" s="14">
        <v>0.22</v>
      </c>
      <c r="I19" s="14">
        <v>0.21</v>
      </c>
      <c r="J19" s="14">
        <v>0.18</v>
      </c>
      <c r="K19" s="14">
        <v>0.25</v>
      </c>
      <c r="L19" s="14">
        <v>0.36</v>
      </c>
      <c r="M19" s="14">
        <v>0.31</v>
      </c>
      <c r="N19" s="14">
        <v>0.32</v>
      </c>
      <c r="O19" s="14">
        <v>0.19</v>
      </c>
      <c r="P19" s="14">
        <v>0.32</v>
      </c>
      <c r="Q19" s="14">
        <v>0.33</v>
      </c>
      <c r="R19" s="14">
        <v>0.36</v>
      </c>
      <c r="S19" s="14">
        <v>0.24</v>
      </c>
      <c r="T19" s="14">
        <v>0.23</v>
      </c>
      <c r="U19" s="14">
        <v>0.35</v>
      </c>
      <c r="V19" s="14">
        <v>0.28999999999999998</v>
      </c>
      <c r="W19" s="14">
        <v>0.3</v>
      </c>
      <c r="X19" s="14">
        <v>0.28000000000000003</v>
      </c>
      <c r="Y19" s="14">
        <v>0.27</v>
      </c>
      <c r="Z19" s="14">
        <v>0.27</v>
      </c>
      <c r="AA19" s="14">
        <v>0.35</v>
      </c>
      <c r="AB19" s="14">
        <v>0.35</v>
      </c>
      <c r="AC19" s="14">
        <v>0.36</v>
      </c>
      <c r="AD19" s="14">
        <v>0.4</v>
      </c>
      <c r="AE19" s="14">
        <v>0.24</v>
      </c>
      <c r="AF19" s="14">
        <v>0.27</v>
      </c>
    </row>
    <row r="20" spans="1:32">
      <c r="A20" s="20"/>
      <c r="B20" s="11" t="s">
        <v>519</v>
      </c>
      <c r="C20" s="12">
        <v>112</v>
      </c>
      <c r="D20" s="12">
        <v>25</v>
      </c>
      <c r="E20" s="12">
        <v>0</v>
      </c>
      <c r="F20" s="12">
        <v>5</v>
      </c>
      <c r="G20" s="12">
        <v>6</v>
      </c>
      <c r="H20" s="12">
        <v>5</v>
      </c>
      <c r="I20" s="12">
        <v>5</v>
      </c>
      <c r="J20" s="12">
        <v>0</v>
      </c>
      <c r="K20" s="12">
        <v>7</v>
      </c>
      <c r="L20" s="12">
        <v>0</v>
      </c>
      <c r="M20" s="12">
        <v>0</v>
      </c>
      <c r="N20" s="12">
        <v>0</v>
      </c>
      <c r="O20" s="12">
        <v>4</v>
      </c>
      <c r="P20" s="12">
        <v>11</v>
      </c>
      <c r="Q20" s="12">
        <v>6</v>
      </c>
      <c r="R20" s="12">
        <v>0</v>
      </c>
      <c r="S20" s="12">
        <v>7</v>
      </c>
      <c r="T20" s="12">
        <v>0</v>
      </c>
      <c r="U20" s="12">
        <v>3</v>
      </c>
      <c r="V20" s="12">
        <v>0</v>
      </c>
      <c r="W20" s="12">
        <v>0</v>
      </c>
      <c r="X20" s="12">
        <v>21</v>
      </c>
      <c r="Y20" s="12">
        <v>5</v>
      </c>
      <c r="Z20" s="12">
        <v>0</v>
      </c>
      <c r="AA20" s="12">
        <v>0</v>
      </c>
      <c r="AB20" s="12">
        <v>1</v>
      </c>
      <c r="AC20" s="12">
        <v>10</v>
      </c>
      <c r="AD20" s="12">
        <v>7</v>
      </c>
      <c r="AE20" s="12">
        <v>6</v>
      </c>
      <c r="AF20" s="12">
        <v>7</v>
      </c>
    </row>
    <row r="21" spans="1:32">
      <c r="A21" s="20"/>
      <c r="B21" s="13" t="s">
        <v>520</v>
      </c>
      <c r="C21" s="14">
        <v>0.01</v>
      </c>
      <c r="D21" s="14">
        <v>0.02</v>
      </c>
      <c r="E21" s="15" t="s">
        <v>459</v>
      </c>
      <c r="F21" s="14">
        <v>0.01</v>
      </c>
      <c r="G21" s="14">
        <v>0.01</v>
      </c>
      <c r="H21" s="15" t="s">
        <v>459</v>
      </c>
      <c r="I21" s="15" t="s">
        <v>459</v>
      </c>
      <c r="J21" s="15" t="s">
        <v>459</v>
      </c>
      <c r="K21" s="14">
        <v>0.01</v>
      </c>
      <c r="L21" s="15" t="s">
        <v>459</v>
      </c>
      <c r="M21" s="15" t="s">
        <v>459</v>
      </c>
      <c r="N21" s="15" t="s">
        <v>459</v>
      </c>
      <c r="O21" s="15" t="s">
        <v>459</v>
      </c>
      <c r="P21" s="14">
        <v>0.01</v>
      </c>
      <c r="Q21" s="14">
        <v>0.01</v>
      </c>
      <c r="R21" s="15" t="s">
        <v>459</v>
      </c>
      <c r="S21" s="14">
        <v>0.01</v>
      </c>
      <c r="T21" s="15" t="s">
        <v>459</v>
      </c>
      <c r="U21" s="14">
        <v>0.01</v>
      </c>
      <c r="V21" s="15" t="s">
        <v>459</v>
      </c>
      <c r="W21" s="15" t="s">
        <v>459</v>
      </c>
      <c r="X21" s="14">
        <v>0.02</v>
      </c>
      <c r="Y21" s="15" t="s">
        <v>459</v>
      </c>
      <c r="Z21" s="15" t="s">
        <v>459</v>
      </c>
      <c r="AA21" s="15" t="s">
        <v>459</v>
      </c>
      <c r="AB21" s="15" t="s">
        <v>459</v>
      </c>
      <c r="AC21" s="14">
        <v>0.01</v>
      </c>
      <c r="AD21" s="14">
        <v>0.01</v>
      </c>
      <c r="AE21" s="15" t="s">
        <v>459</v>
      </c>
      <c r="AF21" s="14">
        <v>0.01</v>
      </c>
    </row>
    <row r="22" spans="1:32">
      <c r="A22" s="20"/>
      <c r="B22" s="11" t="s">
        <v>1494</v>
      </c>
      <c r="C22" s="12">
        <v>30</v>
      </c>
      <c r="D22" s="12">
        <v>3</v>
      </c>
      <c r="E22" s="12">
        <v>0</v>
      </c>
      <c r="F22" s="12">
        <v>0</v>
      </c>
      <c r="G22" s="12">
        <v>0</v>
      </c>
      <c r="H22" s="12">
        <v>0</v>
      </c>
      <c r="I22" s="12">
        <v>0</v>
      </c>
      <c r="J22" s="12">
        <v>0</v>
      </c>
      <c r="K22" s="12">
        <v>4</v>
      </c>
      <c r="L22" s="12">
        <v>1</v>
      </c>
      <c r="M22" s="12">
        <v>0</v>
      </c>
      <c r="N22" s="12">
        <v>3</v>
      </c>
      <c r="O22" s="12">
        <v>1</v>
      </c>
      <c r="P22" s="12">
        <v>1</v>
      </c>
      <c r="Q22" s="12">
        <v>0</v>
      </c>
      <c r="R22" s="12">
        <v>1</v>
      </c>
      <c r="S22" s="12">
        <v>5</v>
      </c>
      <c r="T22" s="12">
        <v>8</v>
      </c>
      <c r="U22" s="12">
        <v>1</v>
      </c>
      <c r="V22" s="12">
        <v>0</v>
      </c>
      <c r="W22" s="12">
        <v>0</v>
      </c>
      <c r="X22" s="12">
        <v>2</v>
      </c>
      <c r="Y22" s="12">
        <v>0</v>
      </c>
      <c r="Z22" s="12">
        <v>5</v>
      </c>
      <c r="AA22" s="12">
        <v>1</v>
      </c>
      <c r="AB22" s="12">
        <v>0</v>
      </c>
      <c r="AC22" s="12">
        <v>0</v>
      </c>
      <c r="AD22" s="12">
        <v>0</v>
      </c>
      <c r="AE22" s="12">
        <v>0</v>
      </c>
      <c r="AF22" s="12">
        <v>0</v>
      </c>
    </row>
    <row r="23" spans="1:32">
      <c r="A23" s="20"/>
      <c r="B23" s="13" t="s">
        <v>1495</v>
      </c>
      <c r="C23" s="15" t="s">
        <v>459</v>
      </c>
      <c r="D23" s="15" t="s">
        <v>459</v>
      </c>
      <c r="E23" s="15" t="s">
        <v>459</v>
      </c>
      <c r="F23" s="15" t="s">
        <v>459</v>
      </c>
      <c r="G23" s="15" t="s">
        <v>459</v>
      </c>
      <c r="H23" s="15" t="s">
        <v>459</v>
      </c>
      <c r="I23" s="15" t="s">
        <v>459</v>
      </c>
      <c r="J23" s="15" t="s">
        <v>459</v>
      </c>
      <c r="K23" s="15" t="s">
        <v>459</v>
      </c>
      <c r="L23" s="15" t="s">
        <v>459</v>
      </c>
      <c r="M23" s="15" t="s">
        <v>459</v>
      </c>
      <c r="N23" s="15" t="s">
        <v>459</v>
      </c>
      <c r="O23" s="15" t="s">
        <v>459</v>
      </c>
      <c r="P23" s="15" t="s">
        <v>459</v>
      </c>
      <c r="Q23" s="15" t="s">
        <v>459</v>
      </c>
      <c r="R23" s="15" t="s">
        <v>459</v>
      </c>
      <c r="S23" s="15" t="s">
        <v>459</v>
      </c>
      <c r="T23" s="14">
        <v>0.01</v>
      </c>
      <c r="U23" s="15" t="s">
        <v>459</v>
      </c>
      <c r="V23" s="15" t="s">
        <v>459</v>
      </c>
      <c r="W23" s="15" t="s">
        <v>459</v>
      </c>
      <c r="X23" s="15" t="s">
        <v>459</v>
      </c>
      <c r="Y23" s="15" t="s">
        <v>459</v>
      </c>
      <c r="Z23" s="14">
        <v>0.01</v>
      </c>
      <c r="AA23" s="15" t="s">
        <v>459</v>
      </c>
      <c r="AB23" s="15" t="s">
        <v>459</v>
      </c>
      <c r="AC23" s="15" t="s">
        <v>459</v>
      </c>
      <c r="AD23" s="15" t="s">
        <v>459</v>
      </c>
      <c r="AE23" s="15" t="s">
        <v>459</v>
      </c>
      <c r="AF23" s="15" t="s">
        <v>459</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3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48" customHeight="1">
      <c r="B3" s="18" t="s">
        <v>345</v>
      </c>
      <c r="C3" s="18"/>
      <c r="D3" s="18"/>
      <c r="E3" s="18"/>
      <c r="F3" s="18"/>
      <c r="H3" s="18" t="s">
        <v>346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1514</v>
      </c>
      <c r="C12" s="12">
        <v>868</v>
      </c>
      <c r="D12" s="12">
        <v>15</v>
      </c>
      <c r="E12" s="12">
        <v>52</v>
      </c>
      <c r="F12" s="12">
        <v>29</v>
      </c>
      <c r="G12" s="12">
        <v>61</v>
      </c>
      <c r="H12" s="12">
        <v>23</v>
      </c>
      <c r="I12" s="12">
        <v>43</v>
      </c>
      <c r="J12" s="12">
        <v>20</v>
      </c>
      <c r="K12" s="12">
        <v>44</v>
      </c>
      <c r="L12" s="12">
        <v>13</v>
      </c>
      <c r="M12" s="12">
        <v>7</v>
      </c>
      <c r="N12" s="12">
        <v>39</v>
      </c>
      <c r="O12" s="12">
        <v>37</v>
      </c>
      <c r="P12" s="12">
        <v>74</v>
      </c>
      <c r="Q12" s="12">
        <v>23</v>
      </c>
      <c r="R12" s="12">
        <v>23</v>
      </c>
      <c r="S12" s="12">
        <v>5</v>
      </c>
      <c r="T12" s="12">
        <v>40</v>
      </c>
      <c r="U12" s="12">
        <v>12</v>
      </c>
      <c r="V12" s="12">
        <v>33</v>
      </c>
      <c r="W12" s="12">
        <v>47</v>
      </c>
      <c r="X12" s="12">
        <v>49</v>
      </c>
      <c r="Y12" s="12">
        <v>26</v>
      </c>
      <c r="Z12" s="12">
        <v>24</v>
      </c>
      <c r="AA12" s="12">
        <v>18</v>
      </c>
      <c r="AB12" s="12">
        <v>81</v>
      </c>
      <c r="AC12" s="12">
        <v>42</v>
      </c>
      <c r="AD12" s="12">
        <v>28</v>
      </c>
      <c r="AE12" s="12">
        <v>25</v>
      </c>
      <c r="AF12" s="12">
        <v>51</v>
      </c>
    </row>
    <row r="13" spans="1:32">
      <c r="A13" s="20"/>
      <c r="B13" s="13" t="s">
        <v>1515</v>
      </c>
      <c r="C13" s="14">
        <v>0.03</v>
      </c>
      <c r="D13" s="14">
        <v>0.02</v>
      </c>
      <c r="E13" s="14">
        <v>0.05</v>
      </c>
      <c r="F13" s="14">
        <v>0.03</v>
      </c>
      <c r="G13" s="14">
        <v>0.06</v>
      </c>
      <c r="H13" s="14">
        <v>0.02</v>
      </c>
      <c r="I13" s="14">
        <v>0.03</v>
      </c>
      <c r="J13" s="14">
        <v>7.0000000000000007E-2</v>
      </c>
      <c r="K13" s="14">
        <v>0.04</v>
      </c>
      <c r="L13" s="14">
        <v>0.01</v>
      </c>
      <c r="M13" s="14">
        <v>0.01</v>
      </c>
      <c r="N13" s="14">
        <v>0.04</v>
      </c>
      <c r="O13" s="14">
        <v>0.04</v>
      </c>
      <c r="P13" s="14">
        <v>7.0000000000000007E-2</v>
      </c>
      <c r="Q13" s="14">
        <v>0.02</v>
      </c>
      <c r="R13" s="14">
        <v>0.05</v>
      </c>
      <c r="S13" s="14">
        <v>0.01</v>
      </c>
      <c r="T13" s="14">
        <v>0.04</v>
      </c>
      <c r="U13" s="14">
        <v>0.02</v>
      </c>
      <c r="V13" s="14">
        <v>0.03</v>
      </c>
      <c r="W13" s="14">
        <v>0.09</v>
      </c>
      <c r="X13" s="14">
        <v>0.05</v>
      </c>
      <c r="Y13" s="14">
        <v>0.03</v>
      </c>
      <c r="Z13" s="14">
        <v>0.02</v>
      </c>
      <c r="AA13" s="14">
        <v>0.02</v>
      </c>
      <c r="AB13" s="14">
        <v>0.08</v>
      </c>
      <c r="AC13" s="14">
        <v>0.04</v>
      </c>
      <c r="AD13" s="14">
        <v>0.03</v>
      </c>
      <c r="AE13" s="14">
        <v>0.03</v>
      </c>
      <c r="AF13" s="14">
        <v>0.05</v>
      </c>
    </row>
    <row r="14" spans="1:32">
      <c r="A14" s="20"/>
      <c r="B14" s="11" t="s">
        <v>1516</v>
      </c>
      <c r="C14" s="12">
        <v>886</v>
      </c>
      <c r="D14" s="12">
        <v>31</v>
      </c>
      <c r="E14" s="12">
        <v>35</v>
      </c>
      <c r="F14" s="12">
        <v>36</v>
      </c>
      <c r="G14" s="12">
        <v>71</v>
      </c>
      <c r="H14" s="12">
        <v>43</v>
      </c>
      <c r="I14" s="12">
        <v>54</v>
      </c>
      <c r="J14" s="12">
        <v>11</v>
      </c>
      <c r="K14" s="12">
        <v>23</v>
      </c>
      <c r="L14" s="12">
        <v>14</v>
      </c>
      <c r="M14" s="12">
        <v>20</v>
      </c>
      <c r="N14" s="12">
        <v>32</v>
      </c>
      <c r="O14" s="12">
        <v>35</v>
      </c>
      <c r="P14" s="12">
        <v>23</v>
      </c>
      <c r="Q14" s="12">
        <v>17</v>
      </c>
      <c r="R14" s="12">
        <v>10</v>
      </c>
      <c r="S14" s="12">
        <v>3</v>
      </c>
      <c r="T14" s="12">
        <v>21</v>
      </c>
      <c r="U14" s="12">
        <v>16</v>
      </c>
      <c r="V14" s="12">
        <v>24</v>
      </c>
      <c r="W14" s="12">
        <v>55</v>
      </c>
      <c r="X14" s="12">
        <v>76</v>
      </c>
      <c r="Y14" s="12">
        <v>45</v>
      </c>
      <c r="Z14" s="12">
        <v>31</v>
      </c>
      <c r="AA14" s="12">
        <v>19</v>
      </c>
      <c r="AB14" s="12">
        <v>32</v>
      </c>
      <c r="AC14" s="12">
        <v>22</v>
      </c>
      <c r="AD14" s="12">
        <v>36</v>
      </c>
      <c r="AE14" s="12">
        <v>43</v>
      </c>
      <c r="AF14" s="12">
        <v>86</v>
      </c>
    </row>
    <row r="15" spans="1:32">
      <c r="A15" s="20"/>
      <c r="B15" s="13" t="s">
        <v>1516</v>
      </c>
      <c r="C15" s="14">
        <v>0.03</v>
      </c>
      <c r="D15" s="14">
        <v>0.03</v>
      </c>
      <c r="E15" s="14">
        <v>0.04</v>
      </c>
      <c r="F15" s="14">
        <v>0.04</v>
      </c>
      <c r="G15" s="14">
        <v>7.0000000000000007E-2</v>
      </c>
      <c r="H15" s="14">
        <v>0.03</v>
      </c>
      <c r="I15" s="14">
        <v>0.04</v>
      </c>
      <c r="J15" s="14">
        <v>0.04</v>
      </c>
      <c r="K15" s="14">
        <v>0.02</v>
      </c>
      <c r="L15" s="14">
        <v>0.01</v>
      </c>
      <c r="M15" s="14">
        <v>0.02</v>
      </c>
      <c r="N15" s="14">
        <v>0.03</v>
      </c>
      <c r="O15" s="14">
        <v>0.03</v>
      </c>
      <c r="P15" s="14">
        <v>0.02</v>
      </c>
      <c r="Q15" s="14">
        <v>0.02</v>
      </c>
      <c r="R15" s="14">
        <v>0.02</v>
      </c>
      <c r="S15" s="15" t="s">
        <v>459</v>
      </c>
      <c r="T15" s="14">
        <v>0.02</v>
      </c>
      <c r="U15" s="14">
        <v>0.03</v>
      </c>
      <c r="V15" s="14">
        <v>0.02</v>
      </c>
      <c r="W15" s="14">
        <v>0.11</v>
      </c>
      <c r="X15" s="14">
        <v>0.08</v>
      </c>
      <c r="Y15" s="14">
        <v>0.04</v>
      </c>
      <c r="Z15" s="14">
        <v>0.03</v>
      </c>
      <c r="AA15" s="14">
        <v>0.02</v>
      </c>
      <c r="AB15" s="14">
        <v>0.03</v>
      </c>
      <c r="AC15" s="14">
        <v>0.02</v>
      </c>
      <c r="AD15" s="14">
        <v>0.04</v>
      </c>
      <c r="AE15" s="14">
        <v>0.04</v>
      </c>
      <c r="AF15" s="14">
        <v>0.09</v>
      </c>
    </row>
    <row r="16" spans="1:32">
      <c r="A16" s="20"/>
      <c r="B16" s="11" t="s">
        <v>1517</v>
      </c>
      <c r="C16" s="12">
        <v>2370</v>
      </c>
      <c r="D16" s="12">
        <v>91</v>
      </c>
      <c r="E16" s="12">
        <v>64</v>
      </c>
      <c r="F16" s="12">
        <v>63</v>
      </c>
      <c r="G16" s="12">
        <v>112</v>
      </c>
      <c r="H16" s="12">
        <v>105</v>
      </c>
      <c r="I16" s="12">
        <v>146</v>
      </c>
      <c r="J16" s="12">
        <v>41</v>
      </c>
      <c r="K16" s="12">
        <v>62</v>
      </c>
      <c r="L16" s="12">
        <v>72</v>
      </c>
      <c r="M16" s="12">
        <v>79</v>
      </c>
      <c r="N16" s="12">
        <v>100</v>
      </c>
      <c r="O16" s="12">
        <v>103</v>
      </c>
      <c r="P16" s="12">
        <v>75</v>
      </c>
      <c r="Q16" s="12">
        <v>72</v>
      </c>
      <c r="R16" s="12">
        <v>17</v>
      </c>
      <c r="S16" s="12">
        <v>27</v>
      </c>
      <c r="T16" s="12">
        <v>41</v>
      </c>
      <c r="U16" s="12">
        <v>39</v>
      </c>
      <c r="V16" s="12">
        <v>69</v>
      </c>
      <c r="W16" s="12">
        <v>27</v>
      </c>
      <c r="X16" s="12">
        <v>153</v>
      </c>
      <c r="Y16" s="12">
        <v>87</v>
      </c>
      <c r="Z16" s="12">
        <v>66</v>
      </c>
      <c r="AA16" s="12">
        <v>75</v>
      </c>
      <c r="AB16" s="12">
        <v>58</v>
      </c>
      <c r="AC16" s="12">
        <v>56</v>
      </c>
      <c r="AD16" s="12">
        <v>105</v>
      </c>
      <c r="AE16" s="12">
        <v>104</v>
      </c>
      <c r="AF16" s="12">
        <v>203</v>
      </c>
    </row>
    <row r="17" spans="1:32">
      <c r="A17" s="20"/>
      <c r="B17" s="13" t="s">
        <v>1517</v>
      </c>
      <c r="C17" s="14">
        <v>0.09</v>
      </c>
      <c r="D17" s="14">
        <v>0.09</v>
      </c>
      <c r="E17" s="14">
        <v>0.06</v>
      </c>
      <c r="F17" s="14">
        <v>0.06</v>
      </c>
      <c r="G17" s="14">
        <v>0.11</v>
      </c>
      <c r="H17" s="14">
        <v>0.09</v>
      </c>
      <c r="I17" s="14">
        <v>0.1</v>
      </c>
      <c r="J17" s="14">
        <v>0.14000000000000001</v>
      </c>
      <c r="K17" s="14">
        <v>0.06</v>
      </c>
      <c r="L17" s="14">
        <v>7.0000000000000007E-2</v>
      </c>
      <c r="M17" s="14">
        <v>0.08</v>
      </c>
      <c r="N17" s="14">
        <v>0.1</v>
      </c>
      <c r="O17" s="14">
        <v>0.1</v>
      </c>
      <c r="P17" s="14">
        <v>0.08</v>
      </c>
      <c r="Q17" s="14">
        <v>7.0000000000000007E-2</v>
      </c>
      <c r="R17" s="14">
        <v>0.03</v>
      </c>
      <c r="S17" s="14">
        <v>0.03</v>
      </c>
      <c r="T17" s="14">
        <v>0.04</v>
      </c>
      <c r="U17" s="14">
        <v>0.08</v>
      </c>
      <c r="V17" s="14">
        <v>7.0000000000000007E-2</v>
      </c>
      <c r="W17" s="14">
        <v>0.05</v>
      </c>
      <c r="X17" s="14">
        <v>0.15</v>
      </c>
      <c r="Y17" s="14">
        <v>0.09</v>
      </c>
      <c r="Z17" s="14">
        <v>7.0000000000000007E-2</v>
      </c>
      <c r="AA17" s="14">
        <v>7.0000000000000007E-2</v>
      </c>
      <c r="AB17" s="14">
        <v>0.05</v>
      </c>
      <c r="AC17" s="14">
        <v>0.05</v>
      </c>
      <c r="AD17" s="14">
        <v>0.1</v>
      </c>
      <c r="AE17" s="14">
        <v>0.1</v>
      </c>
      <c r="AF17" s="14">
        <v>0.2</v>
      </c>
    </row>
    <row r="18" spans="1:32">
      <c r="A18" s="20"/>
      <c r="B18" s="11" t="s">
        <v>1518</v>
      </c>
      <c r="C18" s="12">
        <v>3170</v>
      </c>
      <c r="D18" s="12">
        <v>123</v>
      </c>
      <c r="E18" s="12">
        <v>59</v>
      </c>
      <c r="F18" s="12">
        <v>99</v>
      </c>
      <c r="G18" s="12">
        <v>132</v>
      </c>
      <c r="H18" s="12">
        <v>167</v>
      </c>
      <c r="I18" s="12">
        <v>208</v>
      </c>
      <c r="J18" s="12">
        <v>41</v>
      </c>
      <c r="K18" s="12">
        <v>79</v>
      </c>
      <c r="L18" s="12">
        <v>103</v>
      </c>
      <c r="M18" s="12">
        <v>116</v>
      </c>
      <c r="N18" s="12">
        <v>132</v>
      </c>
      <c r="O18" s="12">
        <v>109</v>
      </c>
      <c r="P18" s="12">
        <v>114</v>
      </c>
      <c r="Q18" s="12">
        <v>136</v>
      </c>
      <c r="R18" s="12">
        <v>12</v>
      </c>
      <c r="S18" s="12">
        <v>35</v>
      </c>
      <c r="T18" s="12">
        <v>66</v>
      </c>
      <c r="U18" s="12">
        <v>65</v>
      </c>
      <c r="V18" s="12">
        <v>108</v>
      </c>
      <c r="W18" s="12">
        <v>33</v>
      </c>
      <c r="X18" s="12">
        <v>141</v>
      </c>
      <c r="Y18" s="12">
        <v>142</v>
      </c>
      <c r="Z18" s="12">
        <v>115</v>
      </c>
      <c r="AA18" s="12">
        <v>154</v>
      </c>
      <c r="AB18" s="12">
        <v>48</v>
      </c>
      <c r="AC18" s="12">
        <v>57</v>
      </c>
      <c r="AD18" s="12">
        <v>109</v>
      </c>
      <c r="AE18" s="12">
        <v>124</v>
      </c>
      <c r="AF18" s="12">
        <v>162</v>
      </c>
    </row>
    <row r="19" spans="1:32">
      <c r="A19" s="20"/>
      <c r="B19" s="13" t="s">
        <v>1518</v>
      </c>
      <c r="C19" s="14">
        <v>0.12</v>
      </c>
      <c r="D19" s="14">
        <v>0.12</v>
      </c>
      <c r="E19" s="14">
        <v>0.06</v>
      </c>
      <c r="F19" s="14">
        <v>0.1</v>
      </c>
      <c r="G19" s="14">
        <v>0.13</v>
      </c>
      <c r="H19" s="14">
        <v>0.14000000000000001</v>
      </c>
      <c r="I19" s="14">
        <v>0.14000000000000001</v>
      </c>
      <c r="J19" s="14">
        <v>0.14000000000000001</v>
      </c>
      <c r="K19" s="14">
        <v>0.08</v>
      </c>
      <c r="L19" s="14">
        <v>0.1</v>
      </c>
      <c r="M19" s="14">
        <v>0.11</v>
      </c>
      <c r="N19" s="14">
        <v>0.13</v>
      </c>
      <c r="O19" s="14">
        <v>0.11</v>
      </c>
      <c r="P19" s="14">
        <v>0.11</v>
      </c>
      <c r="Q19" s="14">
        <v>0.13</v>
      </c>
      <c r="R19" s="14">
        <v>0.02</v>
      </c>
      <c r="S19" s="14">
        <v>0.03</v>
      </c>
      <c r="T19" s="14">
        <v>7.0000000000000007E-2</v>
      </c>
      <c r="U19" s="14">
        <v>0.13</v>
      </c>
      <c r="V19" s="14">
        <v>0.11</v>
      </c>
      <c r="W19" s="14">
        <v>7.0000000000000007E-2</v>
      </c>
      <c r="X19" s="14">
        <v>0.14000000000000001</v>
      </c>
      <c r="Y19" s="14">
        <v>0.14000000000000001</v>
      </c>
      <c r="Z19" s="14">
        <v>0.11</v>
      </c>
      <c r="AA19" s="14">
        <v>0.15</v>
      </c>
      <c r="AB19" s="14">
        <v>0.05</v>
      </c>
      <c r="AC19" s="14">
        <v>0.06</v>
      </c>
      <c r="AD19" s="14">
        <v>0.11</v>
      </c>
      <c r="AE19" s="14">
        <v>0.12</v>
      </c>
      <c r="AF19" s="14">
        <v>0.16</v>
      </c>
    </row>
    <row r="20" spans="1:32">
      <c r="A20" s="20"/>
      <c r="B20" s="11" t="s">
        <v>1519</v>
      </c>
      <c r="C20" s="12">
        <v>6317</v>
      </c>
      <c r="D20" s="12">
        <v>298</v>
      </c>
      <c r="E20" s="12">
        <v>169</v>
      </c>
      <c r="F20" s="12">
        <v>288</v>
      </c>
      <c r="G20" s="12">
        <v>184</v>
      </c>
      <c r="H20" s="12">
        <v>428</v>
      </c>
      <c r="I20" s="12">
        <v>502</v>
      </c>
      <c r="J20" s="12">
        <v>74</v>
      </c>
      <c r="K20" s="12">
        <v>222</v>
      </c>
      <c r="L20" s="12">
        <v>430</v>
      </c>
      <c r="M20" s="12">
        <v>250</v>
      </c>
      <c r="N20" s="12">
        <v>303</v>
      </c>
      <c r="O20" s="12">
        <v>198</v>
      </c>
      <c r="P20" s="12">
        <v>223</v>
      </c>
      <c r="Q20" s="12">
        <v>181</v>
      </c>
      <c r="R20" s="12">
        <v>116</v>
      </c>
      <c r="S20" s="12">
        <v>215</v>
      </c>
      <c r="T20" s="12">
        <v>264</v>
      </c>
      <c r="U20" s="12">
        <v>171</v>
      </c>
      <c r="V20" s="12">
        <v>216</v>
      </c>
      <c r="W20" s="12">
        <v>110</v>
      </c>
      <c r="X20" s="12">
        <v>167</v>
      </c>
      <c r="Y20" s="12">
        <v>235</v>
      </c>
      <c r="Z20" s="12">
        <v>227</v>
      </c>
      <c r="AA20" s="12">
        <v>236</v>
      </c>
      <c r="AB20" s="12">
        <v>163</v>
      </c>
      <c r="AC20" s="12">
        <v>335</v>
      </c>
      <c r="AD20" s="12">
        <v>196</v>
      </c>
      <c r="AE20" s="12">
        <v>166</v>
      </c>
      <c r="AF20" s="12">
        <v>136</v>
      </c>
    </row>
    <row r="21" spans="1:32">
      <c r="A21" s="20"/>
      <c r="B21" s="13" t="s">
        <v>1519</v>
      </c>
      <c r="C21" s="14">
        <v>0.24</v>
      </c>
      <c r="D21" s="14">
        <v>0.3</v>
      </c>
      <c r="E21" s="14">
        <v>0.17</v>
      </c>
      <c r="F21" s="14">
        <v>0.28000000000000003</v>
      </c>
      <c r="G21" s="14">
        <v>0.18</v>
      </c>
      <c r="H21" s="14">
        <v>0.35</v>
      </c>
      <c r="I21" s="14">
        <v>0.33</v>
      </c>
      <c r="J21" s="14">
        <v>0.25</v>
      </c>
      <c r="K21" s="14">
        <v>0.22</v>
      </c>
      <c r="L21" s="14">
        <v>0.43</v>
      </c>
      <c r="M21" s="14">
        <v>0.25</v>
      </c>
      <c r="N21" s="14">
        <v>0.3</v>
      </c>
      <c r="O21" s="14">
        <v>0.2</v>
      </c>
      <c r="P21" s="14">
        <v>0.22</v>
      </c>
      <c r="Q21" s="14">
        <v>0.18</v>
      </c>
      <c r="R21" s="14">
        <v>0.23</v>
      </c>
      <c r="S21" s="14">
        <v>0.21</v>
      </c>
      <c r="T21" s="14">
        <v>0.26</v>
      </c>
      <c r="U21" s="14">
        <v>0.34</v>
      </c>
      <c r="V21" s="14">
        <v>0.21</v>
      </c>
      <c r="W21" s="14">
        <v>0.22</v>
      </c>
      <c r="X21" s="14">
        <v>0.16</v>
      </c>
      <c r="Y21" s="14">
        <v>0.23</v>
      </c>
      <c r="Z21" s="14">
        <v>0.23</v>
      </c>
      <c r="AA21" s="14">
        <v>0.22</v>
      </c>
      <c r="AB21" s="14">
        <v>0.16</v>
      </c>
      <c r="AC21" s="14">
        <v>0.33</v>
      </c>
      <c r="AD21" s="14">
        <v>0.19</v>
      </c>
      <c r="AE21" s="14">
        <v>0.17</v>
      </c>
      <c r="AF21" s="14">
        <v>0.13</v>
      </c>
    </row>
    <row r="22" spans="1:32">
      <c r="A22" s="20"/>
      <c r="B22" s="11" t="s">
        <v>1520</v>
      </c>
      <c r="C22" s="12">
        <v>3320</v>
      </c>
      <c r="D22" s="12">
        <v>151</v>
      </c>
      <c r="E22" s="12">
        <v>147</v>
      </c>
      <c r="F22" s="12">
        <v>169</v>
      </c>
      <c r="G22" s="12">
        <v>136</v>
      </c>
      <c r="H22" s="12">
        <v>168</v>
      </c>
      <c r="I22" s="12">
        <v>209</v>
      </c>
      <c r="J22" s="12">
        <v>41</v>
      </c>
      <c r="K22" s="12">
        <v>129</v>
      </c>
      <c r="L22" s="12">
        <v>160</v>
      </c>
      <c r="M22" s="12">
        <v>84</v>
      </c>
      <c r="N22" s="12">
        <v>87</v>
      </c>
      <c r="O22" s="12">
        <v>82</v>
      </c>
      <c r="P22" s="12">
        <v>152</v>
      </c>
      <c r="Q22" s="12">
        <v>155</v>
      </c>
      <c r="R22" s="12">
        <v>43</v>
      </c>
      <c r="S22" s="12">
        <v>120</v>
      </c>
      <c r="T22" s="12">
        <v>94</v>
      </c>
      <c r="U22" s="12">
        <v>71</v>
      </c>
      <c r="V22" s="12">
        <v>168</v>
      </c>
      <c r="W22" s="12">
        <v>38</v>
      </c>
      <c r="X22" s="12">
        <v>157</v>
      </c>
      <c r="Y22" s="12">
        <v>157</v>
      </c>
      <c r="Z22" s="12">
        <v>149</v>
      </c>
      <c r="AA22" s="12">
        <v>115</v>
      </c>
      <c r="AB22" s="12">
        <v>133</v>
      </c>
      <c r="AC22" s="12">
        <v>73</v>
      </c>
      <c r="AD22" s="12">
        <v>141</v>
      </c>
      <c r="AE22" s="12">
        <v>155</v>
      </c>
      <c r="AF22" s="12">
        <v>113</v>
      </c>
    </row>
    <row r="23" spans="1:32">
      <c r="A23" s="20"/>
      <c r="B23" s="13" t="s">
        <v>1520</v>
      </c>
      <c r="C23" s="14">
        <v>0.13</v>
      </c>
      <c r="D23" s="14">
        <v>0.15</v>
      </c>
      <c r="E23" s="14">
        <v>0.14000000000000001</v>
      </c>
      <c r="F23" s="14">
        <v>0.17</v>
      </c>
      <c r="G23" s="14">
        <v>0.14000000000000001</v>
      </c>
      <c r="H23" s="14">
        <v>0.14000000000000001</v>
      </c>
      <c r="I23" s="14">
        <v>0.14000000000000001</v>
      </c>
      <c r="J23" s="14">
        <v>0.14000000000000001</v>
      </c>
      <c r="K23" s="14">
        <v>0.13</v>
      </c>
      <c r="L23" s="14">
        <v>0.16</v>
      </c>
      <c r="M23" s="14">
        <v>0.08</v>
      </c>
      <c r="N23" s="14">
        <v>0.09</v>
      </c>
      <c r="O23" s="14">
        <v>0.08</v>
      </c>
      <c r="P23" s="14">
        <v>0.15</v>
      </c>
      <c r="Q23" s="14">
        <v>0.15</v>
      </c>
      <c r="R23" s="14">
        <v>0.09</v>
      </c>
      <c r="S23" s="14">
        <v>0.12</v>
      </c>
      <c r="T23" s="14">
        <v>0.09</v>
      </c>
      <c r="U23" s="14">
        <v>0.14000000000000001</v>
      </c>
      <c r="V23" s="14">
        <v>0.16</v>
      </c>
      <c r="W23" s="14">
        <v>0.08</v>
      </c>
      <c r="X23" s="14">
        <v>0.15</v>
      </c>
      <c r="Y23" s="14">
        <v>0.16</v>
      </c>
      <c r="Z23" s="14">
        <v>0.15</v>
      </c>
      <c r="AA23" s="14">
        <v>0.11</v>
      </c>
      <c r="AB23" s="14">
        <v>0.13</v>
      </c>
      <c r="AC23" s="14">
        <v>7.0000000000000007E-2</v>
      </c>
      <c r="AD23" s="14">
        <v>0.14000000000000001</v>
      </c>
      <c r="AE23" s="14">
        <v>0.15</v>
      </c>
      <c r="AF23" s="14">
        <v>0.11</v>
      </c>
    </row>
    <row r="24" spans="1:32">
      <c r="A24" s="20"/>
      <c r="B24" s="11" t="s">
        <v>1521</v>
      </c>
      <c r="C24" s="12">
        <v>2968</v>
      </c>
      <c r="D24" s="12">
        <v>134</v>
      </c>
      <c r="E24" s="12">
        <v>127</v>
      </c>
      <c r="F24" s="12">
        <v>113</v>
      </c>
      <c r="G24" s="12">
        <v>148</v>
      </c>
      <c r="H24" s="12">
        <v>121</v>
      </c>
      <c r="I24" s="12">
        <v>149</v>
      </c>
      <c r="J24" s="12">
        <v>28</v>
      </c>
      <c r="K24" s="12">
        <v>120</v>
      </c>
      <c r="L24" s="12">
        <v>80</v>
      </c>
      <c r="M24" s="12">
        <v>130</v>
      </c>
      <c r="N24" s="12">
        <v>72</v>
      </c>
      <c r="O24" s="12">
        <v>92</v>
      </c>
      <c r="P24" s="12">
        <v>110</v>
      </c>
      <c r="Q24" s="12">
        <v>147</v>
      </c>
      <c r="R24" s="12">
        <v>45</v>
      </c>
      <c r="S24" s="12">
        <v>148</v>
      </c>
      <c r="T24" s="12">
        <v>42</v>
      </c>
      <c r="U24" s="12">
        <v>37</v>
      </c>
      <c r="V24" s="12">
        <v>130</v>
      </c>
      <c r="W24" s="12">
        <v>21</v>
      </c>
      <c r="X24" s="12">
        <v>147</v>
      </c>
      <c r="Y24" s="12">
        <v>99</v>
      </c>
      <c r="Z24" s="12">
        <v>134</v>
      </c>
      <c r="AA24" s="12">
        <v>155</v>
      </c>
      <c r="AB24" s="12">
        <v>141</v>
      </c>
      <c r="AC24" s="12">
        <v>61</v>
      </c>
      <c r="AD24" s="12">
        <v>139</v>
      </c>
      <c r="AE24" s="12">
        <v>139</v>
      </c>
      <c r="AF24" s="12">
        <v>134</v>
      </c>
    </row>
    <row r="25" spans="1:32">
      <c r="A25" s="20"/>
      <c r="B25" s="13" t="s">
        <v>1521</v>
      </c>
      <c r="C25" s="14">
        <v>0.11</v>
      </c>
      <c r="D25" s="14">
        <v>0.13</v>
      </c>
      <c r="E25" s="14">
        <v>0.12</v>
      </c>
      <c r="F25" s="14">
        <v>0.11</v>
      </c>
      <c r="G25" s="14">
        <v>0.15</v>
      </c>
      <c r="H25" s="14">
        <v>0.1</v>
      </c>
      <c r="I25" s="14">
        <v>0.1</v>
      </c>
      <c r="J25" s="14">
        <v>0.09</v>
      </c>
      <c r="K25" s="14">
        <v>0.12</v>
      </c>
      <c r="L25" s="14">
        <v>0.08</v>
      </c>
      <c r="M25" s="14">
        <v>0.13</v>
      </c>
      <c r="N25" s="14">
        <v>7.0000000000000007E-2</v>
      </c>
      <c r="O25" s="14">
        <v>0.09</v>
      </c>
      <c r="P25" s="14">
        <v>0.11</v>
      </c>
      <c r="Q25" s="14">
        <v>0.14000000000000001</v>
      </c>
      <c r="R25" s="14">
        <v>0.09</v>
      </c>
      <c r="S25" s="14">
        <v>0.15</v>
      </c>
      <c r="T25" s="14">
        <v>0.04</v>
      </c>
      <c r="U25" s="14">
        <v>7.0000000000000007E-2</v>
      </c>
      <c r="V25" s="14">
        <v>0.13</v>
      </c>
      <c r="W25" s="14">
        <v>0.04</v>
      </c>
      <c r="X25" s="14">
        <v>0.15</v>
      </c>
      <c r="Y25" s="14">
        <v>0.1</v>
      </c>
      <c r="Z25" s="14">
        <v>0.13</v>
      </c>
      <c r="AA25" s="14">
        <v>0.15</v>
      </c>
      <c r="AB25" s="14">
        <v>0.14000000000000001</v>
      </c>
      <c r="AC25" s="14">
        <v>0.06</v>
      </c>
      <c r="AD25" s="14">
        <v>0.14000000000000001</v>
      </c>
      <c r="AE25" s="14">
        <v>0.14000000000000001</v>
      </c>
      <c r="AF25" s="14">
        <v>0.13</v>
      </c>
    </row>
    <row r="26" spans="1:32">
      <c r="A26" s="20"/>
      <c r="B26" s="11" t="s">
        <v>1522</v>
      </c>
      <c r="C26" s="12">
        <v>2029</v>
      </c>
      <c r="D26" s="12">
        <v>99</v>
      </c>
      <c r="E26" s="12">
        <v>100</v>
      </c>
      <c r="F26" s="12">
        <v>110</v>
      </c>
      <c r="G26" s="12">
        <v>91</v>
      </c>
      <c r="H26" s="12">
        <v>63</v>
      </c>
      <c r="I26" s="12">
        <v>80</v>
      </c>
      <c r="J26" s="12">
        <v>16</v>
      </c>
      <c r="K26" s="12">
        <v>65</v>
      </c>
      <c r="L26" s="12">
        <v>39</v>
      </c>
      <c r="M26" s="12">
        <v>60</v>
      </c>
      <c r="N26" s="12">
        <v>52</v>
      </c>
      <c r="O26" s="12">
        <v>65</v>
      </c>
      <c r="P26" s="12">
        <v>81</v>
      </c>
      <c r="Q26" s="12">
        <v>101</v>
      </c>
      <c r="R26" s="12">
        <v>35</v>
      </c>
      <c r="S26" s="12">
        <v>89</v>
      </c>
      <c r="T26" s="12">
        <v>58</v>
      </c>
      <c r="U26" s="12">
        <v>15</v>
      </c>
      <c r="V26" s="12">
        <v>98</v>
      </c>
      <c r="W26" s="12">
        <v>41</v>
      </c>
      <c r="X26" s="12">
        <v>95</v>
      </c>
      <c r="Y26" s="12">
        <v>82</v>
      </c>
      <c r="Z26" s="12">
        <v>92</v>
      </c>
      <c r="AA26" s="12">
        <v>105</v>
      </c>
      <c r="AB26" s="12">
        <v>123</v>
      </c>
      <c r="AC26" s="12">
        <v>46</v>
      </c>
      <c r="AD26" s="12">
        <v>106</v>
      </c>
      <c r="AE26" s="12">
        <v>129</v>
      </c>
      <c r="AF26" s="12">
        <v>79</v>
      </c>
    </row>
    <row r="27" spans="1:32">
      <c r="A27" s="20"/>
      <c r="B27" s="13" t="s">
        <v>1522</v>
      </c>
      <c r="C27" s="14">
        <v>0.08</v>
      </c>
      <c r="D27" s="14">
        <v>0.1</v>
      </c>
      <c r="E27" s="14">
        <v>0.1</v>
      </c>
      <c r="F27" s="14">
        <v>0.11</v>
      </c>
      <c r="G27" s="14">
        <v>0.09</v>
      </c>
      <c r="H27" s="14">
        <v>0.05</v>
      </c>
      <c r="I27" s="14">
        <v>0.05</v>
      </c>
      <c r="J27" s="14">
        <v>0.06</v>
      </c>
      <c r="K27" s="14">
        <v>0.06</v>
      </c>
      <c r="L27" s="14">
        <v>0.04</v>
      </c>
      <c r="M27" s="14">
        <v>0.06</v>
      </c>
      <c r="N27" s="14">
        <v>0.05</v>
      </c>
      <c r="O27" s="14">
        <v>0.06</v>
      </c>
      <c r="P27" s="14">
        <v>0.08</v>
      </c>
      <c r="Q27" s="14">
        <v>0.1</v>
      </c>
      <c r="R27" s="14">
        <v>7.0000000000000007E-2</v>
      </c>
      <c r="S27" s="14">
        <v>0.09</v>
      </c>
      <c r="T27" s="14">
        <v>0.06</v>
      </c>
      <c r="U27" s="14">
        <v>0.03</v>
      </c>
      <c r="V27" s="14">
        <v>0.1</v>
      </c>
      <c r="W27" s="14">
        <v>0.08</v>
      </c>
      <c r="X27" s="14">
        <v>0.09</v>
      </c>
      <c r="Y27" s="14">
        <v>0.08</v>
      </c>
      <c r="Z27" s="14">
        <v>0.09</v>
      </c>
      <c r="AA27" s="14">
        <v>0.1</v>
      </c>
      <c r="AB27" s="14">
        <v>0.12</v>
      </c>
      <c r="AC27" s="14">
        <v>0.05</v>
      </c>
      <c r="AD27" s="14">
        <v>0.1</v>
      </c>
      <c r="AE27" s="14">
        <v>0.13</v>
      </c>
      <c r="AF27" s="14">
        <v>0.08</v>
      </c>
    </row>
    <row r="28" spans="1:32">
      <c r="A28" s="20"/>
      <c r="B28" s="11" t="s">
        <v>1523</v>
      </c>
      <c r="C28" s="12">
        <v>625</v>
      </c>
      <c r="D28" s="12">
        <v>23</v>
      </c>
      <c r="E28" s="12">
        <v>29</v>
      </c>
      <c r="F28" s="12">
        <v>38</v>
      </c>
      <c r="G28" s="12">
        <v>25</v>
      </c>
      <c r="H28" s="12">
        <v>16</v>
      </c>
      <c r="I28" s="12">
        <v>20</v>
      </c>
      <c r="J28" s="12">
        <v>4</v>
      </c>
      <c r="K28" s="12">
        <v>28</v>
      </c>
      <c r="L28" s="12">
        <v>4</v>
      </c>
      <c r="M28" s="12">
        <v>8</v>
      </c>
      <c r="N28" s="12">
        <v>14</v>
      </c>
      <c r="O28" s="12">
        <v>30</v>
      </c>
      <c r="P28" s="12">
        <v>24</v>
      </c>
      <c r="Q28" s="12">
        <v>15</v>
      </c>
      <c r="R28" s="12">
        <v>13</v>
      </c>
      <c r="S28" s="12">
        <v>24</v>
      </c>
      <c r="T28" s="12">
        <v>28</v>
      </c>
      <c r="U28" s="12">
        <v>4</v>
      </c>
      <c r="V28" s="12">
        <v>34</v>
      </c>
      <c r="W28" s="12">
        <v>30</v>
      </c>
      <c r="X28" s="12">
        <v>11</v>
      </c>
      <c r="Y28" s="12">
        <v>16</v>
      </c>
      <c r="Z28" s="12">
        <v>45</v>
      </c>
      <c r="AA28" s="12">
        <v>22</v>
      </c>
      <c r="AB28" s="12">
        <v>71</v>
      </c>
      <c r="AC28" s="12">
        <v>14</v>
      </c>
      <c r="AD28" s="12">
        <v>46</v>
      </c>
      <c r="AE28" s="12">
        <v>33</v>
      </c>
      <c r="AF28" s="12">
        <v>22</v>
      </c>
    </row>
    <row r="29" spans="1:32">
      <c r="A29" s="20"/>
      <c r="B29" s="13" t="s">
        <v>1523</v>
      </c>
      <c r="C29" s="14">
        <v>0.03</v>
      </c>
      <c r="D29" s="14">
        <v>0.02</v>
      </c>
      <c r="E29" s="14">
        <v>0.03</v>
      </c>
      <c r="F29" s="14">
        <v>0.04</v>
      </c>
      <c r="G29" s="14">
        <v>0.03</v>
      </c>
      <c r="H29" s="14">
        <v>0.01</v>
      </c>
      <c r="I29" s="14">
        <v>0.01</v>
      </c>
      <c r="J29" s="14">
        <v>0.01</v>
      </c>
      <c r="K29" s="14">
        <v>0.03</v>
      </c>
      <c r="L29" s="15" t="s">
        <v>459</v>
      </c>
      <c r="M29" s="14">
        <v>0.01</v>
      </c>
      <c r="N29" s="14">
        <v>0.02</v>
      </c>
      <c r="O29" s="14">
        <v>0.03</v>
      </c>
      <c r="P29" s="14">
        <v>0.02</v>
      </c>
      <c r="Q29" s="14">
        <v>0.02</v>
      </c>
      <c r="R29" s="14">
        <v>0.03</v>
      </c>
      <c r="S29" s="14">
        <v>0.02</v>
      </c>
      <c r="T29" s="14">
        <v>0.03</v>
      </c>
      <c r="U29" s="14">
        <v>0.01</v>
      </c>
      <c r="V29" s="14">
        <v>0.03</v>
      </c>
      <c r="W29" s="14">
        <v>0.06</v>
      </c>
      <c r="X29" s="14">
        <v>0.01</v>
      </c>
      <c r="Y29" s="14">
        <v>0.02</v>
      </c>
      <c r="Z29" s="14">
        <v>0.05</v>
      </c>
      <c r="AA29" s="14">
        <v>0.02</v>
      </c>
      <c r="AB29" s="14">
        <v>7.0000000000000007E-2</v>
      </c>
      <c r="AC29" s="14">
        <v>0.01</v>
      </c>
      <c r="AD29" s="14">
        <v>0.05</v>
      </c>
      <c r="AE29" s="14">
        <v>0.03</v>
      </c>
      <c r="AF29" s="14">
        <v>0.02</v>
      </c>
    </row>
    <row r="30" spans="1:32">
      <c r="A30" s="20"/>
      <c r="B30" s="11" t="s">
        <v>1524</v>
      </c>
      <c r="C30" s="12">
        <v>874</v>
      </c>
      <c r="D30" s="12">
        <v>19</v>
      </c>
      <c r="E30" s="12">
        <v>73</v>
      </c>
      <c r="F30" s="12">
        <v>29</v>
      </c>
      <c r="G30" s="12">
        <v>13</v>
      </c>
      <c r="H30" s="12">
        <v>16</v>
      </c>
      <c r="I30" s="12">
        <v>22</v>
      </c>
      <c r="J30" s="12">
        <v>6</v>
      </c>
      <c r="K30" s="12">
        <v>48</v>
      </c>
      <c r="L30" s="12">
        <v>16</v>
      </c>
      <c r="M30" s="12">
        <v>7</v>
      </c>
      <c r="N30" s="12">
        <v>22</v>
      </c>
      <c r="O30" s="12">
        <v>46</v>
      </c>
      <c r="P30" s="12">
        <v>95</v>
      </c>
      <c r="Q30" s="12">
        <v>39</v>
      </c>
      <c r="R30" s="12">
        <v>21</v>
      </c>
      <c r="S30" s="12">
        <v>13</v>
      </c>
      <c r="T30" s="12">
        <v>34</v>
      </c>
      <c r="U30" s="12">
        <v>8</v>
      </c>
      <c r="V30" s="12">
        <v>62</v>
      </c>
      <c r="W30" s="12">
        <v>16</v>
      </c>
      <c r="X30" s="12">
        <v>13</v>
      </c>
      <c r="Y30" s="12">
        <v>34</v>
      </c>
      <c r="Z30" s="12">
        <v>72</v>
      </c>
      <c r="AA30" s="12">
        <v>8</v>
      </c>
      <c r="AB30" s="12">
        <v>54</v>
      </c>
      <c r="AC30" s="12">
        <v>69</v>
      </c>
      <c r="AD30" s="12">
        <v>22</v>
      </c>
      <c r="AE30" s="12">
        <v>26</v>
      </c>
      <c r="AF30" s="12">
        <v>18</v>
      </c>
    </row>
    <row r="31" spans="1:32">
      <c r="A31" s="20"/>
      <c r="B31" s="13" t="s">
        <v>1525</v>
      </c>
      <c r="C31" s="14">
        <v>0.03</v>
      </c>
      <c r="D31" s="14">
        <v>0.02</v>
      </c>
      <c r="E31" s="14">
        <v>7.0000000000000007E-2</v>
      </c>
      <c r="F31" s="14">
        <v>0.03</v>
      </c>
      <c r="G31" s="14">
        <v>0.01</v>
      </c>
      <c r="H31" s="14">
        <v>0.01</v>
      </c>
      <c r="I31" s="14">
        <v>0.01</v>
      </c>
      <c r="J31" s="14">
        <v>0.02</v>
      </c>
      <c r="K31" s="14">
        <v>0.05</v>
      </c>
      <c r="L31" s="14">
        <v>0.02</v>
      </c>
      <c r="M31" s="14">
        <v>0.01</v>
      </c>
      <c r="N31" s="14">
        <v>0.02</v>
      </c>
      <c r="O31" s="14">
        <v>0.05</v>
      </c>
      <c r="P31" s="14">
        <v>0.09</v>
      </c>
      <c r="Q31" s="14">
        <v>0.04</v>
      </c>
      <c r="R31" s="14">
        <v>0.04</v>
      </c>
      <c r="S31" s="14">
        <v>0.01</v>
      </c>
      <c r="T31" s="14">
        <v>0.03</v>
      </c>
      <c r="U31" s="14">
        <v>0.01</v>
      </c>
      <c r="V31" s="14">
        <v>0.06</v>
      </c>
      <c r="W31" s="14">
        <v>0.03</v>
      </c>
      <c r="X31" s="14">
        <v>0.01</v>
      </c>
      <c r="Y31" s="14">
        <v>0.03</v>
      </c>
      <c r="Z31" s="14">
        <v>7.0000000000000007E-2</v>
      </c>
      <c r="AA31" s="14">
        <v>0.01</v>
      </c>
      <c r="AB31" s="14">
        <v>0.05</v>
      </c>
      <c r="AC31" s="14">
        <v>7.0000000000000007E-2</v>
      </c>
      <c r="AD31" s="14">
        <v>0.02</v>
      </c>
      <c r="AE31" s="14">
        <v>0.03</v>
      </c>
      <c r="AF31" s="14">
        <v>0.02</v>
      </c>
    </row>
    <row r="32" spans="1:32">
      <c r="A32" s="20"/>
      <c r="B32" s="11" t="s">
        <v>1494</v>
      </c>
      <c r="C32" s="12">
        <v>1315</v>
      </c>
      <c r="D32" s="12">
        <v>11</v>
      </c>
      <c r="E32" s="12">
        <v>74</v>
      </c>
      <c r="F32" s="12">
        <v>12</v>
      </c>
      <c r="G32" s="12">
        <v>12</v>
      </c>
      <c r="H32" s="12">
        <v>31</v>
      </c>
      <c r="I32" s="12">
        <v>39</v>
      </c>
      <c r="J32" s="12">
        <v>8</v>
      </c>
      <c r="K32" s="12">
        <v>68</v>
      </c>
      <c r="L32" s="12">
        <v>7</v>
      </c>
      <c r="M32" s="12">
        <v>130</v>
      </c>
      <c r="N32" s="12">
        <v>83</v>
      </c>
      <c r="O32" s="12">
        <v>57</v>
      </c>
      <c r="P32" s="12">
        <v>26</v>
      </c>
      <c r="Q32" s="12">
        <v>92</v>
      </c>
      <c r="R32" s="12">
        <v>97</v>
      </c>
      <c r="S32" s="12">
        <v>27</v>
      </c>
      <c r="T32" s="12">
        <v>82</v>
      </c>
      <c r="U32" s="12">
        <v>33</v>
      </c>
      <c r="V32" s="12">
        <v>60</v>
      </c>
      <c r="W32" s="12">
        <v>20</v>
      </c>
      <c r="X32" s="12">
        <v>3</v>
      </c>
      <c r="Y32" s="12">
        <v>50</v>
      </c>
      <c r="Z32" s="12">
        <v>28</v>
      </c>
      <c r="AA32" s="12">
        <v>47</v>
      </c>
      <c r="AB32" s="12">
        <v>45</v>
      </c>
      <c r="AC32" s="12">
        <v>138</v>
      </c>
      <c r="AD32" s="12">
        <v>31</v>
      </c>
      <c r="AE32" s="12">
        <v>18</v>
      </c>
      <c r="AF32" s="12">
        <v>3</v>
      </c>
    </row>
    <row r="33" spans="1:32">
      <c r="A33" s="20"/>
      <c r="B33" s="13" t="s">
        <v>1495</v>
      </c>
      <c r="C33" s="14">
        <v>0.05</v>
      </c>
      <c r="D33" s="14">
        <v>0.01</v>
      </c>
      <c r="E33" s="14">
        <v>7.0000000000000007E-2</v>
      </c>
      <c r="F33" s="14">
        <v>0.01</v>
      </c>
      <c r="G33" s="14">
        <v>0.01</v>
      </c>
      <c r="H33" s="14">
        <v>0.03</v>
      </c>
      <c r="I33" s="14">
        <v>0.03</v>
      </c>
      <c r="J33" s="14">
        <v>0.03</v>
      </c>
      <c r="K33" s="14">
        <v>7.0000000000000007E-2</v>
      </c>
      <c r="L33" s="14">
        <v>0.01</v>
      </c>
      <c r="M33" s="14">
        <v>0.13</v>
      </c>
      <c r="N33" s="14">
        <v>0.08</v>
      </c>
      <c r="O33" s="14">
        <v>0.06</v>
      </c>
      <c r="P33" s="14">
        <v>0.03</v>
      </c>
      <c r="Q33" s="14">
        <v>0.09</v>
      </c>
      <c r="R33" s="14">
        <v>0.19</v>
      </c>
      <c r="S33" s="14">
        <v>0.03</v>
      </c>
      <c r="T33" s="14">
        <v>0.08</v>
      </c>
      <c r="U33" s="14">
        <v>7.0000000000000007E-2</v>
      </c>
      <c r="V33" s="14">
        <v>0.06</v>
      </c>
      <c r="W33" s="14">
        <v>0.04</v>
      </c>
      <c r="X33" s="15" t="s">
        <v>459</v>
      </c>
      <c r="Y33" s="14">
        <v>0.05</v>
      </c>
      <c r="Z33" s="14">
        <v>0.03</v>
      </c>
      <c r="AA33" s="14">
        <v>0.04</v>
      </c>
      <c r="AB33" s="14">
        <v>0.04</v>
      </c>
      <c r="AC33" s="14">
        <v>0.14000000000000001</v>
      </c>
      <c r="AD33" s="14">
        <v>0.03</v>
      </c>
      <c r="AE33" s="14">
        <v>0.02</v>
      </c>
      <c r="AF33" s="15" t="s">
        <v>459</v>
      </c>
    </row>
    <row r="34" spans="1:32">
      <c r="A34" s="20"/>
      <c r="B34" s="11" t="s">
        <v>468</v>
      </c>
      <c r="C34" s="12">
        <v>1577</v>
      </c>
      <c r="D34" s="12">
        <v>7</v>
      </c>
      <c r="E34" s="12">
        <v>88</v>
      </c>
      <c r="F34" s="12">
        <v>19</v>
      </c>
      <c r="G34" s="12">
        <v>19</v>
      </c>
      <c r="H34" s="12">
        <v>35</v>
      </c>
      <c r="I34" s="12">
        <v>38</v>
      </c>
      <c r="J34" s="12">
        <v>3</v>
      </c>
      <c r="K34" s="12">
        <v>119</v>
      </c>
      <c r="L34" s="12">
        <v>70</v>
      </c>
      <c r="M34" s="12">
        <v>113</v>
      </c>
      <c r="N34" s="12">
        <v>68</v>
      </c>
      <c r="O34" s="12">
        <v>148</v>
      </c>
      <c r="P34" s="12">
        <v>24</v>
      </c>
      <c r="Q34" s="12">
        <v>42</v>
      </c>
      <c r="R34" s="12">
        <v>68</v>
      </c>
      <c r="S34" s="12">
        <v>300</v>
      </c>
      <c r="T34" s="12">
        <v>244</v>
      </c>
      <c r="U34" s="12">
        <v>35</v>
      </c>
      <c r="V34" s="12">
        <v>16</v>
      </c>
      <c r="W34" s="12">
        <v>65</v>
      </c>
      <c r="X34" s="12">
        <v>9</v>
      </c>
      <c r="Y34" s="12">
        <v>34</v>
      </c>
      <c r="Z34" s="12">
        <v>24</v>
      </c>
      <c r="AA34" s="12">
        <v>99</v>
      </c>
      <c r="AB34" s="12">
        <v>88</v>
      </c>
      <c r="AC34" s="12">
        <v>97</v>
      </c>
      <c r="AD34" s="12">
        <v>46</v>
      </c>
      <c r="AE34" s="12">
        <v>39</v>
      </c>
      <c r="AF34" s="12">
        <v>13</v>
      </c>
    </row>
    <row r="35" spans="1:32">
      <c r="A35" s="20"/>
      <c r="B35" s="13" t="s">
        <v>469</v>
      </c>
      <c r="C35" s="14">
        <v>0.06</v>
      </c>
      <c r="D35" s="14">
        <v>0.01</v>
      </c>
      <c r="E35" s="14">
        <v>0.09</v>
      </c>
      <c r="F35" s="14">
        <v>0.02</v>
      </c>
      <c r="G35" s="14">
        <v>0.02</v>
      </c>
      <c r="H35" s="14">
        <v>0.03</v>
      </c>
      <c r="I35" s="14">
        <v>0.02</v>
      </c>
      <c r="J35" s="14">
        <v>0.01</v>
      </c>
      <c r="K35" s="14">
        <v>0.12</v>
      </c>
      <c r="L35" s="14">
        <v>7.0000000000000007E-2</v>
      </c>
      <c r="M35" s="14">
        <v>0.11</v>
      </c>
      <c r="N35" s="14">
        <v>7.0000000000000007E-2</v>
      </c>
      <c r="O35" s="14">
        <v>0.15</v>
      </c>
      <c r="P35" s="14">
        <v>0.02</v>
      </c>
      <c r="Q35" s="14">
        <v>0.04</v>
      </c>
      <c r="R35" s="14">
        <v>0.14000000000000001</v>
      </c>
      <c r="S35" s="14">
        <v>0.3</v>
      </c>
      <c r="T35" s="14">
        <v>0.24</v>
      </c>
      <c r="U35" s="14">
        <v>7.0000000000000007E-2</v>
      </c>
      <c r="V35" s="14">
        <v>0.02</v>
      </c>
      <c r="W35" s="14">
        <v>0.13</v>
      </c>
      <c r="X35" s="14">
        <v>0.01</v>
      </c>
      <c r="Y35" s="14">
        <v>0.03</v>
      </c>
      <c r="Z35" s="14">
        <v>0.02</v>
      </c>
      <c r="AA35" s="14">
        <v>0.09</v>
      </c>
      <c r="AB35" s="14">
        <v>0.08</v>
      </c>
      <c r="AC35" s="14">
        <v>0.1</v>
      </c>
      <c r="AD35" s="14">
        <v>0.05</v>
      </c>
      <c r="AE35" s="14">
        <v>0.04</v>
      </c>
      <c r="AF35" s="14">
        <v>0.01</v>
      </c>
    </row>
    <row r="36" spans="1:32">
      <c r="A36" s="20"/>
      <c r="B36" s="11" t="s">
        <v>1448</v>
      </c>
      <c r="C36" s="12">
        <v>5.35</v>
      </c>
      <c r="D36" s="12">
        <v>5.45</v>
      </c>
      <c r="E36" s="12">
        <v>5.79</v>
      </c>
      <c r="F36" s="12">
        <v>5.59</v>
      </c>
      <c r="G36" s="12">
        <v>5.0599999999999996</v>
      </c>
      <c r="H36" s="12">
        <v>5.13</v>
      </c>
      <c r="I36" s="12">
        <v>5.07</v>
      </c>
      <c r="J36" s="12">
        <v>4.84</v>
      </c>
      <c r="K36" s="12">
        <v>5.57</v>
      </c>
      <c r="L36" s="12">
        <v>5.21</v>
      </c>
      <c r="M36" s="12">
        <v>5.3</v>
      </c>
      <c r="N36" s="12">
        <v>4.97</v>
      </c>
      <c r="O36" s="12">
        <v>5.3</v>
      </c>
      <c r="P36" s="12">
        <v>5.58</v>
      </c>
      <c r="Q36" s="12">
        <v>5.66</v>
      </c>
      <c r="R36" s="12">
        <v>5.67</v>
      </c>
      <c r="S36" s="12">
        <v>6.06</v>
      </c>
      <c r="T36" s="12">
        <v>5.38</v>
      </c>
      <c r="U36" s="12">
        <v>5.0199999999999996</v>
      </c>
      <c r="V36" s="12">
        <v>5.76</v>
      </c>
      <c r="W36" s="12">
        <v>4.91</v>
      </c>
      <c r="X36" s="12">
        <v>4.97</v>
      </c>
      <c r="Y36" s="12">
        <v>5.31</v>
      </c>
      <c r="Z36" s="12">
        <v>5.84</v>
      </c>
      <c r="AA36" s="12">
        <v>5.48</v>
      </c>
      <c r="AB36" s="12">
        <v>5.83</v>
      </c>
      <c r="AC36" s="12">
        <v>5.43</v>
      </c>
      <c r="AD36" s="12">
        <v>5.53</v>
      </c>
      <c r="AE36" s="12">
        <v>5.55</v>
      </c>
      <c r="AF36" s="12">
        <v>4.78</v>
      </c>
    </row>
    <row r="37" spans="1:32">
      <c r="A37" s="20"/>
      <c r="B37" s="13" t="s">
        <v>1449</v>
      </c>
      <c r="C37" s="15" t="s">
        <v>459</v>
      </c>
      <c r="D37" s="15" t="s">
        <v>459</v>
      </c>
      <c r="E37" s="15" t="s">
        <v>459</v>
      </c>
      <c r="F37" s="15" t="s">
        <v>459</v>
      </c>
      <c r="G37" s="15" t="s">
        <v>459</v>
      </c>
      <c r="H37" s="15" t="s">
        <v>459</v>
      </c>
      <c r="I37" s="15" t="s">
        <v>459</v>
      </c>
      <c r="J37" s="15" t="s">
        <v>459</v>
      </c>
      <c r="K37" s="15" t="s">
        <v>459</v>
      </c>
      <c r="L37" s="15" t="s">
        <v>459</v>
      </c>
      <c r="M37" s="15" t="s">
        <v>459</v>
      </c>
      <c r="N37" s="15" t="s">
        <v>459</v>
      </c>
      <c r="O37" s="15" t="s">
        <v>459</v>
      </c>
      <c r="P37" s="15" t="s">
        <v>459</v>
      </c>
      <c r="Q37" s="15" t="s">
        <v>459</v>
      </c>
      <c r="R37" s="15" t="s">
        <v>459</v>
      </c>
      <c r="S37" s="15" t="s">
        <v>459</v>
      </c>
      <c r="T37" s="15" t="s">
        <v>459</v>
      </c>
      <c r="U37" s="15" t="s">
        <v>459</v>
      </c>
      <c r="V37" s="15" t="s">
        <v>459</v>
      </c>
      <c r="W37" s="15" t="s">
        <v>459</v>
      </c>
      <c r="X37" s="15" t="s">
        <v>459</v>
      </c>
      <c r="Y37" s="15" t="s">
        <v>459</v>
      </c>
      <c r="Z37" s="15" t="s">
        <v>459</v>
      </c>
      <c r="AA37" s="15" t="s">
        <v>459</v>
      </c>
      <c r="AB37" s="15" t="s">
        <v>459</v>
      </c>
      <c r="AC37" s="15" t="s">
        <v>459</v>
      </c>
      <c r="AD37" s="15" t="s">
        <v>459</v>
      </c>
      <c r="AE37" s="15" t="s">
        <v>459</v>
      </c>
      <c r="AF37" s="15" t="s">
        <v>459</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2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347</v>
      </c>
      <c r="C3" s="18"/>
      <c r="D3" s="18"/>
      <c r="E3" s="18"/>
      <c r="F3" s="18"/>
      <c r="H3" s="18" t="s">
        <v>348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1526</v>
      </c>
      <c r="C12" s="12">
        <v>7294</v>
      </c>
      <c r="D12" s="12">
        <v>261</v>
      </c>
      <c r="E12" s="12">
        <v>211</v>
      </c>
      <c r="F12" s="12">
        <v>227</v>
      </c>
      <c r="G12" s="12">
        <v>376</v>
      </c>
      <c r="H12" s="12">
        <v>338</v>
      </c>
      <c r="I12" s="12">
        <v>451</v>
      </c>
      <c r="J12" s="12">
        <v>113</v>
      </c>
      <c r="K12" s="12">
        <v>208</v>
      </c>
      <c r="L12" s="12">
        <v>201</v>
      </c>
      <c r="M12" s="12">
        <v>222</v>
      </c>
      <c r="N12" s="12">
        <v>303</v>
      </c>
      <c r="O12" s="12">
        <v>285</v>
      </c>
      <c r="P12" s="12">
        <v>287</v>
      </c>
      <c r="Q12" s="12">
        <v>248</v>
      </c>
      <c r="R12" s="12">
        <v>63</v>
      </c>
      <c r="S12" s="12">
        <v>71</v>
      </c>
      <c r="T12" s="12">
        <v>168</v>
      </c>
      <c r="U12" s="12">
        <v>132</v>
      </c>
      <c r="V12" s="12">
        <v>234</v>
      </c>
      <c r="W12" s="12">
        <v>162</v>
      </c>
      <c r="X12" s="12">
        <v>419</v>
      </c>
      <c r="Y12" s="12">
        <v>300</v>
      </c>
      <c r="Z12" s="12">
        <v>236</v>
      </c>
      <c r="AA12" s="12">
        <v>266</v>
      </c>
      <c r="AB12" s="12">
        <v>219</v>
      </c>
      <c r="AC12" s="12">
        <v>177</v>
      </c>
      <c r="AD12" s="12">
        <v>278</v>
      </c>
      <c r="AE12" s="12">
        <v>296</v>
      </c>
      <c r="AF12" s="12">
        <v>501</v>
      </c>
    </row>
    <row r="13" spans="1:32">
      <c r="A13" s="20"/>
      <c r="B13" s="13" t="s">
        <v>1527</v>
      </c>
      <c r="C13" s="14">
        <v>0.28000000000000003</v>
      </c>
      <c r="D13" s="14">
        <v>0.26</v>
      </c>
      <c r="E13" s="14">
        <v>0.21</v>
      </c>
      <c r="F13" s="14">
        <v>0.23</v>
      </c>
      <c r="G13" s="14">
        <v>0.37</v>
      </c>
      <c r="H13" s="14">
        <v>0.28000000000000003</v>
      </c>
      <c r="I13" s="14">
        <v>0.3</v>
      </c>
      <c r="J13" s="14">
        <v>0.39</v>
      </c>
      <c r="K13" s="14">
        <v>0.2</v>
      </c>
      <c r="L13" s="14">
        <v>0.2</v>
      </c>
      <c r="M13" s="14">
        <v>0.22</v>
      </c>
      <c r="N13" s="14">
        <v>0.3</v>
      </c>
      <c r="O13" s="14">
        <v>0.28000000000000003</v>
      </c>
      <c r="P13" s="14">
        <v>0.28000000000000003</v>
      </c>
      <c r="Q13" s="14">
        <v>0.24</v>
      </c>
      <c r="R13" s="14">
        <v>0.12</v>
      </c>
      <c r="S13" s="14">
        <v>7.0000000000000007E-2</v>
      </c>
      <c r="T13" s="14">
        <v>0.17</v>
      </c>
      <c r="U13" s="14">
        <v>0.26</v>
      </c>
      <c r="V13" s="14">
        <v>0.23</v>
      </c>
      <c r="W13" s="14">
        <v>0.32</v>
      </c>
      <c r="X13" s="14">
        <v>0.41</v>
      </c>
      <c r="Y13" s="14">
        <v>0.3</v>
      </c>
      <c r="Z13" s="14">
        <v>0.24</v>
      </c>
      <c r="AA13" s="14">
        <v>0.25</v>
      </c>
      <c r="AB13" s="14">
        <v>0.21</v>
      </c>
      <c r="AC13" s="14">
        <v>0.17</v>
      </c>
      <c r="AD13" s="14">
        <v>0.28000000000000003</v>
      </c>
      <c r="AE13" s="14">
        <v>0.28999999999999998</v>
      </c>
      <c r="AF13" s="14">
        <v>0.49</v>
      </c>
    </row>
    <row r="14" spans="1:32">
      <c r="A14" s="20"/>
      <c r="B14" s="11" t="s">
        <v>1528</v>
      </c>
      <c r="C14" s="12">
        <v>9637</v>
      </c>
      <c r="D14" s="12">
        <v>449</v>
      </c>
      <c r="E14" s="12">
        <v>316</v>
      </c>
      <c r="F14" s="12">
        <v>457</v>
      </c>
      <c r="G14" s="12">
        <v>319</v>
      </c>
      <c r="H14" s="12">
        <v>596</v>
      </c>
      <c r="I14" s="12">
        <v>711</v>
      </c>
      <c r="J14" s="12">
        <v>115</v>
      </c>
      <c r="K14" s="12">
        <v>351</v>
      </c>
      <c r="L14" s="12">
        <v>590</v>
      </c>
      <c r="M14" s="12">
        <v>334</v>
      </c>
      <c r="N14" s="12">
        <v>390</v>
      </c>
      <c r="O14" s="12">
        <v>280</v>
      </c>
      <c r="P14" s="12">
        <v>375</v>
      </c>
      <c r="Q14" s="12">
        <v>335</v>
      </c>
      <c r="R14" s="12">
        <v>158</v>
      </c>
      <c r="S14" s="12">
        <v>336</v>
      </c>
      <c r="T14" s="12">
        <v>359</v>
      </c>
      <c r="U14" s="12">
        <v>242</v>
      </c>
      <c r="V14" s="12">
        <v>384</v>
      </c>
      <c r="W14" s="12">
        <v>148</v>
      </c>
      <c r="X14" s="12">
        <v>323</v>
      </c>
      <c r="Y14" s="12">
        <v>392</v>
      </c>
      <c r="Z14" s="12">
        <v>376</v>
      </c>
      <c r="AA14" s="12">
        <v>351</v>
      </c>
      <c r="AB14" s="12">
        <v>297</v>
      </c>
      <c r="AC14" s="12">
        <v>408</v>
      </c>
      <c r="AD14" s="12">
        <v>337</v>
      </c>
      <c r="AE14" s="12">
        <v>321</v>
      </c>
      <c r="AF14" s="12">
        <v>249</v>
      </c>
    </row>
    <row r="15" spans="1:32">
      <c r="A15" s="20"/>
      <c r="B15" s="13" t="s">
        <v>1528</v>
      </c>
      <c r="C15" s="14">
        <v>0.36</v>
      </c>
      <c r="D15" s="14">
        <v>0.45</v>
      </c>
      <c r="E15" s="14">
        <v>0.31</v>
      </c>
      <c r="F15" s="14">
        <v>0.45</v>
      </c>
      <c r="G15" s="14">
        <v>0.32</v>
      </c>
      <c r="H15" s="14">
        <v>0.49</v>
      </c>
      <c r="I15" s="14">
        <v>0.47</v>
      </c>
      <c r="J15" s="14">
        <v>0.39</v>
      </c>
      <c r="K15" s="14">
        <v>0.35</v>
      </c>
      <c r="L15" s="14">
        <v>0.57999999999999996</v>
      </c>
      <c r="M15" s="14">
        <v>0.33</v>
      </c>
      <c r="N15" s="14">
        <v>0.39</v>
      </c>
      <c r="O15" s="14">
        <v>0.28000000000000003</v>
      </c>
      <c r="P15" s="14">
        <v>0.37</v>
      </c>
      <c r="Q15" s="14">
        <v>0.33</v>
      </c>
      <c r="R15" s="14">
        <v>0.32</v>
      </c>
      <c r="S15" s="14">
        <v>0.33</v>
      </c>
      <c r="T15" s="14">
        <v>0.35</v>
      </c>
      <c r="U15" s="14">
        <v>0.48</v>
      </c>
      <c r="V15" s="14">
        <v>0.38</v>
      </c>
      <c r="W15" s="14">
        <v>0.3</v>
      </c>
      <c r="X15" s="14">
        <v>0.32</v>
      </c>
      <c r="Y15" s="14">
        <v>0.39</v>
      </c>
      <c r="Z15" s="14">
        <v>0.37</v>
      </c>
      <c r="AA15" s="14">
        <v>0.33</v>
      </c>
      <c r="AB15" s="14">
        <v>0.28999999999999998</v>
      </c>
      <c r="AC15" s="14">
        <v>0.4</v>
      </c>
      <c r="AD15" s="14">
        <v>0.33</v>
      </c>
      <c r="AE15" s="14">
        <v>0.32</v>
      </c>
      <c r="AF15" s="14">
        <v>0.25</v>
      </c>
    </row>
    <row r="16" spans="1:32">
      <c r="A16" s="20"/>
      <c r="B16" s="11" t="s">
        <v>1529</v>
      </c>
      <c r="C16" s="12">
        <v>6496</v>
      </c>
      <c r="D16" s="12">
        <v>275</v>
      </c>
      <c r="E16" s="12">
        <v>329</v>
      </c>
      <c r="F16" s="12">
        <v>290</v>
      </c>
      <c r="G16" s="12">
        <v>278</v>
      </c>
      <c r="H16" s="12">
        <v>217</v>
      </c>
      <c r="I16" s="12">
        <v>271</v>
      </c>
      <c r="J16" s="12">
        <v>54</v>
      </c>
      <c r="K16" s="12">
        <v>260</v>
      </c>
      <c r="L16" s="12">
        <v>139</v>
      </c>
      <c r="M16" s="12">
        <v>204</v>
      </c>
      <c r="N16" s="12">
        <v>160</v>
      </c>
      <c r="O16" s="12">
        <v>232</v>
      </c>
      <c r="P16" s="12">
        <v>311</v>
      </c>
      <c r="Q16" s="12">
        <v>302</v>
      </c>
      <c r="R16" s="12">
        <v>114</v>
      </c>
      <c r="S16" s="12">
        <v>274</v>
      </c>
      <c r="T16" s="12">
        <v>162</v>
      </c>
      <c r="U16" s="12">
        <v>65</v>
      </c>
      <c r="V16" s="12">
        <v>324</v>
      </c>
      <c r="W16" s="12">
        <v>108</v>
      </c>
      <c r="X16" s="12">
        <v>266</v>
      </c>
      <c r="Y16" s="12">
        <v>232</v>
      </c>
      <c r="Z16" s="12">
        <v>344</v>
      </c>
      <c r="AA16" s="12">
        <v>289</v>
      </c>
      <c r="AB16" s="12">
        <v>390</v>
      </c>
      <c r="AC16" s="12">
        <v>191</v>
      </c>
      <c r="AD16" s="12">
        <v>313</v>
      </c>
      <c r="AE16" s="12">
        <v>327</v>
      </c>
      <c r="AF16" s="12">
        <v>255</v>
      </c>
    </row>
    <row r="17" spans="1:32">
      <c r="A17" s="20"/>
      <c r="B17" s="13" t="s">
        <v>1530</v>
      </c>
      <c r="C17" s="14">
        <v>0.25</v>
      </c>
      <c r="D17" s="14">
        <v>0.27</v>
      </c>
      <c r="E17" s="14">
        <v>0.32</v>
      </c>
      <c r="F17" s="14">
        <v>0.28999999999999998</v>
      </c>
      <c r="G17" s="14">
        <v>0.28000000000000003</v>
      </c>
      <c r="H17" s="14">
        <v>0.18</v>
      </c>
      <c r="I17" s="14">
        <v>0.18</v>
      </c>
      <c r="J17" s="14">
        <v>0.18</v>
      </c>
      <c r="K17" s="14">
        <v>0.26</v>
      </c>
      <c r="L17" s="14">
        <v>0.14000000000000001</v>
      </c>
      <c r="M17" s="14">
        <v>0.21</v>
      </c>
      <c r="N17" s="14">
        <v>0.16</v>
      </c>
      <c r="O17" s="14">
        <v>0.23</v>
      </c>
      <c r="P17" s="14">
        <v>0.3</v>
      </c>
      <c r="Q17" s="14">
        <v>0.3</v>
      </c>
      <c r="R17" s="14">
        <v>0.23</v>
      </c>
      <c r="S17" s="14">
        <v>0.27</v>
      </c>
      <c r="T17" s="14">
        <v>0.16</v>
      </c>
      <c r="U17" s="14">
        <v>0.13</v>
      </c>
      <c r="V17" s="14">
        <v>0.32</v>
      </c>
      <c r="W17" s="14">
        <v>0.21</v>
      </c>
      <c r="X17" s="14">
        <v>0.26</v>
      </c>
      <c r="Y17" s="14">
        <v>0.23</v>
      </c>
      <c r="Z17" s="14">
        <v>0.34</v>
      </c>
      <c r="AA17" s="14">
        <v>0.28000000000000003</v>
      </c>
      <c r="AB17" s="14">
        <v>0.38</v>
      </c>
      <c r="AC17" s="14">
        <v>0.19</v>
      </c>
      <c r="AD17" s="14">
        <v>0.31</v>
      </c>
      <c r="AE17" s="14">
        <v>0.33</v>
      </c>
      <c r="AF17" s="14">
        <v>0.25</v>
      </c>
    </row>
    <row r="18" spans="1:32">
      <c r="A18" s="20"/>
      <c r="B18" s="11" t="s">
        <v>1494</v>
      </c>
      <c r="C18" s="12">
        <v>1315</v>
      </c>
      <c r="D18" s="12">
        <v>11</v>
      </c>
      <c r="E18" s="12">
        <v>74</v>
      </c>
      <c r="F18" s="12">
        <v>12</v>
      </c>
      <c r="G18" s="12">
        <v>12</v>
      </c>
      <c r="H18" s="12">
        <v>31</v>
      </c>
      <c r="I18" s="12">
        <v>39</v>
      </c>
      <c r="J18" s="12">
        <v>8</v>
      </c>
      <c r="K18" s="12">
        <v>68</v>
      </c>
      <c r="L18" s="12">
        <v>7</v>
      </c>
      <c r="M18" s="12">
        <v>130</v>
      </c>
      <c r="N18" s="12">
        <v>83</v>
      </c>
      <c r="O18" s="12">
        <v>57</v>
      </c>
      <c r="P18" s="12">
        <v>26</v>
      </c>
      <c r="Q18" s="12">
        <v>92</v>
      </c>
      <c r="R18" s="12">
        <v>97</v>
      </c>
      <c r="S18" s="12">
        <v>27</v>
      </c>
      <c r="T18" s="12">
        <v>82</v>
      </c>
      <c r="U18" s="12">
        <v>33</v>
      </c>
      <c r="V18" s="12">
        <v>60</v>
      </c>
      <c r="W18" s="12">
        <v>20</v>
      </c>
      <c r="X18" s="12">
        <v>3</v>
      </c>
      <c r="Y18" s="12">
        <v>50</v>
      </c>
      <c r="Z18" s="12">
        <v>28</v>
      </c>
      <c r="AA18" s="12">
        <v>47</v>
      </c>
      <c r="AB18" s="12">
        <v>45</v>
      </c>
      <c r="AC18" s="12">
        <v>138</v>
      </c>
      <c r="AD18" s="12">
        <v>31</v>
      </c>
      <c r="AE18" s="12">
        <v>18</v>
      </c>
      <c r="AF18" s="12">
        <v>3</v>
      </c>
    </row>
    <row r="19" spans="1:32">
      <c r="A19" s="20"/>
      <c r="B19" s="13" t="s">
        <v>1495</v>
      </c>
      <c r="C19" s="14">
        <v>0.05</v>
      </c>
      <c r="D19" s="14">
        <v>0.01</v>
      </c>
      <c r="E19" s="14">
        <v>7.0000000000000007E-2</v>
      </c>
      <c r="F19" s="14">
        <v>0.01</v>
      </c>
      <c r="G19" s="14">
        <v>0.01</v>
      </c>
      <c r="H19" s="14">
        <v>0.02</v>
      </c>
      <c r="I19" s="14">
        <v>0.03</v>
      </c>
      <c r="J19" s="14">
        <v>0.03</v>
      </c>
      <c r="K19" s="14">
        <v>7.0000000000000007E-2</v>
      </c>
      <c r="L19" s="14">
        <v>0.01</v>
      </c>
      <c r="M19" s="14">
        <v>0.13</v>
      </c>
      <c r="N19" s="14">
        <v>0.08</v>
      </c>
      <c r="O19" s="14">
        <v>0.06</v>
      </c>
      <c r="P19" s="14">
        <v>0.03</v>
      </c>
      <c r="Q19" s="14">
        <v>0.09</v>
      </c>
      <c r="R19" s="14">
        <v>0.19</v>
      </c>
      <c r="S19" s="14">
        <v>0.03</v>
      </c>
      <c r="T19" s="14">
        <v>0.08</v>
      </c>
      <c r="U19" s="14">
        <v>0.06</v>
      </c>
      <c r="V19" s="14">
        <v>0.06</v>
      </c>
      <c r="W19" s="14">
        <v>0.04</v>
      </c>
      <c r="X19" s="15" t="s">
        <v>459</v>
      </c>
      <c r="Y19" s="14">
        <v>0.05</v>
      </c>
      <c r="Z19" s="14">
        <v>0.03</v>
      </c>
      <c r="AA19" s="14">
        <v>0.05</v>
      </c>
      <c r="AB19" s="14">
        <v>0.04</v>
      </c>
      <c r="AC19" s="14">
        <v>0.14000000000000001</v>
      </c>
      <c r="AD19" s="14">
        <v>0.03</v>
      </c>
      <c r="AE19" s="14">
        <v>0.02</v>
      </c>
      <c r="AF19" s="15" t="s">
        <v>459</v>
      </c>
    </row>
    <row r="20" spans="1:32">
      <c r="A20" s="20"/>
      <c r="B20" s="11" t="s">
        <v>468</v>
      </c>
      <c r="C20" s="12">
        <v>1577</v>
      </c>
      <c r="D20" s="12">
        <v>7</v>
      </c>
      <c r="E20" s="12">
        <v>88</v>
      </c>
      <c r="F20" s="12">
        <v>19</v>
      </c>
      <c r="G20" s="12">
        <v>19</v>
      </c>
      <c r="H20" s="12">
        <v>35</v>
      </c>
      <c r="I20" s="12">
        <v>38</v>
      </c>
      <c r="J20" s="12">
        <v>3</v>
      </c>
      <c r="K20" s="12">
        <v>119</v>
      </c>
      <c r="L20" s="12">
        <v>70</v>
      </c>
      <c r="M20" s="12">
        <v>113</v>
      </c>
      <c r="N20" s="12">
        <v>68</v>
      </c>
      <c r="O20" s="12">
        <v>148</v>
      </c>
      <c r="P20" s="12">
        <v>24</v>
      </c>
      <c r="Q20" s="12">
        <v>42</v>
      </c>
      <c r="R20" s="12">
        <v>68</v>
      </c>
      <c r="S20" s="12">
        <v>300</v>
      </c>
      <c r="T20" s="12">
        <v>244</v>
      </c>
      <c r="U20" s="12">
        <v>35</v>
      </c>
      <c r="V20" s="12">
        <v>16</v>
      </c>
      <c r="W20" s="12">
        <v>65</v>
      </c>
      <c r="X20" s="12">
        <v>9</v>
      </c>
      <c r="Y20" s="12">
        <v>34</v>
      </c>
      <c r="Z20" s="12">
        <v>24</v>
      </c>
      <c r="AA20" s="12">
        <v>99</v>
      </c>
      <c r="AB20" s="12">
        <v>88</v>
      </c>
      <c r="AC20" s="12">
        <v>97</v>
      </c>
      <c r="AD20" s="12">
        <v>46</v>
      </c>
      <c r="AE20" s="12">
        <v>39</v>
      </c>
      <c r="AF20" s="12">
        <v>13</v>
      </c>
    </row>
    <row r="21" spans="1:32">
      <c r="A21" s="20"/>
      <c r="B21" s="13" t="s">
        <v>469</v>
      </c>
      <c r="C21" s="14">
        <v>0.06</v>
      </c>
      <c r="D21" s="14">
        <v>0.01</v>
      </c>
      <c r="E21" s="14">
        <v>0.09</v>
      </c>
      <c r="F21" s="14">
        <v>0.02</v>
      </c>
      <c r="G21" s="14">
        <v>0.02</v>
      </c>
      <c r="H21" s="14">
        <v>0.03</v>
      </c>
      <c r="I21" s="14">
        <v>0.02</v>
      </c>
      <c r="J21" s="14">
        <v>0.01</v>
      </c>
      <c r="K21" s="14">
        <v>0.12</v>
      </c>
      <c r="L21" s="14">
        <v>7.0000000000000007E-2</v>
      </c>
      <c r="M21" s="14">
        <v>0.11</v>
      </c>
      <c r="N21" s="14">
        <v>7.0000000000000007E-2</v>
      </c>
      <c r="O21" s="14">
        <v>0.15</v>
      </c>
      <c r="P21" s="14">
        <v>0.02</v>
      </c>
      <c r="Q21" s="14">
        <v>0.04</v>
      </c>
      <c r="R21" s="14">
        <v>0.14000000000000001</v>
      </c>
      <c r="S21" s="14">
        <v>0.3</v>
      </c>
      <c r="T21" s="14">
        <v>0.24</v>
      </c>
      <c r="U21" s="14">
        <v>7.0000000000000007E-2</v>
      </c>
      <c r="V21" s="14">
        <v>0.01</v>
      </c>
      <c r="W21" s="14">
        <v>0.13</v>
      </c>
      <c r="X21" s="14">
        <v>0.01</v>
      </c>
      <c r="Y21" s="14">
        <v>0.03</v>
      </c>
      <c r="Z21" s="14">
        <v>0.02</v>
      </c>
      <c r="AA21" s="14">
        <v>0.09</v>
      </c>
      <c r="AB21" s="14">
        <v>0.08</v>
      </c>
      <c r="AC21" s="14">
        <v>0.1</v>
      </c>
      <c r="AD21" s="14">
        <v>0.05</v>
      </c>
      <c r="AE21" s="14">
        <v>0.04</v>
      </c>
      <c r="AF21" s="14">
        <v>0.01</v>
      </c>
    </row>
    <row r="22" spans="1:32">
      <c r="A22" s="20"/>
      <c r="B22" s="11" t="s">
        <v>1448</v>
      </c>
      <c r="C22" s="12">
        <v>5.35</v>
      </c>
      <c r="D22" s="12">
        <v>5.45</v>
      </c>
      <c r="E22" s="12">
        <v>5.79</v>
      </c>
      <c r="F22" s="12">
        <v>5.59</v>
      </c>
      <c r="G22" s="12">
        <v>5.0599999999999996</v>
      </c>
      <c r="H22" s="12">
        <v>5.13</v>
      </c>
      <c r="I22" s="12">
        <v>5.07</v>
      </c>
      <c r="J22" s="12">
        <v>4.84</v>
      </c>
      <c r="K22" s="12">
        <v>5.57</v>
      </c>
      <c r="L22" s="12">
        <v>5.21</v>
      </c>
      <c r="M22" s="12">
        <v>5.3</v>
      </c>
      <c r="N22" s="12">
        <v>4.97</v>
      </c>
      <c r="O22" s="12">
        <v>5.3</v>
      </c>
      <c r="P22" s="12">
        <v>5.58</v>
      </c>
      <c r="Q22" s="12">
        <v>5.66</v>
      </c>
      <c r="R22" s="12">
        <v>5.67</v>
      </c>
      <c r="S22" s="12">
        <v>6.06</v>
      </c>
      <c r="T22" s="12">
        <v>5.38</v>
      </c>
      <c r="U22" s="12">
        <v>5.0199999999999996</v>
      </c>
      <c r="V22" s="12">
        <v>5.76</v>
      </c>
      <c r="W22" s="12">
        <v>4.91</v>
      </c>
      <c r="X22" s="12">
        <v>4.97</v>
      </c>
      <c r="Y22" s="12">
        <v>5.31</v>
      </c>
      <c r="Z22" s="12">
        <v>5.84</v>
      </c>
      <c r="AA22" s="12">
        <v>5.48</v>
      </c>
      <c r="AB22" s="12">
        <v>5.83</v>
      </c>
      <c r="AC22" s="12">
        <v>5.43</v>
      </c>
      <c r="AD22" s="12">
        <v>5.53</v>
      </c>
      <c r="AE22" s="12">
        <v>5.55</v>
      </c>
      <c r="AF22" s="12">
        <v>4.78</v>
      </c>
    </row>
    <row r="23" spans="1:32">
      <c r="A23" s="20"/>
      <c r="B23" s="13" t="s">
        <v>1449</v>
      </c>
      <c r="C23" s="15" t="s">
        <v>459</v>
      </c>
      <c r="D23" s="15" t="s">
        <v>459</v>
      </c>
      <c r="E23" s="15" t="s">
        <v>459</v>
      </c>
      <c r="F23" s="15" t="s">
        <v>459</v>
      </c>
      <c r="G23" s="15" t="s">
        <v>459</v>
      </c>
      <c r="H23" s="15" t="s">
        <v>459</v>
      </c>
      <c r="I23" s="15" t="s">
        <v>459</v>
      </c>
      <c r="J23" s="15" t="s">
        <v>459</v>
      </c>
      <c r="K23" s="15" t="s">
        <v>459</v>
      </c>
      <c r="L23" s="15" t="s">
        <v>459</v>
      </c>
      <c r="M23" s="15" t="s">
        <v>459</v>
      </c>
      <c r="N23" s="15" t="s">
        <v>459</v>
      </c>
      <c r="O23" s="15" t="s">
        <v>459</v>
      </c>
      <c r="P23" s="15" t="s">
        <v>459</v>
      </c>
      <c r="Q23" s="15" t="s">
        <v>459</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349</v>
      </c>
      <c r="C3" s="18"/>
      <c r="D3" s="18"/>
      <c r="E3" s="18"/>
      <c r="F3" s="18"/>
      <c r="H3" s="18" t="s">
        <v>350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1531</v>
      </c>
      <c r="C12" s="12">
        <v>1754</v>
      </c>
      <c r="D12" s="12">
        <v>47</v>
      </c>
      <c r="E12" s="12">
        <v>88</v>
      </c>
      <c r="F12" s="12">
        <v>65</v>
      </c>
      <c r="G12" s="12">
        <v>132</v>
      </c>
      <c r="H12" s="12">
        <v>66</v>
      </c>
      <c r="I12" s="12">
        <v>97</v>
      </c>
      <c r="J12" s="12">
        <v>31</v>
      </c>
      <c r="K12" s="12">
        <v>67</v>
      </c>
      <c r="L12" s="12">
        <v>27</v>
      </c>
      <c r="M12" s="12">
        <v>27</v>
      </c>
      <c r="N12" s="12">
        <v>71</v>
      </c>
      <c r="O12" s="12">
        <v>72</v>
      </c>
      <c r="P12" s="12">
        <v>97</v>
      </c>
      <c r="Q12" s="12">
        <v>40</v>
      </c>
      <c r="R12" s="12">
        <v>33</v>
      </c>
      <c r="S12" s="12">
        <v>9</v>
      </c>
      <c r="T12" s="12">
        <v>61</v>
      </c>
      <c r="U12" s="12">
        <v>27</v>
      </c>
      <c r="V12" s="12">
        <v>57</v>
      </c>
      <c r="W12" s="12">
        <v>101</v>
      </c>
      <c r="X12" s="12">
        <v>125</v>
      </c>
      <c r="Y12" s="12">
        <v>71</v>
      </c>
      <c r="Z12" s="12">
        <v>55</v>
      </c>
      <c r="AA12" s="12">
        <v>37</v>
      </c>
      <c r="AB12" s="12">
        <v>113</v>
      </c>
      <c r="AC12" s="12">
        <v>64</v>
      </c>
      <c r="AD12" s="12">
        <v>64</v>
      </c>
      <c r="AE12" s="12">
        <v>68</v>
      </c>
      <c r="AF12" s="12">
        <v>137</v>
      </c>
    </row>
    <row r="13" spans="1:32">
      <c r="A13" s="20"/>
      <c r="B13" s="13" t="s">
        <v>1532</v>
      </c>
      <c r="C13" s="14">
        <v>7.0000000000000007E-2</v>
      </c>
      <c r="D13" s="14">
        <v>0.05</v>
      </c>
      <c r="E13" s="14">
        <v>0.09</v>
      </c>
      <c r="F13" s="14">
        <v>7.0000000000000007E-2</v>
      </c>
      <c r="G13" s="14">
        <v>0.13</v>
      </c>
      <c r="H13" s="14">
        <v>0.05</v>
      </c>
      <c r="I13" s="14">
        <v>0.06</v>
      </c>
      <c r="J13" s="14">
        <v>0.11</v>
      </c>
      <c r="K13" s="14">
        <v>7.0000000000000007E-2</v>
      </c>
      <c r="L13" s="14">
        <v>0.03</v>
      </c>
      <c r="M13" s="14">
        <v>0.03</v>
      </c>
      <c r="N13" s="14">
        <v>7.0000000000000007E-2</v>
      </c>
      <c r="O13" s="14">
        <v>7.0000000000000007E-2</v>
      </c>
      <c r="P13" s="14">
        <v>0.09</v>
      </c>
      <c r="Q13" s="14">
        <v>0.04</v>
      </c>
      <c r="R13" s="14">
        <v>7.0000000000000007E-2</v>
      </c>
      <c r="S13" s="14">
        <v>0.01</v>
      </c>
      <c r="T13" s="14">
        <v>0.06</v>
      </c>
      <c r="U13" s="14">
        <v>0.05</v>
      </c>
      <c r="V13" s="14">
        <v>0.06</v>
      </c>
      <c r="W13" s="14">
        <v>0.2</v>
      </c>
      <c r="X13" s="14">
        <v>0.12</v>
      </c>
      <c r="Y13" s="14">
        <v>7.0000000000000007E-2</v>
      </c>
      <c r="Z13" s="14">
        <v>0.06</v>
      </c>
      <c r="AA13" s="14">
        <v>0.04</v>
      </c>
      <c r="AB13" s="14">
        <v>0.11</v>
      </c>
      <c r="AC13" s="14">
        <v>0.06</v>
      </c>
      <c r="AD13" s="14">
        <v>0.06</v>
      </c>
      <c r="AE13" s="14">
        <v>7.0000000000000007E-2</v>
      </c>
      <c r="AF13" s="14">
        <v>0.13</v>
      </c>
    </row>
    <row r="14" spans="1:32">
      <c r="A14" s="20"/>
      <c r="B14" s="11" t="s">
        <v>1533</v>
      </c>
      <c r="C14" s="12">
        <v>5540</v>
      </c>
      <c r="D14" s="12">
        <v>214</v>
      </c>
      <c r="E14" s="12">
        <v>124</v>
      </c>
      <c r="F14" s="12">
        <v>162</v>
      </c>
      <c r="G14" s="12">
        <v>244</v>
      </c>
      <c r="H14" s="12">
        <v>272</v>
      </c>
      <c r="I14" s="12">
        <v>354</v>
      </c>
      <c r="J14" s="12">
        <v>83</v>
      </c>
      <c r="K14" s="12">
        <v>141</v>
      </c>
      <c r="L14" s="12">
        <v>174</v>
      </c>
      <c r="M14" s="12">
        <v>195</v>
      </c>
      <c r="N14" s="12">
        <v>232</v>
      </c>
      <c r="O14" s="12">
        <v>213</v>
      </c>
      <c r="P14" s="12">
        <v>190</v>
      </c>
      <c r="Q14" s="12">
        <v>207</v>
      </c>
      <c r="R14" s="12">
        <v>29</v>
      </c>
      <c r="S14" s="12">
        <v>62</v>
      </c>
      <c r="T14" s="12">
        <v>107</v>
      </c>
      <c r="U14" s="12">
        <v>104</v>
      </c>
      <c r="V14" s="12">
        <v>177</v>
      </c>
      <c r="W14" s="12">
        <v>61</v>
      </c>
      <c r="X14" s="12">
        <v>294</v>
      </c>
      <c r="Y14" s="12">
        <v>228</v>
      </c>
      <c r="Z14" s="12">
        <v>180</v>
      </c>
      <c r="AA14" s="12">
        <v>229</v>
      </c>
      <c r="AB14" s="12">
        <v>106</v>
      </c>
      <c r="AC14" s="12">
        <v>113</v>
      </c>
      <c r="AD14" s="12">
        <v>215</v>
      </c>
      <c r="AE14" s="12">
        <v>228</v>
      </c>
      <c r="AF14" s="12">
        <v>364</v>
      </c>
    </row>
    <row r="15" spans="1:32">
      <c r="A15" s="20"/>
      <c r="B15" s="13" t="s">
        <v>1533</v>
      </c>
      <c r="C15" s="14">
        <v>0.21</v>
      </c>
      <c r="D15" s="14">
        <v>0.21</v>
      </c>
      <c r="E15" s="14">
        <v>0.12</v>
      </c>
      <c r="F15" s="14">
        <v>0.16</v>
      </c>
      <c r="G15" s="14">
        <v>0.24</v>
      </c>
      <c r="H15" s="14">
        <v>0.22</v>
      </c>
      <c r="I15" s="14">
        <v>0.23</v>
      </c>
      <c r="J15" s="14">
        <v>0.28000000000000003</v>
      </c>
      <c r="K15" s="14">
        <v>0.14000000000000001</v>
      </c>
      <c r="L15" s="14">
        <v>0.17</v>
      </c>
      <c r="M15" s="14">
        <v>0.19</v>
      </c>
      <c r="N15" s="14">
        <v>0.23</v>
      </c>
      <c r="O15" s="14">
        <v>0.21</v>
      </c>
      <c r="P15" s="14">
        <v>0.18</v>
      </c>
      <c r="Q15" s="14">
        <v>0.2</v>
      </c>
      <c r="R15" s="14">
        <v>0.06</v>
      </c>
      <c r="S15" s="14">
        <v>0.06</v>
      </c>
      <c r="T15" s="14">
        <v>0.11</v>
      </c>
      <c r="U15" s="14">
        <v>0.21</v>
      </c>
      <c r="V15" s="14">
        <v>0.17</v>
      </c>
      <c r="W15" s="14">
        <v>0.12</v>
      </c>
      <c r="X15" s="14">
        <v>0.28999999999999998</v>
      </c>
      <c r="Y15" s="14">
        <v>0.23</v>
      </c>
      <c r="Z15" s="14">
        <v>0.18</v>
      </c>
      <c r="AA15" s="14">
        <v>0.22</v>
      </c>
      <c r="AB15" s="14">
        <v>0.1</v>
      </c>
      <c r="AC15" s="14">
        <v>0.11</v>
      </c>
      <c r="AD15" s="14">
        <v>0.21</v>
      </c>
      <c r="AE15" s="14">
        <v>0.23</v>
      </c>
      <c r="AF15" s="14">
        <v>0.36</v>
      </c>
    </row>
    <row r="16" spans="1:32">
      <c r="A16" s="20"/>
      <c r="B16" s="11" t="s">
        <v>1534</v>
      </c>
      <c r="C16" s="12">
        <v>9637</v>
      </c>
      <c r="D16" s="12">
        <v>449</v>
      </c>
      <c r="E16" s="12">
        <v>316</v>
      </c>
      <c r="F16" s="12">
        <v>457</v>
      </c>
      <c r="G16" s="12">
        <v>319</v>
      </c>
      <c r="H16" s="12">
        <v>596</v>
      </c>
      <c r="I16" s="12">
        <v>711</v>
      </c>
      <c r="J16" s="12">
        <v>115</v>
      </c>
      <c r="K16" s="12">
        <v>351</v>
      </c>
      <c r="L16" s="12">
        <v>590</v>
      </c>
      <c r="M16" s="12">
        <v>334</v>
      </c>
      <c r="N16" s="12">
        <v>390</v>
      </c>
      <c r="O16" s="12">
        <v>280</v>
      </c>
      <c r="P16" s="12">
        <v>375</v>
      </c>
      <c r="Q16" s="12">
        <v>335</v>
      </c>
      <c r="R16" s="12">
        <v>158</v>
      </c>
      <c r="S16" s="12">
        <v>336</v>
      </c>
      <c r="T16" s="12">
        <v>359</v>
      </c>
      <c r="U16" s="12">
        <v>242</v>
      </c>
      <c r="V16" s="12">
        <v>384</v>
      </c>
      <c r="W16" s="12">
        <v>148</v>
      </c>
      <c r="X16" s="12">
        <v>323</v>
      </c>
      <c r="Y16" s="12">
        <v>392</v>
      </c>
      <c r="Z16" s="12">
        <v>376</v>
      </c>
      <c r="AA16" s="12">
        <v>351</v>
      </c>
      <c r="AB16" s="12">
        <v>297</v>
      </c>
      <c r="AC16" s="12">
        <v>408</v>
      </c>
      <c r="AD16" s="12">
        <v>337</v>
      </c>
      <c r="AE16" s="12">
        <v>321</v>
      </c>
      <c r="AF16" s="12">
        <v>249</v>
      </c>
    </row>
    <row r="17" spans="1:32">
      <c r="A17" s="20"/>
      <c r="B17" s="13" t="s">
        <v>1534</v>
      </c>
      <c r="C17" s="14">
        <v>0.36</v>
      </c>
      <c r="D17" s="14">
        <v>0.45</v>
      </c>
      <c r="E17" s="14">
        <v>0.31</v>
      </c>
      <c r="F17" s="14">
        <v>0.45</v>
      </c>
      <c r="G17" s="14">
        <v>0.32</v>
      </c>
      <c r="H17" s="14">
        <v>0.49</v>
      </c>
      <c r="I17" s="14">
        <v>0.47</v>
      </c>
      <c r="J17" s="14">
        <v>0.39</v>
      </c>
      <c r="K17" s="14">
        <v>0.35</v>
      </c>
      <c r="L17" s="14">
        <v>0.57999999999999996</v>
      </c>
      <c r="M17" s="14">
        <v>0.33</v>
      </c>
      <c r="N17" s="14">
        <v>0.39</v>
      </c>
      <c r="O17" s="14">
        <v>0.28000000000000003</v>
      </c>
      <c r="P17" s="14">
        <v>0.37</v>
      </c>
      <c r="Q17" s="14">
        <v>0.33</v>
      </c>
      <c r="R17" s="14">
        <v>0.32</v>
      </c>
      <c r="S17" s="14">
        <v>0.33</v>
      </c>
      <c r="T17" s="14">
        <v>0.35</v>
      </c>
      <c r="U17" s="14">
        <v>0.48</v>
      </c>
      <c r="V17" s="14">
        <v>0.38</v>
      </c>
      <c r="W17" s="14">
        <v>0.3</v>
      </c>
      <c r="X17" s="14">
        <v>0.32</v>
      </c>
      <c r="Y17" s="14">
        <v>0.39</v>
      </c>
      <c r="Z17" s="14">
        <v>0.37</v>
      </c>
      <c r="AA17" s="14">
        <v>0.33</v>
      </c>
      <c r="AB17" s="14">
        <v>0.28999999999999998</v>
      </c>
      <c r="AC17" s="14">
        <v>0.4</v>
      </c>
      <c r="AD17" s="14">
        <v>0.34</v>
      </c>
      <c r="AE17" s="14">
        <v>0.32</v>
      </c>
      <c r="AF17" s="14">
        <v>0.25</v>
      </c>
    </row>
    <row r="18" spans="1:32">
      <c r="A18" s="20"/>
      <c r="B18" s="11" t="s">
        <v>1535</v>
      </c>
      <c r="C18" s="12">
        <v>4997</v>
      </c>
      <c r="D18" s="12">
        <v>232</v>
      </c>
      <c r="E18" s="12">
        <v>227</v>
      </c>
      <c r="F18" s="12">
        <v>223</v>
      </c>
      <c r="G18" s="12">
        <v>240</v>
      </c>
      <c r="H18" s="12">
        <v>184</v>
      </c>
      <c r="I18" s="12">
        <v>228</v>
      </c>
      <c r="J18" s="12">
        <v>44</v>
      </c>
      <c r="K18" s="12">
        <v>185</v>
      </c>
      <c r="L18" s="12">
        <v>119</v>
      </c>
      <c r="M18" s="12">
        <v>189</v>
      </c>
      <c r="N18" s="12">
        <v>124</v>
      </c>
      <c r="O18" s="12">
        <v>157</v>
      </c>
      <c r="P18" s="12">
        <v>191</v>
      </c>
      <c r="Q18" s="12">
        <v>248</v>
      </c>
      <c r="R18" s="12">
        <v>80</v>
      </c>
      <c r="S18" s="12">
        <v>237</v>
      </c>
      <c r="T18" s="12">
        <v>100</v>
      </c>
      <c r="U18" s="12">
        <v>52</v>
      </c>
      <c r="V18" s="12">
        <v>228</v>
      </c>
      <c r="W18" s="12">
        <v>62</v>
      </c>
      <c r="X18" s="12">
        <v>241</v>
      </c>
      <c r="Y18" s="12">
        <v>182</v>
      </c>
      <c r="Z18" s="12">
        <v>227</v>
      </c>
      <c r="AA18" s="12">
        <v>259</v>
      </c>
      <c r="AB18" s="12">
        <v>265</v>
      </c>
      <c r="AC18" s="12">
        <v>108</v>
      </c>
      <c r="AD18" s="12">
        <v>245</v>
      </c>
      <c r="AE18" s="12">
        <v>268</v>
      </c>
      <c r="AF18" s="12">
        <v>214</v>
      </c>
    </row>
    <row r="19" spans="1:32">
      <c r="A19" s="20"/>
      <c r="B19" s="13" t="s">
        <v>1535</v>
      </c>
      <c r="C19" s="14">
        <v>0.19</v>
      </c>
      <c r="D19" s="14">
        <v>0.23</v>
      </c>
      <c r="E19" s="14">
        <v>0.22</v>
      </c>
      <c r="F19" s="14">
        <v>0.22</v>
      </c>
      <c r="G19" s="14">
        <v>0.24</v>
      </c>
      <c r="H19" s="14">
        <v>0.15</v>
      </c>
      <c r="I19" s="14">
        <v>0.15</v>
      </c>
      <c r="J19" s="14">
        <v>0.15</v>
      </c>
      <c r="K19" s="14">
        <v>0.18</v>
      </c>
      <c r="L19" s="14">
        <v>0.12</v>
      </c>
      <c r="M19" s="14">
        <v>0.19</v>
      </c>
      <c r="N19" s="14">
        <v>0.12</v>
      </c>
      <c r="O19" s="14">
        <v>0.16</v>
      </c>
      <c r="P19" s="14">
        <v>0.19</v>
      </c>
      <c r="Q19" s="14">
        <v>0.24</v>
      </c>
      <c r="R19" s="14">
        <v>0.16</v>
      </c>
      <c r="S19" s="14">
        <v>0.23</v>
      </c>
      <c r="T19" s="14">
        <v>0.1</v>
      </c>
      <c r="U19" s="14">
        <v>0.1</v>
      </c>
      <c r="V19" s="14">
        <v>0.22</v>
      </c>
      <c r="W19" s="14">
        <v>0.12</v>
      </c>
      <c r="X19" s="14">
        <v>0.24</v>
      </c>
      <c r="Y19" s="14">
        <v>0.18</v>
      </c>
      <c r="Z19" s="14">
        <v>0.22</v>
      </c>
      <c r="AA19" s="14">
        <v>0.25</v>
      </c>
      <c r="AB19" s="14">
        <v>0.25</v>
      </c>
      <c r="AC19" s="14">
        <v>0.11</v>
      </c>
      <c r="AD19" s="14">
        <v>0.24</v>
      </c>
      <c r="AE19" s="14">
        <v>0.26</v>
      </c>
      <c r="AF19" s="14">
        <v>0.21</v>
      </c>
    </row>
    <row r="20" spans="1:32">
      <c r="A20" s="20"/>
      <c r="B20" s="11" t="s">
        <v>1536</v>
      </c>
      <c r="C20" s="12">
        <v>1500</v>
      </c>
      <c r="D20" s="12">
        <v>43</v>
      </c>
      <c r="E20" s="12">
        <v>102</v>
      </c>
      <c r="F20" s="12">
        <v>67</v>
      </c>
      <c r="G20" s="12">
        <v>38</v>
      </c>
      <c r="H20" s="12">
        <v>33</v>
      </c>
      <c r="I20" s="12">
        <v>43</v>
      </c>
      <c r="J20" s="12">
        <v>10</v>
      </c>
      <c r="K20" s="12">
        <v>75</v>
      </c>
      <c r="L20" s="12">
        <v>20</v>
      </c>
      <c r="M20" s="12">
        <v>15</v>
      </c>
      <c r="N20" s="12">
        <v>36</v>
      </c>
      <c r="O20" s="12">
        <v>76</v>
      </c>
      <c r="P20" s="12">
        <v>119</v>
      </c>
      <c r="Q20" s="12">
        <v>55</v>
      </c>
      <c r="R20" s="12">
        <v>34</v>
      </c>
      <c r="S20" s="12">
        <v>37</v>
      </c>
      <c r="T20" s="12">
        <v>62</v>
      </c>
      <c r="U20" s="12">
        <v>12</v>
      </c>
      <c r="V20" s="12">
        <v>96</v>
      </c>
      <c r="W20" s="12">
        <v>46</v>
      </c>
      <c r="X20" s="12">
        <v>24</v>
      </c>
      <c r="Y20" s="12">
        <v>50</v>
      </c>
      <c r="Z20" s="12">
        <v>117</v>
      </c>
      <c r="AA20" s="12">
        <v>30</v>
      </c>
      <c r="AB20" s="12">
        <v>125</v>
      </c>
      <c r="AC20" s="12">
        <v>84</v>
      </c>
      <c r="AD20" s="12">
        <v>68</v>
      </c>
      <c r="AE20" s="12">
        <v>59</v>
      </c>
      <c r="AF20" s="12">
        <v>41</v>
      </c>
    </row>
    <row r="21" spans="1:32">
      <c r="A21" s="20"/>
      <c r="B21" s="13" t="s">
        <v>1537</v>
      </c>
      <c r="C21" s="14">
        <v>0.06</v>
      </c>
      <c r="D21" s="14">
        <v>0.04</v>
      </c>
      <c r="E21" s="14">
        <v>0.1</v>
      </c>
      <c r="F21" s="14">
        <v>7.0000000000000007E-2</v>
      </c>
      <c r="G21" s="14">
        <v>0.04</v>
      </c>
      <c r="H21" s="14">
        <v>0.03</v>
      </c>
      <c r="I21" s="14">
        <v>0.03</v>
      </c>
      <c r="J21" s="14">
        <v>0.03</v>
      </c>
      <c r="K21" s="14">
        <v>7.0000000000000007E-2</v>
      </c>
      <c r="L21" s="14">
        <v>0.02</v>
      </c>
      <c r="M21" s="14">
        <v>0.02</v>
      </c>
      <c r="N21" s="14">
        <v>0.04</v>
      </c>
      <c r="O21" s="14">
        <v>7.0000000000000007E-2</v>
      </c>
      <c r="P21" s="14">
        <v>0.12</v>
      </c>
      <c r="Q21" s="14">
        <v>0.06</v>
      </c>
      <c r="R21" s="14">
        <v>7.0000000000000007E-2</v>
      </c>
      <c r="S21" s="14">
        <v>0.04</v>
      </c>
      <c r="T21" s="14">
        <v>0.06</v>
      </c>
      <c r="U21" s="14">
        <v>0.02</v>
      </c>
      <c r="V21" s="14">
        <v>0.09</v>
      </c>
      <c r="W21" s="14">
        <v>0.09</v>
      </c>
      <c r="X21" s="14">
        <v>0.02</v>
      </c>
      <c r="Y21" s="14">
        <v>0.05</v>
      </c>
      <c r="Z21" s="14">
        <v>0.12</v>
      </c>
      <c r="AA21" s="14">
        <v>0.03</v>
      </c>
      <c r="AB21" s="14">
        <v>0.12</v>
      </c>
      <c r="AC21" s="14">
        <v>0.08</v>
      </c>
      <c r="AD21" s="14">
        <v>7.0000000000000007E-2</v>
      </c>
      <c r="AE21" s="14">
        <v>0.06</v>
      </c>
      <c r="AF21" s="14">
        <v>0.04</v>
      </c>
    </row>
    <row r="22" spans="1:32">
      <c r="A22" s="20"/>
      <c r="B22" s="11" t="s">
        <v>1538</v>
      </c>
      <c r="C22" s="12">
        <v>1315</v>
      </c>
      <c r="D22" s="12">
        <v>11</v>
      </c>
      <c r="E22" s="12">
        <v>74</v>
      </c>
      <c r="F22" s="12">
        <v>12</v>
      </c>
      <c r="G22" s="12">
        <v>12</v>
      </c>
      <c r="H22" s="12">
        <v>31</v>
      </c>
      <c r="I22" s="12">
        <v>39</v>
      </c>
      <c r="J22" s="12">
        <v>8</v>
      </c>
      <c r="K22" s="12">
        <v>68</v>
      </c>
      <c r="L22" s="12">
        <v>7</v>
      </c>
      <c r="M22" s="12">
        <v>130</v>
      </c>
      <c r="N22" s="12">
        <v>83</v>
      </c>
      <c r="O22" s="12">
        <v>57</v>
      </c>
      <c r="P22" s="12">
        <v>26</v>
      </c>
      <c r="Q22" s="12">
        <v>92</v>
      </c>
      <c r="R22" s="12">
        <v>97</v>
      </c>
      <c r="S22" s="12">
        <v>27</v>
      </c>
      <c r="T22" s="12">
        <v>82</v>
      </c>
      <c r="U22" s="12">
        <v>33</v>
      </c>
      <c r="V22" s="12">
        <v>60</v>
      </c>
      <c r="W22" s="12">
        <v>20</v>
      </c>
      <c r="X22" s="12">
        <v>3</v>
      </c>
      <c r="Y22" s="12">
        <v>50</v>
      </c>
      <c r="Z22" s="12">
        <v>28</v>
      </c>
      <c r="AA22" s="12">
        <v>47</v>
      </c>
      <c r="AB22" s="12">
        <v>45</v>
      </c>
      <c r="AC22" s="12">
        <v>138</v>
      </c>
      <c r="AD22" s="12">
        <v>31</v>
      </c>
      <c r="AE22" s="12">
        <v>18</v>
      </c>
      <c r="AF22" s="12">
        <v>3</v>
      </c>
    </row>
    <row r="23" spans="1:32">
      <c r="A23" s="20"/>
      <c r="B23" s="13" t="s">
        <v>1539</v>
      </c>
      <c r="C23" s="14">
        <v>0.05</v>
      </c>
      <c r="D23" s="14">
        <v>0.01</v>
      </c>
      <c r="E23" s="14">
        <v>7.0000000000000007E-2</v>
      </c>
      <c r="F23" s="14">
        <v>0.01</v>
      </c>
      <c r="G23" s="14">
        <v>0.01</v>
      </c>
      <c r="H23" s="14">
        <v>0.03</v>
      </c>
      <c r="I23" s="14">
        <v>0.03</v>
      </c>
      <c r="J23" s="14">
        <v>0.03</v>
      </c>
      <c r="K23" s="14">
        <v>7.0000000000000007E-2</v>
      </c>
      <c r="L23" s="14">
        <v>0.01</v>
      </c>
      <c r="M23" s="14">
        <v>0.13</v>
      </c>
      <c r="N23" s="14">
        <v>0.08</v>
      </c>
      <c r="O23" s="14">
        <v>0.06</v>
      </c>
      <c r="P23" s="14">
        <v>0.03</v>
      </c>
      <c r="Q23" s="14">
        <v>0.09</v>
      </c>
      <c r="R23" s="14">
        <v>0.19</v>
      </c>
      <c r="S23" s="14">
        <v>0.03</v>
      </c>
      <c r="T23" s="14">
        <v>0.08</v>
      </c>
      <c r="U23" s="14">
        <v>7.0000000000000007E-2</v>
      </c>
      <c r="V23" s="14">
        <v>0.06</v>
      </c>
      <c r="W23" s="14">
        <v>0.04</v>
      </c>
      <c r="X23" s="15" t="s">
        <v>459</v>
      </c>
      <c r="Y23" s="14">
        <v>0.05</v>
      </c>
      <c r="Z23" s="14">
        <v>0.03</v>
      </c>
      <c r="AA23" s="14">
        <v>0.04</v>
      </c>
      <c r="AB23" s="14">
        <v>0.04</v>
      </c>
      <c r="AC23" s="14">
        <v>0.14000000000000001</v>
      </c>
      <c r="AD23" s="14">
        <v>0.03</v>
      </c>
      <c r="AE23" s="14">
        <v>0.02</v>
      </c>
      <c r="AF23" s="15" t="s">
        <v>459</v>
      </c>
    </row>
    <row r="24" spans="1:32">
      <c r="A24" s="20"/>
      <c r="B24" s="11" t="s">
        <v>468</v>
      </c>
      <c r="C24" s="12">
        <v>1577</v>
      </c>
      <c r="D24" s="12">
        <v>7</v>
      </c>
      <c r="E24" s="12">
        <v>88</v>
      </c>
      <c r="F24" s="12">
        <v>19</v>
      </c>
      <c r="G24" s="12">
        <v>19</v>
      </c>
      <c r="H24" s="12">
        <v>35</v>
      </c>
      <c r="I24" s="12">
        <v>38</v>
      </c>
      <c r="J24" s="12">
        <v>3</v>
      </c>
      <c r="K24" s="12">
        <v>119</v>
      </c>
      <c r="L24" s="12">
        <v>70</v>
      </c>
      <c r="M24" s="12">
        <v>113</v>
      </c>
      <c r="N24" s="12">
        <v>68</v>
      </c>
      <c r="O24" s="12">
        <v>148</v>
      </c>
      <c r="P24" s="12">
        <v>24</v>
      </c>
      <c r="Q24" s="12">
        <v>42</v>
      </c>
      <c r="R24" s="12">
        <v>68</v>
      </c>
      <c r="S24" s="12">
        <v>300</v>
      </c>
      <c r="T24" s="12">
        <v>244</v>
      </c>
      <c r="U24" s="12">
        <v>35</v>
      </c>
      <c r="V24" s="12">
        <v>16</v>
      </c>
      <c r="W24" s="12">
        <v>65</v>
      </c>
      <c r="X24" s="12">
        <v>9</v>
      </c>
      <c r="Y24" s="12">
        <v>34</v>
      </c>
      <c r="Z24" s="12">
        <v>24</v>
      </c>
      <c r="AA24" s="12">
        <v>99</v>
      </c>
      <c r="AB24" s="12">
        <v>88</v>
      </c>
      <c r="AC24" s="12">
        <v>97</v>
      </c>
      <c r="AD24" s="12">
        <v>46</v>
      </c>
      <c r="AE24" s="12">
        <v>39</v>
      </c>
      <c r="AF24" s="12">
        <v>13</v>
      </c>
    </row>
    <row r="25" spans="1:32">
      <c r="A25" s="20"/>
      <c r="B25" s="13" t="s">
        <v>469</v>
      </c>
      <c r="C25" s="14">
        <v>0.06</v>
      </c>
      <c r="D25" s="14">
        <v>0.01</v>
      </c>
      <c r="E25" s="14">
        <v>0.09</v>
      </c>
      <c r="F25" s="14">
        <v>0.02</v>
      </c>
      <c r="G25" s="14">
        <v>0.02</v>
      </c>
      <c r="H25" s="14">
        <v>0.03</v>
      </c>
      <c r="I25" s="14">
        <v>0.03</v>
      </c>
      <c r="J25" s="14">
        <v>0.01</v>
      </c>
      <c r="K25" s="14">
        <v>0.12</v>
      </c>
      <c r="L25" s="14">
        <v>7.0000000000000007E-2</v>
      </c>
      <c r="M25" s="14">
        <v>0.11</v>
      </c>
      <c r="N25" s="14">
        <v>7.0000000000000007E-2</v>
      </c>
      <c r="O25" s="14">
        <v>0.15</v>
      </c>
      <c r="P25" s="14">
        <v>0.02</v>
      </c>
      <c r="Q25" s="14">
        <v>0.04</v>
      </c>
      <c r="R25" s="14">
        <v>0.13</v>
      </c>
      <c r="S25" s="14">
        <v>0.3</v>
      </c>
      <c r="T25" s="14">
        <v>0.24</v>
      </c>
      <c r="U25" s="14">
        <v>7.0000000000000007E-2</v>
      </c>
      <c r="V25" s="14">
        <v>0.02</v>
      </c>
      <c r="W25" s="14">
        <v>0.13</v>
      </c>
      <c r="X25" s="14">
        <v>0.01</v>
      </c>
      <c r="Y25" s="14">
        <v>0.03</v>
      </c>
      <c r="Z25" s="14">
        <v>0.02</v>
      </c>
      <c r="AA25" s="14">
        <v>0.09</v>
      </c>
      <c r="AB25" s="14">
        <v>0.09</v>
      </c>
      <c r="AC25" s="14">
        <v>0.1</v>
      </c>
      <c r="AD25" s="14">
        <v>0.05</v>
      </c>
      <c r="AE25" s="14">
        <v>0.04</v>
      </c>
      <c r="AF25" s="14">
        <v>0.01</v>
      </c>
    </row>
    <row r="26" spans="1:32">
      <c r="A26" s="20"/>
      <c r="B26" s="11" t="s">
        <v>1448</v>
      </c>
      <c r="C26" s="12">
        <v>5.35</v>
      </c>
      <c r="D26" s="12">
        <v>5.45</v>
      </c>
      <c r="E26" s="12">
        <v>5.79</v>
      </c>
      <c r="F26" s="12">
        <v>5.59</v>
      </c>
      <c r="G26" s="12">
        <v>5.0599999999999996</v>
      </c>
      <c r="H26" s="12">
        <v>5.13</v>
      </c>
      <c r="I26" s="12">
        <v>5.07</v>
      </c>
      <c r="J26" s="12">
        <v>4.84</v>
      </c>
      <c r="K26" s="12">
        <v>5.57</v>
      </c>
      <c r="L26" s="12">
        <v>5.21</v>
      </c>
      <c r="M26" s="12">
        <v>5.3</v>
      </c>
      <c r="N26" s="12">
        <v>4.97</v>
      </c>
      <c r="O26" s="12">
        <v>5.3</v>
      </c>
      <c r="P26" s="12">
        <v>5.58</v>
      </c>
      <c r="Q26" s="12">
        <v>5.66</v>
      </c>
      <c r="R26" s="12">
        <v>5.67</v>
      </c>
      <c r="S26" s="12">
        <v>6.06</v>
      </c>
      <c r="T26" s="12">
        <v>5.38</v>
      </c>
      <c r="U26" s="12">
        <v>5.0199999999999996</v>
      </c>
      <c r="V26" s="12">
        <v>5.76</v>
      </c>
      <c r="W26" s="12">
        <v>4.91</v>
      </c>
      <c r="X26" s="12">
        <v>4.97</v>
      </c>
      <c r="Y26" s="12">
        <v>5.31</v>
      </c>
      <c r="Z26" s="12">
        <v>5.84</v>
      </c>
      <c r="AA26" s="12">
        <v>5.48</v>
      </c>
      <c r="AB26" s="12">
        <v>5.83</v>
      </c>
      <c r="AC26" s="12">
        <v>5.43</v>
      </c>
      <c r="AD26" s="12">
        <v>5.53</v>
      </c>
      <c r="AE26" s="12">
        <v>5.55</v>
      </c>
      <c r="AF26" s="12">
        <v>4.78</v>
      </c>
    </row>
    <row r="27" spans="1:32">
      <c r="A27" s="20"/>
      <c r="B27" s="13" t="s">
        <v>1449</v>
      </c>
      <c r="C27" s="15" t="s">
        <v>459</v>
      </c>
      <c r="D27" s="15" t="s">
        <v>459</v>
      </c>
      <c r="E27" s="15" t="s">
        <v>459</v>
      </c>
      <c r="F27" s="15" t="s">
        <v>459</v>
      </c>
      <c r="G27" s="15" t="s">
        <v>459</v>
      </c>
      <c r="H27" s="15" t="s">
        <v>459</v>
      </c>
      <c r="I27" s="15" t="s">
        <v>459</v>
      </c>
      <c r="J27" s="15" t="s">
        <v>459</v>
      </c>
      <c r="K27" s="15" t="s">
        <v>459</v>
      </c>
      <c r="L27" s="15" t="s">
        <v>459</v>
      </c>
      <c r="M27" s="15" t="s">
        <v>459</v>
      </c>
      <c r="N27" s="15" t="s">
        <v>459</v>
      </c>
      <c r="O27" s="15" t="s">
        <v>459</v>
      </c>
      <c r="P27" s="15" t="s">
        <v>459</v>
      </c>
      <c r="Q27" s="15" t="s">
        <v>459</v>
      </c>
      <c r="R27" s="15" t="s">
        <v>459</v>
      </c>
      <c r="S27" s="15" t="s">
        <v>459</v>
      </c>
      <c r="T27" s="15" t="s">
        <v>459</v>
      </c>
      <c r="U27" s="15" t="s">
        <v>459</v>
      </c>
      <c r="V27" s="15" t="s">
        <v>459</v>
      </c>
      <c r="W27" s="15" t="s">
        <v>459</v>
      </c>
      <c r="X27" s="15" t="s">
        <v>459</v>
      </c>
      <c r="Y27" s="15" t="s">
        <v>459</v>
      </c>
      <c r="Z27" s="15" t="s">
        <v>459</v>
      </c>
      <c r="AA27" s="15" t="s">
        <v>459</v>
      </c>
      <c r="AB27" s="15" t="s">
        <v>459</v>
      </c>
      <c r="AC27" s="15" t="s">
        <v>459</v>
      </c>
      <c r="AD27" s="15" t="s">
        <v>459</v>
      </c>
      <c r="AE27" s="15" t="s">
        <v>459</v>
      </c>
      <c r="AF27" s="15" t="s">
        <v>459</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351</v>
      </c>
      <c r="C3" s="18"/>
      <c r="D3" s="18"/>
      <c r="E3" s="18"/>
      <c r="F3" s="18"/>
      <c r="H3" s="18" t="s">
        <v>352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1540</v>
      </c>
      <c r="C12" s="12">
        <v>3189</v>
      </c>
      <c r="D12" s="12">
        <v>37</v>
      </c>
      <c r="E12" s="12">
        <v>81</v>
      </c>
      <c r="F12" s="12">
        <v>37</v>
      </c>
      <c r="G12" s="12">
        <v>6</v>
      </c>
      <c r="H12" s="12">
        <v>164</v>
      </c>
      <c r="I12" s="12">
        <v>180</v>
      </c>
      <c r="J12" s="12">
        <v>16</v>
      </c>
      <c r="K12" s="12">
        <v>32</v>
      </c>
      <c r="L12" s="12">
        <v>79</v>
      </c>
      <c r="M12" s="12">
        <v>214</v>
      </c>
      <c r="N12" s="12">
        <v>221</v>
      </c>
      <c r="O12" s="12">
        <v>78</v>
      </c>
      <c r="P12" s="12">
        <v>77</v>
      </c>
      <c r="Q12" s="12">
        <v>211</v>
      </c>
      <c r="R12" s="12">
        <v>69</v>
      </c>
      <c r="S12" s="12">
        <v>72</v>
      </c>
      <c r="T12" s="12">
        <v>35</v>
      </c>
      <c r="U12" s="12">
        <v>25</v>
      </c>
      <c r="V12" s="12">
        <v>108</v>
      </c>
      <c r="W12" s="12">
        <v>77</v>
      </c>
      <c r="X12" s="12">
        <v>24</v>
      </c>
      <c r="Y12" s="12">
        <v>165</v>
      </c>
      <c r="Z12" s="12">
        <v>40</v>
      </c>
      <c r="AA12" s="12">
        <v>398</v>
      </c>
      <c r="AB12" s="12">
        <v>105</v>
      </c>
      <c r="AC12" s="12">
        <v>75</v>
      </c>
      <c r="AD12" s="12">
        <v>22</v>
      </c>
      <c r="AE12" s="12">
        <v>27</v>
      </c>
      <c r="AF12" s="12">
        <v>21</v>
      </c>
    </row>
    <row r="13" spans="1:32">
      <c r="A13" s="20"/>
      <c r="B13" s="13" t="s">
        <v>1540</v>
      </c>
      <c r="C13" s="14">
        <v>0.12</v>
      </c>
      <c r="D13" s="14">
        <v>0.04</v>
      </c>
      <c r="E13" s="14">
        <v>0.08</v>
      </c>
      <c r="F13" s="14">
        <v>0.04</v>
      </c>
      <c r="G13" s="14">
        <v>0.01</v>
      </c>
      <c r="H13" s="14">
        <v>0.14000000000000001</v>
      </c>
      <c r="I13" s="14">
        <v>0.12</v>
      </c>
      <c r="J13" s="14">
        <v>0.06</v>
      </c>
      <c r="K13" s="14">
        <v>0.03</v>
      </c>
      <c r="L13" s="14">
        <v>0.08</v>
      </c>
      <c r="M13" s="14">
        <v>0.21</v>
      </c>
      <c r="N13" s="14">
        <v>0.22</v>
      </c>
      <c r="O13" s="14">
        <v>0.08</v>
      </c>
      <c r="P13" s="14">
        <v>0.08</v>
      </c>
      <c r="Q13" s="14">
        <v>0.21</v>
      </c>
      <c r="R13" s="14">
        <v>0.14000000000000001</v>
      </c>
      <c r="S13" s="14">
        <v>7.0000000000000007E-2</v>
      </c>
      <c r="T13" s="14">
        <v>0.04</v>
      </c>
      <c r="U13" s="14">
        <v>0.05</v>
      </c>
      <c r="V13" s="14">
        <v>0.11</v>
      </c>
      <c r="W13" s="14">
        <v>0.15</v>
      </c>
      <c r="X13" s="14">
        <v>0.02</v>
      </c>
      <c r="Y13" s="14">
        <v>0.16</v>
      </c>
      <c r="Z13" s="14">
        <v>0.04</v>
      </c>
      <c r="AA13" s="14">
        <v>0.38</v>
      </c>
      <c r="AB13" s="14">
        <v>0.1</v>
      </c>
      <c r="AC13" s="14">
        <v>7.0000000000000007E-2</v>
      </c>
      <c r="AD13" s="14">
        <v>0.02</v>
      </c>
      <c r="AE13" s="14">
        <v>0.03</v>
      </c>
      <c r="AF13" s="14">
        <v>0.02</v>
      </c>
    </row>
    <row r="14" spans="1:32">
      <c r="A14" s="20"/>
      <c r="B14" s="11" t="s">
        <v>1541</v>
      </c>
      <c r="C14" s="12">
        <v>12088</v>
      </c>
      <c r="D14" s="12">
        <v>371</v>
      </c>
      <c r="E14" s="12">
        <v>614</v>
      </c>
      <c r="F14" s="12">
        <v>619</v>
      </c>
      <c r="G14" s="12">
        <v>105</v>
      </c>
      <c r="H14" s="12">
        <v>600</v>
      </c>
      <c r="I14" s="12">
        <v>760</v>
      </c>
      <c r="J14" s="12">
        <v>160</v>
      </c>
      <c r="K14" s="12">
        <v>426</v>
      </c>
      <c r="L14" s="12">
        <v>404</v>
      </c>
      <c r="M14" s="12">
        <v>407</v>
      </c>
      <c r="N14" s="12">
        <v>404</v>
      </c>
      <c r="O14" s="12">
        <v>436</v>
      </c>
      <c r="P14" s="12">
        <v>745</v>
      </c>
      <c r="Q14" s="12">
        <v>495</v>
      </c>
      <c r="R14" s="12">
        <v>170</v>
      </c>
      <c r="S14" s="12">
        <v>467</v>
      </c>
      <c r="T14" s="12">
        <v>426</v>
      </c>
      <c r="U14" s="12">
        <v>145</v>
      </c>
      <c r="V14" s="12">
        <v>650</v>
      </c>
      <c r="W14" s="12">
        <v>201</v>
      </c>
      <c r="X14" s="12">
        <v>224</v>
      </c>
      <c r="Y14" s="12">
        <v>515</v>
      </c>
      <c r="Z14" s="12">
        <v>541</v>
      </c>
      <c r="AA14" s="12">
        <v>389</v>
      </c>
      <c r="AB14" s="12">
        <v>681</v>
      </c>
      <c r="AC14" s="12">
        <v>461</v>
      </c>
      <c r="AD14" s="12">
        <v>594</v>
      </c>
      <c r="AE14" s="12">
        <v>206</v>
      </c>
      <c r="AF14" s="12">
        <v>191</v>
      </c>
    </row>
    <row r="15" spans="1:32">
      <c r="A15" s="20"/>
      <c r="B15" s="13" t="s">
        <v>1541</v>
      </c>
      <c r="C15" s="14">
        <v>0.46</v>
      </c>
      <c r="D15" s="14">
        <v>0.37</v>
      </c>
      <c r="E15" s="14">
        <v>0.6</v>
      </c>
      <c r="F15" s="14">
        <v>0.62</v>
      </c>
      <c r="G15" s="14">
        <v>0.11</v>
      </c>
      <c r="H15" s="14">
        <v>0.49</v>
      </c>
      <c r="I15" s="14">
        <v>0.5</v>
      </c>
      <c r="J15" s="14">
        <v>0.54</v>
      </c>
      <c r="K15" s="14">
        <v>0.43</v>
      </c>
      <c r="L15" s="14">
        <v>0.4</v>
      </c>
      <c r="M15" s="14">
        <v>0.41</v>
      </c>
      <c r="N15" s="14">
        <v>0.4</v>
      </c>
      <c r="O15" s="14">
        <v>0.43</v>
      </c>
      <c r="P15" s="14">
        <v>0.73</v>
      </c>
      <c r="Q15" s="14">
        <v>0.49</v>
      </c>
      <c r="R15" s="14">
        <v>0.34</v>
      </c>
      <c r="S15" s="14">
        <v>0.46</v>
      </c>
      <c r="T15" s="14">
        <v>0.42</v>
      </c>
      <c r="U15" s="14">
        <v>0.28999999999999998</v>
      </c>
      <c r="V15" s="14">
        <v>0.64</v>
      </c>
      <c r="W15" s="14">
        <v>0.4</v>
      </c>
      <c r="X15" s="14">
        <v>0.22</v>
      </c>
      <c r="Y15" s="14">
        <v>0.51</v>
      </c>
      <c r="Z15" s="14">
        <v>0.54</v>
      </c>
      <c r="AA15" s="14">
        <v>0.37</v>
      </c>
      <c r="AB15" s="14">
        <v>0.66</v>
      </c>
      <c r="AC15" s="14">
        <v>0.46</v>
      </c>
      <c r="AD15" s="14">
        <v>0.59</v>
      </c>
      <c r="AE15" s="14">
        <v>0.21</v>
      </c>
      <c r="AF15" s="14">
        <v>0.19</v>
      </c>
    </row>
    <row r="16" spans="1:32">
      <c r="A16" s="20"/>
      <c r="B16" s="11" t="s">
        <v>1542</v>
      </c>
      <c r="C16" s="12">
        <v>9186</v>
      </c>
      <c r="D16" s="12">
        <v>486</v>
      </c>
      <c r="E16" s="12">
        <v>306</v>
      </c>
      <c r="F16" s="12">
        <v>285</v>
      </c>
      <c r="G16" s="12">
        <v>767</v>
      </c>
      <c r="H16" s="12">
        <v>389</v>
      </c>
      <c r="I16" s="12">
        <v>497</v>
      </c>
      <c r="J16" s="12">
        <v>107</v>
      </c>
      <c r="K16" s="12">
        <v>453</v>
      </c>
      <c r="L16" s="12">
        <v>457</v>
      </c>
      <c r="M16" s="12">
        <v>322</v>
      </c>
      <c r="N16" s="12">
        <v>331</v>
      </c>
      <c r="O16" s="12">
        <v>399</v>
      </c>
      <c r="P16" s="12">
        <v>167</v>
      </c>
      <c r="Q16" s="12">
        <v>215</v>
      </c>
      <c r="R16" s="12">
        <v>243</v>
      </c>
      <c r="S16" s="12">
        <v>420</v>
      </c>
      <c r="T16" s="12">
        <v>459</v>
      </c>
      <c r="U16" s="12">
        <v>296</v>
      </c>
      <c r="V16" s="12">
        <v>203</v>
      </c>
      <c r="W16" s="12">
        <v>188</v>
      </c>
      <c r="X16" s="12">
        <v>652</v>
      </c>
      <c r="Y16" s="12">
        <v>256</v>
      </c>
      <c r="Z16" s="12">
        <v>378</v>
      </c>
      <c r="AA16" s="12">
        <v>169</v>
      </c>
      <c r="AB16" s="12">
        <v>198</v>
      </c>
      <c r="AC16" s="12">
        <v>398</v>
      </c>
      <c r="AD16" s="12">
        <v>318</v>
      </c>
      <c r="AE16" s="12">
        <v>672</v>
      </c>
      <c r="AF16" s="12">
        <v>745</v>
      </c>
    </row>
    <row r="17" spans="1:32">
      <c r="A17" s="20"/>
      <c r="B17" s="13" t="s">
        <v>1542</v>
      </c>
      <c r="C17" s="14">
        <v>0.35</v>
      </c>
      <c r="D17" s="14">
        <v>0.49</v>
      </c>
      <c r="E17" s="14">
        <v>0.3</v>
      </c>
      <c r="F17" s="14">
        <v>0.28000000000000003</v>
      </c>
      <c r="G17" s="14">
        <v>0.76</v>
      </c>
      <c r="H17" s="14">
        <v>0.32</v>
      </c>
      <c r="I17" s="14">
        <v>0.33</v>
      </c>
      <c r="J17" s="14">
        <v>0.37</v>
      </c>
      <c r="K17" s="14">
        <v>0.45</v>
      </c>
      <c r="L17" s="14">
        <v>0.45</v>
      </c>
      <c r="M17" s="14">
        <v>0.32</v>
      </c>
      <c r="N17" s="14">
        <v>0.33</v>
      </c>
      <c r="O17" s="14">
        <v>0.4</v>
      </c>
      <c r="P17" s="14">
        <v>0.16</v>
      </c>
      <c r="Q17" s="14">
        <v>0.21</v>
      </c>
      <c r="R17" s="14">
        <v>0.49</v>
      </c>
      <c r="S17" s="14">
        <v>0.42</v>
      </c>
      <c r="T17" s="14">
        <v>0.45</v>
      </c>
      <c r="U17" s="14">
        <v>0.57999999999999996</v>
      </c>
      <c r="V17" s="14">
        <v>0.2</v>
      </c>
      <c r="W17" s="14">
        <v>0.38</v>
      </c>
      <c r="X17" s="14">
        <v>0.64</v>
      </c>
      <c r="Y17" s="14">
        <v>0.26</v>
      </c>
      <c r="Z17" s="14">
        <v>0.38</v>
      </c>
      <c r="AA17" s="14">
        <v>0.16</v>
      </c>
      <c r="AB17" s="14">
        <v>0.19</v>
      </c>
      <c r="AC17" s="14">
        <v>0.4</v>
      </c>
      <c r="AD17" s="14">
        <v>0.32</v>
      </c>
      <c r="AE17" s="14">
        <v>0.67</v>
      </c>
      <c r="AF17" s="14">
        <v>0.73</v>
      </c>
    </row>
    <row r="18" spans="1:32">
      <c r="A18" s="20"/>
      <c r="B18" s="11" t="s">
        <v>1543</v>
      </c>
      <c r="C18" s="12">
        <v>1669</v>
      </c>
      <c r="D18" s="12">
        <v>101</v>
      </c>
      <c r="E18" s="12">
        <v>14</v>
      </c>
      <c r="F18" s="12">
        <v>47</v>
      </c>
      <c r="G18" s="12">
        <v>87</v>
      </c>
      <c r="H18" s="12">
        <v>62</v>
      </c>
      <c r="I18" s="12">
        <v>72</v>
      </c>
      <c r="J18" s="12">
        <v>10</v>
      </c>
      <c r="K18" s="12">
        <v>83</v>
      </c>
      <c r="L18" s="12">
        <v>59</v>
      </c>
      <c r="M18" s="12">
        <v>57</v>
      </c>
      <c r="N18" s="12">
        <v>29</v>
      </c>
      <c r="O18" s="12">
        <v>86</v>
      </c>
      <c r="P18" s="12">
        <v>31</v>
      </c>
      <c r="Q18" s="12">
        <v>84</v>
      </c>
      <c r="R18" s="12">
        <v>16</v>
      </c>
      <c r="S18" s="12">
        <v>35</v>
      </c>
      <c r="T18" s="12">
        <v>89</v>
      </c>
      <c r="U18" s="12">
        <v>35</v>
      </c>
      <c r="V18" s="12">
        <v>56</v>
      </c>
      <c r="W18" s="12">
        <v>28</v>
      </c>
      <c r="X18" s="12">
        <v>118</v>
      </c>
      <c r="Y18" s="12">
        <v>72</v>
      </c>
      <c r="Z18" s="12">
        <v>45</v>
      </c>
      <c r="AA18" s="12">
        <v>87</v>
      </c>
      <c r="AB18" s="12">
        <v>55</v>
      </c>
      <c r="AC18" s="12">
        <v>72</v>
      </c>
      <c r="AD18" s="12">
        <v>71</v>
      </c>
      <c r="AE18" s="12">
        <v>92</v>
      </c>
      <c r="AF18" s="12">
        <v>62</v>
      </c>
    </row>
    <row r="19" spans="1:32">
      <c r="A19" s="20"/>
      <c r="B19" s="13" t="s">
        <v>1544</v>
      </c>
      <c r="C19" s="14">
        <v>7.0000000000000007E-2</v>
      </c>
      <c r="D19" s="14">
        <v>0.1</v>
      </c>
      <c r="E19" s="14">
        <v>0.02</v>
      </c>
      <c r="F19" s="14">
        <v>0.05</v>
      </c>
      <c r="G19" s="14">
        <v>0.09</v>
      </c>
      <c r="H19" s="14">
        <v>0.05</v>
      </c>
      <c r="I19" s="14">
        <v>0.05</v>
      </c>
      <c r="J19" s="14">
        <v>0.03</v>
      </c>
      <c r="K19" s="14">
        <v>0.08</v>
      </c>
      <c r="L19" s="14">
        <v>0.06</v>
      </c>
      <c r="M19" s="14">
        <v>0.06</v>
      </c>
      <c r="N19" s="14">
        <v>0.03</v>
      </c>
      <c r="O19" s="14">
        <v>0.09</v>
      </c>
      <c r="P19" s="14">
        <v>0.03</v>
      </c>
      <c r="Q19" s="14">
        <v>0.08</v>
      </c>
      <c r="R19" s="14">
        <v>0.03</v>
      </c>
      <c r="S19" s="14">
        <v>0.04</v>
      </c>
      <c r="T19" s="14">
        <v>0.09</v>
      </c>
      <c r="U19" s="14">
        <v>7.0000000000000007E-2</v>
      </c>
      <c r="V19" s="14">
        <v>0.05</v>
      </c>
      <c r="W19" s="14">
        <v>0.06</v>
      </c>
      <c r="X19" s="14">
        <v>0.12</v>
      </c>
      <c r="Y19" s="14">
        <v>7.0000000000000007E-2</v>
      </c>
      <c r="Z19" s="14">
        <v>0.04</v>
      </c>
      <c r="AA19" s="14">
        <v>0.08</v>
      </c>
      <c r="AB19" s="14">
        <v>0.05</v>
      </c>
      <c r="AC19" s="14">
        <v>7.0000000000000007E-2</v>
      </c>
      <c r="AD19" s="14">
        <v>7.0000000000000007E-2</v>
      </c>
      <c r="AE19" s="14">
        <v>0.09</v>
      </c>
      <c r="AF19" s="14">
        <v>0.06</v>
      </c>
    </row>
    <row r="20" spans="1:32">
      <c r="A20" s="20"/>
      <c r="B20" s="11" t="s">
        <v>1545</v>
      </c>
      <c r="C20" s="12">
        <v>71</v>
      </c>
      <c r="D20" s="12">
        <v>3</v>
      </c>
      <c r="E20" s="12">
        <v>0</v>
      </c>
      <c r="F20" s="12">
        <v>2</v>
      </c>
      <c r="G20" s="12">
        <v>31</v>
      </c>
      <c r="H20" s="12">
        <v>0</v>
      </c>
      <c r="I20" s="12">
        <v>0</v>
      </c>
      <c r="J20" s="12">
        <v>0</v>
      </c>
      <c r="K20" s="12">
        <v>3</v>
      </c>
      <c r="L20" s="12">
        <v>0</v>
      </c>
      <c r="M20" s="12">
        <v>3</v>
      </c>
      <c r="N20" s="12">
        <v>14</v>
      </c>
      <c r="O20" s="12">
        <v>1</v>
      </c>
      <c r="P20" s="12">
        <v>1</v>
      </c>
      <c r="Q20" s="12">
        <v>0</v>
      </c>
      <c r="R20" s="12">
        <v>0</v>
      </c>
      <c r="S20" s="12">
        <v>8</v>
      </c>
      <c r="T20" s="12">
        <v>0</v>
      </c>
      <c r="U20" s="12">
        <v>5</v>
      </c>
      <c r="V20" s="12">
        <v>0</v>
      </c>
      <c r="W20" s="12">
        <v>6</v>
      </c>
      <c r="X20" s="12">
        <v>0</v>
      </c>
      <c r="Y20" s="12">
        <v>0</v>
      </c>
      <c r="Z20" s="12">
        <v>1</v>
      </c>
      <c r="AA20" s="12">
        <v>7</v>
      </c>
      <c r="AB20" s="12">
        <v>0</v>
      </c>
      <c r="AC20" s="12">
        <v>4</v>
      </c>
      <c r="AD20" s="12">
        <v>0</v>
      </c>
      <c r="AE20" s="12">
        <v>0</v>
      </c>
      <c r="AF20" s="12">
        <v>0</v>
      </c>
    </row>
    <row r="21" spans="1:32">
      <c r="A21" s="20"/>
      <c r="B21" s="13" t="s">
        <v>1546</v>
      </c>
      <c r="C21" s="15" t="s">
        <v>459</v>
      </c>
      <c r="D21" s="15" t="s">
        <v>459</v>
      </c>
      <c r="E21" s="15" t="s">
        <v>459</v>
      </c>
      <c r="F21" s="15" t="s">
        <v>459</v>
      </c>
      <c r="G21" s="14">
        <v>0.03</v>
      </c>
      <c r="H21" s="15" t="s">
        <v>459</v>
      </c>
      <c r="I21" s="15" t="s">
        <v>459</v>
      </c>
      <c r="J21" s="15" t="s">
        <v>459</v>
      </c>
      <c r="K21" s="15" t="s">
        <v>459</v>
      </c>
      <c r="L21" s="15" t="s">
        <v>459</v>
      </c>
      <c r="M21" s="15" t="s">
        <v>459</v>
      </c>
      <c r="N21" s="14">
        <v>0.02</v>
      </c>
      <c r="O21" s="15" t="s">
        <v>459</v>
      </c>
      <c r="P21" s="15" t="s">
        <v>459</v>
      </c>
      <c r="Q21" s="15" t="s">
        <v>459</v>
      </c>
      <c r="R21" s="15" t="s">
        <v>459</v>
      </c>
      <c r="S21" s="14">
        <v>0.01</v>
      </c>
      <c r="T21" s="15" t="s">
        <v>459</v>
      </c>
      <c r="U21" s="14">
        <v>0.01</v>
      </c>
      <c r="V21" s="15" t="s">
        <v>459</v>
      </c>
      <c r="W21" s="14">
        <v>0.01</v>
      </c>
      <c r="X21" s="15" t="s">
        <v>459</v>
      </c>
      <c r="Y21" s="15" t="s">
        <v>459</v>
      </c>
      <c r="Z21" s="15" t="s">
        <v>459</v>
      </c>
      <c r="AA21" s="14">
        <v>0.01</v>
      </c>
      <c r="AB21" s="15" t="s">
        <v>459</v>
      </c>
      <c r="AC21" s="15" t="s">
        <v>459</v>
      </c>
      <c r="AD21" s="15" t="s">
        <v>459</v>
      </c>
      <c r="AE21" s="15" t="s">
        <v>459</v>
      </c>
      <c r="AF21" s="15" t="s">
        <v>459</v>
      </c>
    </row>
    <row r="22" spans="1:32">
      <c r="A22" s="20"/>
      <c r="B22" s="11" t="s">
        <v>1494</v>
      </c>
      <c r="C22" s="12">
        <v>74</v>
      </c>
      <c r="D22" s="12">
        <v>2</v>
      </c>
      <c r="E22" s="12">
        <v>2</v>
      </c>
      <c r="F22" s="12">
        <v>2</v>
      </c>
      <c r="G22" s="12">
        <v>3</v>
      </c>
      <c r="H22" s="12">
        <v>1</v>
      </c>
      <c r="I22" s="12">
        <v>1</v>
      </c>
      <c r="J22" s="12">
        <v>0</v>
      </c>
      <c r="K22" s="12">
        <v>3</v>
      </c>
      <c r="L22" s="12">
        <v>5</v>
      </c>
      <c r="M22" s="12">
        <v>0</v>
      </c>
      <c r="N22" s="12">
        <v>4</v>
      </c>
      <c r="O22" s="12">
        <v>3</v>
      </c>
      <c r="P22" s="12">
        <v>0</v>
      </c>
      <c r="Q22" s="12">
        <v>12</v>
      </c>
      <c r="R22" s="12">
        <v>1</v>
      </c>
      <c r="S22" s="12">
        <v>4</v>
      </c>
      <c r="T22" s="12">
        <v>1</v>
      </c>
      <c r="U22" s="12">
        <v>1</v>
      </c>
      <c r="V22" s="12">
        <v>0</v>
      </c>
      <c r="W22" s="12">
        <v>1</v>
      </c>
      <c r="X22" s="12">
        <v>1</v>
      </c>
      <c r="Y22" s="12">
        <v>0</v>
      </c>
      <c r="Z22" s="12">
        <v>0</v>
      </c>
      <c r="AA22" s="12">
        <v>0</v>
      </c>
      <c r="AB22" s="12">
        <v>0</v>
      </c>
      <c r="AC22" s="12">
        <v>0</v>
      </c>
      <c r="AD22" s="12">
        <v>2</v>
      </c>
      <c r="AE22" s="12">
        <v>0</v>
      </c>
      <c r="AF22" s="12">
        <v>0</v>
      </c>
    </row>
    <row r="23" spans="1:32">
      <c r="A23" s="20"/>
      <c r="B23" s="13" t="s">
        <v>1495</v>
      </c>
      <c r="C23" s="15" t="s">
        <v>459</v>
      </c>
      <c r="D23" s="15" t="s">
        <v>459</v>
      </c>
      <c r="E23" s="15" t="s">
        <v>459</v>
      </c>
      <c r="F23" s="15" t="s">
        <v>459</v>
      </c>
      <c r="G23" s="15" t="s">
        <v>459</v>
      </c>
      <c r="H23" s="15" t="s">
        <v>459</v>
      </c>
      <c r="I23" s="15" t="s">
        <v>459</v>
      </c>
      <c r="J23" s="15" t="s">
        <v>459</v>
      </c>
      <c r="K23" s="15" t="s">
        <v>459</v>
      </c>
      <c r="L23" s="14">
        <v>0.01</v>
      </c>
      <c r="M23" s="15" t="s">
        <v>459</v>
      </c>
      <c r="N23" s="15" t="s">
        <v>459</v>
      </c>
      <c r="O23" s="15" t="s">
        <v>459</v>
      </c>
      <c r="P23" s="15" t="s">
        <v>459</v>
      </c>
      <c r="Q23" s="14">
        <v>0.01</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row r="24" spans="1:32">
      <c r="A24" s="20"/>
      <c r="B24" s="11" t="s">
        <v>468</v>
      </c>
      <c r="C24" s="12">
        <v>42</v>
      </c>
      <c r="D24" s="12">
        <v>2</v>
      </c>
      <c r="E24" s="12">
        <v>1</v>
      </c>
      <c r="F24" s="12">
        <v>14</v>
      </c>
      <c r="G24" s="12">
        <v>4</v>
      </c>
      <c r="H24" s="12">
        <v>1</v>
      </c>
      <c r="I24" s="12">
        <v>1</v>
      </c>
      <c r="J24" s="12">
        <v>0</v>
      </c>
      <c r="K24" s="12">
        <v>6</v>
      </c>
      <c r="L24" s="12">
        <v>4</v>
      </c>
      <c r="M24" s="12">
        <v>0</v>
      </c>
      <c r="N24" s="12">
        <v>2</v>
      </c>
      <c r="O24" s="12">
        <v>0</v>
      </c>
      <c r="P24" s="12">
        <v>0</v>
      </c>
      <c r="Q24" s="12">
        <v>2</v>
      </c>
      <c r="R24" s="12">
        <v>1</v>
      </c>
      <c r="S24" s="12">
        <v>2</v>
      </c>
      <c r="T24" s="12">
        <v>4</v>
      </c>
      <c r="U24" s="12">
        <v>0</v>
      </c>
      <c r="V24" s="12">
        <v>0</v>
      </c>
      <c r="W24" s="12">
        <v>1</v>
      </c>
      <c r="X24" s="12">
        <v>1</v>
      </c>
      <c r="Y24" s="12">
        <v>0</v>
      </c>
      <c r="Z24" s="12">
        <v>2</v>
      </c>
      <c r="AA24" s="12">
        <v>3</v>
      </c>
      <c r="AB24" s="12">
        <v>0</v>
      </c>
      <c r="AC24" s="12">
        <v>0</v>
      </c>
      <c r="AD24" s="12">
        <v>0</v>
      </c>
      <c r="AE24" s="12">
        <v>4</v>
      </c>
      <c r="AF24" s="12">
        <v>0</v>
      </c>
    </row>
    <row r="25" spans="1:32">
      <c r="A25" s="20"/>
      <c r="B25" s="13" t="s">
        <v>469</v>
      </c>
      <c r="C25" s="15" t="s">
        <v>459</v>
      </c>
      <c r="D25" s="15" t="s">
        <v>459</v>
      </c>
      <c r="E25" s="15" t="s">
        <v>459</v>
      </c>
      <c r="F25" s="14">
        <v>0.01</v>
      </c>
      <c r="G25" s="15" t="s">
        <v>459</v>
      </c>
      <c r="H25" s="15" t="s">
        <v>459</v>
      </c>
      <c r="I25" s="15" t="s">
        <v>459</v>
      </c>
      <c r="J25" s="15" t="s">
        <v>459</v>
      </c>
      <c r="K25" s="14">
        <v>0.01</v>
      </c>
      <c r="L25" s="15" t="s">
        <v>459</v>
      </c>
      <c r="M25" s="15" t="s">
        <v>459</v>
      </c>
      <c r="N25" s="15" t="s">
        <v>459</v>
      </c>
      <c r="O25" s="15" t="s">
        <v>459</v>
      </c>
      <c r="P25" s="15" t="s">
        <v>459</v>
      </c>
      <c r="Q25" s="15" t="s">
        <v>459</v>
      </c>
      <c r="R25" s="15" t="s">
        <v>459</v>
      </c>
      <c r="S25" s="15" t="s">
        <v>459</v>
      </c>
      <c r="T25" s="15" t="s">
        <v>459</v>
      </c>
      <c r="U25" s="15" t="s">
        <v>459</v>
      </c>
      <c r="V25" s="15" t="s">
        <v>459</v>
      </c>
      <c r="W25" s="15" t="s">
        <v>459</v>
      </c>
      <c r="X25" s="15" t="s">
        <v>459</v>
      </c>
      <c r="Y25" s="15" t="s">
        <v>459</v>
      </c>
      <c r="Z25" s="15" t="s">
        <v>459</v>
      </c>
      <c r="AA25" s="15" t="s">
        <v>459</v>
      </c>
      <c r="AB25" s="15" t="s">
        <v>459</v>
      </c>
      <c r="AC25" s="15" t="s">
        <v>459</v>
      </c>
      <c r="AD25" s="15" t="s">
        <v>459</v>
      </c>
      <c r="AE25" s="15" t="s">
        <v>459</v>
      </c>
      <c r="AF25" s="15" t="s">
        <v>459</v>
      </c>
    </row>
    <row r="26" spans="1:32">
      <c r="A26" s="20"/>
      <c r="B26" s="11" t="s">
        <v>1448</v>
      </c>
      <c r="C26" s="12">
        <v>19.54</v>
      </c>
      <c r="D26" s="12">
        <v>20.399999999999999</v>
      </c>
      <c r="E26" s="12">
        <v>19.89</v>
      </c>
      <c r="F26" s="12">
        <v>19.71</v>
      </c>
      <c r="G26" s="12">
        <v>25.74</v>
      </c>
      <c r="H26" s="12">
        <v>19.46</v>
      </c>
      <c r="I26" s="12">
        <v>19.510000000000002</v>
      </c>
      <c r="J26" s="12">
        <v>19.73</v>
      </c>
      <c r="K26" s="12">
        <v>20.48</v>
      </c>
      <c r="L26" s="12">
        <v>20.04</v>
      </c>
      <c r="M26" s="12">
        <v>18.53</v>
      </c>
      <c r="N26" s="12">
        <v>18.559999999999999</v>
      </c>
      <c r="O26" s="12">
        <v>19.37</v>
      </c>
      <c r="P26" s="12">
        <v>18.64</v>
      </c>
      <c r="Q26" s="12">
        <v>18.41</v>
      </c>
      <c r="R26" s="12">
        <v>20.22</v>
      </c>
      <c r="S26" s="12">
        <v>20.07</v>
      </c>
      <c r="T26" s="12">
        <v>20.14</v>
      </c>
      <c r="U26" s="12">
        <v>21.34</v>
      </c>
      <c r="V26" s="12">
        <v>18.52</v>
      </c>
      <c r="W26" s="12">
        <v>19.21</v>
      </c>
      <c r="X26" s="12">
        <v>22.46</v>
      </c>
      <c r="Y26" s="12">
        <v>18.940000000000001</v>
      </c>
      <c r="Z26" s="12">
        <v>19.690000000000001</v>
      </c>
      <c r="AA26" s="12">
        <v>16.36</v>
      </c>
      <c r="AB26" s="12">
        <v>18.559999999999999</v>
      </c>
      <c r="AC26" s="12">
        <v>20.22</v>
      </c>
      <c r="AD26" s="12">
        <v>19.84</v>
      </c>
      <c r="AE26" s="12">
        <v>24.88</v>
      </c>
      <c r="AF26" s="12">
        <v>26.03</v>
      </c>
    </row>
    <row r="27" spans="1:32">
      <c r="A27" s="20"/>
      <c r="B27" s="13" t="s">
        <v>1449</v>
      </c>
      <c r="C27" s="15" t="s">
        <v>459</v>
      </c>
      <c r="D27" s="15" t="s">
        <v>459</v>
      </c>
      <c r="E27" s="15" t="s">
        <v>459</v>
      </c>
      <c r="F27" s="15" t="s">
        <v>459</v>
      </c>
      <c r="G27" s="15" t="s">
        <v>459</v>
      </c>
      <c r="H27" s="15" t="s">
        <v>459</v>
      </c>
      <c r="I27" s="15" t="s">
        <v>459</v>
      </c>
      <c r="J27" s="15" t="s">
        <v>459</v>
      </c>
      <c r="K27" s="15" t="s">
        <v>459</v>
      </c>
      <c r="L27" s="15" t="s">
        <v>459</v>
      </c>
      <c r="M27" s="15" t="s">
        <v>459</v>
      </c>
      <c r="N27" s="15" t="s">
        <v>459</v>
      </c>
      <c r="O27" s="15" t="s">
        <v>459</v>
      </c>
      <c r="P27" s="15" t="s">
        <v>459</v>
      </c>
      <c r="Q27" s="15" t="s">
        <v>459</v>
      </c>
      <c r="R27" s="15" t="s">
        <v>459</v>
      </c>
      <c r="S27" s="15" t="s">
        <v>459</v>
      </c>
      <c r="T27" s="15" t="s">
        <v>459</v>
      </c>
      <c r="U27" s="15" t="s">
        <v>459</v>
      </c>
      <c r="V27" s="15" t="s">
        <v>459</v>
      </c>
      <c r="W27" s="15" t="s">
        <v>459</v>
      </c>
      <c r="X27" s="15" t="s">
        <v>459</v>
      </c>
      <c r="Y27" s="15" t="s">
        <v>459</v>
      </c>
      <c r="Z27" s="15" t="s">
        <v>459</v>
      </c>
      <c r="AA27" s="15" t="s">
        <v>459</v>
      </c>
      <c r="AB27" s="15" t="s">
        <v>459</v>
      </c>
      <c r="AC27" s="15" t="s">
        <v>459</v>
      </c>
      <c r="AD27" s="15" t="s">
        <v>459</v>
      </c>
      <c r="AE27" s="15" t="s">
        <v>459</v>
      </c>
      <c r="AF27" s="15" t="s">
        <v>459</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33"/>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353</v>
      </c>
      <c r="C3" s="18"/>
      <c r="D3" s="18"/>
      <c r="E3" s="18"/>
      <c r="F3" s="18"/>
      <c r="H3" s="18" t="s">
        <v>354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1547</v>
      </c>
      <c r="C12" s="12">
        <v>160</v>
      </c>
      <c r="D12" s="12">
        <v>9</v>
      </c>
      <c r="E12" s="12">
        <v>2</v>
      </c>
      <c r="F12" s="12">
        <v>3</v>
      </c>
      <c r="G12" s="12">
        <v>8</v>
      </c>
      <c r="H12" s="12">
        <v>2</v>
      </c>
      <c r="I12" s="12">
        <v>2</v>
      </c>
      <c r="J12" s="12">
        <v>0</v>
      </c>
      <c r="K12" s="12">
        <v>0</v>
      </c>
      <c r="L12" s="12">
        <v>9</v>
      </c>
      <c r="M12" s="12">
        <v>16</v>
      </c>
      <c r="N12" s="12">
        <v>27</v>
      </c>
      <c r="O12" s="12">
        <v>1</v>
      </c>
      <c r="P12" s="12">
        <v>8</v>
      </c>
      <c r="Q12" s="12">
        <v>3</v>
      </c>
      <c r="R12" s="12">
        <v>3</v>
      </c>
      <c r="S12" s="12">
        <v>3</v>
      </c>
      <c r="T12" s="12">
        <v>1</v>
      </c>
      <c r="U12" s="12">
        <v>0</v>
      </c>
      <c r="V12" s="12">
        <v>2</v>
      </c>
      <c r="W12" s="12">
        <v>7</v>
      </c>
      <c r="X12" s="12">
        <v>1</v>
      </c>
      <c r="Y12" s="12">
        <v>1</v>
      </c>
      <c r="Z12" s="12">
        <v>2</v>
      </c>
      <c r="AA12" s="12">
        <v>35</v>
      </c>
      <c r="AB12" s="12">
        <v>1</v>
      </c>
      <c r="AC12" s="12">
        <v>3</v>
      </c>
      <c r="AD12" s="12">
        <v>1</v>
      </c>
      <c r="AE12" s="12">
        <v>0</v>
      </c>
      <c r="AF12" s="12">
        <v>3</v>
      </c>
    </row>
    <row r="13" spans="1:32" ht="24.95">
      <c r="A13" s="20"/>
      <c r="B13" s="13" t="s">
        <v>1548</v>
      </c>
      <c r="C13" s="14">
        <v>0.01</v>
      </c>
      <c r="D13" s="14">
        <v>0.01</v>
      </c>
      <c r="E13" s="15" t="s">
        <v>459</v>
      </c>
      <c r="F13" s="15" t="s">
        <v>459</v>
      </c>
      <c r="G13" s="14">
        <v>0.01</v>
      </c>
      <c r="H13" s="15" t="s">
        <v>459</v>
      </c>
      <c r="I13" s="15" t="s">
        <v>459</v>
      </c>
      <c r="J13" s="15" t="s">
        <v>459</v>
      </c>
      <c r="K13" s="15" t="s">
        <v>459</v>
      </c>
      <c r="L13" s="14">
        <v>0.01</v>
      </c>
      <c r="M13" s="14">
        <v>0.02</v>
      </c>
      <c r="N13" s="14">
        <v>0.03</v>
      </c>
      <c r="O13" s="15" t="s">
        <v>459</v>
      </c>
      <c r="P13" s="14">
        <v>0.01</v>
      </c>
      <c r="Q13" s="15" t="s">
        <v>459</v>
      </c>
      <c r="R13" s="14">
        <v>0.01</v>
      </c>
      <c r="S13" s="15" t="s">
        <v>459</v>
      </c>
      <c r="T13" s="15" t="s">
        <v>459</v>
      </c>
      <c r="U13" s="15" t="s">
        <v>459</v>
      </c>
      <c r="V13" s="15" t="s">
        <v>459</v>
      </c>
      <c r="W13" s="14">
        <v>0.01</v>
      </c>
      <c r="X13" s="15" t="s">
        <v>459</v>
      </c>
      <c r="Y13" s="15" t="s">
        <v>459</v>
      </c>
      <c r="Z13" s="15" t="s">
        <v>459</v>
      </c>
      <c r="AA13" s="14">
        <v>0.03</v>
      </c>
      <c r="AB13" s="15" t="s">
        <v>459</v>
      </c>
      <c r="AC13" s="15" t="s">
        <v>459</v>
      </c>
      <c r="AD13" s="15" t="s">
        <v>459</v>
      </c>
      <c r="AE13" s="15" t="s">
        <v>459</v>
      </c>
      <c r="AF13" s="15" t="s">
        <v>459</v>
      </c>
    </row>
    <row r="14" spans="1:32">
      <c r="A14" s="20"/>
      <c r="B14" s="11" t="s">
        <v>1549</v>
      </c>
      <c r="C14" s="12">
        <v>1144</v>
      </c>
      <c r="D14" s="12">
        <v>40</v>
      </c>
      <c r="E14" s="12">
        <v>18</v>
      </c>
      <c r="F14" s="12">
        <v>2</v>
      </c>
      <c r="G14" s="12">
        <v>1</v>
      </c>
      <c r="H14" s="12">
        <v>14</v>
      </c>
      <c r="I14" s="12">
        <v>18</v>
      </c>
      <c r="J14" s="12">
        <v>4</v>
      </c>
      <c r="K14" s="12">
        <v>8</v>
      </c>
      <c r="L14" s="12">
        <v>46</v>
      </c>
      <c r="M14" s="12">
        <v>119</v>
      </c>
      <c r="N14" s="12">
        <v>91</v>
      </c>
      <c r="O14" s="12">
        <v>54</v>
      </c>
      <c r="P14" s="12">
        <v>8</v>
      </c>
      <c r="Q14" s="12">
        <v>47</v>
      </c>
      <c r="R14" s="12">
        <v>57</v>
      </c>
      <c r="S14" s="12">
        <v>19</v>
      </c>
      <c r="T14" s="12">
        <v>29</v>
      </c>
      <c r="U14" s="12">
        <v>36</v>
      </c>
      <c r="V14" s="12">
        <v>4</v>
      </c>
      <c r="W14" s="12">
        <v>74</v>
      </c>
      <c r="X14" s="12">
        <v>14</v>
      </c>
      <c r="Y14" s="12">
        <v>6</v>
      </c>
      <c r="Z14" s="12">
        <v>6</v>
      </c>
      <c r="AA14" s="12">
        <v>317</v>
      </c>
      <c r="AB14" s="12">
        <v>43</v>
      </c>
      <c r="AC14" s="12">
        <v>7</v>
      </c>
      <c r="AD14" s="12">
        <v>62</v>
      </c>
      <c r="AE14" s="12">
        <v>23</v>
      </c>
      <c r="AF14" s="12">
        <v>15</v>
      </c>
    </row>
    <row r="15" spans="1:32">
      <c r="A15" s="20"/>
      <c r="B15" s="13" t="s">
        <v>1550</v>
      </c>
      <c r="C15" s="14">
        <v>0.04</v>
      </c>
      <c r="D15" s="14">
        <v>0.04</v>
      </c>
      <c r="E15" s="14">
        <v>0.02</v>
      </c>
      <c r="F15" s="15" t="s">
        <v>459</v>
      </c>
      <c r="G15" s="15" t="s">
        <v>459</v>
      </c>
      <c r="H15" s="14">
        <v>0.01</v>
      </c>
      <c r="I15" s="14">
        <v>0.01</v>
      </c>
      <c r="J15" s="14">
        <v>0.01</v>
      </c>
      <c r="K15" s="14">
        <v>0.01</v>
      </c>
      <c r="L15" s="14">
        <v>0.05</v>
      </c>
      <c r="M15" s="14">
        <v>0.12</v>
      </c>
      <c r="N15" s="14">
        <v>0.09</v>
      </c>
      <c r="O15" s="14">
        <v>0.05</v>
      </c>
      <c r="P15" s="14">
        <v>0.01</v>
      </c>
      <c r="Q15" s="14">
        <v>0.05</v>
      </c>
      <c r="R15" s="14">
        <v>0.11</v>
      </c>
      <c r="S15" s="14">
        <v>0.02</v>
      </c>
      <c r="T15" s="14">
        <v>0.03</v>
      </c>
      <c r="U15" s="14">
        <v>7.0000000000000007E-2</v>
      </c>
      <c r="V15" s="15" t="s">
        <v>459</v>
      </c>
      <c r="W15" s="14">
        <v>0.15</v>
      </c>
      <c r="X15" s="14">
        <v>0.01</v>
      </c>
      <c r="Y15" s="14">
        <v>0.01</v>
      </c>
      <c r="Z15" s="14">
        <v>0.01</v>
      </c>
      <c r="AA15" s="14">
        <v>0.3</v>
      </c>
      <c r="AB15" s="14">
        <v>0.04</v>
      </c>
      <c r="AC15" s="14">
        <v>0.01</v>
      </c>
      <c r="AD15" s="14">
        <v>0.06</v>
      </c>
      <c r="AE15" s="14">
        <v>0.02</v>
      </c>
      <c r="AF15" s="14">
        <v>0.01</v>
      </c>
    </row>
    <row r="16" spans="1:32" ht="24.95">
      <c r="A16" s="20"/>
      <c r="B16" s="11" t="s">
        <v>1551</v>
      </c>
      <c r="C16" s="12">
        <v>5951</v>
      </c>
      <c r="D16" s="12">
        <v>151</v>
      </c>
      <c r="E16" s="12">
        <v>102</v>
      </c>
      <c r="F16" s="12">
        <v>99</v>
      </c>
      <c r="G16" s="12">
        <v>109</v>
      </c>
      <c r="H16" s="12">
        <v>529</v>
      </c>
      <c r="I16" s="12">
        <v>602</v>
      </c>
      <c r="J16" s="12">
        <v>73</v>
      </c>
      <c r="K16" s="12">
        <v>150</v>
      </c>
      <c r="L16" s="12">
        <v>98</v>
      </c>
      <c r="M16" s="12">
        <v>125</v>
      </c>
      <c r="N16" s="12">
        <v>154</v>
      </c>
      <c r="O16" s="12">
        <v>307</v>
      </c>
      <c r="P16" s="12">
        <v>82</v>
      </c>
      <c r="Q16" s="12">
        <v>265</v>
      </c>
      <c r="R16" s="12">
        <v>28</v>
      </c>
      <c r="S16" s="12">
        <v>89</v>
      </c>
      <c r="T16" s="12">
        <v>154</v>
      </c>
      <c r="U16" s="12">
        <v>58</v>
      </c>
      <c r="V16" s="12">
        <v>395</v>
      </c>
      <c r="W16" s="12">
        <v>84</v>
      </c>
      <c r="X16" s="12">
        <v>90</v>
      </c>
      <c r="Y16" s="12">
        <v>74</v>
      </c>
      <c r="Z16" s="12">
        <v>86</v>
      </c>
      <c r="AA16" s="12">
        <v>208</v>
      </c>
      <c r="AB16" s="12">
        <v>145</v>
      </c>
      <c r="AC16" s="12">
        <v>278</v>
      </c>
      <c r="AD16" s="12">
        <v>229</v>
      </c>
      <c r="AE16" s="12">
        <v>159</v>
      </c>
      <c r="AF16" s="12">
        <v>54</v>
      </c>
    </row>
    <row r="17" spans="1:32">
      <c r="A17" s="20"/>
      <c r="B17" s="13" t="s">
        <v>1552</v>
      </c>
      <c r="C17" s="14">
        <v>0.23</v>
      </c>
      <c r="D17" s="14">
        <v>0.15</v>
      </c>
      <c r="E17" s="14">
        <v>0.1</v>
      </c>
      <c r="F17" s="14">
        <v>0.1</v>
      </c>
      <c r="G17" s="14">
        <v>0.11</v>
      </c>
      <c r="H17" s="14">
        <v>0.44</v>
      </c>
      <c r="I17" s="14">
        <v>0.4</v>
      </c>
      <c r="J17" s="14">
        <v>0.25</v>
      </c>
      <c r="K17" s="14">
        <v>0.15</v>
      </c>
      <c r="L17" s="14">
        <v>0.1</v>
      </c>
      <c r="M17" s="14">
        <v>0.12</v>
      </c>
      <c r="N17" s="14">
        <v>0.15</v>
      </c>
      <c r="O17" s="14">
        <v>0.31</v>
      </c>
      <c r="P17" s="14">
        <v>0.08</v>
      </c>
      <c r="Q17" s="14">
        <v>0.26</v>
      </c>
      <c r="R17" s="14">
        <v>0.05</v>
      </c>
      <c r="S17" s="14">
        <v>0.09</v>
      </c>
      <c r="T17" s="14">
        <v>0.15</v>
      </c>
      <c r="U17" s="14">
        <v>0.12</v>
      </c>
      <c r="V17" s="14">
        <v>0.39</v>
      </c>
      <c r="W17" s="14">
        <v>0.17</v>
      </c>
      <c r="X17" s="14">
        <v>0.09</v>
      </c>
      <c r="Y17" s="14">
        <v>7.0000000000000007E-2</v>
      </c>
      <c r="Z17" s="14">
        <v>0.08</v>
      </c>
      <c r="AA17" s="14">
        <v>0.2</v>
      </c>
      <c r="AB17" s="14">
        <v>0.14000000000000001</v>
      </c>
      <c r="AC17" s="14">
        <v>0.28000000000000003</v>
      </c>
      <c r="AD17" s="14">
        <v>0.23</v>
      </c>
      <c r="AE17" s="14">
        <v>0.16</v>
      </c>
      <c r="AF17" s="14">
        <v>0.05</v>
      </c>
    </row>
    <row r="18" spans="1:32" ht="24.95">
      <c r="A18" s="20"/>
      <c r="B18" s="11" t="s">
        <v>1553</v>
      </c>
      <c r="C18" s="12">
        <v>9504</v>
      </c>
      <c r="D18" s="12">
        <v>376</v>
      </c>
      <c r="E18" s="12">
        <v>603</v>
      </c>
      <c r="F18" s="12">
        <v>686</v>
      </c>
      <c r="G18" s="12">
        <v>265</v>
      </c>
      <c r="H18" s="12">
        <v>355</v>
      </c>
      <c r="I18" s="12">
        <v>474</v>
      </c>
      <c r="J18" s="12">
        <v>119</v>
      </c>
      <c r="K18" s="12">
        <v>347</v>
      </c>
      <c r="L18" s="12">
        <v>275</v>
      </c>
      <c r="M18" s="12">
        <v>426</v>
      </c>
      <c r="N18" s="12">
        <v>138</v>
      </c>
      <c r="O18" s="12">
        <v>216</v>
      </c>
      <c r="P18" s="12">
        <v>712</v>
      </c>
      <c r="Q18" s="12">
        <v>519</v>
      </c>
      <c r="R18" s="12">
        <v>168</v>
      </c>
      <c r="S18" s="12">
        <v>437</v>
      </c>
      <c r="T18" s="12">
        <v>313</v>
      </c>
      <c r="U18" s="12">
        <v>101</v>
      </c>
      <c r="V18" s="12">
        <v>377</v>
      </c>
      <c r="W18" s="12">
        <v>73</v>
      </c>
      <c r="X18" s="12">
        <v>279</v>
      </c>
      <c r="Y18" s="12">
        <v>75</v>
      </c>
      <c r="Z18" s="12">
        <v>692</v>
      </c>
      <c r="AA18" s="12">
        <v>313</v>
      </c>
      <c r="AB18" s="12">
        <v>655</v>
      </c>
      <c r="AC18" s="12">
        <v>335</v>
      </c>
      <c r="AD18" s="12">
        <v>423</v>
      </c>
      <c r="AE18" s="12">
        <v>205</v>
      </c>
      <c r="AF18" s="12">
        <v>214</v>
      </c>
    </row>
    <row r="19" spans="1:32">
      <c r="A19" s="20"/>
      <c r="B19" s="13" t="s">
        <v>1554</v>
      </c>
      <c r="C19" s="14">
        <v>0.36</v>
      </c>
      <c r="D19" s="14">
        <v>0.38</v>
      </c>
      <c r="E19" s="14">
        <v>0.59</v>
      </c>
      <c r="F19" s="14">
        <v>0.68</v>
      </c>
      <c r="G19" s="14">
        <v>0.26</v>
      </c>
      <c r="H19" s="14">
        <v>0.28999999999999998</v>
      </c>
      <c r="I19" s="14">
        <v>0.31</v>
      </c>
      <c r="J19" s="14">
        <v>0.4</v>
      </c>
      <c r="K19" s="14">
        <v>0.34</v>
      </c>
      <c r="L19" s="14">
        <v>0.27</v>
      </c>
      <c r="M19" s="14">
        <v>0.43</v>
      </c>
      <c r="N19" s="14">
        <v>0.14000000000000001</v>
      </c>
      <c r="O19" s="14">
        <v>0.22</v>
      </c>
      <c r="P19" s="14">
        <v>0.70000000000000007</v>
      </c>
      <c r="Q19" s="14">
        <v>0.51</v>
      </c>
      <c r="R19" s="14">
        <v>0.34</v>
      </c>
      <c r="S19" s="14">
        <v>0.43</v>
      </c>
      <c r="T19" s="14">
        <v>0.31</v>
      </c>
      <c r="U19" s="14">
        <v>0.2</v>
      </c>
      <c r="V19" s="14">
        <v>0.37</v>
      </c>
      <c r="W19" s="14">
        <v>0.14000000000000001</v>
      </c>
      <c r="X19" s="14">
        <v>0.27</v>
      </c>
      <c r="Y19" s="14">
        <v>0.08</v>
      </c>
      <c r="Z19" s="14">
        <v>0.69000000000000006</v>
      </c>
      <c r="AA19" s="14">
        <v>0.3</v>
      </c>
      <c r="AB19" s="14">
        <v>0.63</v>
      </c>
      <c r="AC19" s="14">
        <v>0.33</v>
      </c>
      <c r="AD19" s="14">
        <v>0.42</v>
      </c>
      <c r="AE19" s="14">
        <v>0.2</v>
      </c>
      <c r="AF19" s="14">
        <v>0.21</v>
      </c>
    </row>
    <row r="20" spans="1:32" ht="24.95">
      <c r="A20" s="20"/>
      <c r="B20" s="11" t="s">
        <v>1555</v>
      </c>
      <c r="C20" s="12">
        <v>1976</v>
      </c>
      <c r="D20" s="12">
        <v>56</v>
      </c>
      <c r="E20" s="12">
        <v>0</v>
      </c>
      <c r="F20" s="12">
        <v>22</v>
      </c>
      <c r="G20" s="12">
        <v>105</v>
      </c>
      <c r="H20" s="12">
        <v>55</v>
      </c>
      <c r="I20" s="12">
        <v>71</v>
      </c>
      <c r="J20" s="12">
        <v>17</v>
      </c>
      <c r="K20" s="12">
        <v>128</v>
      </c>
      <c r="L20" s="12">
        <v>92</v>
      </c>
      <c r="M20" s="12">
        <v>61</v>
      </c>
      <c r="N20" s="12">
        <v>326</v>
      </c>
      <c r="O20" s="12">
        <v>25</v>
      </c>
      <c r="P20" s="12">
        <v>8</v>
      </c>
      <c r="Q20" s="12">
        <v>11</v>
      </c>
      <c r="R20" s="12">
        <v>10</v>
      </c>
      <c r="S20" s="12">
        <v>106</v>
      </c>
      <c r="T20" s="12">
        <v>89</v>
      </c>
      <c r="U20" s="12">
        <v>66</v>
      </c>
      <c r="V20" s="12">
        <v>61</v>
      </c>
      <c r="W20" s="12">
        <v>58</v>
      </c>
      <c r="X20" s="12">
        <v>8</v>
      </c>
      <c r="Y20" s="12">
        <v>457</v>
      </c>
      <c r="Z20" s="12">
        <v>19</v>
      </c>
      <c r="AA20" s="12">
        <v>16</v>
      </c>
      <c r="AB20" s="12">
        <v>40</v>
      </c>
      <c r="AC20" s="12">
        <v>42</v>
      </c>
      <c r="AD20" s="12">
        <v>21</v>
      </c>
      <c r="AE20" s="12">
        <v>45</v>
      </c>
      <c r="AF20" s="12">
        <v>113</v>
      </c>
    </row>
    <row r="21" spans="1:32" ht="36.950000000000003">
      <c r="A21" s="20"/>
      <c r="B21" s="13" t="s">
        <v>1556</v>
      </c>
      <c r="C21" s="14">
        <v>0.08</v>
      </c>
      <c r="D21" s="14">
        <v>0.06</v>
      </c>
      <c r="E21" s="15" t="s">
        <v>459</v>
      </c>
      <c r="F21" s="14">
        <v>0.02</v>
      </c>
      <c r="G21" s="14">
        <v>0.1</v>
      </c>
      <c r="H21" s="14">
        <v>0.05</v>
      </c>
      <c r="I21" s="14">
        <v>0.05</v>
      </c>
      <c r="J21" s="14">
        <v>0.06</v>
      </c>
      <c r="K21" s="14">
        <v>0.13</v>
      </c>
      <c r="L21" s="14">
        <v>0.09</v>
      </c>
      <c r="M21" s="14">
        <v>0.06</v>
      </c>
      <c r="N21" s="14">
        <v>0.32</v>
      </c>
      <c r="O21" s="14">
        <v>0.02</v>
      </c>
      <c r="P21" s="14">
        <v>0.01</v>
      </c>
      <c r="Q21" s="14">
        <v>0.01</v>
      </c>
      <c r="R21" s="14">
        <v>0.02</v>
      </c>
      <c r="S21" s="14">
        <v>0.11</v>
      </c>
      <c r="T21" s="14">
        <v>0.09</v>
      </c>
      <c r="U21" s="14">
        <v>0.13</v>
      </c>
      <c r="V21" s="14">
        <v>0.06</v>
      </c>
      <c r="W21" s="14">
        <v>0.12</v>
      </c>
      <c r="X21" s="14">
        <v>0.01</v>
      </c>
      <c r="Y21" s="14">
        <v>0.45</v>
      </c>
      <c r="Z21" s="14">
        <v>0.02</v>
      </c>
      <c r="AA21" s="14">
        <v>0.02</v>
      </c>
      <c r="AB21" s="14">
        <v>0.04</v>
      </c>
      <c r="AC21" s="14">
        <v>0.04</v>
      </c>
      <c r="AD21" s="14">
        <v>0.02</v>
      </c>
      <c r="AE21" s="14">
        <v>0.05</v>
      </c>
      <c r="AF21" s="14">
        <v>0.11</v>
      </c>
    </row>
    <row r="22" spans="1:32" ht="24.95">
      <c r="A22" s="20"/>
      <c r="B22" s="11" t="s">
        <v>1557</v>
      </c>
      <c r="C22" s="12">
        <v>1712</v>
      </c>
      <c r="D22" s="12">
        <v>132</v>
      </c>
      <c r="E22" s="12">
        <v>0</v>
      </c>
      <c r="F22" s="12">
        <v>5</v>
      </c>
      <c r="G22" s="12">
        <v>196</v>
      </c>
      <c r="H22" s="12">
        <v>30</v>
      </c>
      <c r="I22" s="12">
        <v>54</v>
      </c>
      <c r="J22" s="12">
        <v>24</v>
      </c>
      <c r="K22" s="12">
        <v>48</v>
      </c>
      <c r="L22" s="12">
        <v>98</v>
      </c>
      <c r="M22" s="12">
        <v>0</v>
      </c>
      <c r="N22" s="12">
        <v>93</v>
      </c>
      <c r="O22" s="12">
        <v>169</v>
      </c>
      <c r="P22" s="12">
        <v>60</v>
      </c>
      <c r="Q22" s="12">
        <v>10</v>
      </c>
      <c r="R22" s="12">
        <v>41</v>
      </c>
      <c r="S22" s="12">
        <v>69</v>
      </c>
      <c r="T22" s="12">
        <v>0</v>
      </c>
      <c r="U22" s="12">
        <v>55</v>
      </c>
      <c r="V22" s="12">
        <v>15</v>
      </c>
      <c r="W22" s="12">
        <v>52</v>
      </c>
      <c r="X22" s="12">
        <v>49</v>
      </c>
      <c r="Y22" s="12">
        <v>234</v>
      </c>
      <c r="Z22" s="12">
        <v>0</v>
      </c>
      <c r="AA22" s="12">
        <v>12</v>
      </c>
      <c r="AB22" s="12">
        <v>7</v>
      </c>
      <c r="AC22" s="12">
        <v>85</v>
      </c>
      <c r="AD22" s="12">
        <v>0</v>
      </c>
      <c r="AE22" s="12">
        <v>108</v>
      </c>
      <c r="AF22" s="12">
        <v>178</v>
      </c>
    </row>
    <row r="23" spans="1:32">
      <c r="A23" s="20"/>
      <c r="B23" s="13" t="s">
        <v>1558</v>
      </c>
      <c r="C23" s="14">
        <v>0.06</v>
      </c>
      <c r="D23" s="14">
        <v>0.13</v>
      </c>
      <c r="E23" s="15" t="s">
        <v>459</v>
      </c>
      <c r="F23" s="14">
        <v>0.01</v>
      </c>
      <c r="G23" s="14">
        <v>0.2</v>
      </c>
      <c r="H23" s="14">
        <v>0.02</v>
      </c>
      <c r="I23" s="14">
        <v>0.04</v>
      </c>
      <c r="J23" s="14">
        <v>0.08</v>
      </c>
      <c r="K23" s="14">
        <v>0.05</v>
      </c>
      <c r="L23" s="14">
        <v>0.1</v>
      </c>
      <c r="M23" s="15" t="s">
        <v>459</v>
      </c>
      <c r="N23" s="14">
        <v>0.09</v>
      </c>
      <c r="O23" s="14">
        <v>0.17</v>
      </c>
      <c r="P23" s="14">
        <v>0.06</v>
      </c>
      <c r="Q23" s="14">
        <v>0.01</v>
      </c>
      <c r="R23" s="14">
        <v>0.08</v>
      </c>
      <c r="S23" s="14">
        <v>7.0000000000000007E-2</v>
      </c>
      <c r="T23" s="15" t="s">
        <v>459</v>
      </c>
      <c r="U23" s="14">
        <v>0.11</v>
      </c>
      <c r="V23" s="14">
        <v>0.02</v>
      </c>
      <c r="W23" s="14">
        <v>0.1</v>
      </c>
      <c r="X23" s="14">
        <v>0.05</v>
      </c>
      <c r="Y23" s="14">
        <v>0.23</v>
      </c>
      <c r="Z23" s="15" t="s">
        <v>459</v>
      </c>
      <c r="AA23" s="14">
        <v>0.01</v>
      </c>
      <c r="AB23" s="14">
        <v>0.01</v>
      </c>
      <c r="AC23" s="14">
        <v>0.08</v>
      </c>
      <c r="AD23" s="15" t="s">
        <v>459</v>
      </c>
      <c r="AE23" s="14">
        <v>0.11</v>
      </c>
      <c r="AF23" s="14">
        <v>0.18</v>
      </c>
    </row>
    <row r="24" spans="1:32">
      <c r="A24" s="20"/>
      <c r="B24" s="11" t="s">
        <v>1559</v>
      </c>
      <c r="C24" s="12">
        <v>2729</v>
      </c>
      <c r="D24" s="12">
        <v>110</v>
      </c>
      <c r="E24" s="12">
        <v>158</v>
      </c>
      <c r="F24" s="12">
        <v>80</v>
      </c>
      <c r="G24" s="12">
        <v>117</v>
      </c>
      <c r="H24" s="12">
        <v>69</v>
      </c>
      <c r="I24" s="12">
        <v>87</v>
      </c>
      <c r="J24" s="12">
        <v>18</v>
      </c>
      <c r="K24" s="12">
        <v>158</v>
      </c>
      <c r="L24" s="12">
        <v>234</v>
      </c>
      <c r="M24" s="12">
        <v>209</v>
      </c>
      <c r="N24" s="12">
        <v>121</v>
      </c>
      <c r="O24" s="12">
        <v>120</v>
      </c>
      <c r="P24" s="12">
        <v>28</v>
      </c>
      <c r="Q24" s="12">
        <v>40</v>
      </c>
      <c r="R24" s="12">
        <v>144</v>
      </c>
      <c r="S24" s="12">
        <v>125</v>
      </c>
      <c r="T24" s="12">
        <v>323</v>
      </c>
      <c r="U24" s="12">
        <v>59</v>
      </c>
      <c r="V24" s="12">
        <v>106</v>
      </c>
      <c r="W24" s="12">
        <v>79</v>
      </c>
      <c r="X24" s="12">
        <v>297</v>
      </c>
      <c r="Y24" s="12">
        <v>74</v>
      </c>
      <c r="Z24" s="12">
        <v>54</v>
      </c>
      <c r="AA24" s="12">
        <v>120</v>
      </c>
      <c r="AB24" s="12">
        <v>122</v>
      </c>
      <c r="AC24" s="12">
        <v>149</v>
      </c>
      <c r="AD24" s="12">
        <v>58</v>
      </c>
      <c r="AE24" s="12">
        <v>249</v>
      </c>
      <c r="AF24" s="12">
        <v>199</v>
      </c>
    </row>
    <row r="25" spans="1:32">
      <c r="A25" s="20"/>
      <c r="B25" s="13" t="s">
        <v>1560</v>
      </c>
      <c r="C25" s="14">
        <v>0.1</v>
      </c>
      <c r="D25" s="14">
        <v>0.11</v>
      </c>
      <c r="E25" s="14">
        <v>0.16</v>
      </c>
      <c r="F25" s="14">
        <v>0.08</v>
      </c>
      <c r="G25" s="14">
        <v>0.12</v>
      </c>
      <c r="H25" s="14">
        <v>0.06</v>
      </c>
      <c r="I25" s="14">
        <v>0.06</v>
      </c>
      <c r="J25" s="14">
        <v>0.06</v>
      </c>
      <c r="K25" s="14">
        <v>0.16</v>
      </c>
      <c r="L25" s="14">
        <v>0.23</v>
      </c>
      <c r="M25" s="14">
        <v>0.21</v>
      </c>
      <c r="N25" s="14">
        <v>0.12</v>
      </c>
      <c r="O25" s="14">
        <v>0.12</v>
      </c>
      <c r="P25" s="14">
        <v>0.02</v>
      </c>
      <c r="Q25" s="14">
        <v>0.04</v>
      </c>
      <c r="R25" s="14">
        <v>0.28999999999999998</v>
      </c>
      <c r="S25" s="14">
        <v>0.12</v>
      </c>
      <c r="T25" s="14">
        <v>0.32</v>
      </c>
      <c r="U25" s="14">
        <v>0.12</v>
      </c>
      <c r="V25" s="14">
        <v>0.1</v>
      </c>
      <c r="W25" s="14">
        <v>0.16</v>
      </c>
      <c r="X25" s="14">
        <v>0.28999999999999998</v>
      </c>
      <c r="Y25" s="14">
        <v>0.08</v>
      </c>
      <c r="Z25" s="14">
        <v>0.05</v>
      </c>
      <c r="AA25" s="14">
        <v>0.11</v>
      </c>
      <c r="AB25" s="14">
        <v>0.12</v>
      </c>
      <c r="AC25" s="14">
        <v>0.15</v>
      </c>
      <c r="AD25" s="14">
        <v>0.06</v>
      </c>
      <c r="AE25" s="14">
        <v>0.25</v>
      </c>
      <c r="AF25" s="14">
        <v>0.2</v>
      </c>
    </row>
    <row r="26" spans="1:32">
      <c r="A26" s="20"/>
      <c r="B26" s="11" t="s">
        <v>1561</v>
      </c>
      <c r="C26" s="12">
        <v>2854</v>
      </c>
      <c r="D26" s="12">
        <v>124</v>
      </c>
      <c r="E26" s="12">
        <v>132</v>
      </c>
      <c r="F26" s="12">
        <v>101</v>
      </c>
      <c r="G26" s="12">
        <v>190</v>
      </c>
      <c r="H26" s="12">
        <v>143</v>
      </c>
      <c r="I26" s="12">
        <v>178</v>
      </c>
      <c r="J26" s="12">
        <v>35</v>
      </c>
      <c r="K26" s="12">
        <v>158</v>
      </c>
      <c r="L26" s="12">
        <v>137</v>
      </c>
      <c r="M26" s="12">
        <v>43</v>
      </c>
      <c r="N26" s="12">
        <v>45</v>
      </c>
      <c r="O26" s="12">
        <v>93</v>
      </c>
      <c r="P26" s="12">
        <v>92</v>
      </c>
      <c r="Q26" s="12">
        <v>123</v>
      </c>
      <c r="R26" s="12">
        <v>48</v>
      </c>
      <c r="S26" s="12">
        <v>155</v>
      </c>
      <c r="T26" s="12">
        <v>103</v>
      </c>
      <c r="U26" s="12">
        <v>118</v>
      </c>
      <c r="V26" s="12">
        <v>57</v>
      </c>
      <c r="W26" s="12">
        <v>62</v>
      </c>
      <c r="X26" s="12">
        <v>254</v>
      </c>
      <c r="Y26" s="12">
        <v>74</v>
      </c>
      <c r="Z26" s="12">
        <v>148</v>
      </c>
      <c r="AA26" s="12">
        <v>30</v>
      </c>
      <c r="AB26" s="12">
        <v>24</v>
      </c>
      <c r="AC26" s="12">
        <v>99</v>
      </c>
      <c r="AD26" s="12">
        <v>201</v>
      </c>
      <c r="AE26" s="12">
        <v>189</v>
      </c>
      <c r="AF26" s="12">
        <v>197</v>
      </c>
    </row>
    <row r="27" spans="1:32">
      <c r="A27" s="20"/>
      <c r="B27" s="13" t="s">
        <v>1562</v>
      </c>
      <c r="C27" s="14">
        <v>0.11</v>
      </c>
      <c r="D27" s="14">
        <v>0.12</v>
      </c>
      <c r="E27" s="14">
        <v>0.13</v>
      </c>
      <c r="F27" s="14">
        <v>0.1</v>
      </c>
      <c r="G27" s="14">
        <v>0.19</v>
      </c>
      <c r="H27" s="14">
        <v>0.12</v>
      </c>
      <c r="I27" s="14">
        <v>0.12</v>
      </c>
      <c r="J27" s="14">
        <v>0.12</v>
      </c>
      <c r="K27" s="14">
        <v>0.15</v>
      </c>
      <c r="L27" s="14">
        <v>0.14000000000000001</v>
      </c>
      <c r="M27" s="14">
        <v>0.04</v>
      </c>
      <c r="N27" s="14">
        <v>0.05</v>
      </c>
      <c r="O27" s="14">
        <v>0.09</v>
      </c>
      <c r="P27" s="14">
        <v>0.09</v>
      </c>
      <c r="Q27" s="14">
        <v>0.12</v>
      </c>
      <c r="R27" s="14">
        <v>0.1</v>
      </c>
      <c r="S27" s="14">
        <v>0.15</v>
      </c>
      <c r="T27" s="14">
        <v>0.1</v>
      </c>
      <c r="U27" s="14">
        <v>0.23</v>
      </c>
      <c r="V27" s="14">
        <v>0.06</v>
      </c>
      <c r="W27" s="14">
        <v>0.12</v>
      </c>
      <c r="X27" s="14">
        <v>0.25</v>
      </c>
      <c r="Y27" s="14">
        <v>7.0000000000000007E-2</v>
      </c>
      <c r="Z27" s="14">
        <v>0.15</v>
      </c>
      <c r="AA27" s="14">
        <v>0.03</v>
      </c>
      <c r="AB27" s="14">
        <v>0.02</v>
      </c>
      <c r="AC27" s="14">
        <v>0.1</v>
      </c>
      <c r="AD27" s="14">
        <v>0.2</v>
      </c>
      <c r="AE27" s="14">
        <v>0.19</v>
      </c>
      <c r="AF27" s="14">
        <v>0.19</v>
      </c>
    </row>
    <row r="28" spans="1:32">
      <c r="A28" s="20"/>
      <c r="B28" s="11" t="s">
        <v>1563</v>
      </c>
      <c r="C28" s="12">
        <v>242</v>
      </c>
      <c r="D28" s="12">
        <v>5</v>
      </c>
      <c r="E28" s="12">
        <v>3</v>
      </c>
      <c r="F28" s="12">
        <v>5</v>
      </c>
      <c r="G28" s="12">
        <v>11</v>
      </c>
      <c r="H28" s="12">
        <v>16</v>
      </c>
      <c r="I28" s="12">
        <v>19</v>
      </c>
      <c r="J28" s="12">
        <v>2</v>
      </c>
      <c r="K28" s="12">
        <v>8</v>
      </c>
      <c r="L28" s="12">
        <v>15</v>
      </c>
      <c r="M28" s="12">
        <v>3</v>
      </c>
      <c r="N28" s="12">
        <v>5</v>
      </c>
      <c r="O28" s="12">
        <v>16</v>
      </c>
      <c r="P28" s="12">
        <v>22</v>
      </c>
      <c r="Q28" s="12">
        <v>1</v>
      </c>
      <c r="R28" s="12">
        <v>1</v>
      </c>
      <c r="S28" s="12">
        <v>6</v>
      </c>
      <c r="T28" s="12">
        <v>2</v>
      </c>
      <c r="U28" s="12">
        <v>11</v>
      </c>
      <c r="V28" s="12">
        <v>2</v>
      </c>
      <c r="W28" s="12">
        <v>14</v>
      </c>
      <c r="X28" s="12">
        <v>28</v>
      </c>
      <c r="Y28" s="12">
        <v>13</v>
      </c>
      <c r="Z28" s="12">
        <v>1</v>
      </c>
      <c r="AA28" s="12">
        <v>2</v>
      </c>
      <c r="AB28" s="12">
        <v>1</v>
      </c>
      <c r="AC28" s="12">
        <v>13</v>
      </c>
      <c r="AD28" s="12">
        <v>11</v>
      </c>
      <c r="AE28" s="12">
        <v>23</v>
      </c>
      <c r="AF28" s="12">
        <v>38</v>
      </c>
    </row>
    <row r="29" spans="1:32">
      <c r="A29" s="20"/>
      <c r="B29" s="13" t="s">
        <v>1564</v>
      </c>
      <c r="C29" s="14">
        <v>0.01</v>
      </c>
      <c r="D29" s="15" t="s">
        <v>459</v>
      </c>
      <c r="E29" s="15" t="s">
        <v>459</v>
      </c>
      <c r="F29" s="14">
        <v>0.01</v>
      </c>
      <c r="G29" s="14">
        <v>0.01</v>
      </c>
      <c r="H29" s="14">
        <v>0.01</v>
      </c>
      <c r="I29" s="14">
        <v>0.01</v>
      </c>
      <c r="J29" s="14">
        <v>0.01</v>
      </c>
      <c r="K29" s="14">
        <v>0.01</v>
      </c>
      <c r="L29" s="14">
        <v>0.01</v>
      </c>
      <c r="M29" s="15" t="s">
        <v>459</v>
      </c>
      <c r="N29" s="14">
        <v>0.01</v>
      </c>
      <c r="O29" s="14">
        <v>0.02</v>
      </c>
      <c r="P29" s="14">
        <v>0.02</v>
      </c>
      <c r="Q29" s="15" t="s">
        <v>459</v>
      </c>
      <c r="R29" s="15" t="s">
        <v>459</v>
      </c>
      <c r="S29" s="14">
        <v>0.01</v>
      </c>
      <c r="T29" s="15" t="s">
        <v>459</v>
      </c>
      <c r="U29" s="14">
        <v>0.02</v>
      </c>
      <c r="V29" s="15" t="s">
        <v>459</v>
      </c>
      <c r="W29" s="14">
        <v>0.03</v>
      </c>
      <c r="X29" s="14">
        <v>0.03</v>
      </c>
      <c r="Y29" s="14">
        <v>0.01</v>
      </c>
      <c r="Z29" s="15" t="s">
        <v>459</v>
      </c>
      <c r="AA29" s="15" t="s">
        <v>459</v>
      </c>
      <c r="AB29" s="15" t="s">
        <v>459</v>
      </c>
      <c r="AC29" s="14">
        <v>0.01</v>
      </c>
      <c r="AD29" s="14">
        <v>0.01</v>
      </c>
      <c r="AE29" s="14">
        <v>0.02</v>
      </c>
      <c r="AF29" s="14">
        <v>0.04</v>
      </c>
    </row>
    <row r="30" spans="1:32">
      <c r="A30" s="20"/>
      <c r="B30" s="11" t="s">
        <v>1494</v>
      </c>
      <c r="C30" s="12">
        <v>30</v>
      </c>
      <c r="D30" s="12">
        <v>0</v>
      </c>
      <c r="E30" s="12">
        <v>0</v>
      </c>
      <c r="F30" s="12">
        <v>2</v>
      </c>
      <c r="G30" s="12">
        <v>0</v>
      </c>
      <c r="H30" s="12">
        <v>1</v>
      </c>
      <c r="I30" s="12">
        <v>3</v>
      </c>
      <c r="J30" s="12">
        <v>2</v>
      </c>
      <c r="K30" s="12">
        <v>1</v>
      </c>
      <c r="L30" s="12">
        <v>4</v>
      </c>
      <c r="M30" s="12">
        <v>0</v>
      </c>
      <c r="N30" s="12">
        <v>3</v>
      </c>
      <c r="O30" s="12">
        <v>3</v>
      </c>
      <c r="P30" s="12">
        <v>1</v>
      </c>
      <c r="Q30" s="12">
        <v>0</v>
      </c>
      <c r="R30" s="12">
        <v>0</v>
      </c>
      <c r="S30" s="12">
        <v>0</v>
      </c>
      <c r="T30" s="12">
        <v>0</v>
      </c>
      <c r="U30" s="12">
        <v>1</v>
      </c>
      <c r="V30" s="12">
        <v>0</v>
      </c>
      <c r="W30" s="12">
        <v>0</v>
      </c>
      <c r="X30" s="12">
        <v>1</v>
      </c>
      <c r="Y30" s="12">
        <v>0</v>
      </c>
      <c r="Z30" s="12">
        <v>0</v>
      </c>
      <c r="AA30" s="12">
        <v>0</v>
      </c>
      <c r="AB30" s="12">
        <v>0</v>
      </c>
      <c r="AC30" s="12">
        <v>0</v>
      </c>
      <c r="AD30" s="12">
        <v>0</v>
      </c>
      <c r="AE30" s="12">
        <v>1</v>
      </c>
      <c r="AF30" s="12">
        <v>0</v>
      </c>
    </row>
    <row r="31" spans="1:32">
      <c r="A31" s="20"/>
      <c r="B31" s="13" t="s">
        <v>1495</v>
      </c>
      <c r="C31" s="15" t="s">
        <v>459</v>
      </c>
      <c r="D31" s="15" t="s">
        <v>459</v>
      </c>
      <c r="E31" s="15" t="s">
        <v>459</v>
      </c>
      <c r="F31" s="15" t="s">
        <v>459</v>
      </c>
      <c r="G31" s="15" t="s">
        <v>459</v>
      </c>
      <c r="H31" s="15" t="s">
        <v>459</v>
      </c>
      <c r="I31" s="15" t="s">
        <v>459</v>
      </c>
      <c r="J31" s="14">
        <v>0.01</v>
      </c>
      <c r="K31" s="15" t="s">
        <v>459</v>
      </c>
      <c r="L31" s="15" t="s">
        <v>459</v>
      </c>
      <c r="M31" s="15" t="s">
        <v>459</v>
      </c>
      <c r="N31" s="15" t="s">
        <v>459</v>
      </c>
      <c r="O31" s="15" t="s">
        <v>459</v>
      </c>
      <c r="P31" s="15" t="s">
        <v>459</v>
      </c>
      <c r="Q31" s="15" t="s">
        <v>459</v>
      </c>
      <c r="R31" s="15" t="s">
        <v>459</v>
      </c>
      <c r="S31" s="15" t="s">
        <v>459</v>
      </c>
      <c r="T31" s="15" t="s">
        <v>459</v>
      </c>
      <c r="U31" s="15" t="s">
        <v>459</v>
      </c>
      <c r="V31" s="15" t="s">
        <v>459</v>
      </c>
      <c r="W31" s="15" t="s">
        <v>459</v>
      </c>
      <c r="X31" s="15" t="s">
        <v>459</v>
      </c>
      <c r="Y31" s="15" t="s">
        <v>459</v>
      </c>
      <c r="Z31" s="15" t="s">
        <v>459</v>
      </c>
      <c r="AA31" s="15" t="s">
        <v>459</v>
      </c>
      <c r="AB31" s="15" t="s">
        <v>459</v>
      </c>
      <c r="AC31" s="15" t="s">
        <v>459</v>
      </c>
      <c r="AD31" s="15" t="s">
        <v>459</v>
      </c>
      <c r="AE31" s="15" t="s">
        <v>459</v>
      </c>
      <c r="AF31" s="15" t="s">
        <v>459</v>
      </c>
    </row>
    <row r="32" spans="1:32">
      <c r="A32" s="20"/>
      <c r="B32" s="11" t="s">
        <v>468</v>
      </c>
      <c r="C32" s="12">
        <v>18</v>
      </c>
      <c r="D32" s="12">
        <v>1</v>
      </c>
      <c r="E32" s="12">
        <v>0</v>
      </c>
      <c r="F32" s="12">
        <v>0</v>
      </c>
      <c r="G32" s="12">
        <v>1</v>
      </c>
      <c r="H32" s="12">
        <v>3</v>
      </c>
      <c r="I32" s="12">
        <v>3</v>
      </c>
      <c r="J32" s="12">
        <v>0</v>
      </c>
      <c r="K32" s="12">
        <v>1</v>
      </c>
      <c r="L32" s="12">
        <v>0</v>
      </c>
      <c r="M32" s="12">
        <v>0</v>
      </c>
      <c r="N32" s="12">
        <v>1</v>
      </c>
      <c r="O32" s="12">
        <v>0</v>
      </c>
      <c r="P32" s="12">
        <v>0</v>
      </c>
      <c r="Q32" s="12">
        <v>0</v>
      </c>
      <c r="R32" s="12">
        <v>0</v>
      </c>
      <c r="S32" s="12">
        <v>0</v>
      </c>
      <c r="T32" s="12">
        <v>0</v>
      </c>
      <c r="U32" s="12">
        <v>1</v>
      </c>
      <c r="V32" s="12">
        <v>0</v>
      </c>
      <c r="W32" s="12">
        <v>0</v>
      </c>
      <c r="X32" s="12">
        <v>1</v>
      </c>
      <c r="Y32" s="12">
        <v>0</v>
      </c>
      <c r="Z32" s="12">
        <v>0</v>
      </c>
      <c r="AA32" s="12">
        <v>0</v>
      </c>
      <c r="AB32" s="12">
        <v>0</v>
      </c>
      <c r="AC32" s="12">
        <v>0</v>
      </c>
      <c r="AD32" s="12">
        <v>0</v>
      </c>
      <c r="AE32" s="12">
        <v>0</v>
      </c>
      <c r="AF32" s="12">
        <v>8</v>
      </c>
    </row>
    <row r="33" spans="1:32">
      <c r="A33" s="20"/>
      <c r="B33" s="13" t="s">
        <v>469</v>
      </c>
      <c r="C33" s="15" t="s">
        <v>459</v>
      </c>
      <c r="D33" s="15" t="s">
        <v>459</v>
      </c>
      <c r="E33" s="15" t="s">
        <v>459</v>
      </c>
      <c r="F33" s="15" t="s">
        <v>459</v>
      </c>
      <c r="G33" s="15" t="s">
        <v>459</v>
      </c>
      <c r="H33" s="15" t="s">
        <v>459</v>
      </c>
      <c r="I33" s="15" t="s">
        <v>459</v>
      </c>
      <c r="J33" s="15" t="s">
        <v>459</v>
      </c>
      <c r="K33" s="15" t="s">
        <v>459</v>
      </c>
      <c r="L33" s="15" t="s">
        <v>459</v>
      </c>
      <c r="M33" s="15" t="s">
        <v>459</v>
      </c>
      <c r="N33" s="15" t="s">
        <v>459</v>
      </c>
      <c r="O33" s="15" t="s">
        <v>459</v>
      </c>
      <c r="P33" s="15" t="s">
        <v>459</v>
      </c>
      <c r="Q33" s="15" t="s">
        <v>459</v>
      </c>
      <c r="R33" s="15" t="s">
        <v>459</v>
      </c>
      <c r="S33" s="15" t="s">
        <v>459</v>
      </c>
      <c r="T33" s="15" t="s">
        <v>459</v>
      </c>
      <c r="U33" s="15" t="s">
        <v>459</v>
      </c>
      <c r="V33" s="15" t="s">
        <v>459</v>
      </c>
      <c r="W33" s="15" t="s">
        <v>459</v>
      </c>
      <c r="X33" s="15" t="s">
        <v>459</v>
      </c>
      <c r="Y33" s="15" t="s">
        <v>459</v>
      </c>
      <c r="Z33" s="15" t="s">
        <v>459</v>
      </c>
      <c r="AA33" s="15" t="s">
        <v>459</v>
      </c>
      <c r="AB33" s="15" t="s">
        <v>459</v>
      </c>
      <c r="AC33" s="15" t="s">
        <v>459</v>
      </c>
      <c r="AD33" s="15" t="s">
        <v>459</v>
      </c>
      <c r="AE33" s="15" t="s">
        <v>459</v>
      </c>
      <c r="AF33" s="14">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355</v>
      </c>
      <c r="C3" s="18"/>
      <c r="D3" s="18"/>
      <c r="E3" s="18"/>
      <c r="F3" s="18"/>
      <c r="H3" s="18" t="s">
        <v>356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HYPERLINK("#Content!A179","&lt;&lt;Back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1565</v>
      </c>
      <c r="C12" s="12">
        <v>12753</v>
      </c>
      <c r="D12" s="12">
        <v>490</v>
      </c>
      <c r="E12" s="12">
        <v>484</v>
      </c>
      <c r="F12" s="12">
        <v>488</v>
      </c>
      <c r="G12" s="12">
        <v>494</v>
      </c>
      <c r="H12" s="12">
        <v>596</v>
      </c>
      <c r="I12" s="12">
        <v>739</v>
      </c>
      <c r="J12" s="12">
        <v>144</v>
      </c>
      <c r="K12" s="12">
        <v>465</v>
      </c>
      <c r="L12" s="12">
        <v>492</v>
      </c>
      <c r="M12" s="12">
        <v>488</v>
      </c>
      <c r="N12" s="12">
        <v>488</v>
      </c>
      <c r="O12" s="12">
        <v>480</v>
      </c>
      <c r="P12" s="12">
        <v>492</v>
      </c>
      <c r="Q12" s="12">
        <v>494</v>
      </c>
      <c r="R12" s="12">
        <v>243</v>
      </c>
      <c r="S12" s="12">
        <v>456</v>
      </c>
      <c r="T12" s="12">
        <v>471</v>
      </c>
      <c r="U12" s="12">
        <v>253</v>
      </c>
      <c r="V12" s="12">
        <v>485</v>
      </c>
      <c r="W12" s="12">
        <v>267</v>
      </c>
      <c r="X12" s="12">
        <v>504</v>
      </c>
      <c r="Y12" s="12">
        <v>493</v>
      </c>
      <c r="Z12" s="12">
        <v>482</v>
      </c>
      <c r="AA12" s="12">
        <v>498</v>
      </c>
      <c r="AB12" s="12">
        <v>499</v>
      </c>
      <c r="AC12" s="12">
        <v>505</v>
      </c>
      <c r="AD12" s="12">
        <v>487</v>
      </c>
      <c r="AE12" s="12">
        <v>490</v>
      </c>
      <c r="AF12" s="12">
        <v>506</v>
      </c>
    </row>
    <row r="13" spans="1:32">
      <c r="A13" s="20"/>
      <c r="B13" s="13" t="s">
        <v>1566</v>
      </c>
      <c r="C13" s="14">
        <v>0.49</v>
      </c>
      <c r="D13" s="14">
        <v>0.49</v>
      </c>
      <c r="E13" s="14">
        <v>0.48</v>
      </c>
      <c r="F13" s="14">
        <v>0.49</v>
      </c>
      <c r="G13" s="14">
        <v>0.49</v>
      </c>
      <c r="H13" s="14">
        <v>0.49</v>
      </c>
      <c r="I13" s="14">
        <v>0.49</v>
      </c>
      <c r="J13" s="14">
        <v>0.49</v>
      </c>
      <c r="K13" s="14">
        <v>0.46</v>
      </c>
      <c r="L13" s="14">
        <v>0.49</v>
      </c>
      <c r="M13" s="14">
        <v>0.49</v>
      </c>
      <c r="N13" s="14">
        <v>0.49</v>
      </c>
      <c r="O13" s="14">
        <v>0.48</v>
      </c>
      <c r="P13" s="14">
        <v>0.48</v>
      </c>
      <c r="Q13" s="14">
        <v>0.49</v>
      </c>
      <c r="R13" s="14">
        <v>0.49</v>
      </c>
      <c r="S13" s="14">
        <v>0.45</v>
      </c>
      <c r="T13" s="14">
        <v>0.46</v>
      </c>
      <c r="U13" s="14">
        <v>0.5</v>
      </c>
      <c r="V13" s="14">
        <v>0.48</v>
      </c>
      <c r="W13" s="14">
        <v>0.53</v>
      </c>
      <c r="X13" s="14">
        <v>0.5</v>
      </c>
      <c r="Y13" s="14">
        <v>0.49</v>
      </c>
      <c r="Z13" s="14">
        <v>0.48</v>
      </c>
      <c r="AA13" s="14">
        <v>0.47</v>
      </c>
      <c r="AB13" s="14">
        <v>0.48</v>
      </c>
      <c r="AC13" s="14">
        <v>0.5</v>
      </c>
      <c r="AD13" s="14">
        <v>0.48</v>
      </c>
      <c r="AE13" s="14">
        <v>0.49</v>
      </c>
      <c r="AF13" s="14">
        <v>0.5</v>
      </c>
    </row>
    <row r="14" spans="1:32">
      <c r="A14" s="20"/>
      <c r="B14" s="11" t="s">
        <v>1567</v>
      </c>
      <c r="C14" s="12">
        <v>13537</v>
      </c>
      <c r="D14" s="12">
        <v>509</v>
      </c>
      <c r="E14" s="12">
        <v>534</v>
      </c>
      <c r="F14" s="12">
        <v>516</v>
      </c>
      <c r="G14" s="12">
        <v>506</v>
      </c>
      <c r="H14" s="12">
        <v>619</v>
      </c>
      <c r="I14" s="12">
        <v>769</v>
      </c>
      <c r="J14" s="12">
        <v>150</v>
      </c>
      <c r="K14" s="12">
        <v>532</v>
      </c>
      <c r="L14" s="12">
        <v>512</v>
      </c>
      <c r="M14" s="12">
        <v>515</v>
      </c>
      <c r="N14" s="12">
        <v>516</v>
      </c>
      <c r="O14" s="12">
        <v>522</v>
      </c>
      <c r="P14" s="12">
        <v>530</v>
      </c>
      <c r="Q14" s="12">
        <v>524</v>
      </c>
      <c r="R14" s="12">
        <v>255</v>
      </c>
      <c r="S14" s="12">
        <v>548</v>
      </c>
      <c r="T14" s="12">
        <v>543</v>
      </c>
      <c r="U14" s="12">
        <v>251</v>
      </c>
      <c r="V14" s="12">
        <v>532</v>
      </c>
      <c r="W14" s="12">
        <v>234</v>
      </c>
      <c r="X14" s="12">
        <v>513</v>
      </c>
      <c r="Y14" s="12">
        <v>515</v>
      </c>
      <c r="Z14" s="12">
        <v>526</v>
      </c>
      <c r="AA14" s="12">
        <v>555</v>
      </c>
      <c r="AB14" s="12">
        <v>539</v>
      </c>
      <c r="AC14" s="12">
        <v>503</v>
      </c>
      <c r="AD14" s="12">
        <v>518</v>
      </c>
      <c r="AE14" s="12">
        <v>505</v>
      </c>
      <c r="AF14" s="12">
        <v>508</v>
      </c>
    </row>
    <row r="15" spans="1:32">
      <c r="A15" s="20"/>
      <c r="B15" s="13" t="s">
        <v>1568</v>
      </c>
      <c r="C15" s="14">
        <v>0.51</v>
      </c>
      <c r="D15" s="14">
        <v>0.51</v>
      </c>
      <c r="E15" s="14">
        <v>0.52</v>
      </c>
      <c r="F15" s="14">
        <v>0.51</v>
      </c>
      <c r="G15" s="14">
        <v>0.51</v>
      </c>
      <c r="H15" s="14">
        <v>0.51</v>
      </c>
      <c r="I15" s="14">
        <v>0.51</v>
      </c>
      <c r="J15" s="14">
        <v>0.51</v>
      </c>
      <c r="K15" s="14">
        <v>0.53</v>
      </c>
      <c r="L15" s="14">
        <v>0.51</v>
      </c>
      <c r="M15" s="14">
        <v>0.51</v>
      </c>
      <c r="N15" s="14">
        <v>0.51</v>
      </c>
      <c r="O15" s="14">
        <v>0.52</v>
      </c>
      <c r="P15" s="14">
        <v>0.52</v>
      </c>
      <c r="Q15" s="14">
        <v>0.51</v>
      </c>
      <c r="R15" s="14">
        <v>0.51</v>
      </c>
      <c r="S15" s="14">
        <v>0.55000000000000004</v>
      </c>
      <c r="T15" s="14">
        <v>0.54</v>
      </c>
      <c r="U15" s="14">
        <v>0.5</v>
      </c>
      <c r="V15" s="14">
        <v>0.52</v>
      </c>
      <c r="W15" s="14">
        <v>0.47</v>
      </c>
      <c r="X15" s="14">
        <v>0.5</v>
      </c>
      <c r="Y15" s="14">
        <v>0.51</v>
      </c>
      <c r="Z15" s="14">
        <v>0.52</v>
      </c>
      <c r="AA15" s="14">
        <v>0.53</v>
      </c>
      <c r="AB15" s="14">
        <v>0.52</v>
      </c>
      <c r="AC15" s="14">
        <v>0.5</v>
      </c>
      <c r="AD15" s="14">
        <v>0.52</v>
      </c>
      <c r="AE15" s="14">
        <v>0.51</v>
      </c>
      <c r="AF15" s="14">
        <v>0.5</v>
      </c>
    </row>
    <row r="16" spans="1:32" ht="36.950000000000003">
      <c r="A16" s="20"/>
      <c r="B16" s="11" t="s">
        <v>1569</v>
      </c>
      <c r="C16" s="12">
        <v>15</v>
      </c>
      <c r="D16" s="12">
        <v>1</v>
      </c>
      <c r="E16" s="12">
        <v>0</v>
      </c>
      <c r="F16" s="12">
        <v>2</v>
      </c>
      <c r="G16" s="12">
        <v>3</v>
      </c>
      <c r="H16" s="12">
        <v>0</v>
      </c>
      <c r="I16" s="12">
        <v>0</v>
      </c>
      <c r="J16" s="12">
        <v>0</v>
      </c>
      <c r="K16" s="12">
        <v>5</v>
      </c>
      <c r="L16" s="12">
        <v>2</v>
      </c>
      <c r="M16" s="12">
        <v>0</v>
      </c>
      <c r="N16" s="12">
        <v>0</v>
      </c>
      <c r="O16" s="12">
        <v>0</v>
      </c>
      <c r="P16" s="12">
        <v>0</v>
      </c>
      <c r="Q16" s="12">
        <v>1</v>
      </c>
      <c r="R16" s="12">
        <v>0</v>
      </c>
      <c r="S16" s="12">
        <v>3</v>
      </c>
      <c r="T16" s="12">
        <v>0</v>
      </c>
      <c r="U16" s="12">
        <v>2</v>
      </c>
      <c r="V16" s="12">
        <v>0</v>
      </c>
      <c r="W16" s="12">
        <v>1</v>
      </c>
      <c r="X16" s="12">
        <v>1</v>
      </c>
      <c r="Y16" s="12">
        <v>0</v>
      </c>
      <c r="Z16" s="12">
        <v>0</v>
      </c>
      <c r="AA16" s="12">
        <v>0</v>
      </c>
      <c r="AB16" s="12">
        <v>1</v>
      </c>
      <c r="AC16" s="12">
        <v>1</v>
      </c>
      <c r="AD16" s="12">
        <v>0</v>
      </c>
      <c r="AE16" s="12">
        <v>5</v>
      </c>
      <c r="AF16" s="12">
        <v>4</v>
      </c>
    </row>
    <row r="17" spans="1:32" ht="36.950000000000003">
      <c r="A17" s="20"/>
      <c r="B17" s="13" t="s">
        <v>1570</v>
      </c>
      <c r="C17" s="15" t="s">
        <v>459</v>
      </c>
      <c r="D17" s="15" t="s">
        <v>459</v>
      </c>
      <c r="E17" s="15" t="s">
        <v>459</v>
      </c>
      <c r="F17" s="15" t="s">
        <v>459</v>
      </c>
      <c r="G17" s="15" t="s">
        <v>459</v>
      </c>
      <c r="H17" s="15" t="s">
        <v>459</v>
      </c>
      <c r="I17" s="15" t="s">
        <v>459</v>
      </c>
      <c r="J17" s="15" t="s">
        <v>459</v>
      </c>
      <c r="K17" s="14">
        <v>0.01</v>
      </c>
      <c r="L17" s="15" t="s">
        <v>459</v>
      </c>
      <c r="M17" s="15" t="s">
        <v>459</v>
      </c>
      <c r="N17" s="15" t="s">
        <v>459</v>
      </c>
      <c r="O17" s="15" t="s">
        <v>459</v>
      </c>
      <c r="P17" s="15" t="s">
        <v>459</v>
      </c>
      <c r="Q17" s="15" t="s">
        <v>459</v>
      </c>
      <c r="R17" s="15" t="s">
        <v>459</v>
      </c>
      <c r="S17" s="15" t="s">
        <v>459</v>
      </c>
      <c r="T17" s="15" t="s">
        <v>459</v>
      </c>
      <c r="U17" s="15" t="s">
        <v>459</v>
      </c>
      <c r="V17" s="15" t="s">
        <v>459</v>
      </c>
      <c r="W17" s="15" t="s">
        <v>459</v>
      </c>
      <c r="X17" s="15" t="s">
        <v>459</v>
      </c>
      <c r="Y17" s="15" t="s">
        <v>459</v>
      </c>
      <c r="Z17" s="15" t="s">
        <v>459</v>
      </c>
      <c r="AA17" s="15" t="s">
        <v>459</v>
      </c>
      <c r="AB17" s="15" t="s">
        <v>459</v>
      </c>
      <c r="AC17" s="15" t="s">
        <v>459</v>
      </c>
      <c r="AD17" s="15" t="s">
        <v>459</v>
      </c>
      <c r="AE17" s="15" t="s">
        <v>459</v>
      </c>
      <c r="AF17" s="15" t="s">
        <v>459</v>
      </c>
    </row>
    <row r="18" spans="1:32">
      <c r="A18" s="20"/>
      <c r="B18" s="11" t="s">
        <v>1571</v>
      </c>
      <c r="C18" s="12">
        <v>15</v>
      </c>
      <c r="D18" s="12">
        <v>2</v>
      </c>
      <c r="E18" s="12">
        <v>0</v>
      </c>
      <c r="F18" s="12">
        <v>0</v>
      </c>
      <c r="G18" s="12">
        <v>1</v>
      </c>
      <c r="H18" s="12">
        <v>2</v>
      </c>
      <c r="I18" s="12">
        <v>2</v>
      </c>
      <c r="J18" s="12">
        <v>0</v>
      </c>
      <c r="K18" s="12">
        <v>4</v>
      </c>
      <c r="L18" s="12">
        <v>0</v>
      </c>
      <c r="M18" s="12">
        <v>0</v>
      </c>
      <c r="N18" s="12">
        <v>0</v>
      </c>
      <c r="O18" s="12">
        <v>1</v>
      </c>
      <c r="P18" s="12">
        <v>0</v>
      </c>
      <c r="Q18" s="12">
        <v>0</v>
      </c>
      <c r="R18" s="12">
        <v>1</v>
      </c>
      <c r="S18" s="12">
        <v>2</v>
      </c>
      <c r="T18" s="12">
        <v>0</v>
      </c>
      <c r="U18" s="12">
        <v>0</v>
      </c>
      <c r="V18" s="12">
        <v>0</v>
      </c>
      <c r="W18" s="12">
        <v>1</v>
      </c>
      <c r="X18" s="12">
        <v>2</v>
      </c>
      <c r="Y18" s="12">
        <v>0</v>
      </c>
      <c r="Z18" s="12">
        <v>0</v>
      </c>
      <c r="AA18" s="12">
        <v>0</v>
      </c>
      <c r="AB18" s="12">
        <v>0</v>
      </c>
      <c r="AC18" s="12">
        <v>0</v>
      </c>
      <c r="AD18" s="12">
        <v>1</v>
      </c>
      <c r="AE18" s="12">
        <v>1</v>
      </c>
      <c r="AF18" s="12">
        <v>1</v>
      </c>
    </row>
    <row r="19" spans="1:32">
      <c r="A19" s="20"/>
      <c r="B19" s="13" t="s">
        <v>1572</v>
      </c>
      <c r="C19" s="15" t="s">
        <v>459</v>
      </c>
      <c r="D19" s="15" t="s">
        <v>459</v>
      </c>
      <c r="E19" s="15" t="s">
        <v>459</v>
      </c>
      <c r="F19" s="15" t="s">
        <v>459</v>
      </c>
      <c r="G19" s="15" t="s">
        <v>459</v>
      </c>
      <c r="H19" s="15" t="s">
        <v>459</v>
      </c>
      <c r="I19" s="15" t="s">
        <v>459</v>
      </c>
      <c r="J19" s="15" t="s">
        <v>459</v>
      </c>
      <c r="K19" s="15" t="s">
        <v>459</v>
      </c>
      <c r="L19" s="15" t="s">
        <v>459</v>
      </c>
      <c r="M19" s="15" t="s">
        <v>459</v>
      </c>
      <c r="N19" s="15" t="s">
        <v>459</v>
      </c>
      <c r="O19" s="15" t="s">
        <v>459</v>
      </c>
      <c r="P19" s="15" t="s">
        <v>459</v>
      </c>
      <c r="Q19" s="15" t="s">
        <v>459</v>
      </c>
      <c r="R19" s="15" t="s">
        <v>459</v>
      </c>
      <c r="S19" s="15" t="s">
        <v>459</v>
      </c>
      <c r="T19" s="15" t="s">
        <v>459</v>
      </c>
      <c r="U19" s="15" t="s">
        <v>459</v>
      </c>
      <c r="V19" s="15" t="s">
        <v>459</v>
      </c>
      <c r="W19" s="15" t="s">
        <v>459</v>
      </c>
      <c r="X19" s="15" t="s">
        <v>459</v>
      </c>
      <c r="Y19" s="15" t="s">
        <v>459</v>
      </c>
      <c r="Z19" s="15" t="s">
        <v>459</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4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357</v>
      </c>
      <c r="C3" s="18"/>
      <c r="D3" s="18"/>
      <c r="E3" s="18"/>
      <c r="F3" s="18"/>
      <c r="H3" s="18" t="s">
        <v>358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8.95">
      <c r="A12" s="20"/>
      <c r="B12" s="11" t="s">
        <v>1573</v>
      </c>
      <c r="C12" s="12">
        <v>1117</v>
      </c>
      <c r="D12" s="12">
        <v>20</v>
      </c>
      <c r="E12" s="12">
        <v>29</v>
      </c>
      <c r="F12" s="12">
        <v>28</v>
      </c>
      <c r="G12" s="12">
        <v>7</v>
      </c>
      <c r="H12" s="12">
        <v>35</v>
      </c>
      <c r="I12" s="12">
        <v>37</v>
      </c>
      <c r="J12" s="12">
        <v>2</v>
      </c>
      <c r="K12" s="12">
        <v>25</v>
      </c>
      <c r="L12" s="12">
        <v>87</v>
      </c>
      <c r="M12" s="12">
        <v>72</v>
      </c>
      <c r="N12" s="12">
        <v>64</v>
      </c>
      <c r="O12" s="12">
        <v>42</v>
      </c>
      <c r="P12" s="12">
        <v>19</v>
      </c>
      <c r="Q12" s="12">
        <v>78</v>
      </c>
      <c r="R12" s="12">
        <v>23</v>
      </c>
      <c r="S12" s="12">
        <v>34</v>
      </c>
      <c r="T12" s="12">
        <v>16</v>
      </c>
      <c r="U12" s="12">
        <v>9</v>
      </c>
      <c r="V12" s="12">
        <v>24</v>
      </c>
      <c r="W12" s="12">
        <v>94</v>
      </c>
      <c r="X12" s="12">
        <v>20</v>
      </c>
      <c r="Y12" s="12">
        <v>33</v>
      </c>
      <c r="Z12" s="12">
        <v>36</v>
      </c>
      <c r="AA12" s="12">
        <v>22</v>
      </c>
      <c r="AB12" s="12">
        <v>78</v>
      </c>
      <c r="AC12" s="12">
        <v>12</v>
      </c>
      <c r="AD12" s="12">
        <v>30</v>
      </c>
      <c r="AE12" s="12">
        <v>2</v>
      </c>
      <c r="AF12" s="12">
        <v>5</v>
      </c>
    </row>
    <row r="13" spans="1:32" ht="48.95">
      <c r="A13" s="20"/>
      <c r="B13" s="13" t="s">
        <v>1574</v>
      </c>
      <c r="C13" s="14">
        <v>0.04</v>
      </c>
      <c r="D13" s="14">
        <v>0.02</v>
      </c>
      <c r="E13" s="14">
        <v>0.03</v>
      </c>
      <c r="F13" s="14">
        <v>0.03</v>
      </c>
      <c r="G13" s="14">
        <v>0.01</v>
      </c>
      <c r="H13" s="14">
        <v>0.03</v>
      </c>
      <c r="I13" s="14">
        <v>0.03</v>
      </c>
      <c r="J13" s="14">
        <v>0.01</v>
      </c>
      <c r="K13" s="14">
        <v>0.02</v>
      </c>
      <c r="L13" s="14">
        <v>0.09</v>
      </c>
      <c r="M13" s="14">
        <v>7.0000000000000007E-2</v>
      </c>
      <c r="N13" s="14">
        <v>7.0000000000000007E-2</v>
      </c>
      <c r="O13" s="14">
        <v>0.04</v>
      </c>
      <c r="P13" s="14">
        <v>0.02</v>
      </c>
      <c r="Q13" s="14">
        <v>0.08</v>
      </c>
      <c r="R13" s="14">
        <v>0.05</v>
      </c>
      <c r="S13" s="14">
        <v>0.03</v>
      </c>
      <c r="T13" s="14">
        <v>0.01</v>
      </c>
      <c r="U13" s="14">
        <v>0.02</v>
      </c>
      <c r="V13" s="14">
        <v>0.02</v>
      </c>
      <c r="W13" s="14">
        <v>0.19</v>
      </c>
      <c r="X13" s="14">
        <v>0.02</v>
      </c>
      <c r="Y13" s="14">
        <v>0.03</v>
      </c>
      <c r="Z13" s="14">
        <v>0.04</v>
      </c>
      <c r="AA13" s="14">
        <v>0.02</v>
      </c>
      <c r="AB13" s="14">
        <v>7.0000000000000007E-2</v>
      </c>
      <c r="AC13" s="14">
        <v>0.01</v>
      </c>
      <c r="AD13" s="14">
        <v>0.03</v>
      </c>
      <c r="AE13" s="15" t="s">
        <v>459</v>
      </c>
      <c r="AF13" s="14">
        <v>0.01</v>
      </c>
    </row>
    <row r="14" spans="1:32">
      <c r="A14" s="20"/>
      <c r="B14" s="11" t="s">
        <v>1575</v>
      </c>
      <c r="C14" s="12">
        <v>2418</v>
      </c>
      <c r="D14" s="12">
        <v>133</v>
      </c>
      <c r="E14" s="12">
        <v>61</v>
      </c>
      <c r="F14" s="12">
        <v>84</v>
      </c>
      <c r="G14" s="12">
        <v>136</v>
      </c>
      <c r="H14" s="12">
        <v>129</v>
      </c>
      <c r="I14" s="12">
        <v>154</v>
      </c>
      <c r="J14" s="12">
        <v>25</v>
      </c>
      <c r="K14" s="12">
        <v>93</v>
      </c>
      <c r="L14" s="12">
        <v>103</v>
      </c>
      <c r="M14" s="12">
        <v>79</v>
      </c>
      <c r="N14" s="12">
        <v>74</v>
      </c>
      <c r="O14" s="12">
        <v>97</v>
      </c>
      <c r="P14" s="12">
        <v>65</v>
      </c>
      <c r="Q14" s="12">
        <v>105</v>
      </c>
      <c r="R14" s="12">
        <v>35</v>
      </c>
      <c r="S14" s="12">
        <v>67</v>
      </c>
      <c r="T14" s="12">
        <v>97</v>
      </c>
      <c r="U14" s="12">
        <v>56</v>
      </c>
      <c r="V14" s="12">
        <v>63</v>
      </c>
      <c r="W14" s="12">
        <v>29</v>
      </c>
      <c r="X14" s="12">
        <v>146</v>
      </c>
      <c r="Y14" s="12">
        <v>79</v>
      </c>
      <c r="Z14" s="12">
        <v>64</v>
      </c>
      <c r="AA14" s="12">
        <v>99</v>
      </c>
      <c r="AB14" s="12">
        <v>70</v>
      </c>
      <c r="AC14" s="12">
        <v>90</v>
      </c>
      <c r="AD14" s="12">
        <v>98</v>
      </c>
      <c r="AE14" s="12">
        <v>98</v>
      </c>
      <c r="AF14" s="12">
        <v>75</v>
      </c>
    </row>
    <row r="15" spans="1:32">
      <c r="A15" s="20"/>
      <c r="B15" s="13" t="s">
        <v>1576</v>
      </c>
      <c r="C15" s="14">
        <v>0.09</v>
      </c>
      <c r="D15" s="14">
        <v>0.13</v>
      </c>
      <c r="E15" s="14">
        <v>0.06</v>
      </c>
      <c r="F15" s="14">
        <v>0.08</v>
      </c>
      <c r="G15" s="14">
        <v>0.13</v>
      </c>
      <c r="H15" s="14">
        <v>0.11</v>
      </c>
      <c r="I15" s="14">
        <v>0.1</v>
      </c>
      <c r="J15" s="14">
        <v>0.08</v>
      </c>
      <c r="K15" s="14">
        <v>0.09</v>
      </c>
      <c r="L15" s="14">
        <v>0.1</v>
      </c>
      <c r="M15" s="14">
        <v>0.08</v>
      </c>
      <c r="N15" s="14">
        <v>7.0000000000000007E-2</v>
      </c>
      <c r="O15" s="14">
        <v>0.1</v>
      </c>
      <c r="P15" s="14">
        <v>0.06</v>
      </c>
      <c r="Q15" s="14">
        <v>0.1</v>
      </c>
      <c r="R15" s="14">
        <v>7.0000000000000007E-2</v>
      </c>
      <c r="S15" s="14">
        <v>7.0000000000000007E-2</v>
      </c>
      <c r="T15" s="14">
        <v>0.1</v>
      </c>
      <c r="U15" s="14">
        <v>0.11</v>
      </c>
      <c r="V15" s="14">
        <v>0.06</v>
      </c>
      <c r="W15" s="14">
        <v>0.06</v>
      </c>
      <c r="X15" s="14">
        <v>0.14000000000000001</v>
      </c>
      <c r="Y15" s="14">
        <v>0.08</v>
      </c>
      <c r="Z15" s="14">
        <v>0.06</v>
      </c>
      <c r="AA15" s="14">
        <v>0.09</v>
      </c>
      <c r="AB15" s="14">
        <v>7.0000000000000007E-2</v>
      </c>
      <c r="AC15" s="14">
        <v>0.09</v>
      </c>
      <c r="AD15" s="14">
        <v>0.1</v>
      </c>
      <c r="AE15" s="14">
        <v>0.1</v>
      </c>
      <c r="AF15" s="14">
        <v>7.0000000000000007E-2</v>
      </c>
    </row>
    <row r="16" spans="1:32" ht="24.95">
      <c r="A16" s="20"/>
      <c r="B16" s="11" t="s">
        <v>1577</v>
      </c>
      <c r="C16" s="12">
        <v>1143</v>
      </c>
      <c r="D16" s="12">
        <v>68</v>
      </c>
      <c r="E16" s="12">
        <v>37</v>
      </c>
      <c r="F16" s="12">
        <v>43</v>
      </c>
      <c r="G16" s="12">
        <v>40</v>
      </c>
      <c r="H16" s="12">
        <v>43</v>
      </c>
      <c r="I16" s="12">
        <v>54</v>
      </c>
      <c r="J16" s="12">
        <v>12</v>
      </c>
      <c r="K16" s="12">
        <v>44</v>
      </c>
      <c r="L16" s="12">
        <v>40</v>
      </c>
      <c r="M16" s="12">
        <v>42</v>
      </c>
      <c r="N16" s="12">
        <v>92</v>
      </c>
      <c r="O16" s="12">
        <v>68</v>
      </c>
      <c r="P16" s="12">
        <v>44</v>
      </c>
      <c r="Q16" s="12">
        <v>24</v>
      </c>
      <c r="R16" s="12">
        <v>18</v>
      </c>
      <c r="S16" s="12">
        <v>53</v>
      </c>
      <c r="T16" s="12">
        <v>57</v>
      </c>
      <c r="U16" s="12">
        <v>23</v>
      </c>
      <c r="V16" s="12">
        <v>30</v>
      </c>
      <c r="W16" s="12">
        <v>4</v>
      </c>
      <c r="X16" s="12">
        <v>33</v>
      </c>
      <c r="Y16" s="12">
        <v>27</v>
      </c>
      <c r="Z16" s="12">
        <v>14</v>
      </c>
      <c r="AA16" s="12">
        <v>24</v>
      </c>
      <c r="AB16" s="12">
        <v>14</v>
      </c>
      <c r="AC16" s="12">
        <v>30</v>
      </c>
      <c r="AD16" s="12">
        <v>39</v>
      </c>
      <c r="AE16" s="12">
        <v>73</v>
      </c>
      <c r="AF16" s="12">
        <v>29</v>
      </c>
    </row>
    <row r="17" spans="1:32" ht="24.95">
      <c r="A17" s="20"/>
      <c r="B17" s="13" t="s">
        <v>1578</v>
      </c>
      <c r="C17" s="14">
        <v>0.04</v>
      </c>
      <c r="D17" s="14">
        <v>7.0000000000000007E-2</v>
      </c>
      <c r="E17" s="14">
        <v>0.03</v>
      </c>
      <c r="F17" s="14">
        <v>0.04</v>
      </c>
      <c r="G17" s="14">
        <v>0.04</v>
      </c>
      <c r="H17" s="14">
        <v>0.04</v>
      </c>
      <c r="I17" s="14">
        <v>0.04</v>
      </c>
      <c r="J17" s="14">
        <v>0.04</v>
      </c>
      <c r="K17" s="14">
        <v>0.04</v>
      </c>
      <c r="L17" s="14">
        <v>0.04</v>
      </c>
      <c r="M17" s="14">
        <v>0.04</v>
      </c>
      <c r="N17" s="14">
        <v>0.09</v>
      </c>
      <c r="O17" s="14">
        <v>7.0000000000000007E-2</v>
      </c>
      <c r="P17" s="14">
        <v>0.04</v>
      </c>
      <c r="Q17" s="14">
        <v>0.02</v>
      </c>
      <c r="R17" s="14">
        <v>0.04</v>
      </c>
      <c r="S17" s="14">
        <v>0.05</v>
      </c>
      <c r="T17" s="14">
        <v>0.06</v>
      </c>
      <c r="U17" s="14">
        <v>0.05</v>
      </c>
      <c r="V17" s="14">
        <v>0.03</v>
      </c>
      <c r="W17" s="14">
        <v>0.01</v>
      </c>
      <c r="X17" s="14">
        <v>0.03</v>
      </c>
      <c r="Y17" s="14">
        <v>0.03</v>
      </c>
      <c r="Z17" s="14">
        <v>0.01</v>
      </c>
      <c r="AA17" s="14">
        <v>0.02</v>
      </c>
      <c r="AB17" s="14">
        <v>0.01</v>
      </c>
      <c r="AC17" s="14">
        <v>0.03</v>
      </c>
      <c r="AD17" s="14">
        <v>0.04</v>
      </c>
      <c r="AE17" s="14">
        <v>7.0000000000000007E-2</v>
      </c>
      <c r="AF17" s="14">
        <v>0.03</v>
      </c>
    </row>
    <row r="18" spans="1:32" ht="24.95">
      <c r="A18" s="20"/>
      <c r="B18" s="11" t="s">
        <v>1579</v>
      </c>
      <c r="C18" s="12">
        <v>6988</v>
      </c>
      <c r="D18" s="12">
        <v>318</v>
      </c>
      <c r="E18" s="12">
        <v>285</v>
      </c>
      <c r="F18" s="12">
        <v>246</v>
      </c>
      <c r="G18" s="12">
        <v>271</v>
      </c>
      <c r="H18" s="12">
        <v>355</v>
      </c>
      <c r="I18" s="12">
        <v>448</v>
      </c>
      <c r="J18" s="12">
        <v>92</v>
      </c>
      <c r="K18" s="12">
        <v>250</v>
      </c>
      <c r="L18" s="12">
        <v>166</v>
      </c>
      <c r="M18" s="12">
        <v>245</v>
      </c>
      <c r="N18" s="12">
        <v>223</v>
      </c>
      <c r="O18" s="12">
        <v>292</v>
      </c>
      <c r="P18" s="12">
        <v>301</v>
      </c>
      <c r="Q18" s="12">
        <v>241</v>
      </c>
      <c r="R18" s="12">
        <v>113</v>
      </c>
      <c r="S18" s="12">
        <v>278</v>
      </c>
      <c r="T18" s="12">
        <v>257</v>
      </c>
      <c r="U18" s="12">
        <v>114</v>
      </c>
      <c r="V18" s="12">
        <v>250</v>
      </c>
      <c r="W18" s="12">
        <v>51</v>
      </c>
      <c r="X18" s="12">
        <v>263</v>
      </c>
      <c r="Y18" s="12">
        <v>275</v>
      </c>
      <c r="Z18" s="12">
        <v>268</v>
      </c>
      <c r="AA18" s="12">
        <v>275</v>
      </c>
      <c r="AB18" s="12">
        <v>280</v>
      </c>
      <c r="AC18" s="12">
        <v>307</v>
      </c>
      <c r="AD18" s="12">
        <v>232</v>
      </c>
      <c r="AE18" s="12">
        <v>301</v>
      </c>
      <c r="AF18" s="12">
        <v>276</v>
      </c>
    </row>
    <row r="19" spans="1:32" ht="24.95">
      <c r="A19" s="20"/>
      <c r="B19" s="13" t="s">
        <v>1580</v>
      </c>
      <c r="C19" s="14">
        <v>0.27</v>
      </c>
      <c r="D19" s="14">
        <v>0.32</v>
      </c>
      <c r="E19" s="14">
        <v>0.28000000000000003</v>
      </c>
      <c r="F19" s="14">
        <v>0.24</v>
      </c>
      <c r="G19" s="14">
        <v>0.27</v>
      </c>
      <c r="H19" s="14">
        <v>0.28999999999999998</v>
      </c>
      <c r="I19" s="14">
        <v>0.3</v>
      </c>
      <c r="J19" s="14">
        <v>0.31</v>
      </c>
      <c r="K19" s="14">
        <v>0.25</v>
      </c>
      <c r="L19" s="14">
        <v>0.17</v>
      </c>
      <c r="M19" s="14">
        <v>0.24</v>
      </c>
      <c r="N19" s="14">
        <v>0.22</v>
      </c>
      <c r="O19" s="14">
        <v>0.28999999999999998</v>
      </c>
      <c r="P19" s="14">
        <v>0.28999999999999998</v>
      </c>
      <c r="Q19" s="14">
        <v>0.24</v>
      </c>
      <c r="R19" s="14">
        <v>0.23</v>
      </c>
      <c r="S19" s="14">
        <v>0.27</v>
      </c>
      <c r="T19" s="14">
        <v>0.25</v>
      </c>
      <c r="U19" s="14">
        <v>0.23</v>
      </c>
      <c r="V19" s="14">
        <v>0.25</v>
      </c>
      <c r="W19" s="14">
        <v>0.1</v>
      </c>
      <c r="X19" s="14">
        <v>0.26</v>
      </c>
      <c r="Y19" s="14">
        <v>0.27</v>
      </c>
      <c r="Z19" s="14">
        <v>0.27</v>
      </c>
      <c r="AA19" s="14">
        <v>0.26</v>
      </c>
      <c r="AB19" s="14">
        <v>0.27</v>
      </c>
      <c r="AC19" s="14">
        <v>0.31</v>
      </c>
      <c r="AD19" s="14">
        <v>0.23</v>
      </c>
      <c r="AE19" s="14">
        <v>0.3</v>
      </c>
      <c r="AF19" s="14">
        <v>0.27</v>
      </c>
    </row>
    <row r="20" spans="1:32">
      <c r="A20" s="20"/>
      <c r="B20" s="11" t="s">
        <v>1581</v>
      </c>
      <c r="C20" s="12">
        <v>194</v>
      </c>
      <c r="D20" s="12">
        <v>4</v>
      </c>
      <c r="E20" s="12">
        <v>9</v>
      </c>
      <c r="F20" s="12">
        <v>3</v>
      </c>
      <c r="G20" s="12">
        <v>1</v>
      </c>
      <c r="H20" s="12">
        <v>3</v>
      </c>
      <c r="I20" s="12">
        <v>3</v>
      </c>
      <c r="J20" s="12">
        <v>0</v>
      </c>
      <c r="K20" s="12">
        <v>5</v>
      </c>
      <c r="L20" s="12">
        <v>12</v>
      </c>
      <c r="M20" s="12">
        <v>19</v>
      </c>
      <c r="N20" s="12">
        <v>15</v>
      </c>
      <c r="O20" s="12">
        <v>2</v>
      </c>
      <c r="P20" s="12">
        <v>7</v>
      </c>
      <c r="Q20" s="12">
        <v>9</v>
      </c>
      <c r="R20" s="12">
        <v>0</v>
      </c>
      <c r="S20" s="12">
        <v>6</v>
      </c>
      <c r="T20" s="12">
        <v>19</v>
      </c>
      <c r="U20" s="12">
        <v>0</v>
      </c>
      <c r="V20" s="12">
        <v>2</v>
      </c>
      <c r="W20" s="12">
        <v>1</v>
      </c>
      <c r="X20" s="12">
        <v>5</v>
      </c>
      <c r="Y20" s="12">
        <v>6</v>
      </c>
      <c r="Z20" s="12">
        <v>18</v>
      </c>
      <c r="AA20" s="12">
        <v>10</v>
      </c>
      <c r="AB20" s="12">
        <v>7</v>
      </c>
      <c r="AC20" s="12">
        <v>19</v>
      </c>
      <c r="AD20" s="12">
        <v>2</v>
      </c>
      <c r="AE20" s="12">
        <v>15</v>
      </c>
      <c r="AF20" s="12">
        <v>0</v>
      </c>
    </row>
    <row r="21" spans="1:32">
      <c r="A21" s="20"/>
      <c r="B21" s="13" t="s">
        <v>1582</v>
      </c>
      <c r="C21" s="14">
        <v>0.01</v>
      </c>
      <c r="D21" s="15" t="s">
        <v>459</v>
      </c>
      <c r="E21" s="14">
        <v>0.01</v>
      </c>
      <c r="F21" s="15" t="s">
        <v>459</v>
      </c>
      <c r="G21" s="15" t="s">
        <v>459</v>
      </c>
      <c r="H21" s="15" t="s">
        <v>459</v>
      </c>
      <c r="I21" s="15" t="s">
        <v>459</v>
      </c>
      <c r="J21" s="15" t="s">
        <v>459</v>
      </c>
      <c r="K21" s="14">
        <v>0.01</v>
      </c>
      <c r="L21" s="14">
        <v>0.01</v>
      </c>
      <c r="M21" s="14">
        <v>0.02</v>
      </c>
      <c r="N21" s="14">
        <v>0.02</v>
      </c>
      <c r="O21" s="15" t="s">
        <v>459</v>
      </c>
      <c r="P21" s="14">
        <v>0.01</v>
      </c>
      <c r="Q21" s="14">
        <v>0.01</v>
      </c>
      <c r="R21" s="15" t="s">
        <v>459</v>
      </c>
      <c r="S21" s="14">
        <v>0.01</v>
      </c>
      <c r="T21" s="14">
        <v>0.02</v>
      </c>
      <c r="U21" s="15" t="s">
        <v>459</v>
      </c>
      <c r="V21" s="15" t="s">
        <v>459</v>
      </c>
      <c r="W21" s="15" t="s">
        <v>459</v>
      </c>
      <c r="X21" s="14">
        <v>0.01</v>
      </c>
      <c r="Y21" s="14">
        <v>0.01</v>
      </c>
      <c r="Z21" s="14">
        <v>0.02</v>
      </c>
      <c r="AA21" s="14">
        <v>0.01</v>
      </c>
      <c r="AB21" s="14">
        <v>0.01</v>
      </c>
      <c r="AC21" s="14">
        <v>0.02</v>
      </c>
      <c r="AD21" s="15" t="s">
        <v>459</v>
      </c>
      <c r="AE21" s="14">
        <v>0.02</v>
      </c>
      <c r="AF21" s="15" t="s">
        <v>459</v>
      </c>
    </row>
    <row r="22" spans="1:32">
      <c r="A22" s="20"/>
      <c r="B22" s="11" t="s">
        <v>1583</v>
      </c>
      <c r="C22" s="12">
        <v>9</v>
      </c>
      <c r="D22" s="12">
        <v>3</v>
      </c>
      <c r="E22" s="12">
        <v>0</v>
      </c>
      <c r="F22" s="12">
        <v>0</v>
      </c>
      <c r="G22" s="12">
        <v>0</v>
      </c>
      <c r="H22" s="12">
        <v>0</v>
      </c>
      <c r="I22" s="12">
        <v>0</v>
      </c>
      <c r="J22" s="12">
        <v>0</v>
      </c>
      <c r="K22" s="12">
        <v>0</v>
      </c>
      <c r="L22" s="12">
        <v>1</v>
      </c>
      <c r="M22" s="12">
        <v>2</v>
      </c>
      <c r="N22" s="12">
        <v>0</v>
      </c>
      <c r="O22" s="12">
        <v>0</v>
      </c>
      <c r="P22" s="12">
        <v>0</v>
      </c>
      <c r="Q22" s="12">
        <v>1</v>
      </c>
      <c r="R22" s="12">
        <v>0</v>
      </c>
      <c r="S22" s="12">
        <v>3</v>
      </c>
      <c r="T22" s="12">
        <v>0</v>
      </c>
      <c r="U22" s="12">
        <v>1</v>
      </c>
      <c r="V22" s="12">
        <v>0</v>
      </c>
      <c r="W22" s="12">
        <v>0</v>
      </c>
      <c r="X22" s="12">
        <v>0</v>
      </c>
      <c r="Y22" s="12">
        <v>0</v>
      </c>
      <c r="Z22" s="12">
        <v>0</v>
      </c>
      <c r="AA22" s="12">
        <v>0</v>
      </c>
      <c r="AB22" s="12">
        <v>0</v>
      </c>
      <c r="AC22" s="12">
        <v>0</v>
      </c>
      <c r="AD22" s="12">
        <v>2</v>
      </c>
      <c r="AE22" s="12">
        <v>0</v>
      </c>
      <c r="AF22" s="12">
        <v>0</v>
      </c>
    </row>
    <row r="23" spans="1:32">
      <c r="A23" s="20"/>
      <c r="B23" s="13" t="s">
        <v>1584</v>
      </c>
      <c r="C23" s="15" t="s">
        <v>459</v>
      </c>
      <c r="D23" s="15" t="s">
        <v>459</v>
      </c>
      <c r="E23" s="15" t="s">
        <v>459</v>
      </c>
      <c r="F23" s="15" t="s">
        <v>459</v>
      </c>
      <c r="G23" s="15" t="s">
        <v>459</v>
      </c>
      <c r="H23" s="15" t="s">
        <v>459</v>
      </c>
      <c r="I23" s="15" t="s">
        <v>459</v>
      </c>
      <c r="J23" s="15" t="s">
        <v>459</v>
      </c>
      <c r="K23" s="15" t="s">
        <v>459</v>
      </c>
      <c r="L23" s="15" t="s">
        <v>459</v>
      </c>
      <c r="M23" s="15" t="s">
        <v>459</v>
      </c>
      <c r="N23" s="15" t="s">
        <v>459</v>
      </c>
      <c r="O23" s="15" t="s">
        <v>459</v>
      </c>
      <c r="P23" s="15" t="s">
        <v>459</v>
      </c>
      <c r="Q23" s="15" t="s">
        <v>459</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row r="24" spans="1:32" ht="36.950000000000003">
      <c r="A24" s="20"/>
      <c r="B24" s="11" t="s">
        <v>1585</v>
      </c>
      <c r="C24" s="12">
        <v>583</v>
      </c>
      <c r="D24" s="12">
        <v>7</v>
      </c>
      <c r="E24" s="12">
        <v>12</v>
      </c>
      <c r="F24" s="12">
        <v>24</v>
      </c>
      <c r="G24" s="12">
        <v>15</v>
      </c>
      <c r="H24" s="12">
        <v>18</v>
      </c>
      <c r="I24" s="12">
        <v>25</v>
      </c>
      <c r="J24" s="12">
        <v>7</v>
      </c>
      <c r="K24" s="12">
        <v>16</v>
      </c>
      <c r="L24" s="12">
        <v>17</v>
      </c>
      <c r="M24" s="12">
        <v>14</v>
      </c>
      <c r="N24" s="12">
        <v>22</v>
      </c>
      <c r="O24" s="12">
        <v>21</v>
      </c>
      <c r="P24" s="12">
        <v>9</v>
      </c>
      <c r="Q24" s="12">
        <v>42</v>
      </c>
      <c r="R24" s="12">
        <v>16</v>
      </c>
      <c r="S24" s="12">
        <v>31</v>
      </c>
      <c r="T24" s="12">
        <v>34</v>
      </c>
      <c r="U24" s="12">
        <v>12</v>
      </c>
      <c r="V24" s="12">
        <v>9</v>
      </c>
      <c r="W24" s="12">
        <v>21</v>
      </c>
      <c r="X24" s="12">
        <v>20</v>
      </c>
      <c r="Y24" s="12">
        <v>27</v>
      </c>
      <c r="Z24" s="12">
        <v>24</v>
      </c>
      <c r="AA24" s="12">
        <v>18</v>
      </c>
      <c r="AB24" s="12">
        <v>9</v>
      </c>
      <c r="AC24" s="12">
        <v>33</v>
      </c>
      <c r="AD24" s="12">
        <v>43</v>
      </c>
      <c r="AE24" s="12">
        <v>24</v>
      </c>
      <c r="AF24" s="12">
        <v>27</v>
      </c>
    </row>
    <row r="25" spans="1:32" ht="36.950000000000003">
      <c r="A25" s="20"/>
      <c r="B25" s="13" t="s">
        <v>1586</v>
      </c>
      <c r="C25" s="14">
        <v>0.02</v>
      </c>
      <c r="D25" s="14">
        <v>0.01</v>
      </c>
      <c r="E25" s="14">
        <v>0.01</v>
      </c>
      <c r="F25" s="14">
        <v>0.02</v>
      </c>
      <c r="G25" s="14">
        <v>0.01</v>
      </c>
      <c r="H25" s="14">
        <v>0.02</v>
      </c>
      <c r="I25" s="14">
        <v>0.02</v>
      </c>
      <c r="J25" s="14">
        <v>0.02</v>
      </c>
      <c r="K25" s="14">
        <v>0.02</v>
      </c>
      <c r="L25" s="14">
        <v>0.02</v>
      </c>
      <c r="M25" s="14">
        <v>0.01</v>
      </c>
      <c r="N25" s="14">
        <v>0.02</v>
      </c>
      <c r="O25" s="14">
        <v>0.02</v>
      </c>
      <c r="P25" s="14">
        <v>0.01</v>
      </c>
      <c r="Q25" s="14">
        <v>0.04</v>
      </c>
      <c r="R25" s="14">
        <v>0.03</v>
      </c>
      <c r="S25" s="14">
        <v>0.03</v>
      </c>
      <c r="T25" s="14">
        <v>0.03</v>
      </c>
      <c r="U25" s="14">
        <v>0.02</v>
      </c>
      <c r="V25" s="14">
        <v>0.01</v>
      </c>
      <c r="W25" s="14">
        <v>0.04</v>
      </c>
      <c r="X25" s="14">
        <v>0.02</v>
      </c>
      <c r="Y25" s="14">
        <v>0.03</v>
      </c>
      <c r="Z25" s="14">
        <v>0.02</v>
      </c>
      <c r="AA25" s="14">
        <v>0.02</v>
      </c>
      <c r="AB25" s="14">
        <v>0.01</v>
      </c>
      <c r="AC25" s="14">
        <v>0.03</v>
      </c>
      <c r="AD25" s="14">
        <v>0.04</v>
      </c>
      <c r="AE25" s="14">
        <v>0.02</v>
      </c>
      <c r="AF25" s="14">
        <v>0.03</v>
      </c>
    </row>
    <row r="26" spans="1:32" ht="36.950000000000003">
      <c r="A26" s="20"/>
      <c r="B26" s="11" t="s">
        <v>1587</v>
      </c>
      <c r="C26" s="12">
        <v>716</v>
      </c>
      <c r="D26" s="12">
        <v>27</v>
      </c>
      <c r="E26" s="12">
        <v>28</v>
      </c>
      <c r="F26" s="12">
        <v>36</v>
      </c>
      <c r="G26" s="12">
        <v>11</v>
      </c>
      <c r="H26" s="12">
        <v>17</v>
      </c>
      <c r="I26" s="12">
        <v>21</v>
      </c>
      <c r="J26" s="12">
        <v>4</v>
      </c>
      <c r="K26" s="12">
        <v>24</v>
      </c>
      <c r="L26" s="12">
        <v>9</v>
      </c>
      <c r="M26" s="12">
        <v>96</v>
      </c>
      <c r="N26" s="12">
        <v>24</v>
      </c>
      <c r="O26" s="12">
        <v>24</v>
      </c>
      <c r="P26" s="12">
        <v>38</v>
      </c>
      <c r="Q26" s="12">
        <v>60</v>
      </c>
      <c r="R26" s="12">
        <v>24</v>
      </c>
      <c r="S26" s="12">
        <v>16</v>
      </c>
      <c r="T26" s="12">
        <v>30</v>
      </c>
      <c r="U26" s="12">
        <v>12</v>
      </c>
      <c r="V26" s="12">
        <v>36</v>
      </c>
      <c r="W26" s="12">
        <v>16</v>
      </c>
      <c r="X26" s="12">
        <v>11</v>
      </c>
      <c r="Y26" s="12">
        <v>9</v>
      </c>
      <c r="Z26" s="12">
        <v>15</v>
      </c>
      <c r="AA26" s="12">
        <v>46</v>
      </c>
      <c r="AB26" s="12">
        <v>14</v>
      </c>
      <c r="AC26" s="12">
        <v>13</v>
      </c>
      <c r="AD26" s="12">
        <v>55</v>
      </c>
      <c r="AE26" s="12">
        <v>7</v>
      </c>
      <c r="AF26" s="12">
        <v>8</v>
      </c>
    </row>
    <row r="27" spans="1:32" ht="24.95">
      <c r="A27" s="20"/>
      <c r="B27" s="13" t="s">
        <v>1588</v>
      </c>
      <c r="C27" s="14">
        <v>0.03</v>
      </c>
      <c r="D27" s="14">
        <v>0.03</v>
      </c>
      <c r="E27" s="14">
        <v>0.03</v>
      </c>
      <c r="F27" s="14">
        <v>0.04</v>
      </c>
      <c r="G27" s="14">
        <v>0.01</v>
      </c>
      <c r="H27" s="14">
        <v>0.01</v>
      </c>
      <c r="I27" s="14">
        <v>0.01</v>
      </c>
      <c r="J27" s="14">
        <v>0.01</v>
      </c>
      <c r="K27" s="14">
        <v>0.02</v>
      </c>
      <c r="L27" s="14">
        <v>0.01</v>
      </c>
      <c r="M27" s="14">
        <v>0.1</v>
      </c>
      <c r="N27" s="14">
        <v>0.02</v>
      </c>
      <c r="O27" s="14">
        <v>0.02</v>
      </c>
      <c r="P27" s="14">
        <v>0.04</v>
      </c>
      <c r="Q27" s="14">
        <v>0.06</v>
      </c>
      <c r="R27" s="14">
        <v>0.05</v>
      </c>
      <c r="S27" s="14">
        <v>0.02</v>
      </c>
      <c r="T27" s="14">
        <v>0.03</v>
      </c>
      <c r="U27" s="14">
        <v>0.02</v>
      </c>
      <c r="V27" s="14">
        <v>0.04</v>
      </c>
      <c r="W27" s="14">
        <v>0.03</v>
      </c>
      <c r="X27" s="14">
        <v>0.01</v>
      </c>
      <c r="Y27" s="14">
        <v>0.01</v>
      </c>
      <c r="Z27" s="14">
        <v>0.01</v>
      </c>
      <c r="AA27" s="14">
        <v>0.04</v>
      </c>
      <c r="AB27" s="14">
        <v>0.01</v>
      </c>
      <c r="AC27" s="14">
        <v>0.01</v>
      </c>
      <c r="AD27" s="14">
        <v>0.05</v>
      </c>
      <c r="AE27" s="14">
        <v>0.01</v>
      </c>
      <c r="AF27" s="14">
        <v>0.01</v>
      </c>
    </row>
    <row r="28" spans="1:32" ht="24.95">
      <c r="A28" s="20"/>
      <c r="B28" s="11" t="s">
        <v>1589</v>
      </c>
      <c r="C28" s="12">
        <v>339</v>
      </c>
      <c r="D28" s="12">
        <v>6</v>
      </c>
      <c r="E28" s="12">
        <v>24</v>
      </c>
      <c r="F28" s="12">
        <v>22</v>
      </c>
      <c r="G28" s="12">
        <v>21</v>
      </c>
      <c r="H28" s="12">
        <v>26</v>
      </c>
      <c r="I28" s="12">
        <v>31</v>
      </c>
      <c r="J28" s="12">
        <v>5</v>
      </c>
      <c r="K28" s="12">
        <v>62</v>
      </c>
      <c r="L28" s="12">
        <v>14</v>
      </c>
      <c r="M28" s="12">
        <v>16</v>
      </c>
      <c r="N28" s="12">
        <v>14</v>
      </c>
      <c r="O28" s="12">
        <v>0</v>
      </c>
      <c r="P28" s="12">
        <v>22</v>
      </c>
      <c r="Q28" s="12">
        <v>2</v>
      </c>
      <c r="R28" s="12">
        <v>6</v>
      </c>
      <c r="S28" s="12">
        <v>11</v>
      </c>
      <c r="T28" s="12">
        <v>15</v>
      </c>
      <c r="U28" s="12">
        <v>2</v>
      </c>
      <c r="V28" s="12">
        <v>37</v>
      </c>
      <c r="W28" s="12">
        <v>14</v>
      </c>
      <c r="X28" s="12">
        <v>34</v>
      </c>
      <c r="Y28" s="12">
        <v>20</v>
      </c>
      <c r="Z28" s="12">
        <v>5</v>
      </c>
      <c r="AA28" s="12">
        <v>24</v>
      </c>
      <c r="AB28" s="12">
        <v>9</v>
      </c>
      <c r="AC28" s="12">
        <v>30</v>
      </c>
      <c r="AD28" s="12">
        <v>19</v>
      </c>
      <c r="AE28" s="12">
        <v>29</v>
      </c>
      <c r="AF28" s="12">
        <v>10</v>
      </c>
    </row>
    <row r="29" spans="1:32" ht="24.95">
      <c r="A29" s="20"/>
      <c r="B29" s="13" t="s">
        <v>1590</v>
      </c>
      <c r="C29" s="14">
        <v>0.01</v>
      </c>
      <c r="D29" s="14">
        <v>0.01</v>
      </c>
      <c r="E29" s="14">
        <v>0.02</v>
      </c>
      <c r="F29" s="14">
        <v>0.02</v>
      </c>
      <c r="G29" s="14">
        <v>0.02</v>
      </c>
      <c r="H29" s="14">
        <v>0.02</v>
      </c>
      <c r="I29" s="14">
        <v>0.02</v>
      </c>
      <c r="J29" s="14">
        <v>0.02</v>
      </c>
      <c r="K29" s="14">
        <v>0.06</v>
      </c>
      <c r="L29" s="14">
        <v>0.01</v>
      </c>
      <c r="M29" s="14">
        <v>0.02</v>
      </c>
      <c r="N29" s="14">
        <v>0.02</v>
      </c>
      <c r="O29" s="15" t="s">
        <v>459</v>
      </c>
      <c r="P29" s="14">
        <v>0.02</v>
      </c>
      <c r="Q29" s="15" t="s">
        <v>459</v>
      </c>
      <c r="R29" s="14">
        <v>0.01</v>
      </c>
      <c r="S29" s="14">
        <v>0.01</v>
      </c>
      <c r="T29" s="14">
        <v>0.01</v>
      </c>
      <c r="U29" s="15" t="s">
        <v>459</v>
      </c>
      <c r="V29" s="14">
        <v>0.04</v>
      </c>
      <c r="W29" s="14">
        <v>0.03</v>
      </c>
      <c r="X29" s="14">
        <v>0.03</v>
      </c>
      <c r="Y29" s="14">
        <v>0.02</v>
      </c>
      <c r="Z29" s="14">
        <v>0.01</v>
      </c>
      <c r="AA29" s="14">
        <v>0.02</v>
      </c>
      <c r="AB29" s="14">
        <v>0.01</v>
      </c>
      <c r="AC29" s="14">
        <v>0.03</v>
      </c>
      <c r="AD29" s="14">
        <v>0.02</v>
      </c>
      <c r="AE29" s="14">
        <v>0.03</v>
      </c>
      <c r="AF29" s="14">
        <v>0.01</v>
      </c>
    </row>
    <row r="30" spans="1:32" ht="36.950000000000003">
      <c r="A30" s="20"/>
      <c r="B30" s="11" t="s">
        <v>1591</v>
      </c>
      <c r="C30" s="12">
        <v>540</v>
      </c>
      <c r="D30" s="12">
        <v>8</v>
      </c>
      <c r="E30" s="12">
        <v>20</v>
      </c>
      <c r="F30" s="12">
        <v>20</v>
      </c>
      <c r="G30" s="12">
        <v>10</v>
      </c>
      <c r="H30" s="12">
        <v>4</v>
      </c>
      <c r="I30" s="12">
        <v>16</v>
      </c>
      <c r="J30" s="12">
        <v>12</v>
      </c>
      <c r="K30" s="12">
        <v>59</v>
      </c>
      <c r="L30" s="12">
        <v>43</v>
      </c>
      <c r="M30" s="12">
        <v>11</v>
      </c>
      <c r="N30" s="12">
        <v>27</v>
      </c>
      <c r="O30" s="12">
        <v>7</v>
      </c>
      <c r="P30" s="12">
        <v>22</v>
      </c>
      <c r="Q30" s="12">
        <v>13</v>
      </c>
      <c r="R30" s="12">
        <v>20</v>
      </c>
      <c r="S30" s="12">
        <v>73</v>
      </c>
      <c r="T30" s="12">
        <v>70</v>
      </c>
      <c r="U30" s="12">
        <v>12</v>
      </c>
      <c r="V30" s="12">
        <v>22</v>
      </c>
      <c r="W30" s="12">
        <v>36</v>
      </c>
      <c r="X30" s="12">
        <v>9</v>
      </c>
      <c r="Y30" s="12">
        <v>11</v>
      </c>
      <c r="Z30" s="12">
        <v>31</v>
      </c>
      <c r="AA30" s="12">
        <v>27</v>
      </c>
      <c r="AB30" s="12">
        <v>54</v>
      </c>
      <c r="AC30" s="12">
        <v>50</v>
      </c>
      <c r="AD30" s="12">
        <v>41</v>
      </c>
      <c r="AE30" s="12">
        <v>63</v>
      </c>
      <c r="AF30" s="12">
        <v>83</v>
      </c>
    </row>
    <row r="31" spans="1:32" ht="36.950000000000003">
      <c r="A31" s="20"/>
      <c r="B31" s="13" t="s">
        <v>1592</v>
      </c>
      <c r="C31" s="14">
        <v>0.02</v>
      </c>
      <c r="D31" s="14">
        <v>0.01</v>
      </c>
      <c r="E31" s="14">
        <v>0.02</v>
      </c>
      <c r="F31" s="14">
        <v>0.02</v>
      </c>
      <c r="G31" s="14">
        <v>0.01</v>
      </c>
      <c r="H31" s="15" t="s">
        <v>459</v>
      </c>
      <c r="I31" s="14">
        <v>0.01</v>
      </c>
      <c r="J31" s="14">
        <v>0.04</v>
      </c>
      <c r="K31" s="14">
        <v>0.06</v>
      </c>
      <c r="L31" s="14">
        <v>0.04</v>
      </c>
      <c r="M31" s="14">
        <v>0.01</v>
      </c>
      <c r="N31" s="14">
        <v>0.03</v>
      </c>
      <c r="O31" s="14">
        <v>0.01</v>
      </c>
      <c r="P31" s="14">
        <v>0.02</v>
      </c>
      <c r="Q31" s="14">
        <v>0.01</v>
      </c>
      <c r="R31" s="14">
        <v>0.04</v>
      </c>
      <c r="S31" s="14">
        <v>7.0000000000000007E-2</v>
      </c>
      <c r="T31" s="14">
        <v>7.0000000000000007E-2</v>
      </c>
      <c r="U31" s="14">
        <v>0.03</v>
      </c>
      <c r="V31" s="14">
        <v>0.02</v>
      </c>
      <c r="W31" s="14">
        <v>7.0000000000000007E-2</v>
      </c>
      <c r="X31" s="14">
        <v>0.01</v>
      </c>
      <c r="Y31" s="14">
        <v>0.01</v>
      </c>
      <c r="Z31" s="14">
        <v>0.03</v>
      </c>
      <c r="AA31" s="14">
        <v>0.03</v>
      </c>
      <c r="AB31" s="14">
        <v>0.05</v>
      </c>
      <c r="AC31" s="14">
        <v>0.05</v>
      </c>
      <c r="AD31" s="14">
        <v>0.04</v>
      </c>
      <c r="AE31" s="14">
        <v>0.06</v>
      </c>
      <c r="AF31" s="14">
        <v>0.08</v>
      </c>
    </row>
    <row r="32" spans="1:32" ht="48.95">
      <c r="A32" s="20"/>
      <c r="B32" s="11" t="s">
        <v>1593</v>
      </c>
      <c r="C32" s="12">
        <v>430</v>
      </c>
      <c r="D32" s="12">
        <v>5</v>
      </c>
      <c r="E32" s="12">
        <v>10</v>
      </c>
      <c r="F32" s="12">
        <v>10</v>
      </c>
      <c r="G32" s="12">
        <v>10</v>
      </c>
      <c r="H32" s="12">
        <v>27</v>
      </c>
      <c r="I32" s="12">
        <v>30</v>
      </c>
      <c r="J32" s="12">
        <v>4</v>
      </c>
      <c r="K32" s="12">
        <v>7</v>
      </c>
      <c r="L32" s="12">
        <v>32</v>
      </c>
      <c r="M32" s="12">
        <v>12</v>
      </c>
      <c r="N32" s="12">
        <v>6</v>
      </c>
      <c r="O32" s="12">
        <v>23</v>
      </c>
      <c r="P32" s="12">
        <v>11</v>
      </c>
      <c r="Q32" s="12">
        <v>31</v>
      </c>
      <c r="R32" s="12">
        <v>5</v>
      </c>
      <c r="S32" s="12">
        <v>13</v>
      </c>
      <c r="T32" s="12">
        <v>11</v>
      </c>
      <c r="U32" s="12">
        <v>22</v>
      </c>
      <c r="V32" s="12">
        <v>4</v>
      </c>
      <c r="W32" s="12">
        <v>42</v>
      </c>
      <c r="X32" s="12">
        <v>19</v>
      </c>
      <c r="Y32" s="12">
        <v>22</v>
      </c>
      <c r="Z32" s="12">
        <v>5</v>
      </c>
      <c r="AA32" s="12">
        <v>16</v>
      </c>
      <c r="AB32" s="12">
        <v>2</v>
      </c>
      <c r="AC32" s="12">
        <v>12</v>
      </c>
      <c r="AD32" s="12">
        <v>6</v>
      </c>
      <c r="AE32" s="12">
        <v>18</v>
      </c>
      <c r="AF32" s="12">
        <v>11</v>
      </c>
    </row>
    <row r="33" spans="1:32" ht="60.95">
      <c r="A33" s="20"/>
      <c r="B33" s="13" t="s">
        <v>1594</v>
      </c>
      <c r="C33" s="14">
        <v>0.02</v>
      </c>
      <c r="D33" s="15" t="s">
        <v>459</v>
      </c>
      <c r="E33" s="14">
        <v>0.01</v>
      </c>
      <c r="F33" s="14">
        <v>0.01</v>
      </c>
      <c r="G33" s="14">
        <v>0.01</v>
      </c>
      <c r="H33" s="14">
        <v>0.02</v>
      </c>
      <c r="I33" s="14">
        <v>0.02</v>
      </c>
      <c r="J33" s="14">
        <v>0.01</v>
      </c>
      <c r="K33" s="14">
        <v>0.01</v>
      </c>
      <c r="L33" s="14">
        <v>0.03</v>
      </c>
      <c r="M33" s="14">
        <v>0.01</v>
      </c>
      <c r="N33" s="14">
        <v>0.01</v>
      </c>
      <c r="O33" s="14">
        <v>0.02</v>
      </c>
      <c r="P33" s="14">
        <v>0.01</v>
      </c>
      <c r="Q33" s="14">
        <v>0.03</v>
      </c>
      <c r="R33" s="14">
        <v>0.01</v>
      </c>
      <c r="S33" s="14">
        <v>0.01</v>
      </c>
      <c r="T33" s="14">
        <v>0.01</v>
      </c>
      <c r="U33" s="14">
        <v>0.04</v>
      </c>
      <c r="V33" s="15" t="s">
        <v>459</v>
      </c>
      <c r="W33" s="14">
        <v>0.08</v>
      </c>
      <c r="X33" s="14">
        <v>0.02</v>
      </c>
      <c r="Y33" s="14">
        <v>0.02</v>
      </c>
      <c r="Z33" s="14">
        <v>0.01</v>
      </c>
      <c r="AA33" s="14">
        <v>0.02</v>
      </c>
      <c r="AB33" s="15" t="s">
        <v>459</v>
      </c>
      <c r="AC33" s="14">
        <v>0.01</v>
      </c>
      <c r="AD33" s="14">
        <v>0.01</v>
      </c>
      <c r="AE33" s="14">
        <v>0.02</v>
      </c>
      <c r="AF33" s="14">
        <v>0.01</v>
      </c>
    </row>
    <row r="34" spans="1:32" ht="36.950000000000003">
      <c r="A34" s="20"/>
      <c r="B34" s="11" t="s">
        <v>1595</v>
      </c>
      <c r="C34" s="12">
        <v>2300</v>
      </c>
      <c r="D34" s="12">
        <v>57</v>
      </c>
      <c r="E34" s="12">
        <v>47</v>
      </c>
      <c r="F34" s="12">
        <v>57</v>
      </c>
      <c r="G34" s="12">
        <v>127</v>
      </c>
      <c r="H34" s="12">
        <v>174</v>
      </c>
      <c r="I34" s="12">
        <v>203</v>
      </c>
      <c r="J34" s="12">
        <v>30</v>
      </c>
      <c r="K34" s="12">
        <v>76</v>
      </c>
      <c r="L34" s="12">
        <v>122</v>
      </c>
      <c r="M34" s="12">
        <v>43</v>
      </c>
      <c r="N34" s="12">
        <v>52</v>
      </c>
      <c r="O34" s="12">
        <v>101</v>
      </c>
      <c r="P34" s="12">
        <v>44</v>
      </c>
      <c r="Q34" s="12">
        <v>72</v>
      </c>
      <c r="R34" s="12">
        <v>42</v>
      </c>
      <c r="S34" s="12">
        <v>67</v>
      </c>
      <c r="T34" s="12">
        <v>72</v>
      </c>
      <c r="U34" s="12">
        <v>65</v>
      </c>
      <c r="V34" s="12">
        <v>55</v>
      </c>
      <c r="W34" s="12">
        <v>51</v>
      </c>
      <c r="X34" s="12">
        <v>182</v>
      </c>
      <c r="Y34" s="12">
        <v>118</v>
      </c>
      <c r="Z34" s="12">
        <v>48</v>
      </c>
      <c r="AA34" s="12">
        <v>63</v>
      </c>
      <c r="AB34" s="12">
        <v>19</v>
      </c>
      <c r="AC34" s="12">
        <v>101</v>
      </c>
      <c r="AD34" s="12">
        <v>77</v>
      </c>
      <c r="AE34" s="12">
        <v>123</v>
      </c>
      <c r="AF34" s="12">
        <v>137</v>
      </c>
    </row>
    <row r="35" spans="1:32" ht="60.95">
      <c r="A35" s="20"/>
      <c r="B35" s="13" t="s">
        <v>1596</v>
      </c>
      <c r="C35" s="14">
        <v>0.09</v>
      </c>
      <c r="D35" s="14">
        <v>0.06</v>
      </c>
      <c r="E35" s="14">
        <v>0.05</v>
      </c>
      <c r="F35" s="14">
        <v>0.06</v>
      </c>
      <c r="G35" s="14">
        <v>0.13</v>
      </c>
      <c r="H35" s="14">
        <v>0.14000000000000001</v>
      </c>
      <c r="I35" s="14">
        <v>0.14000000000000001</v>
      </c>
      <c r="J35" s="14">
        <v>0.1</v>
      </c>
      <c r="K35" s="14">
        <v>0.08</v>
      </c>
      <c r="L35" s="14">
        <v>0.12</v>
      </c>
      <c r="M35" s="14">
        <v>0.04</v>
      </c>
      <c r="N35" s="14">
        <v>0.05</v>
      </c>
      <c r="O35" s="14">
        <v>0.1</v>
      </c>
      <c r="P35" s="14">
        <v>0.04</v>
      </c>
      <c r="Q35" s="14">
        <v>7.0000000000000007E-2</v>
      </c>
      <c r="R35" s="14">
        <v>0.08</v>
      </c>
      <c r="S35" s="14">
        <v>7.0000000000000007E-2</v>
      </c>
      <c r="T35" s="14">
        <v>7.0000000000000007E-2</v>
      </c>
      <c r="U35" s="14">
        <v>0.13</v>
      </c>
      <c r="V35" s="14">
        <v>0.05</v>
      </c>
      <c r="W35" s="14">
        <v>0.1</v>
      </c>
      <c r="X35" s="14">
        <v>0.18</v>
      </c>
      <c r="Y35" s="14">
        <v>0.12</v>
      </c>
      <c r="Z35" s="14">
        <v>0.05</v>
      </c>
      <c r="AA35" s="14">
        <v>0.06</v>
      </c>
      <c r="AB35" s="14">
        <v>0.02</v>
      </c>
      <c r="AC35" s="14">
        <v>0.1</v>
      </c>
      <c r="AD35" s="14">
        <v>0.08</v>
      </c>
      <c r="AE35" s="14">
        <v>0.12</v>
      </c>
      <c r="AF35" s="14">
        <v>0.13</v>
      </c>
    </row>
    <row r="36" spans="1:32" ht="24.95">
      <c r="A36" s="20"/>
      <c r="B36" s="11" t="s">
        <v>1597</v>
      </c>
      <c r="C36" s="12">
        <v>2494</v>
      </c>
      <c r="D36" s="12">
        <v>118</v>
      </c>
      <c r="E36" s="12">
        <v>112</v>
      </c>
      <c r="F36" s="12">
        <v>219</v>
      </c>
      <c r="G36" s="12">
        <v>139</v>
      </c>
      <c r="H36" s="12">
        <v>91</v>
      </c>
      <c r="I36" s="12">
        <v>111</v>
      </c>
      <c r="J36" s="12">
        <v>21</v>
      </c>
      <c r="K36" s="12">
        <v>69</v>
      </c>
      <c r="L36" s="12">
        <v>130</v>
      </c>
      <c r="M36" s="12">
        <v>110</v>
      </c>
      <c r="N36" s="12">
        <v>67</v>
      </c>
      <c r="O36" s="12">
        <v>54</v>
      </c>
      <c r="P36" s="12">
        <v>98</v>
      </c>
      <c r="Q36" s="12">
        <v>129</v>
      </c>
      <c r="R36" s="12">
        <v>82</v>
      </c>
      <c r="S36" s="12">
        <v>68</v>
      </c>
      <c r="T36" s="12">
        <v>58</v>
      </c>
      <c r="U36" s="12">
        <v>71</v>
      </c>
      <c r="V36" s="12">
        <v>133</v>
      </c>
      <c r="W36" s="12">
        <v>52</v>
      </c>
      <c r="X36" s="12">
        <v>151</v>
      </c>
      <c r="Y36" s="12">
        <v>104</v>
      </c>
      <c r="Z36" s="12">
        <v>98</v>
      </c>
      <c r="AA36" s="12">
        <v>74</v>
      </c>
      <c r="AB36" s="12">
        <v>106</v>
      </c>
      <c r="AC36" s="12">
        <v>83</v>
      </c>
      <c r="AD36" s="12">
        <v>108</v>
      </c>
      <c r="AE36" s="12">
        <v>51</v>
      </c>
      <c r="AF36" s="12">
        <v>164</v>
      </c>
    </row>
    <row r="37" spans="1:32" ht="24.95">
      <c r="A37" s="20"/>
      <c r="B37" s="13" t="s">
        <v>1598</v>
      </c>
      <c r="C37" s="14">
        <v>0.09</v>
      </c>
      <c r="D37" s="14">
        <v>0.12</v>
      </c>
      <c r="E37" s="14">
        <v>0.11</v>
      </c>
      <c r="F37" s="14">
        <v>0.22</v>
      </c>
      <c r="G37" s="14">
        <v>0.14000000000000001</v>
      </c>
      <c r="H37" s="14">
        <v>0.08</v>
      </c>
      <c r="I37" s="14">
        <v>7.0000000000000007E-2</v>
      </c>
      <c r="J37" s="14">
        <v>7.0000000000000007E-2</v>
      </c>
      <c r="K37" s="14">
        <v>7.0000000000000007E-2</v>
      </c>
      <c r="L37" s="14">
        <v>0.13</v>
      </c>
      <c r="M37" s="14">
        <v>0.11</v>
      </c>
      <c r="N37" s="14">
        <v>7.0000000000000007E-2</v>
      </c>
      <c r="O37" s="14">
        <v>0.06</v>
      </c>
      <c r="P37" s="14">
        <v>0.1</v>
      </c>
      <c r="Q37" s="14">
        <v>0.13</v>
      </c>
      <c r="R37" s="14">
        <v>0.16</v>
      </c>
      <c r="S37" s="14">
        <v>7.0000000000000007E-2</v>
      </c>
      <c r="T37" s="14">
        <v>0.06</v>
      </c>
      <c r="U37" s="14">
        <v>0.14000000000000001</v>
      </c>
      <c r="V37" s="14">
        <v>0.13</v>
      </c>
      <c r="W37" s="14">
        <v>0.1</v>
      </c>
      <c r="X37" s="14">
        <v>0.15</v>
      </c>
      <c r="Y37" s="14">
        <v>0.1</v>
      </c>
      <c r="Z37" s="14">
        <v>0.1</v>
      </c>
      <c r="AA37" s="14">
        <v>7.0000000000000007E-2</v>
      </c>
      <c r="AB37" s="14">
        <v>0.1</v>
      </c>
      <c r="AC37" s="14">
        <v>0.08</v>
      </c>
      <c r="AD37" s="14">
        <v>0.11</v>
      </c>
      <c r="AE37" s="14">
        <v>0.05</v>
      </c>
      <c r="AF37" s="14">
        <v>0.16</v>
      </c>
    </row>
    <row r="38" spans="1:32" ht="48.95">
      <c r="A38" s="20"/>
      <c r="B38" s="11" t="s">
        <v>1599</v>
      </c>
      <c r="C38" s="12">
        <v>1018</v>
      </c>
      <c r="D38" s="12">
        <v>33</v>
      </c>
      <c r="E38" s="12">
        <v>74</v>
      </c>
      <c r="F38" s="12">
        <v>43</v>
      </c>
      <c r="G38" s="12">
        <v>21</v>
      </c>
      <c r="H38" s="12">
        <v>17</v>
      </c>
      <c r="I38" s="12">
        <v>22</v>
      </c>
      <c r="J38" s="12">
        <v>5</v>
      </c>
      <c r="K38" s="12">
        <v>45</v>
      </c>
      <c r="L38" s="12">
        <v>20</v>
      </c>
      <c r="M38" s="12">
        <v>59</v>
      </c>
      <c r="N38" s="12">
        <v>43</v>
      </c>
      <c r="O38" s="12">
        <v>39</v>
      </c>
      <c r="P38" s="12">
        <v>47</v>
      </c>
      <c r="Q38" s="12">
        <v>33</v>
      </c>
      <c r="R38" s="12">
        <v>38</v>
      </c>
      <c r="S38" s="12">
        <v>43</v>
      </c>
      <c r="T38" s="12">
        <v>22</v>
      </c>
      <c r="U38" s="12">
        <v>19</v>
      </c>
      <c r="V38" s="12">
        <v>57</v>
      </c>
      <c r="W38" s="12">
        <v>21</v>
      </c>
      <c r="X38" s="12">
        <v>11</v>
      </c>
      <c r="Y38" s="12">
        <v>30</v>
      </c>
      <c r="Z38" s="12">
        <v>97</v>
      </c>
      <c r="AA38" s="12">
        <v>63</v>
      </c>
      <c r="AB38" s="12">
        <v>51</v>
      </c>
      <c r="AC38" s="12">
        <v>45</v>
      </c>
      <c r="AD38" s="12">
        <v>42</v>
      </c>
      <c r="AE38" s="12">
        <v>11</v>
      </c>
      <c r="AF38" s="12">
        <v>42</v>
      </c>
    </row>
    <row r="39" spans="1:32" ht="36.950000000000003">
      <c r="A39" s="20"/>
      <c r="B39" s="13" t="s">
        <v>1600</v>
      </c>
      <c r="C39" s="14">
        <v>0.04</v>
      </c>
      <c r="D39" s="14">
        <v>0.03</v>
      </c>
      <c r="E39" s="14">
        <v>7.0000000000000007E-2</v>
      </c>
      <c r="F39" s="14">
        <v>0.04</v>
      </c>
      <c r="G39" s="14">
        <v>0.02</v>
      </c>
      <c r="H39" s="14">
        <v>0.01</v>
      </c>
      <c r="I39" s="14">
        <v>0.01</v>
      </c>
      <c r="J39" s="14">
        <v>0.02</v>
      </c>
      <c r="K39" s="14">
        <v>0.04</v>
      </c>
      <c r="L39" s="14">
        <v>0.02</v>
      </c>
      <c r="M39" s="14">
        <v>0.06</v>
      </c>
      <c r="N39" s="14">
        <v>0.04</v>
      </c>
      <c r="O39" s="14">
        <v>0.04</v>
      </c>
      <c r="P39" s="14">
        <v>0.05</v>
      </c>
      <c r="Q39" s="14">
        <v>0.03</v>
      </c>
      <c r="R39" s="14">
        <v>0.08</v>
      </c>
      <c r="S39" s="14">
        <v>0.04</v>
      </c>
      <c r="T39" s="14">
        <v>0.02</v>
      </c>
      <c r="U39" s="14">
        <v>0.04</v>
      </c>
      <c r="V39" s="14">
        <v>0.06</v>
      </c>
      <c r="W39" s="14">
        <v>0.04</v>
      </c>
      <c r="X39" s="14">
        <v>0.01</v>
      </c>
      <c r="Y39" s="14">
        <v>0.03</v>
      </c>
      <c r="Z39" s="14">
        <v>0.1</v>
      </c>
      <c r="AA39" s="14">
        <v>0.06</v>
      </c>
      <c r="AB39" s="14">
        <v>0.05</v>
      </c>
      <c r="AC39" s="14">
        <v>0.05</v>
      </c>
      <c r="AD39" s="14">
        <v>0.04</v>
      </c>
      <c r="AE39" s="14">
        <v>0.01</v>
      </c>
      <c r="AF39" s="14">
        <v>0.04</v>
      </c>
    </row>
    <row r="40" spans="1:32" ht="60.95">
      <c r="A40" s="20"/>
      <c r="B40" s="11" t="s">
        <v>1601</v>
      </c>
      <c r="C40" s="12">
        <v>1883</v>
      </c>
      <c r="D40" s="12">
        <v>109</v>
      </c>
      <c r="E40" s="12">
        <v>72</v>
      </c>
      <c r="F40" s="12">
        <v>47</v>
      </c>
      <c r="G40" s="12">
        <v>78</v>
      </c>
      <c r="H40" s="12">
        <v>84</v>
      </c>
      <c r="I40" s="12">
        <v>112</v>
      </c>
      <c r="J40" s="12">
        <v>28</v>
      </c>
      <c r="K40" s="12">
        <v>69</v>
      </c>
      <c r="L40" s="12">
        <v>65</v>
      </c>
      <c r="M40" s="12">
        <v>89</v>
      </c>
      <c r="N40" s="12">
        <v>52</v>
      </c>
      <c r="O40" s="12">
        <v>102</v>
      </c>
      <c r="P40" s="12">
        <v>116</v>
      </c>
      <c r="Q40" s="12">
        <v>46</v>
      </c>
      <c r="R40" s="12">
        <v>36</v>
      </c>
      <c r="S40" s="12">
        <v>77</v>
      </c>
      <c r="T40" s="12">
        <v>78</v>
      </c>
      <c r="U40" s="12">
        <v>41</v>
      </c>
      <c r="V40" s="12">
        <v>45</v>
      </c>
      <c r="W40" s="12">
        <v>33</v>
      </c>
      <c r="X40" s="12">
        <v>80</v>
      </c>
      <c r="Y40" s="12">
        <v>75</v>
      </c>
      <c r="Z40" s="12">
        <v>55</v>
      </c>
      <c r="AA40" s="12">
        <v>107</v>
      </c>
      <c r="AB40" s="12">
        <v>68</v>
      </c>
      <c r="AC40" s="12">
        <v>63</v>
      </c>
      <c r="AD40" s="12">
        <v>101</v>
      </c>
      <c r="AE40" s="12">
        <v>86</v>
      </c>
      <c r="AF40" s="12">
        <v>81</v>
      </c>
    </row>
    <row r="41" spans="1:32" ht="36.950000000000003">
      <c r="A41" s="20"/>
      <c r="B41" s="13" t="s">
        <v>1602</v>
      </c>
      <c r="C41" s="14">
        <v>7.0000000000000007E-2</v>
      </c>
      <c r="D41" s="14">
        <v>0.11</v>
      </c>
      <c r="E41" s="14">
        <v>7.0000000000000007E-2</v>
      </c>
      <c r="F41" s="14">
        <v>0.05</v>
      </c>
      <c r="G41" s="14">
        <v>0.08</v>
      </c>
      <c r="H41" s="14">
        <v>7.0000000000000007E-2</v>
      </c>
      <c r="I41" s="14">
        <v>7.0000000000000007E-2</v>
      </c>
      <c r="J41" s="14">
        <v>0.1</v>
      </c>
      <c r="K41" s="14">
        <v>7.0000000000000007E-2</v>
      </c>
      <c r="L41" s="14">
        <v>0.06</v>
      </c>
      <c r="M41" s="14">
        <v>0.09</v>
      </c>
      <c r="N41" s="14">
        <v>0.05</v>
      </c>
      <c r="O41" s="14">
        <v>0.1</v>
      </c>
      <c r="P41" s="14">
        <v>0.11</v>
      </c>
      <c r="Q41" s="14">
        <v>0.05</v>
      </c>
      <c r="R41" s="14">
        <v>7.0000000000000007E-2</v>
      </c>
      <c r="S41" s="14">
        <v>0.08</v>
      </c>
      <c r="T41" s="14">
        <v>0.08</v>
      </c>
      <c r="U41" s="14">
        <v>0.08</v>
      </c>
      <c r="V41" s="14">
        <v>0.04</v>
      </c>
      <c r="W41" s="14">
        <v>7.0000000000000007E-2</v>
      </c>
      <c r="X41" s="14">
        <v>0.08</v>
      </c>
      <c r="Y41" s="14">
        <v>7.0000000000000007E-2</v>
      </c>
      <c r="Z41" s="14">
        <v>0.05</v>
      </c>
      <c r="AA41" s="14">
        <v>0.1</v>
      </c>
      <c r="AB41" s="14">
        <v>7.0000000000000007E-2</v>
      </c>
      <c r="AC41" s="14">
        <v>0.06</v>
      </c>
      <c r="AD41" s="14">
        <v>0.1</v>
      </c>
      <c r="AE41" s="14">
        <v>0.09</v>
      </c>
      <c r="AF41" s="14">
        <v>0.08</v>
      </c>
    </row>
    <row r="42" spans="1:32" ht="24.95">
      <c r="A42" s="20"/>
      <c r="B42" s="11" t="s">
        <v>1603</v>
      </c>
      <c r="C42" s="12">
        <v>436</v>
      </c>
      <c r="D42" s="12">
        <v>9</v>
      </c>
      <c r="E42" s="12">
        <v>30</v>
      </c>
      <c r="F42" s="12">
        <v>18</v>
      </c>
      <c r="G42" s="12">
        <v>6</v>
      </c>
      <c r="H42" s="12">
        <v>15</v>
      </c>
      <c r="I42" s="12">
        <v>22</v>
      </c>
      <c r="J42" s="12">
        <v>6</v>
      </c>
      <c r="K42" s="12">
        <v>24</v>
      </c>
      <c r="L42" s="12">
        <v>16</v>
      </c>
      <c r="M42" s="12">
        <v>7</v>
      </c>
      <c r="N42" s="12">
        <v>12</v>
      </c>
      <c r="O42" s="12">
        <v>23</v>
      </c>
      <c r="P42" s="12">
        <v>32</v>
      </c>
      <c r="Q42" s="12">
        <v>17</v>
      </c>
      <c r="R42" s="12">
        <v>10</v>
      </c>
      <c r="S42" s="12">
        <v>14</v>
      </c>
      <c r="T42" s="12">
        <v>19</v>
      </c>
      <c r="U42" s="12">
        <v>1</v>
      </c>
      <c r="V42" s="12">
        <v>23</v>
      </c>
      <c r="W42" s="12">
        <v>12</v>
      </c>
      <c r="X42" s="12">
        <v>4</v>
      </c>
      <c r="Y42" s="12">
        <v>35</v>
      </c>
      <c r="Z42" s="12">
        <v>9</v>
      </c>
      <c r="AA42" s="12">
        <v>11</v>
      </c>
      <c r="AB42" s="12">
        <v>46</v>
      </c>
      <c r="AC42" s="12">
        <v>9</v>
      </c>
      <c r="AD42" s="12">
        <v>21</v>
      </c>
      <c r="AE42" s="12">
        <v>12</v>
      </c>
      <c r="AF42" s="12">
        <v>12</v>
      </c>
    </row>
    <row r="43" spans="1:32">
      <c r="A43" s="20"/>
      <c r="B43" s="13" t="s">
        <v>1604</v>
      </c>
      <c r="C43" s="14">
        <v>0.02</v>
      </c>
      <c r="D43" s="14">
        <v>0.01</v>
      </c>
      <c r="E43" s="14">
        <v>0.03</v>
      </c>
      <c r="F43" s="14">
        <v>0.02</v>
      </c>
      <c r="G43" s="14">
        <v>0.01</v>
      </c>
      <c r="H43" s="14">
        <v>0.01</v>
      </c>
      <c r="I43" s="14">
        <v>0.01</v>
      </c>
      <c r="J43" s="14">
        <v>0.02</v>
      </c>
      <c r="K43" s="14">
        <v>0.02</v>
      </c>
      <c r="L43" s="14">
        <v>0.02</v>
      </c>
      <c r="M43" s="14">
        <v>0.01</v>
      </c>
      <c r="N43" s="14">
        <v>0.01</v>
      </c>
      <c r="O43" s="14">
        <v>0.02</v>
      </c>
      <c r="P43" s="14">
        <v>0.03</v>
      </c>
      <c r="Q43" s="14">
        <v>0.02</v>
      </c>
      <c r="R43" s="14">
        <v>0.02</v>
      </c>
      <c r="S43" s="14">
        <v>0.01</v>
      </c>
      <c r="T43" s="14">
        <v>0.02</v>
      </c>
      <c r="U43" s="15" t="s">
        <v>459</v>
      </c>
      <c r="V43" s="14">
        <v>0.02</v>
      </c>
      <c r="W43" s="14">
        <v>0.03</v>
      </c>
      <c r="X43" s="15" t="s">
        <v>459</v>
      </c>
      <c r="Y43" s="14">
        <v>0.03</v>
      </c>
      <c r="Z43" s="14">
        <v>0.01</v>
      </c>
      <c r="AA43" s="14">
        <v>0.01</v>
      </c>
      <c r="AB43" s="14">
        <v>0.04</v>
      </c>
      <c r="AC43" s="14">
        <v>0.01</v>
      </c>
      <c r="AD43" s="14">
        <v>0.02</v>
      </c>
      <c r="AE43" s="14">
        <v>0.01</v>
      </c>
      <c r="AF43" s="14">
        <v>0.01</v>
      </c>
    </row>
    <row r="44" spans="1:32">
      <c r="A44" s="20"/>
      <c r="B44" s="11" t="s">
        <v>1605</v>
      </c>
      <c r="C44" s="12">
        <v>3023</v>
      </c>
      <c r="D44" s="12">
        <v>54</v>
      </c>
      <c r="E44" s="12">
        <v>140</v>
      </c>
      <c r="F44" s="12">
        <v>87</v>
      </c>
      <c r="G44" s="12">
        <v>73</v>
      </c>
      <c r="H44" s="12">
        <v>142</v>
      </c>
      <c r="I44" s="12">
        <v>176</v>
      </c>
      <c r="J44" s="12">
        <v>34</v>
      </c>
      <c r="K44" s="12">
        <v>115</v>
      </c>
      <c r="L44" s="12">
        <v>99</v>
      </c>
      <c r="M44" s="12">
        <v>68</v>
      </c>
      <c r="N44" s="12">
        <v>174</v>
      </c>
      <c r="O44" s="12">
        <v>95</v>
      </c>
      <c r="P44" s="12">
        <v>130</v>
      </c>
      <c r="Q44" s="12">
        <v>75</v>
      </c>
      <c r="R44" s="12">
        <v>21</v>
      </c>
      <c r="S44" s="12">
        <v>117</v>
      </c>
      <c r="T44" s="12">
        <v>138</v>
      </c>
      <c r="U44" s="12">
        <v>37</v>
      </c>
      <c r="V44" s="12">
        <v>191</v>
      </c>
      <c r="W44" s="12">
        <v>12</v>
      </c>
      <c r="X44" s="12">
        <v>18</v>
      </c>
      <c r="Y44" s="12">
        <v>102</v>
      </c>
      <c r="Z44" s="12">
        <v>217</v>
      </c>
      <c r="AA44" s="12">
        <v>136</v>
      </c>
      <c r="AB44" s="12">
        <v>184</v>
      </c>
      <c r="AC44" s="12">
        <v>75</v>
      </c>
      <c r="AD44" s="12">
        <v>77</v>
      </c>
      <c r="AE44" s="12">
        <v>77</v>
      </c>
      <c r="AF44" s="12">
        <v>40</v>
      </c>
    </row>
    <row r="45" spans="1:32" ht="24.95">
      <c r="A45" s="20"/>
      <c r="B45" s="13" t="s">
        <v>1606</v>
      </c>
      <c r="C45" s="14">
        <v>0.11</v>
      </c>
      <c r="D45" s="14">
        <v>0.05</v>
      </c>
      <c r="E45" s="14">
        <v>0.14000000000000001</v>
      </c>
      <c r="F45" s="14">
        <v>0.09</v>
      </c>
      <c r="G45" s="14">
        <v>7.0000000000000007E-2</v>
      </c>
      <c r="H45" s="14">
        <v>0.12</v>
      </c>
      <c r="I45" s="14">
        <v>0.12</v>
      </c>
      <c r="J45" s="14">
        <v>0.12</v>
      </c>
      <c r="K45" s="14">
        <v>0.12</v>
      </c>
      <c r="L45" s="14">
        <v>0.1</v>
      </c>
      <c r="M45" s="14">
        <v>7.0000000000000007E-2</v>
      </c>
      <c r="N45" s="14">
        <v>0.17</v>
      </c>
      <c r="O45" s="14">
        <v>0.1</v>
      </c>
      <c r="P45" s="14">
        <v>0.13</v>
      </c>
      <c r="Q45" s="14">
        <v>7.0000000000000007E-2</v>
      </c>
      <c r="R45" s="14">
        <v>0.04</v>
      </c>
      <c r="S45" s="14">
        <v>0.12</v>
      </c>
      <c r="T45" s="14">
        <v>0.14000000000000001</v>
      </c>
      <c r="U45" s="14">
        <v>7.0000000000000007E-2</v>
      </c>
      <c r="V45" s="14">
        <v>0.19</v>
      </c>
      <c r="W45" s="14">
        <v>0.02</v>
      </c>
      <c r="X45" s="14">
        <v>0.02</v>
      </c>
      <c r="Y45" s="14">
        <v>0.1</v>
      </c>
      <c r="Z45" s="14">
        <v>0.21</v>
      </c>
      <c r="AA45" s="14">
        <v>0.13</v>
      </c>
      <c r="AB45" s="14">
        <v>0.18</v>
      </c>
      <c r="AC45" s="14">
        <v>7.0000000000000007E-2</v>
      </c>
      <c r="AD45" s="14">
        <v>0.08</v>
      </c>
      <c r="AE45" s="14">
        <v>0.08</v>
      </c>
      <c r="AF45" s="14">
        <v>0.04</v>
      </c>
    </row>
    <row r="46" spans="1:32" ht="24.95">
      <c r="A46" s="20"/>
      <c r="B46" s="11" t="s">
        <v>1607</v>
      </c>
      <c r="C46" s="12">
        <v>690</v>
      </c>
      <c r="D46" s="12">
        <v>20</v>
      </c>
      <c r="E46" s="12">
        <v>30</v>
      </c>
      <c r="F46" s="12">
        <v>17</v>
      </c>
      <c r="G46" s="12">
        <v>38</v>
      </c>
      <c r="H46" s="12">
        <v>36</v>
      </c>
      <c r="I46" s="12">
        <v>45</v>
      </c>
      <c r="J46" s="12">
        <v>8</v>
      </c>
      <c r="K46" s="12">
        <v>24</v>
      </c>
      <c r="L46" s="12">
        <v>33</v>
      </c>
      <c r="M46" s="12">
        <v>18</v>
      </c>
      <c r="N46" s="12">
        <v>44</v>
      </c>
      <c r="O46" s="12">
        <v>13</v>
      </c>
      <c r="P46" s="12">
        <v>18</v>
      </c>
      <c r="Q46" s="12">
        <v>42</v>
      </c>
      <c r="R46" s="12">
        <v>11</v>
      </c>
      <c r="S46" s="12">
        <v>38</v>
      </c>
      <c r="T46" s="12">
        <v>21</v>
      </c>
      <c r="U46" s="12">
        <v>9</v>
      </c>
      <c r="V46" s="12">
        <v>36</v>
      </c>
      <c r="W46" s="12">
        <v>13</v>
      </c>
      <c r="X46" s="12">
        <v>15</v>
      </c>
      <c r="Y46" s="12">
        <v>38</v>
      </c>
      <c r="Z46" s="12">
        <v>4</v>
      </c>
      <c r="AA46" s="12">
        <v>36</v>
      </c>
      <c r="AB46" s="12">
        <v>26</v>
      </c>
      <c r="AC46" s="12">
        <v>39</v>
      </c>
      <c r="AD46" s="12">
        <v>14</v>
      </c>
      <c r="AE46" s="12">
        <v>10</v>
      </c>
      <c r="AF46" s="12">
        <v>18</v>
      </c>
    </row>
    <row r="47" spans="1:32" ht="24.95">
      <c r="A47" s="20"/>
      <c r="B47" s="13" t="s">
        <v>1608</v>
      </c>
      <c r="C47" s="14">
        <v>0.03</v>
      </c>
      <c r="D47" s="14">
        <v>0.02</v>
      </c>
      <c r="E47" s="14">
        <v>0.03</v>
      </c>
      <c r="F47" s="14">
        <v>0.02</v>
      </c>
      <c r="G47" s="14">
        <v>0.04</v>
      </c>
      <c r="H47" s="14">
        <v>0.03</v>
      </c>
      <c r="I47" s="14">
        <v>0.03</v>
      </c>
      <c r="J47" s="14">
        <v>0.03</v>
      </c>
      <c r="K47" s="14">
        <v>0.02</v>
      </c>
      <c r="L47" s="14">
        <v>0.03</v>
      </c>
      <c r="M47" s="14">
        <v>0.02</v>
      </c>
      <c r="N47" s="14">
        <v>0.04</v>
      </c>
      <c r="O47" s="14">
        <v>0.01</v>
      </c>
      <c r="P47" s="14">
        <v>0.02</v>
      </c>
      <c r="Q47" s="14">
        <v>0.04</v>
      </c>
      <c r="R47" s="14">
        <v>0.02</v>
      </c>
      <c r="S47" s="14">
        <v>0.04</v>
      </c>
      <c r="T47" s="14">
        <v>0.02</v>
      </c>
      <c r="U47" s="14">
        <v>0.02</v>
      </c>
      <c r="V47" s="14">
        <v>0.04</v>
      </c>
      <c r="W47" s="14">
        <v>0.03</v>
      </c>
      <c r="X47" s="14">
        <v>0.01</v>
      </c>
      <c r="Y47" s="14">
        <v>0.04</v>
      </c>
      <c r="Z47" s="15" t="s">
        <v>459</v>
      </c>
      <c r="AA47" s="14">
        <v>0.04</v>
      </c>
      <c r="AB47" s="14">
        <v>0.03</v>
      </c>
      <c r="AC47" s="14">
        <v>0.04</v>
      </c>
      <c r="AD47" s="14">
        <v>0.01</v>
      </c>
      <c r="AE47" s="14">
        <v>0.01</v>
      </c>
      <c r="AF47" s="14">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359</v>
      </c>
      <c r="C3" s="18"/>
      <c r="D3" s="18"/>
      <c r="E3" s="18"/>
      <c r="F3" s="18"/>
      <c r="H3" s="18" t="s">
        <v>360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1609</v>
      </c>
      <c r="C12" s="12">
        <v>1840</v>
      </c>
      <c r="D12" s="12">
        <v>48</v>
      </c>
      <c r="E12" s="12">
        <v>72</v>
      </c>
      <c r="F12" s="12">
        <v>85</v>
      </c>
      <c r="G12" s="12">
        <v>48</v>
      </c>
      <c r="H12" s="12">
        <v>65</v>
      </c>
      <c r="I12" s="12">
        <v>80</v>
      </c>
      <c r="J12" s="12">
        <v>16</v>
      </c>
      <c r="K12" s="12">
        <v>107</v>
      </c>
      <c r="L12" s="12">
        <v>52</v>
      </c>
      <c r="M12" s="12">
        <v>148</v>
      </c>
      <c r="N12" s="12">
        <v>75</v>
      </c>
      <c r="O12" s="12">
        <v>47</v>
      </c>
      <c r="P12" s="12">
        <v>76</v>
      </c>
      <c r="Q12" s="12">
        <v>114</v>
      </c>
      <c r="R12" s="12">
        <v>46</v>
      </c>
      <c r="S12" s="12">
        <v>67</v>
      </c>
      <c r="T12" s="12">
        <v>98</v>
      </c>
      <c r="U12" s="12">
        <v>27</v>
      </c>
      <c r="V12" s="12">
        <v>84</v>
      </c>
      <c r="W12" s="12">
        <v>53</v>
      </c>
      <c r="X12" s="12">
        <v>71</v>
      </c>
      <c r="Y12" s="12">
        <v>61</v>
      </c>
      <c r="Z12" s="12">
        <v>62</v>
      </c>
      <c r="AA12" s="12">
        <v>99</v>
      </c>
      <c r="AB12" s="12">
        <v>40</v>
      </c>
      <c r="AC12" s="12">
        <v>95</v>
      </c>
      <c r="AD12" s="12">
        <v>121</v>
      </c>
      <c r="AE12" s="12">
        <v>75</v>
      </c>
      <c r="AF12" s="12">
        <v>46</v>
      </c>
    </row>
    <row r="13" spans="1:32">
      <c r="A13" s="20"/>
      <c r="B13" s="13" t="s">
        <v>1610</v>
      </c>
      <c r="C13" s="14">
        <v>7.0000000000000007E-2</v>
      </c>
      <c r="D13" s="14">
        <v>0.05</v>
      </c>
      <c r="E13" s="14">
        <v>7.0000000000000007E-2</v>
      </c>
      <c r="F13" s="14">
        <v>0.08</v>
      </c>
      <c r="G13" s="14">
        <v>0.05</v>
      </c>
      <c r="H13" s="14">
        <v>0.05</v>
      </c>
      <c r="I13" s="14">
        <v>0.05</v>
      </c>
      <c r="J13" s="14">
        <v>0.05</v>
      </c>
      <c r="K13" s="14">
        <v>0.11</v>
      </c>
      <c r="L13" s="14">
        <v>0.05</v>
      </c>
      <c r="M13" s="14">
        <v>0.15</v>
      </c>
      <c r="N13" s="14">
        <v>0.08</v>
      </c>
      <c r="O13" s="14">
        <v>0.05</v>
      </c>
      <c r="P13" s="14">
        <v>7.0000000000000007E-2</v>
      </c>
      <c r="Q13" s="14">
        <v>0.11</v>
      </c>
      <c r="R13" s="14">
        <v>0.09</v>
      </c>
      <c r="S13" s="14">
        <v>7.0000000000000007E-2</v>
      </c>
      <c r="T13" s="14">
        <v>0.1</v>
      </c>
      <c r="U13" s="14">
        <v>0.05</v>
      </c>
      <c r="V13" s="14">
        <v>0.08</v>
      </c>
      <c r="W13" s="14">
        <v>0.1</v>
      </c>
      <c r="X13" s="14">
        <v>7.0000000000000007E-2</v>
      </c>
      <c r="Y13" s="14">
        <v>0.06</v>
      </c>
      <c r="Z13" s="14">
        <v>0.06</v>
      </c>
      <c r="AA13" s="14">
        <v>0.09</v>
      </c>
      <c r="AB13" s="14">
        <v>0.04</v>
      </c>
      <c r="AC13" s="14">
        <v>0.09</v>
      </c>
      <c r="AD13" s="14">
        <v>0.12</v>
      </c>
      <c r="AE13" s="14">
        <v>0.08</v>
      </c>
      <c r="AF13" s="14">
        <v>0.04</v>
      </c>
    </row>
    <row r="14" spans="1:32">
      <c r="A14" s="20"/>
      <c r="B14" s="11" t="s">
        <v>1611</v>
      </c>
      <c r="C14" s="12">
        <v>12814</v>
      </c>
      <c r="D14" s="12">
        <v>414</v>
      </c>
      <c r="E14" s="12">
        <v>534</v>
      </c>
      <c r="F14" s="12">
        <v>519</v>
      </c>
      <c r="G14" s="12">
        <v>502</v>
      </c>
      <c r="H14" s="12">
        <v>589</v>
      </c>
      <c r="I14" s="12">
        <v>737</v>
      </c>
      <c r="J14" s="12">
        <v>147</v>
      </c>
      <c r="K14" s="12">
        <v>488</v>
      </c>
      <c r="L14" s="12">
        <v>560</v>
      </c>
      <c r="M14" s="12">
        <v>417</v>
      </c>
      <c r="N14" s="12">
        <v>476</v>
      </c>
      <c r="O14" s="12">
        <v>457</v>
      </c>
      <c r="P14" s="12">
        <v>517</v>
      </c>
      <c r="Q14" s="12">
        <v>458</v>
      </c>
      <c r="R14" s="12">
        <v>265</v>
      </c>
      <c r="S14" s="12">
        <v>509</v>
      </c>
      <c r="T14" s="12">
        <v>490</v>
      </c>
      <c r="U14" s="12">
        <v>277</v>
      </c>
      <c r="V14" s="12">
        <v>566</v>
      </c>
      <c r="W14" s="12">
        <v>271</v>
      </c>
      <c r="X14" s="12">
        <v>489</v>
      </c>
      <c r="Y14" s="12">
        <v>534</v>
      </c>
      <c r="Z14" s="12">
        <v>563</v>
      </c>
      <c r="AA14" s="12">
        <v>534</v>
      </c>
      <c r="AB14" s="12">
        <v>557</v>
      </c>
      <c r="AC14" s="12">
        <v>476</v>
      </c>
      <c r="AD14" s="12">
        <v>487</v>
      </c>
      <c r="AE14" s="12">
        <v>451</v>
      </c>
      <c r="AF14" s="12">
        <v>588</v>
      </c>
    </row>
    <row r="15" spans="1:32">
      <c r="A15" s="20"/>
      <c r="B15" s="13" t="s">
        <v>1612</v>
      </c>
      <c r="C15" s="14">
        <v>0.49</v>
      </c>
      <c r="D15" s="14">
        <v>0.41</v>
      </c>
      <c r="E15" s="14">
        <v>0.53</v>
      </c>
      <c r="F15" s="14">
        <v>0.52</v>
      </c>
      <c r="G15" s="14">
        <v>0.5</v>
      </c>
      <c r="H15" s="14">
        <v>0.49</v>
      </c>
      <c r="I15" s="14">
        <v>0.49</v>
      </c>
      <c r="J15" s="14">
        <v>0.5</v>
      </c>
      <c r="K15" s="14">
        <v>0.48</v>
      </c>
      <c r="L15" s="14">
        <v>0.56000000000000005</v>
      </c>
      <c r="M15" s="14">
        <v>0.41</v>
      </c>
      <c r="N15" s="14">
        <v>0.47</v>
      </c>
      <c r="O15" s="14">
        <v>0.45</v>
      </c>
      <c r="P15" s="14">
        <v>0.51</v>
      </c>
      <c r="Q15" s="14">
        <v>0.45</v>
      </c>
      <c r="R15" s="14">
        <v>0.53</v>
      </c>
      <c r="S15" s="14">
        <v>0.5</v>
      </c>
      <c r="T15" s="14">
        <v>0.48</v>
      </c>
      <c r="U15" s="14">
        <v>0.55000000000000004</v>
      </c>
      <c r="V15" s="14">
        <v>0.56000000000000005</v>
      </c>
      <c r="W15" s="14">
        <v>0.54</v>
      </c>
      <c r="X15" s="14">
        <v>0.48</v>
      </c>
      <c r="Y15" s="14">
        <v>0.53</v>
      </c>
      <c r="Z15" s="14">
        <v>0.56000000000000005</v>
      </c>
      <c r="AA15" s="14">
        <v>0.51</v>
      </c>
      <c r="AB15" s="14">
        <v>0.54</v>
      </c>
      <c r="AC15" s="14">
        <v>0.47</v>
      </c>
      <c r="AD15" s="14">
        <v>0.48</v>
      </c>
      <c r="AE15" s="14">
        <v>0.45</v>
      </c>
      <c r="AF15" s="14">
        <v>0.57999999999999996</v>
      </c>
    </row>
    <row r="16" spans="1:32">
      <c r="A16" s="20"/>
      <c r="B16" s="11" t="s">
        <v>1613</v>
      </c>
      <c r="C16" s="12">
        <v>11665</v>
      </c>
      <c r="D16" s="12">
        <v>541</v>
      </c>
      <c r="E16" s="12">
        <v>412</v>
      </c>
      <c r="F16" s="12">
        <v>401</v>
      </c>
      <c r="G16" s="12">
        <v>455</v>
      </c>
      <c r="H16" s="12">
        <v>562</v>
      </c>
      <c r="I16" s="12">
        <v>693</v>
      </c>
      <c r="J16" s="12">
        <v>131</v>
      </c>
      <c r="K16" s="12">
        <v>411</v>
      </c>
      <c r="L16" s="12">
        <v>396</v>
      </c>
      <c r="M16" s="12">
        <v>438</v>
      </c>
      <c r="N16" s="12">
        <v>453</v>
      </c>
      <c r="O16" s="12">
        <v>499</v>
      </c>
      <c r="P16" s="12">
        <v>429</v>
      </c>
      <c r="Q16" s="12">
        <v>447</v>
      </c>
      <c r="R16" s="12">
        <v>189</v>
      </c>
      <c r="S16" s="12">
        <v>432</v>
      </c>
      <c r="T16" s="12">
        <v>426</v>
      </c>
      <c r="U16" s="12">
        <v>203</v>
      </c>
      <c r="V16" s="12">
        <v>368</v>
      </c>
      <c r="W16" s="12">
        <v>179</v>
      </c>
      <c r="X16" s="12">
        <v>461</v>
      </c>
      <c r="Y16" s="12">
        <v>413</v>
      </c>
      <c r="Z16" s="12">
        <v>383</v>
      </c>
      <c r="AA16" s="12">
        <v>420</v>
      </c>
      <c r="AB16" s="12">
        <v>442</v>
      </c>
      <c r="AC16" s="12">
        <v>439</v>
      </c>
      <c r="AD16" s="12">
        <v>398</v>
      </c>
      <c r="AE16" s="12">
        <v>475</v>
      </c>
      <c r="AF16" s="12">
        <v>386</v>
      </c>
    </row>
    <row r="17" spans="1:32">
      <c r="A17" s="20"/>
      <c r="B17" s="13" t="s">
        <v>1614</v>
      </c>
      <c r="C17" s="14">
        <v>0.44</v>
      </c>
      <c r="D17" s="14">
        <v>0.54</v>
      </c>
      <c r="E17" s="14">
        <v>0.4</v>
      </c>
      <c r="F17" s="14">
        <v>0.4</v>
      </c>
      <c r="G17" s="14">
        <v>0.45</v>
      </c>
      <c r="H17" s="14">
        <v>0.46</v>
      </c>
      <c r="I17" s="14">
        <v>0.46</v>
      </c>
      <c r="J17" s="14">
        <v>0.45</v>
      </c>
      <c r="K17" s="14">
        <v>0.41</v>
      </c>
      <c r="L17" s="14">
        <v>0.39</v>
      </c>
      <c r="M17" s="14">
        <v>0.44</v>
      </c>
      <c r="N17" s="14">
        <v>0.45</v>
      </c>
      <c r="O17" s="14">
        <v>0.5</v>
      </c>
      <c r="P17" s="14">
        <v>0.42</v>
      </c>
      <c r="Q17" s="14">
        <v>0.44</v>
      </c>
      <c r="R17" s="14">
        <v>0.38</v>
      </c>
      <c r="S17" s="14">
        <v>0.43</v>
      </c>
      <c r="T17" s="14">
        <v>0.42</v>
      </c>
      <c r="U17" s="14">
        <v>0.4</v>
      </c>
      <c r="V17" s="14">
        <v>0.36</v>
      </c>
      <c r="W17" s="14">
        <v>0.36</v>
      </c>
      <c r="X17" s="14">
        <v>0.45</v>
      </c>
      <c r="Y17" s="14">
        <v>0.41</v>
      </c>
      <c r="Z17" s="14">
        <v>0.38</v>
      </c>
      <c r="AA17" s="14">
        <v>0.4</v>
      </c>
      <c r="AB17" s="14">
        <v>0.42</v>
      </c>
      <c r="AC17" s="14">
        <v>0.44</v>
      </c>
      <c r="AD17" s="14">
        <v>0.4</v>
      </c>
      <c r="AE17" s="14">
        <v>0.47</v>
      </c>
      <c r="AF17" s="14">
        <v>0.38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361</v>
      </c>
      <c r="C3" s="18"/>
      <c r="D3" s="18"/>
      <c r="E3" s="18"/>
      <c r="F3" s="18"/>
      <c r="H3" s="18" t="s">
        <v>362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1609</v>
      </c>
      <c r="C12" s="12">
        <v>1840</v>
      </c>
      <c r="D12" s="12">
        <v>48</v>
      </c>
      <c r="E12" s="12">
        <v>72</v>
      </c>
      <c r="F12" s="12">
        <v>85</v>
      </c>
      <c r="G12" s="12">
        <v>48</v>
      </c>
      <c r="H12" s="12">
        <v>65</v>
      </c>
      <c r="I12" s="12">
        <v>80</v>
      </c>
      <c r="J12" s="12">
        <v>16</v>
      </c>
      <c r="K12" s="12">
        <v>107</v>
      </c>
      <c r="L12" s="12">
        <v>52</v>
      </c>
      <c r="M12" s="12">
        <v>148</v>
      </c>
      <c r="N12" s="12">
        <v>75</v>
      </c>
      <c r="O12" s="12">
        <v>47</v>
      </c>
      <c r="P12" s="12">
        <v>76</v>
      </c>
      <c r="Q12" s="12">
        <v>114</v>
      </c>
      <c r="R12" s="12">
        <v>46</v>
      </c>
      <c r="S12" s="12">
        <v>67</v>
      </c>
      <c r="T12" s="12">
        <v>98</v>
      </c>
      <c r="U12" s="12">
        <v>27</v>
      </c>
      <c r="V12" s="12">
        <v>84</v>
      </c>
      <c r="W12" s="12">
        <v>53</v>
      </c>
      <c r="X12" s="12">
        <v>71</v>
      </c>
      <c r="Y12" s="12">
        <v>61</v>
      </c>
      <c r="Z12" s="12">
        <v>62</v>
      </c>
      <c r="AA12" s="12">
        <v>99</v>
      </c>
      <c r="AB12" s="12">
        <v>40</v>
      </c>
      <c r="AC12" s="12">
        <v>95</v>
      </c>
      <c r="AD12" s="12">
        <v>121</v>
      </c>
      <c r="AE12" s="12">
        <v>75</v>
      </c>
      <c r="AF12" s="12">
        <v>46</v>
      </c>
    </row>
    <row r="13" spans="1:32">
      <c r="A13" s="20"/>
      <c r="B13" s="13" t="s">
        <v>1610</v>
      </c>
      <c r="C13" s="14">
        <v>7.0000000000000007E-2</v>
      </c>
      <c r="D13" s="14">
        <v>0.05</v>
      </c>
      <c r="E13" s="14">
        <v>7.0000000000000007E-2</v>
      </c>
      <c r="F13" s="14">
        <v>0.08</v>
      </c>
      <c r="G13" s="14">
        <v>0.05</v>
      </c>
      <c r="H13" s="14">
        <v>0.05</v>
      </c>
      <c r="I13" s="14">
        <v>0.05</v>
      </c>
      <c r="J13" s="14">
        <v>0.05</v>
      </c>
      <c r="K13" s="14">
        <v>0.11</v>
      </c>
      <c r="L13" s="14">
        <v>0.05</v>
      </c>
      <c r="M13" s="14">
        <v>0.15</v>
      </c>
      <c r="N13" s="14">
        <v>0.08</v>
      </c>
      <c r="O13" s="14">
        <v>0.05</v>
      </c>
      <c r="P13" s="14">
        <v>0.08</v>
      </c>
      <c r="Q13" s="14">
        <v>0.11</v>
      </c>
      <c r="R13" s="14">
        <v>0.09</v>
      </c>
      <c r="S13" s="14">
        <v>7.0000000000000007E-2</v>
      </c>
      <c r="T13" s="14">
        <v>0.1</v>
      </c>
      <c r="U13" s="14">
        <v>0.05</v>
      </c>
      <c r="V13" s="14">
        <v>0.08</v>
      </c>
      <c r="W13" s="14">
        <v>0.11</v>
      </c>
      <c r="X13" s="14">
        <v>7.0000000000000007E-2</v>
      </c>
      <c r="Y13" s="14">
        <v>0.06</v>
      </c>
      <c r="Z13" s="14">
        <v>0.06</v>
      </c>
      <c r="AA13" s="14">
        <v>0.1</v>
      </c>
      <c r="AB13" s="14">
        <v>0.04</v>
      </c>
      <c r="AC13" s="14">
        <v>0.09</v>
      </c>
      <c r="AD13" s="14">
        <v>0.12</v>
      </c>
      <c r="AE13" s="14">
        <v>0.08</v>
      </c>
      <c r="AF13" s="14">
        <v>0.05</v>
      </c>
    </row>
    <row r="14" spans="1:32">
      <c r="A14" s="20"/>
      <c r="B14" s="11" t="s">
        <v>1615</v>
      </c>
      <c r="C14" s="12">
        <v>3270</v>
      </c>
      <c r="D14" s="12">
        <v>70</v>
      </c>
      <c r="E14" s="12">
        <v>78</v>
      </c>
      <c r="F14" s="12">
        <v>86</v>
      </c>
      <c r="G14" s="12">
        <v>147</v>
      </c>
      <c r="H14" s="12">
        <v>204</v>
      </c>
      <c r="I14" s="12">
        <v>249</v>
      </c>
      <c r="J14" s="12">
        <v>45</v>
      </c>
      <c r="K14" s="12">
        <v>142</v>
      </c>
      <c r="L14" s="12">
        <v>197</v>
      </c>
      <c r="M14" s="12">
        <v>67</v>
      </c>
      <c r="N14" s="12">
        <v>84</v>
      </c>
      <c r="O14" s="12">
        <v>131</v>
      </c>
      <c r="P14" s="12">
        <v>77</v>
      </c>
      <c r="Q14" s="12">
        <v>116</v>
      </c>
      <c r="R14" s="12">
        <v>67</v>
      </c>
      <c r="S14" s="12">
        <v>153</v>
      </c>
      <c r="T14" s="12">
        <v>153</v>
      </c>
      <c r="U14" s="12">
        <v>99</v>
      </c>
      <c r="V14" s="12">
        <v>81</v>
      </c>
      <c r="W14" s="12">
        <v>128</v>
      </c>
      <c r="X14" s="12">
        <v>210</v>
      </c>
      <c r="Y14" s="12">
        <v>151</v>
      </c>
      <c r="Z14" s="12">
        <v>84</v>
      </c>
      <c r="AA14" s="12">
        <v>107</v>
      </c>
      <c r="AB14" s="12">
        <v>75</v>
      </c>
      <c r="AC14" s="12">
        <v>163</v>
      </c>
      <c r="AD14" s="12">
        <v>125</v>
      </c>
      <c r="AE14" s="12">
        <v>204</v>
      </c>
      <c r="AF14" s="12">
        <v>232</v>
      </c>
    </row>
    <row r="15" spans="1:32">
      <c r="A15" s="20"/>
      <c r="B15" s="13" t="s">
        <v>1616</v>
      </c>
      <c r="C15" s="14">
        <v>0.13</v>
      </c>
      <c r="D15" s="14">
        <v>7.0000000000000007E-2</v>
      </c>
      <c r="E15" s="14">
        <v>0.08</v>
      </c>
      <c r="F15" s="14">
        <v>0.09</v>
      </c>
      <c r="G15" s="14">
        <v>0.15</v>
      </c>
      <c r="H15" s="14">
        <v>0.17</v>
      </c>
      <c r="I15" s="14">
        <v>0.17</v>
      </c>
      <c r="J15" s="14">
        <v>0.15</v>
      </c>
      <c r="K15" s="14">
        <v>0.14000000000000001</v>
      </c>
      <c r="L15" s="14">
        <v>0.2</v>
      </c>
      <c r="M15" s="14">
        <v>7.0000000000000007E-2</v>
      </c>
      <c r="N15" s="14">
        <v>0.08</v>
      </c>
      <c r="O15" s="14">
        <v>0.13</v>
      </c>
      <c r="P15" s="14">
        <v>0.08</v>
      </c>
      <c r="Q15" s="14">
        <v>0.11</v>
      </c>
      <c r="R15" s="14">
        <v>0.13</v>
      </c>
      <c r="S15" s="14">
        <v>0.15</v>
      </c>
      <c r="T15" s="14">
        <v>0.15</v>
      </c>
      <c r="U15" s="14">
        <v>0.2</v>
      </c>
      <c r="V15" s="14">
        <v>0.08</v>
      </c>
      <c r="W15" s="14">
        <v>0.25</v>
      </c>
      <c r="X15" s="14">
        <v>0.21</v>
      </c>
      <c r="Y15" s="14">
        <v>0.15</v>
      </c>
      <c r="Z15" s="14">
        <v>0.08</v>
      </c>
      <c r="AA15" s="14">
        <v>0.1</v>
      </c>
      <c r="AB15" s="14">
        <v>7.0000000000000007E-2</v>
      </c>
      <c r="AC15" s="14">
        <v>0.16</v>
      </c>
      <c r="AD15" s="14">
        <v>0.12</v>
      </c>
      <c r="AE15" s="14">
        <v>0.2</v>
      </c>
      <c r="AF15" s="14">
        <v>0.23</v>
      </c>
    </row>
    <row r="16" spans="1:32">
      <c r="A16" s="20"/>
      <c r="B16" s="11" t="s">
        <v>1617</v>
      </c>
      <c r="C16" s="12">
        <v>3512</v>
      </c>
      <c r="D16" s="12">
        <v>152</v>
      </c>
      <c r="E16" s="12">
        <v>186</v>
      </c>
      <c r="F16" s="12">
        <v>262</v>
      </c>
      <c r="G16" s="12">
        <v>160</v>
      </c>
      <c r="H16" s="12">
        <v>108</v>
      </c>
      <c r="I16" s="12">
        <v>133</v>
      </c>
      <c r="J16" s="12">
        <v>25</v>
      </c>
      <c r="K16" s="12">
        <v>114</v>
      </c>
      <c r="L16" s="12">
        <v>150</v>
      </c>
      <c r="M16" s="12">
        <v>169</v>
      </c>
      <c r="N16" s="12">
        <v>109</v>
      </c>
      <c r="O16" s="12">
        <v>93</v>
      </c>
      <c r="P16" s="12">
        <v>145</v>
      </c>
      <c r="Q16" s="12">
        <v>161</v>
      </c>
      <c r="R16" s="12">
        <v>120</v>
      </c>
      <c r="S16" s="12">
        <v>111</v>
      </c>
      <c r="T16" s="12">
        <v>80</v>
      </c>
      <c r="U16" s="12">
        <v>90</v>
      </c>
      <c r="V16" s="12">
        <v>190</v>
      </c>
      <c r="W16" s="12">
        <v>73</v>
      </c>
      <c r="X16" s="12">
        <v>162</v>
      </c>
      <c r="Y16" s="12">
        <v>135</v>
      </c>
      <c r="Z16" s="12">
        <v>195</v>
      </c>
      <c r="AA16" s="12">
        <v>137</v>
      </c>
      <c r="AB16" s="12">
        <v>158</v>
      </c>
      <c r="AC16" s="12">
        <v>128</v>
      </c>
      <c r="AD16" s="12">
        <v>150</v>
      </c>
      <c r="AE16" s="12">
        <v>62</v>
      </c>
      <c r="AF16" s="12">
        <v>206</v>
      </c>
    </row>
    <row r="17" spans="1:32">
      <c r="A17" s="20"/>
      <c r="B17" s="13" t="s">
        <v>1618</v>
      </c>
      <c r="C17" s="14">
        <v>0.13</v>
      </c>
      <c r="D17" s="14">
        <v>0.15</v>
      </c>
      <c r="E17" s="14">
        <v>0.18</v>
      </c>
      <c r="F17" s="14">
        <v>0.26</v>
      </c>
      <c r="G17" s="14">
        <v>0.16</v>
      </c>
      <c r="H17" s="14">
        <v>0.09</v>
      </c>
      <c r="I17" s="14">
        <v>0.09</v>
      </c>
      <c r="J17" s="14">
        <v>0.09</v>
      </c>
      <c r="K17" s="14">
        <v>0.11</v>
      </c>
      <c r="L17" s="14">
        <v>0.15</v>
      </c>
      <c r="M17" s="14">
        <v>0.17</v>
      </c>
      <c r="N17" s="14">
        <v>0.11</v>
      </c>
      <c r="O17" s="14">
        <v>0.09</v>
      </c>
      <c r="P17" s="14">
        <v>0.14000000000000001</v>
      </c>
      <c r="Q17" s="14">
        <v>0.16</v>
      </c>
      <c r="R17" s="14">
        <v>0.24</v>
      </c>
      <c r="S17" s="14">
        <v>0.11</v>
      </c>
      <c r="T17" s="14">
        <v>0.08</v>
      </c>
      <c r="U17" s="14">
        <v>0.18</v>
      </c>
      <c r="V17" s="14">
        <v>0.19</v>
      </c>
      <c r="W17" s="14">
        <v>0.14000000000000001</v>
      </c>
      <c r="X17" s="14">
        <v>0.16</v>
      </c>
      <c r="Y17" s="14">
        <v>0.13</v>
      </c>
      <c r="Z17" s="14">
        <v>0.19</v>
      </c>
      <c r="AA17" s="14">
        <v>0.13</v>
      </c>
      <c r="AB17" s="14">
        <v>0.15</v>
      </c>
      <c r="AC17" s="14">
        <v>0.13</v>
      </c>
      <c r="AD17" s="14">
        <v>0.15</v>
      </c>
      <c r="AE17" s="14">
        <v>0.06</v>
      </c>
      <c r="AF17" s="14">
        <v>0.2</v>
      </c>
    </row>
    <row r="18" spans="1:32">
      <c r="A18" s="20"/>
      <c r="B18" s="11" t="s">
        <v>1619</v>
      </c>
      <c r="C18" s="12">
        <v>6032</v>
      </c>
      <c r="D18" s="12">
        <v>193</v>
      </c>
      <c r="E18" s="12">
        <v>271</v>
      </c>
      <c r="F18" s="12">
        <v>170</v>
      </c>
      <c r="G18" s="12">
        <v>195</v>
      </c>
      <c r="H18" s="12">
        <v>277</v>
      </c>
      <c r="I18" s="12">
        <v>354</v>
      </c>
      <c r="J18" s="12">
        <v>77</v>
      </c>
      <c r="K18" s="12">
        <v>232</v>
      </c>
      <c r="L18" s="12">
        <v>213</v>
      </c>
      <c r="M18" s="12">
        <v>181</v>
      </c>
      <c r="N18" s="12">
        <v>282</v>
      </c>
      <c r="O18" s="12">
        <v>233</v>
      </c>
      <c r="P18" s="12">
        <v>295</v>
      </c>
      <c r="Q18" s="12">
        <v>181</v>
      </c>
      <c r="R18" s="12">
        <v>78</v>
      </c>
      <c r="S18" s="12">
        <v>246</v>
      </c>
      <c r="T18" s="12">
        <v>257</v>
      </c>
      <c r="U18" s="12">
        <v>87</v>
      </c>
      <c r="V18" s="12">
        <v>295</v>
      </c>
      <c r="W18" s="12">
        <v>70</v>
      </c>
      <c r="X18" s="12">
        <v>117</v>
      </c>
      <c r="Y18" s="12">
        <v>248</v>
      </c>
      <c r="Z18" s="12">
        <v>285</v>
      </c>
      <c r="AA18" s="12">
        <v>290</v>
      </c>
      <c r="AB18" s="12">
        <v>325</v>
      </c>
      <c r="AC18" s="12">
        <v>186</v>
      </c>
      <c r="AD18" s="12">
        <v>213</v>
      </c>
      <c r="AE18" s="12">
        <v>185</v>
      </c>
      <c r="AF18" s="12">
        <v>151</v>
      </c>
    </row>
    <row r="19" spans="1:32">
      <c r="A19" s="20"/>
      <c r="B19" s="13" t="s">
        <v>1620</v>
      </c>
      <c r="C19" s="14">
        <v>0.23</v>
      </c>
      <c r="D19" s="14">
        <v>0.19</v>
      </c>
      <c r="E19" s="14">
        <v>0.26</v>
      </c>
      <c r="F19" s="14">
        <v>0.17</v>
      </c>
      <c r="G19" s="14">
        <v>0.19</v>
      </c>
      <c r="H19" s="14">
        <v>0.23</v>
      </c>
      <c r="I19" s="14">
        <v>0.23</v>
      </c>
      <c r="J19" s="14">
        <v>0.26</v>
      </c>
      <c r="K19" s="14">
        <v>0.23</v>
      </c>
      <c r="L19" s="14">
        <v>0.21</v>
      </c>
      <c r="M19" s="14">
        <v>0.18</v>
      </c>
      <c r="N19" s="14">
        <v>0.28000000000000003</v>
      </c>
      <c r="O19" s="14">
        <v>0.23</v>
      </c>
      <c r="P19" s="14">
        <v>0.28999999999999998</v>
      </c>
      <c r="Q19" s="14">
        <v>0.18</v>
      </c>
      <c r="R19" s="14">
        <v>0.15</v>
      </c>
      <c r="S19" s="14">
        <v>0.24</v>
      </c>
      <c r="T19" s="14">
        <v>0.25</v>
      </c>
      <c r="U19" s="14">
        <v>0.17</v>
      </c>
      <c r="V19" s="14">
        <v>0.28999999999999998</v>
      </c>
      <c r="W19" s="14">
        <v>0.14000000000000001</v>
      </c>
      <c r="X19" s="14">
        <v>0.11</v>
      </c>
      <c r="Y19" s="14">
        <v>0.25</v>
      </c>
      <c r="Z19" s="14">
        <v>0.28000000000000003</v>
      </c>
      <c r="AA19" s="14">
        <v>0.28000000000000003</v>
      </c>
      <c r="AB19" s="14">
        <v>0.31</v>
      </c>
      <c r="AC19" s="14">
        <v>0.18</v>
      </c>
      <c r="AD19" s="14">
        <v>0.21</v>
      </c>
      <c r="AE19" s="14">
        <v>0.19</v>
      </c>
      <c r="AF19" s="14">
        <v>0.15</v>
      </c>
    </row>
    <row r="20" spans="1:32">
      <c r="A20" s="20"/>
      <c r="B20" s="11" t="s">
        <v>1621</v>
      </c>
      <c r="C20" s="12">
        <v>1117</v>
      </c>
      <c r="D20" s="12">
        <v>20</v>
      </c>
      <c r="E20" s="12">
        <v>29</v>
      </c>
      <c r="F20" s="12">
        <v>28</v>
      </c>
      <c r="G20" s="12">
        <v>7</v>
      </c>
      <c r="H20" s="12">
        <v>35</v>
      </c>
      <c r="I20" s="12">
        <v>37</v>
      </c>
      <c r="J20" s="12">
        <v>2</v>
      </c>
      <c r="K20" s="12">
        <v>25</v>
      </c>
      <c r="L20" s="12">
        <v>87</v>
      </c>
      <c r="M20" s="12">
        <v>72</v>
      </c>
      <c r="N20" s="12">
        <v>64</v>
      </c>
      <c r="O20" s="12">
        <v>42</v>
      </c>
      <c r="P20" s="12">
        <v>19</v>
      </c>
      <c r="Q20" s="12">
        <v>78</v>
      </c>
      <c r="R20" s="12">
        <v>23</v>
      </c>
      <c r="S20" s="12">
        <v>34</v>
      </c>
      <c r="T20" s="12">
        <v>16</v>
      </c>
      <c r="U20" s="12">
        <v>9</v>
      </c>
      <c r="V20" s="12">
        <v>24</v>
      </c>
      <c r="W20" s="12">
        <v>94</v>
      </c>
      <c r="X20" s="12">
        <v>20</v>
      </c>
      <c r="Y20" s="12">
        <v>33</v>
      </c>
      <c r="Z20" s="12">
        <v>36</v>
      </c>
      <c r="AA20" s="12">
        <v>22</v>
      </c>
      <c r="AB20" s="12">
        <v>78</v>
      </c>
      <c r="AC20" s="12">
        <v>12</v>
      </c>
      <c r="AD20" s="12">
        <v>30</v>
      </c>
      <c r="AE20" s="12">
        <v>2</v>
      </c>
      <c r="AF20" s="12">
        <v>5</v>
      </c>
    </row>
    <row r="21" spans="1:32">
      <c r="A21" s="20"/>
      <c r="B21" s="13" t="s">
        <v>1622</v>
      </c>
      <c r="C21" s="14">
        <v>0.04</v>
      </c>
      <c r="D21" s="14">
        <v>0.02</v>
      </c>
      <c r="E21" s="14">
        <v>0.03</v>
      </c>
      <c r="F21" s="14">
        <v>0.03</v>
      </c>
      <c r="G21" s="14">
        <v>0.01</v>
      </c>
      <c r="H21" s="14">
        <v>0.03</v>
      </c>
      <c r="I21" s="14">
        <v>0.02</v>
      </c>
      <c r="J21" s="14">
        <v>0.01</v>
      </c>
      <c r="K21" s="14">
        <v>0.03</v>
      </c>
      <c r="L21" s="14">
        <v>0.09</v>
      </c>
      <c r="M21" s="14">
        <v>7.0000000000000007E-2</v>
      </c>
      <c r="N21" s="14">
        <v>7.0000000000000007E-2</v>
      </c>
      <c r="O21" s="14">
        <v>0.04</v>
      </c>
      <c r="P21" s="14">
        <v>0.02</v>
      </c>
      <c r="Q21" s="14">
        <v>0.08</v>
      </c>
      <c r="R21" s="14">
        <v>0.05</v>
      </c>
      <c r="S21" s="14">
        <v>0.03</v>
      </c>
      <c r="T21" s="14">
        <v>0.01</v>
      </c>
      <c r="U21" s="14">
        <v>0.02</v>
      </c>
      <c r="V21" s="14">
        <v>0.02</v>
      </c>
      <c r="W21" s="14">
        <v>0.19</v>
      </c>
      <c r="X21" s="14">
        <v>0.02</v>
      </c>
      <c r="Y21" s="14">
        <v>0.03</v>
      </c>
      <c r="Z21" s="14">
        <v>0.04</v>
      </c>
      <c r="AA21" s="14">
        <v>0.02</v>
      </c>
      <c r="AB21" s="14">
        <v>0.08</v>
      </c>
      <c r="AC21" s="14">
        <v>0.01</v>
      </c>
      <c r="AD21" s="14">
        <v>0.03</v>
      </c>
      <c r="AE21" s="15" t="s">
        <v>459</v>
      </c>
      <c r="AF21" s="15" t="s">
        <v>459</v>
      </c>
    </row>
    <row r="22" spans="1:32">
      <c r="A22" s="20"/>
      <c r="B22" s="11" t="s">
        <v>1623</v>
      </c>
      <c r="C22" s="12">
        <v>1143</v>
      </c>
      <c r="D22" s="12">
        <v>68</v>
      </c>
      <c r="E22" s="12">
        <v>37</v>
      </c>
      <c r="F22" s="12">
        <v>43</v>
      </c>
      <c r="G22" s="12">
        <v>40</v>
      </c>
      <c r="H22" s="12">
        <v>43</v>
      </c>
      <c r="I22" s="12">
        <v>54</v>
      </c>
      <c r="J22" s="12">
        <v>12</v>
      </c>
      <c r="K22" s="12">
        <v>44</v>
      </c>
      <c r="L22" s="12">
        <v>40</v>
      </c>
      <c r="M22" s="12">
        <v>42</v>
      </c>
      <c r="N22" s="12">
        <v>92</v>
      </c>
      <c r="O22" s="12">
        <v>68</v>
      </c>
      <c r="P22" s="12">
        <v>44</v>
      </c>
      <c r="Q22" s="12">
        <v>24</v>
      </c>
      <c r="R22" s="12">
        <v>18</v>
      </c>
      <c r="S22" s="12">
        <v>53</v>
      </c>
      <c r="T22" s="12">
        <v>57</v>
      </c>
      <c r="U22" s="12">
        <v>23</v>
      </c>
      <c r="V22" s="12">
        <v>30</v>
      </c>
      <c r="W22" s="12">
        <v>4</v>
      </c>
      <c r="X22" s="12">
        <v>33</v>
      </c>
      <c r="Y22" s="12">
        <v>27</v>
      </c>
      <c r="Z22" s="12">
        <v>14</v>
      </c>
      <c r="AA22" s="12">
        <v>24</v>
      </c>
      <c r="AB22" s="12">
        <v>14</v>
      </c>
      <c r="AC22" s="12">
        <v>30</v>
      </c>
      <c r="AD22" s="12">
        <v>39</v>
      </c>
      <c r="AE22" s="12">
        <v>73</v>
      </c>
      <c r="AF22" s="12">
        <v>29</v>
      </c>
    </row>
    <row r="23" spans="1:32">
      <c r="A23" s="20"/>
      <c r="B23" s="13" t="s">
        <v>1624</v>
      </c>
      <c r="C23" s="14">
        <v>0.04</v>
      </c>
      <c r="D23" s="14">
        <v>7.0000000000000007E-2</v>
      </c>
      <c r="E23" s="14">
        <v>0.04</v>
      </c>
      <c r="F23" s="14">
        <v>0.04</v>
      </c>
      <c r="G23" s="14">
        <v>0.04</v>
      </c>
      <c r="H23" s="14">
        <v>0.03</v>
      </c>
      <c r="I23" s="14">
        <v>0.04</v>
      </c>
      <c r="J23" s="14">
        <v>0.04</v>
      </c>
      <c r="K23" s="14">
        <v>0.04</v>
      </c>
      <c r="L23" s="14">
        <v>0.04</v>
      </c>
      <c r="M23" s="14">
        <v>0.04</v>
      </c>
      <c r="N23" s="14">
        <v>0.09</v>
      </c>
      <c r="O23" s="14">
        <v>7.0000000000000007E-2</v>
      </c>
      <c r="P23" s="14">
        <v>0.04</v>
      </c>
      <c r="Q23" s="14">
        <v>0.02</v>
      </c>
      <c r="R23" s="14">
        <v>0.04</v>
      </c>
      <c r="S23" s="14">
        <v>0.05</v>
      </c>
      <c r="T23" s="14">
        <v>0.06</v>
      </c>
      <c r="U23" s="14">
        <v>0.04</v>
      </c>
      <c r="V23" s="14">
        <v>0.03</v>
      </c>
      <c r="W23" s="14">
        <v>0.01</v>
      </c>
      <c r="X23" s="14">
        <v>0.03</v>
      </c>
      <c r="Y23" s="14">
        <v>0.03</v>
      </c>
      <c r="Z23" s="14">
        <v>0.02</v>
      </c>
      <c r="AA23" s="14">
        <v>0.02</v>
      </c>
      <c r="AB23" s="14">
        <v>0.01</v>
      </c>
      <c r="AC23" s="14">
        <v>0.03</v>
      </c>
      <c r="AD23" s="14">
        <v>0.04</v>
      </c>
      <c r="AE23" s="14">
        <v>7.0000000000000007E-2</v>
      </c>
      <c r="AF23" s="14">
        <v>0.03</v>
      </c>
    </row>
    <row r="24" spans="1:32">
      <c r="A24" s="20"/>
      <c r="B24" s="11" t="s">
        <v>1625</v>
      </c>
      <c r="C24" s="12">
        <v>6988</v>
      </c>
      <c r="D24" s="12">
        <v>318</v>
      </c>
      <c r="E24" s="12">
        <v>285</v>
      </c>
      <c r="F24" s="12">
        <v>246</v>
      </c>
      <c r="G24" s="12">
        <v>271</v>
      </c>
      <c r="H24" s="12">
        <v>355</v>
      </c>
      <c r="I24" s="12">
        <v>448</v>
      </c>
      <c r="J24" s="12">
        <v>92</v>
      </c>
      <c r="K24" s="12">
        <v>250</v>
      </c>
      <c r="L24" s="12">
        <v>166</v>
      </c>
      <c r="M24" s="12">
        <v>245</v>
      </c>
      <c r="N24" s="12">
        <v>223</v>
      </c>
      <c r="O24" s="12">
        <v>292</v>
      </c>
      <c r="P24" s="12">
        <v>301</v>
      </c>
      <c r="Q24" s="12">
        <v>241</v>
      </c>
      <c r="R24" s="12">
        <v>113</v>
      </c>
      <c r="S24" s="12">
        <v>278</v>
      </c>
      <c r="T24" s="12">
        <v>257</v>
      </c>
      <c r="U24" s="12">
        <v>114</v>
      </c>
      <c r="V24" s="12">
        <v>250</v>
      </c>
      <c r="W24" s="12">
        <v>51</v>
      </c>
      <c r="X24" s="12">
        <v>263</v>
      </c>
      <c r="Y24" s="12">
        <v>275</v>
      </c>
      <c r="Z24" s="12">
        <v>268</v>
      </c>
      <c r="AA24" s="12">
        <v>275</v>
      </c>
      <c r="AB24" s="12">
        <v>280</v>
      </c>
      <c r="AC24" s="12">
        <v>307</v>
      </c>
      <c r="AD24" s="12">
        <v>232</v>
      </c>
      <c r="AE24" s="12">
        <v>301</v>
      </c>
      <c r="AF24" s="12">
        <v>276</v>
      </c>
    </row>
    <row r="25" spans="1:32">
      <c r="A25" s="20"/>
      <c r="B25" s="13" t="s">
        <v>1626</v>
      </c>
      <c r="C25" s="14">
        <v>0.27</v>
      </c>
      <c r="D25" s="14">
        <v>0.32</v>
      </c>
      <c r="E25" s="14">
        <v>0.28000000000000003</v>
      </c>
      <c r="F25" s="14">
        <v>0.25</v>
      </c>
      <c r="G25" s="14">
        <v>0.27</v>
      </c>
      <c r="H25" s="14">
        <v>0.28999999999999998</v>
      </c>
      <c r="I25" s="14">
        <v>0.3</v>
      </c>
      <c r="J25" s="14">
        <v>0.31</v>
      </c>
      <c r="K25" s="14">
        <v>0.25</v>
      </c>
      <c r="L25" s="14">
        <v>0.16</v>
      </c>
      <c r="M25" s="14">
        <v>0.24</v>
      </c>
      <c r="N25" s="14">
        <v>0.22</v>
      </c>
      <c r="O25" s="14">
        <v>0.28999999999999998</v>
      </c>
      <c r="P25" s="14">
        <v>0.28999999999999998</v>
      </c>
      <c r="Q25" s="14">
        <v>0.24</v>
      </c>
      <c r="R25" s="14">
        <v>0.23</v>
      </c>
      <c r="S25" s="14">
        <v>0.28000000000000003</v>
      </c>
      <c r="T25" s="14">
        <v>0.25</v>
      </c>
      <c r="U25" s="14">
        <v>0.23</v>
      </c>
      <c r="V25" s="14">
        <v>0.25</v>
      </c>
      <c r="W25" s="14">
        <v>0.1</v>
      </c>
      <c r="X25" s="14">
        <v>0.26</v>
      </c>
      <c r="Y25" s="14">
        <v>0.27</v>
      </c>
      <c r="Z25" s="14">
        <v>0.27</v>
      </c>
      <c r="AA25" s="14">
        <v>0.26</v>
      </c>
      <c r="AB25" s="14">
        <v>0.27</v>
      </c>
      <c r="AC25" s="14">
        <v>0.31</v>
      </c>
      <c r="AD25" s="14">
        <v>0.23</v>
      </c>
      <c r="AE25" s="14">
        <v>0.3</v>
      </c>
      <c r="AF25" s="14">
        <v>0.27</v>
      </c>
    </row>
    <row r="26" spans="1:32">
      <c r="A26" s="20"/>
      <c r="B26" s="11" t="s">
        <v>1627</v>
      </c>
      <c r="C26" s="12">
        <v>2418</v>
      </c>
      <c r="D26" s="12">
        <v>133</v>
      </c>
      <c r="E26" s="12">
        <v>61</v>
      </c>
      <c r="F26" s="12">
        <v>84</v>
      </c>
      <c r="G26" s="12">
        <v>136</v>
      </c>
      <c r="H26" s="12">
        <v>129</v>
      </c>
      <c r="I26" s="12">
        <v>154</v>
      </c>
      <c r="J26" s="12">
        <v>25</v>
      </c>
      <c r="K26" s="12">
        <v>93</v>
      </c>
      <c r="L26" s="12">
        <v>103</v>
      </c>
      <c r="M26" s="12">
        <v>79</v>
      </c>
      <c r="N26" s="12">
        <v>74</v>
      </c>
      <c r="O26" s="12">
        <v>97</v>
      </c>
      <c r="P26" s="12">
        <v>65</v>
      </c>
      <c r="Q26" s="12">
        <v>105</v>
      </c>
      <c r="R26" s="12">
        <v>35</v>
      </c>
      <c r="S26" s="12">
        <v>67</v>
      </c>
      <c r="T26" s="12">
        <v>97</v>
      </c>
      <c r="U26" s="12">
        <v>56</v>
      </c>
      <c r="V26" s="12">
        <v>63</v>
      </c>
      <c r="W26" s="12">
        <v>29</v>
      </c>
      <c r="X26" s="12">
        <v>146</v>
      </c>
      <c r="Y26" s="12">
        <v>79</v>
      </c>
      <c r="Z26" s="12">
        <v>64</v>
      </c>
      <c r="AA26" s="12">
        <v>99</v>
      </c>
      <c r="AB26" s="12">
        <v>70</v>
      </c>
      <c r="AC26" s="12">
        <v>90</v>
      </c>
      <c r="AD26" s="12">
        <v>98</v>
      </c>
      <c r="AE26" s="12">
        <v>98</v>
      </c>
      <c r="AF26" s="12">
        <v>75</v>
      </c>
    </row>
    <row r="27" spans="1:32">
      <c r="A27" s="20"/>
      <c r="B27" s="13" t="s">
        <v>1628</v>
      </c>
      <c r="C27" s="14">
        <v>0.09</v>
      </c>
      <c r="D27" s="14">
        <v>0.13</v>
      </c>
      <c r="E27" s="14">
        <v>0.06</v>
      </c>
      <c r="F27" s="14">
        <v>0.08</v>
      </c>
      <c r="G27" s="14">
        <v>0.13</v>
      </c>
      <c r="H27" s="14">
        <v>0.11</v>
      </c>
      <c r="I27" s="14">
        <v>0.1</v>
      </c>
      <c r="J27" s="14">
        <v>0.09</v>
      </c>
      <c r="K27" s="14">
        <v>0.09</v>
      </c>
      <c r="L27" s="14">
        <v>0.1</v>
      </c>
      <c r="M27" s="14">
        <v>0.08</v>
      </c>
      <c r="N27" s="14">
        <v>7.0000000000000007E-2</v>
      </c>
      <c r="O27" s="14">
        <v>0.1</v>
      </c>
      <c r="P27" s="14">
        <v>0.06</v>
      </c>
      <c r="Q27" s="14">
        <v>0.1</v>
      </c>
      <c r="R27" s="14">
        <v>7.0000000000000007E-2</v>
      </c>
      <c r="S27" s="14">
        <v>7.0000000000000007E-2</v>
      </c>
      <c r="T27" s="14">
        <v>0.1</v>
      </c>
      <c r="U27" s="14">
        <v>0.11</v>
      </c>
      <c r="V27" s="14">
        <v>0.06</v>
      </c>
      <c r="W27" s="14">
        <v>0.06</v>
      </c>
      <c r="X27" s="14">
        <v>0.14000000000000001</v>
      </c>
      <c r="Y27" s="14">
        <v>0.08</v>
      </c>
      <c r="Z27" s="14">
        <v>0.06</v>
      </c>
      <c r="AA27" s="14">
        <v>0.09</v>
      </c>
      <c r="AB27" s="14">
        <v>7.0000000000000007E-2</v>
      </c>
      <c r="AC27" s="14">
        <v>0.09</v>
      </c>
      <c r="AD27" s="14">
        <v>0.1</v>
      </c>
      <c r="AE27" s="14">
        <v>0.1</v>
      </c>
      <c r="AF27" s="14">
        <v>7.0000000000000007E-2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41"/>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363</v>
      </c>
      <c r="C3" s="18"/>
      <c r="D3" s="18"/>
      <c r="E3" s="18"/>
      <c r="F3" s="18"/>
      <c r="H3" s="18" t="s">
        <v>364</v>
      </c>
      <c r="I3" s="18"/>
      <c r="J3" s="18"/>
      <c r="K3" s="18"/>
      <c r="L3" s="18"/>
    </row>
    <row r="4" spans="1:32" ht="27" customHeight="1">
      <c r="B4" s="18"/>
      <c r="C4" s="18"/>
      <c r="D4" s="18"/>
      <c r="E4" s="18"/>
      <c r="F4" s="18"/>
      <c r="H4" s="18"/>
      <c r="I4" s="18"/>
      <c r="J4" s="18"/>
      <c r="K4" s="18"/>
      <c r="L4" s="18"/>
    </row>
    <row r="5" spans="1:32" ht="12" customHeight="1">
      <c r="B5" s="18" t="s">
        <v>1629</v>
      </c>
      <c r="C5" s="18"/>
      <c r="D5" s="18"/>
      <c r="E5" s="18"/>
      <c r="F5" s="18"/>
      <c r="H5" s="18" t="s">
        <v>1630</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11665</v>
      </c>
      <c r="D10" s="10">
        <v>541</v>
      </c>
      <c r="E10" s="10">
        <v>412</v>
      </c>
      <c r="F10" s="10">
        <v>401</v>
      </c>
      <c r="G10" s="10">
        <v>455</v>
      </c>
      <c r="H10" s="10">
        <v>562</v>
      </c>
      <c r="I10" s="10">
        <v>693</v>
      </c>
      <c r="J10" s="10">
        <v>131</v>
      </c>
      <c r="K10" s="10">
        <v>411</v>
      </c>
      <c r="L10" s="10">
        <v>396</v>
      </c>
      <c r="M10" s="10">
        <v>438</v>
      </c>
      <c r="N10" s="10">
        <v>453</v>
      </c>
      <c r="O10" s="10">
        <v>499</v>
      </c>
      <c r="P10" s="10">
        <v>429</v>
      </c>
      <c r="Q10" s="10">
        <v>447</v>
      </c>
      <c r="R10" s="10">
        <v>189</v>
      </c>
      <c r="S10" s="10">
        <v>432</v>
      </c>
      <c r="T10" s="10">
        <v>426</v>
      </c>
      <c r="U10" s="10">
        <v>203</v>
      </c>
      <c r="V10" s="10">
        <v>368</v>
      </c>
      <c r="W10" s="10">
        <v>179</v>
      </c>
      <c r="X10" s="10">
        <v>461</v>
      </c>
      <c r="Y10" s="10">
        <v>413</v>
      </c>
      <c r="Z10" s="10">
        <v>383</v>
      </c>
      <c r="AA10" s="10">
        <v>420</v>
      </c>
      <c r="AB10" s="10">
        <v>442</v>
      </c>
      <c r="AC10" s="10">
        <v>439</v>
      </c>
      <c r="AD10" s="10">
        <v>398</v>
      </c>
      <c r="AE10" s="10">
        <v>475</v>
      </c>
      <c r="AF10" s="10">
        <v>386</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1581</v>
      </c>
      <c r="C12" s="12">
        <v>264</v>
      </c>
      <c r="D12" s="12">
        <v>10</v>
      </c>
      <c r="E12" s="12">
        <v>12</v>
      </c>
      <c r="F12" s="12">
        <v>1</v>
      </c>
      <c r="G12" s="12">
        <v>5</v>
      </c>
      <c r="H12" s="12">
        <v>4</v>
      </c>
      <c r="I12" s="12">
        <v>4</v>
      </c>
      <c r="J12" s="12">
        <v>0</v>
      </c>
      <c r="K12" s="12">
        <v>3</v>
      </c>
      <c r="L12" s="12">
        <v>2</v>
      </c>
      <c r="M12" s="12">
        <v>43</v>
      </c>
      <c r="N12" s="12">
        <v>13</v>
      </c>
      <c r="O12" s="12">
        <v>3</v>
      </c>
      <c r="P12" s="12">
        <v>14</v>
      </c>
      <c r="Q12" s="12">
        <v>17</v>
      </c>
      <c r="R12" s="12">
        <v>8</v>
      </c>
      <c r="S12" s="12">
        <v>2</v>
      </c>
      <c r="T12" s="12">
        <v>6</v>
      </c>
      <c r="U12" s="12">
        <v>0</v>
      </c>
      <c r="V12" s="12">
        <v>1</v>
      </c>
      <c r="W12" s="12">
        <v>5</v>
      </c>
      <c r="X12" s="12">
        <v>3</v>
      </c>
      <c r="Y12" s="12">
        <v>20</v>
      </c>
      <c r="Z12" s="12">
        <v>28</v>
      </c>
      <c r="AA12" s="12">
        <v>12</v>
      </c>
      <c r="AB12" s="12">
        <v>6</v>
      </c>
      <c r="AC12" s="12">
        <v>4</v>
      </c>
      <c r="AD12" s="12">
        <v>0</v>
      </c>
      <c r="AE12" s="12">
        <v>15</v>
      </c>
      <c r="AF12" s="12">
        <v>1</v>
      </c>
    </row>
    <row r="13" spans="1:32">
      <c r="A13" s="20"/>
      <c r="B13" s="13" t="s">
        <v>1582</v>
      </c>
      <c r="C13" s="14">
        <v>0.02</v>
      </c>
      <c r="D13" s="14">
        <v>0.02</v>
      </c>
      <c r="E13" s="14">
        <v>0.03</v>
      </c>
      <c r="F13" s="15" t="s">
        <v>459</v>
      </c>
      <c r="G13" s="14">
        <v>0.01</v>
      </c>
      <c r="H13" s="14">
        <v>0.01</v>
      </c>
      <c r="I13" s="14">
        <v>0.01</v>
      </c>
      <c r="J13" s="15" t="s">
        <v>459</v>
      </c>
      <c r="K13" s="14">
        <v>0.01</v>
      </c>
      <c r="L13" s="14">
        <v>0.01</v>
      </c>
      <c r="M13" s="14">
        <v>0.1</v>
      </c>
      <c r="N13" s="14">
        <v>0.03</v>
      </c>
      <c r="O13" s="14">
        <v>0.01</v>
      </c>
      <c r="P13" s="14">
        <v>0.03</v>
      </c>
      <c r="Q13" s="14">
        <v>0.04</v>
      </c>
      <c r="R13" s="14">
        <v>0.04</v>
      </c>
      <c r="S13" s="14">
        <v>0.01</v>
      </c>
      <c r="T13" s="14">
        <v>0.02</v>
      </c>
      <c r="U13" s="15" t="s">
        <v>459</v>
      </c>
      <c r="V13" s="15" t="s">
        <v>459</v>
      </c>
      <c r="W13" s="14">
        <v>0.02</v>
      </c>
      <c r="X13" s="14">
        <v>0.01</v>
      </c>
      <c r="Y13" s="14">
        <v>0.05</v>
      </c>
      <c r="Z13" s="14">
        <v>7.0000000000000007E-2</v>
      </c>
      <c r="AA13" s="14">
        <v>0.03</v>
      </c>
      <c r="AB13" s="14">
        <v>0.01</v>
      </c>
      <c r="AC13" s="14">
        <v>0.01</v>
      </c>
      <c r="AD13" s="15" t="s">
        <v>459</v>
      </c>
      <c r="AE13" s="14">
        <v>0.03</v>
      </c>
      <c r="AF13" s="15" t="s">
        <v>459</v>
      </c>
    </row>
    <row r="14" spans="1:32">
      <c r="A14" s="20"/>
      <c r="B14" s="11" t="s">
        <v>1583</v>
      </c>
      <c r="C14" s="12">
        <v>13</v>
      </c>
      <c r="D14" s="12">
        <v>2</v>
      </c>
      <c r="E14" s="12">
        <v>1</v>
      </c>
      <c r="F14" s="12">
        <v>1</v>
      </c>
      <c r="G14" s="12">
        <v>0</v>
      </c>
      <c r="H14" s="12">
        <v>0</v>
      </c>
      <c r="I14" s="12">
        <v>0</v>
      </c>
      <c r="J14" s="12">
        <v>0</v>
      </c>
      <c r="K14" s="12">
        <v>0</v>
      </c>
      <c r="L14" s="12">
        <v>0</v>
      </c>
      <c r="M14" s="12">
        <v>1</v>
      </c>
      <c r="N14" s="12">
        <v>3</v>
      </c>
      <c r="O14" s="12">
        <v>0</v>
      </c>
      <c r="P14" s="12">
        <v>0</v>
      </c>
      <c r="Q14" s="12">
        <v>1</v>
      </c>
      <c r="R14" s="12">
        <v>0</v>
      </c>
      <c r="S14" s="12">
        <v>0</v>
      </c>
      <c r="T14" s="12">
        <v>0</v>
      </c>
      <c r="U14" s="12">
        <v>0</v>
      </c>
      <c r="V14" s="12">
        <v>0</v>
      </c>
      <c r="W14" s="12">
        <v>2</v>
      </c>
      <c r="X14" s="12">
        <v>0</v>
      </c>
      <c r="Y14" s="12">
        <v>0</v>
      </c>
      <c r="Z14" s="12">
        <v>0</v>
      </c>
      <c r="AA14" s="12">
        <v>0</v>
      </c>
      <c r="AB14" s="12">
        <v>0</v>
      </c>
      <c r="AC14" s="12">
        <v>0</v>
      </c>
      <c r="AD14" s="12">
        <v>0</v>
      </c>
      <c r="AE14" s="12">
        <v>0</v>
      </c>
      <c r="AF14" s="12">
        <v>0</v>
      </c>
    </row>
    <row r="15" spans="1:32">
      <c r="A15" s="20"/>
      <c r="B15" s="13" t="s">
        <v>1584</v>
      </c>
      <c r="C15" s="15" t="s">
        <v>459</v>
      </c>
      <c r="D15" s="15" t="s">
        <v>459</v>
      </c>
      <c r="E15" s="15" t="s">
        <v>459</v>
      </c>
      <c r="F15" s="15" t="s">
        <v>459</v>
      </c>
      <c r="G15" s="15" t="s">
        <v>459</v>
      </c>
      <c r="H15" s="15" t="s">
        <v>459</v>
      </c>
      <c r="I15" s="15" t="s">
        <v>459</v>
      </c>
      <c r="J15" s="15" t="s">
        <v>459</v>
      </c>
      <c r="K15" s="15" t="s">
        <v>459</v>
      </c>
      <c r="L15" s="15" t="s">
        <v>459</v>
      </c>
      <c r="M15" s="15" t="s">
        <v>459</v>
      </c>
      <c r="N15" s="14">
        <v>0.01</v>
      </c>
      <c r="O15" s="15" t="s">
        <v>459</v>
      </c>
      <c r="P15" s="15" t="s">
        <v>459</v>
      </c>
      <c r="Q15" s="15" t="s">
        <v>459</v>
      </c>
      <c r="R15" s="15" t="s">
        <v>459</v>
      </c>
      <c r="S15" s="15" t="s">
        <v>459</v>
      </c>
      <c r="T15" s="15" t="s">
        <v>459</v>
      </c>
      <c r="U15" s="15" t="s">
        <v>459</v>
      </c>
      <c r="V15" s="15" t="s">
        <v>459</v>
      </c>
      <c r="W15" s="14">
        <v>0.01</v>
      </c>
      <c r="X15" s="15" t="s">
        <v>459</v>
      </c>
      <c r="Y15" s="15" t="s">
        <v>459</v>
      </c>
      <c r="Z15" s="15" t="s">
        <v>459</v>
      </c>
      <c r="AA15" s="15" t="s">
        <v>459</v>
      </c>
      <c r="AB15" s="15" t="s">
        <v>459</v>
      </c>
      <c r="AC15" s="15" t="s">
        <v>459</v>
      </c>
      <c r="AD15" s="15" t="s">
        <v>459</v>
      </c>
      <c r="AE15" s="15" t="s">
        <v>459</v>
      </c>
      <c r="AF15" s="15" t="s">
        <v>459</v>
      </c>
    </row>
    <row r="16" spans="1:32" ht="36.950000000000003">
      <c r="A16" s="20"/>
      <c r="B16" s="11" t="s">
        <v>1585</v>
      </c>
      <c r="C16" s="12">
        <v>121</v>
      </c>
      <c r="D16" s="12">
        <v>1</v>
      </c>
      <c r="E16" s="12">
        <v>1</v>
      </c>
      <c r="F16" s="12">
        <v>5</v>
      </c>
      <c r="G16" s="12">
        <v>4</v>
      </c>
      <c r="H16" s="12">
        <v>10</v>
      </c>
      <c r="I16" s="12">
        <v>12</v>
      </c>
      <c r="J16" s="12">
        <v>1</v>
      </c>
      <c r="K16" s="12">
        <v>4</v>
      </c>
      <c r="L16" s="12">
        <v>2</v>
      </c>
      <c r="M16" s="12">
        <v>6</v>
      </c>
      <c r="N16" s="12">
        <v>3</v>
      </c>
      <c r="O16" s="12">
        <v>3</v>
      </c>
      <c r="P16" s="12">
        <v>3</v>
      </c>
      <c r="Q16" s="12">
        <v>6</v>
      </c>
      <c r="R16" s="12">
        <v>2</v>
      </c>
      <c r="S16" s="12">
        <v>4</v>
      </c>
      <c r="T16" s="12">
        <v>1</v>
      </c>
      <c r="U16" s="12">
        <v>4</v>
      </c>
      <c r="V16" s="12">
        <v>0</v>
      </c>
      <c r="W16" s="12">
        <v>3</v>
      </c>
      <c r="X16" s="12">
        <v>16</v>
      </c>
      <c r="Y16" s="12">
        <v>4</v>
      </c>
      <c r="Z16" s="12">
        <v>2</v>
      </c>
      <c r="AA16" s="12">
        <v>0</v>
      </c>
      <c r="AB16" s="12">
        <v>0</v>
      </c>
      <c r="AC16" s="12">
        <v>8</v>
      </c>
      <c r="AD16" s="12">
        <v>3</v>
      </c>
      <c r="AE16" s="12">
        <v>3</v>
      </c>
      <c r="AF16" s="12">
        <v>10</v>
      </c>
    </row>
    <row r="17" spans="1:32" ht="36.950000000000003">
      <c r="A17" s="20"/>
      <c r="B17" s="13" t="s">
        <v>1586</v>
      </c>
      <c r="C17" s="14">
        <v>0.01</v>
      </c>
      <c r="D17" s="15" t="s">
        <v>459</v>
      </c>
      <c r="E17" s="15" t="s">
        <v>459</v>
      </c>
      <c r="F17" s="14">
        <v>0.01</v>
      </c>
      <c r="G17" s="14">
        <v>0.01</v>
      </c>
      <c r="H17" s="14">
        <v>0.02</v>
      </c>
      <c r="I17" s="14">
        <v>0.02</v>
      </c>
      <c r="J17" s="14">
        <v>0.01</v>
      </c>
      <c r="K17" s="14">
        <v>0.01</v>
      </c>
      <c r="L17" s="14">
        <v>0.01</v>
      </c>
      <c r="M17" s="14">
        <v>0.01</v>
      </c>
      <c r="N17" s="15" t="s">
        <v>459</v>
      </c>
      <c r="O17" s="14">
        <v>0.01</v>
      </c>
      <c r="P17" s="14">
        <v>0.01</v>
      </c>
      <c r="Q17" s="14">
        <v>0.01</v>
      </c>
      <c r="R17" s="14">
        <v>0.01</v>
      </c>
      <c r="S17" s="14">
        <v>0.01</v>
      </c>
      <c r="T17" s="15" t="s">
        <v>459</v>
      </c>
      <c r="U17" s="14">
        <v>0.02</v>
      </c>
      <c r="V17" s="15" t="s">
        <v>459</v>
      </c>
      <c r="W17" s="14">
        <v>0.01</v>
      </c>
      <c r="X17" s="14">
        <v>0.03</v>
      </c>
      <c r="Y17" s="14">
        <v>0.01</v>
      </c>
      <c r="Z17" s="14">
        <v>0.01</v>
      </c>
      <c r="AA17" s="15" t="s">
        <v>459</v>
      </c>
      <c r="AB17" s="15" t="s">
        <v>459</v>
      </c>
      <c r="AC17" s="14">
        <v>0.02</v>
      </c>
      <c r="AD17" s="14">
        <v>0.01</v>
      </c>
      <c r="AE17" s="14">
        <v>0.01</v>
      </c>
      <c r="AF17" s="14">
        <v>0.03</v>
      </c>
    </row>
    <row r="18" spans="1:32" ht="36.950000000000003">
      <c r="A18" s="20"/>
      <c r="B18" s="11" t="s">
        <v>1587</v>
      </c>
      <c r="C18" s="12">
        <v>295</v>
      </c>
      <c r="D18" s="12">
        <v>13</v>
      </c>
      <c r="E18" s="12">
        <v>6</v>
      </c>
      <c r="F18" s="12">
        <v>8</v>
      </c>
      <c r="G18" s="12">
        <v>4</v>
      </c>
      <c r="H18" s="12">
        <v>12</v>
      </c>
      <c r="I18" s="12">
        <v>13</v>
      </c>
      <c r="J18" s="12">
        <v>1</v>
      </c>
      <c r="K18" s="12">
        <v>1</v>
      </c>
      <c r="L18" s="12">
        <v>5</v>
      </c>
      <c r="M18" s="12">
        <v>34</v>
      </c>
      <c r="N18" s="12">
        <v>13</v>
      </c>
      <c r="O18" s="12">
        <v>18</v>
      </c>
      <c r="P18" s="12">
        <v>11</v>
      </c>
      <c r="Q18" s="12">
        <v>20</v>
      </c>
      <c r="R18" s="12">
        <v>7</v>
      </c>
      <c r="S18" s="12">
        <v>1</v>
      </c>
      <c r="T18" s="12">
        <v>2</v>
      </c>
      <c r="U18" s="12">
        <v>3</v>
      </c>
      <c r="V18" s="12">
        <v>3</v>
      </c>
      <c r="W18" s="12">
        <v>4</v>
      </c>
      <c r="X18" s="12">
        <v>9</v>
      </c>
      <c r="Y18" s="12">
        <v>9</v>
      </c>
      <c r="Z18" s="12">
        <v>2</v>
      </c>
      <c r="AA18" s="12">
        <v>10</v>
      </c>
      <c r="AB18" s="12">
        <v>0</v>
      </c>
      <c r="AC18" s="12">
        <v>9</v>
      </c>
      <c r="AD18" s="12">
        <v>12</v>
      </c>
      <c r="AE18" s="12">
        <v>4</v>
      </c>
      <c r="AF18" s="12">
        <v>2</v>
      </c>
    </row>
    <row r="19" spans="1:32" ht="24.95">
      <c r="A19" s="20"/>
      <c r="B19" s="13" t="s">
        <v>1588</v>
      </c>
      <c r="C19" s="14">
        <v>0.03</v>
      </c>
      <c r="D19" s="14">
        <v>0.02</v>
      </c>
      <c r="E19" s="14">
        <v>0.01</v>
      </c>
      <c r="F19" s="14">
        <v>0.02</v>
      </c>
      <c r="G19" s="14">
        <v>0.01</v>
      </c>
      <c r="H19" s="14">
        <v>0.02</v>
      </c>
      <c r="I19" s="14">
        <v>0.02</v>
      </c>
      <c r="J19" s="14">
        <v>0.01</v>
      </c>
      <c r="K19" s="15" t="s">
        <v>459</v>
      </c>
      <c r="L19" s="14">
        <v>0.01</v>
      </c>
      <c r="M19" s="14">
        <v>0.08</v>
      </c>
      <c r="N19" s="14">
        <v>0.03</v>
      </c>
      <c r="O19" s="14">
        <v>0.04</v>
      </c>
      <c r="P19" s="14">
        <v>0.02</v>
      </c>
      <c r="Q19" s="14">
        <v>0.04</v>
      </c>
      <c r="R19" s="14">
        <v>0.04</v>
      </c>
      <c r="S19" s="15" t="s">
        <v>459</v>
      </c>
      <c r="T19" s="14">
        <v>0.01</v>
      </c>
      <c r="U19" s="14">
        <v>0.02</v>
      </c>
      <c r="V19" s="14">
        <v>0.01</v>
      </c>
      <c r="W19" s="14">
        <v>0.02</v>
      </c>
      <c r="X19" s="14">
        <v>0.02</v>
      </c>
      <c r="Y19" s="14">
        <v>0.02</v>
      </c>
      <c r="Z19" s="14">
        <v>0.01</v>
      </c>
      <c r="AA19" s="14">
        <v>0.02</v>
      </c>
      <c r="AB19" s="15" t="s">
        <v>459</v>
      </c>
      <c r="AC19" s="14">
        <v>0.02</v>
      </c>
      <c r="AD19" s="14">
        <v>0.03</v>
      </c>
      <c r="AE19" s="14">
        <v>0.01</v>
      </c>
      <c r="AF19" s="14">
        <v>0.01</v>
      </c>
    </row>
    <row r="20" spans="1:32" ht="24.95">
      <c r="A20" s="20"/>
      <c r="B20" s="11" t="s">
        <v>1589</v>
      </c>
      <c r="C20" s="12">
        <v>131</v>
      </c>
      <c r="D20" s="12">
        <v>9</v>
      </c>
      <c r="E20" s="12">
        <v>1</v>
      </c>
      <c r="F20" s="12">
        <v>8</v>
      </c>
      <c r="G20" s="12">
        <v>10</v>
      </c>
      <c r="H20" s="12">
        <v>10</v>
      </c>
      <c r="I20" s="12">
        <v>13</v>
      </c>
      <c r="J20" s="12">
        <v>4</v>
      </c>
      <c r="K20" s="12">
        <v>14</v>
      </c>
      <c r="L20" s="12">
        <v>4</v>
      </c>
      <c r="M20" s="12">
        <v>3</v>
      </c>
      <c r="N20" s="12">
        <v>8</v>
      </c>
      <c r="O20" s="12">
        <v>1</v>
      </c>
      <c r="P20" s="12">
        <v>2</v>
      </c>
      <c r="Q20" s="12">
        <v>1</v>
      </c>
      <c r="R20" s="12">
        <v>5</v>
      </c>
      <c r="S20" s="12">
        <v>1</v>
      </c>
      <c r="T20" s="12">
        <v>1</v>
      </c>
      <c r="U20" s="12">
        <v>0</v>
      </c>
      <c r="V20" s="12">
        <v>5</v>
      </c>
      <c r="W20" s="12">
        <v>4</v>
      </c>
      <c r="X20" s="12">
        <v>10</v>
      </c>
      <c r="Y20" s="12">
        <v>13</v>
      </c>
      <c r="Z20" s="12">
        <v>1</v>
      </c>
      <c r="AA20" s="12">
        <v>4</v>
      </c>
      <c r="AB20" s="12">
        <v>0</v>
      </c>
      <c r="AC20" s="12">
        <v>7</v>
      </c>
      <c r="AD20" s="12">
        <v>1</v>
      </c>
      <c r="AE20" s="12">
        <v>26</v>
      </c>
      <c r="AF20" s="12">
        <v>10</v>
      </c>
    </row>
    <row r="21" spans="1:32" ht="24.95">
      <c r="A21" s="20"/>
      <c r="B21" s="13" t="s">
        <v>1590</v>
      </c>
      <c r="C21" s="14">
        <v>0.01</v>
      </c>
      <c r="D21" s="14">
        <v>0.02</v>
      </c>
      <c r="E21" s="15" t="s">
        <v>459</v>
      </c>
      <c r="F21" s="14">
        <v>0.02</v>
      </c>
      <c r="G21" s="14">
        <v>0.02</v>
      </c>
      <c r="H21" s="14">
        <v>0.02</v>
      </c>
      <c r="I21" s="14">
        <v>0.02</v>
      </c>
      <c r="J21" s="14">
        <v>0.03</v>
      </c>
      <c r="K21" s="14">
        <v>0.03</v>
      </c>
      <c r="L21" s="14">
        <v>0.01</v>
      </c>
      <c r="M21" s="14">
        <v>0.01</v>
      </c>
      <c r="N21" s="14">
        <v>0.02</v>
      </c>
      <c r="O21" s="15" t="s">
        <v>459</v>
      </c>
      <c r="P21" s="15" t="s">
        <v>459</v>
      </c>
      <c r="Q21" s="15" t="s">
        <v>459</v>
      </c>
      <c r="R21" s="14">
        <v>0.03</v>
      </c>
      <c r="S21" s="15" t="s">
        <v>459</v>
      </c>
      <c r="T21" s="15" t="s">
        <v>459</v>
      </c>
      <c r="U21" s="15" t="s">
        <v>459</v>
      </c>
      <c r="V21" s="14">
        <v>0.01</v>
      </c>
      <c r="W21" s="14">
        <v>0.02</v>
      </c>
      <c r="X21" s="14">
        <v>0.02</v>
      </c>
      <c r="Y21" s="14">
        <v>0.03</v>
      </c>
      <c r="Z21" s="15" t="s">
        <v>459</v>
      </c>
      <c r="AA21" s="14">
        <v>0.01</v>
      </c>
      <c r="AB21" s="15" t="s">
        <v>459</v>
      </c>
      <c r="AC21" s="14">
        <v>0.02</v>
      </c>
      <c r="AD21" s="15" t="s">
        <v>459</v>
      </c>
      <c r="AE21" s="14">
        <v>0.05</v>
      </c>
      <c r="AF21" s="14">
        <v>0.02</v>
      </c>
    </row>
    <row r="22" spans="1:32" ht="36.950000000000003">
      <c r="A22" s="20"/>
      <c r="B22" s="11" t="s">
        <v>1591</v>
      </c>
      <c r="C22" s="12">
        <v>173</v>
      </c>
      <c r="D22" s="12">
        <v>6</v>
      </c>
      <c r="E22" s="12">
        <v>6</v>
      </c>
      <c r="F22" s="12">
        <v>7</v>
      </c>
      <c r="G22" s="12">
        <v>7</v>
      </c>
      <c r="H22" s="12">
        <v>2</v>
      </c>
      <c r="I22" s="12">
        <v>5</v>
      </c>
      <c r="J22" s="12">
        <v>3</v>
      </c>
      <c r="K22" s="12">
        <v>32</v>
      </c>
      <c r="L22" s="12">
        <v>15</v>
      </c>
      <c r="M22" s="12">
        <v>3</v>
      </c>
      <c r="N22" s="12">
        <v>10</v>
      </c>
      <c r="O22" s="12">
        <v>7</v>
      </c>
      <c r="P22" s="12">
        <v>3</v>
      </c>
      <c r="Q22" s="12">
        <v>3</v>
      </c>
      <c r="R22" s="12">
        <v>1</v>
      </c>
      <c r="S22" s="12">
        <v>35</v>
      </c>
      <c r="T22" s="12">
        <v>24</v>
      </c>
      <c r="U22" s="12">
        <v>5</v>
      </c>
      <c r="V22" s="12">
        <v>8</v>
      </c>
      <c r="W22" s="12">
        <v>7</v>
      </c>
      <c r="X22" s="12">
        <v>7</v>
      </c>
      <c r="Y22" s="12">
        <v>2</v>
      </c>
      <c r="Z22" s="12">
        <v>5</v>
      </c>
      <c r="AA22" s="12">
        <v>2</v>
      </c>
      <c r="AB22" s="12">
        <v>2</v>
      </c>
      <c r="AC22" s="12">
        <v>21</v>
      </c>
      <c r="AD22" s="12">
        <v>10</v>
      </c>
      <c r="AE22" s="12">
        <v>30</v>
      </c>
      <c r="AF22" s="12">
        <v>29</v>
      </c>
    </row>
    <row r="23" spans="1:32" ht="36.950000000000003">
      <c r="A23" s="20"/>
      <c r="B23" s="13" t="s">
        <v>1592</v>
      </c>
      <c r="C23" s="14">
        <v>0.01</v>
      </c>
      <c r="D23" s="14">
        <v>0.01</v>
      </c>
      <c r="E23" s="14">
        <v>0.02</v>
      </c>
      <c r="F23" s="14">
        <v>0.02</v>
      </c>
      <c r="G23" s="14">
        <v>0.02</v>
      </c>
      <c r="H23" s="15" t="s">
        <v>459</v>
      </c>
      <c r="I23" s="14">
        <v>0.01</v>
      </c>
      <c r="J23" s="14">
        <v>0.02</v>
      </c>
      <c r="K23" s="14">
        <v>0.08</v>
      </c>
      <c r="L23" s="14">
        <v>0.04</v>
      </c>
      <c r="M23" s="14">
        <v>0.01</v>
      </c>
      <c r="N23" s="14">
        <v>0.02</v>
      </c>
      <c r="O23" s="14">
        <v>0.01</v>
      </c>
      <c r="P23" s="14">
        <v>0.01</v>
      </c>
      <c r="Q23" s="14">
        <v>0.01</v>
      </c>
      <c r="R23" s="14">
        <v>0.01</v>
      </c>
      <c r="S23" s="14">
        <v>0.08</v>
      </c>
      <c r="T23" s="14">
        <v>0.06</v>
      </c>
      <c r="U23" s="14">
        <v>0.02</v>
      </c>
      <c r="V23" s="14">
        <v>0.02</v>
      </c>
      <c r="W23" s="14">
        <v>0.04</v>
      </c>
      <c r="X23" s="14">
        <v>0.02</v>
      </c>
      <c r="Y23" s="15" t="s">
        <v>459</v>
      </c>
      <c r="Z23" s="14">
        <v>0.01</v>
      </c>
      <c r="AA23" s="15" t="s">
        <v>459</v>
      </c>
      <c r="AB23" s="15" t="s">
        <v>459</v>
      </c>
      <c r="AC23" s="14">
        <v>0.05</v>
      </c>
      <c r="AD23" s="14">
        <v>0.03</v>
      </c>
      <c r="AE23" s="14">
        <v>0.06</v>
      </c>
      <c r="AF23" s="14">
        <v>0.08</v>
      </c>
    </row>
    <row r="24" spans="1:32" ht="48.95">
      <c r="A24" s="20"/>
      <c r="B24" s="11" t="s">
        <v>1593</v>
      </c>
      <c r="C24" s="12">
        <v>289</v>
      </c>
      <c r="D24" s="12">
        <v>11</v>
      </c>
      <c r="E24" s="12">
        <v>5</v>
      </c>
      <c r="F24" s="12">
        <v>2</v>
      </c>
      <c r="G24" s="12">
        <v>16</v>
      </c>
      <c r="H24" s="12">
        <v>18</v>
      </c>
      <c r="I24" s="12">
        <v>22</v>
      </c>
      <c r="J24" s="12">
        <v>5</v>
      </c>
      <c r="K24" s="12">
        <v>13</v>
      </c>
      <c r="L24" s="12">
        <v>9</v>
      </c>
      <c r="M24" s="12">
        <v>6</v>
      </c>
      <c r="N24" s="12">
        <v>0</v>
      </c>
      <c r="O24" s="12">
        <v>26</v>
      </c>
      <c r="P24" s="12">
        <v>1</v>
      </c>
      <c r="Q24" s="12">
        <v>10</v>
      </c>
      <c r="R24" s="12">
        <v>3</v>
      </c>
      <c r="S24" s="12">
        <v>11</v>
      </c>
      <c r="T24" s="12">
        <v>3</v>
      </c>
      <c r="U24" s="12">
        <v>18</v>
      </c>
      <c r="V24" s="12">
        <v>2</v>
      </c>
      <c r="W24" s="12">
        <v>6</v>
      </c>
      <c r="X24" s="12">
        <v>30</v>
      </c>
      <c r="Y24" s="12">
        <v>6</v>
      </c>
      <c r="Z24" s="12">
        <v>1</v>
      </c>
      <c r="AA24" s="12">
        <v>4</v>
      </c>
      <c r="AB24" s="12">
        <v>0</v>
      </c>
      <c r="AC24" s="12">
        <v>10</v>
      </c>
      <c r="AD24" s="12">
        <v>1</v>
      </c>
      <c r="AE24" s="12">
        <v>21</v>
      </c>
      <c r="AF24" s="12">
        <v>12</v>
      </c>
    </row>
    <row r="25" spans="1:32" ht="60.95">
      <c r="A25" s="20"/>
      <c r="B25" s="13" t="s">
        <v>1594</v>
      </c>
      <c r="C25" s="14">
        <v>0.03</v>
      </c>
      <c r="D25" s="14">
        <v>0.02</v>
      </c>
      <c r="E25" s="14">
        <v>0.01</v>
      </c>
      <c r="F25" s="14">
        <v>0.01</v>
      </c>
      <c r="G25" s="14">
        <v>0.04</v>
      </c>
      <c r="H25" s="14">
        <v>0.03</v>
      </c>
      <c r="I25" s="14">
        <v>0.03</v>
      </c>
      <c r="J25" s="14">
        <v>0.04</v>
      </c>
      <c r="K25" s="14">
        <v>0.03</v>
      </c>
      <c r="L25" s="14">
        <v>0.02</v>
      </c>
      <c r="M25" s="14">
        <v>0.01</v>
      </c>
      <c r="N25" s="15" t="s">
        <v>459</v>
      </c>
      <c r="O25" s="14">
        <v>0.05</v>
      </c>
      <c r="P25" s="15" t="s">
        <v>459</v>
      </c>
      <c r="Q25" s="14">
        <v>0.02</v>
      </c>
      <c r="R25" s="14">
        <v>0.01</v>
      </c>
      <c r="S25" s="14">
        <v>0.03</v>
      </c>
      <c r="T25" s="14">
        <v>0.01</v>
      </c>
      <c r="U25" s="14">
        <v>0.09</v>
      </c>
      <c r="V25" s="14">
        <v>0.01</v>
      </c>
      <c r="W25" s="14">
        <v>0.03</v>
      </c>
      <c r="X25" s="14">
        <v>0.06</v>
      </c>
      <c r="Y25" s="14">
        <v>0.01</v>
      </c>
      <c r="Z25" s="15" t="s">
        <v>459</v>
      </c>
      <c r="AA25" s="14">
        <v>0.01</v>
      </c>
      <c r="AB25" s="15" t="s">
        <v>459</v>
      </c>
      <c r="AC25" s="14">
        <v>0.02</v>
      </c>
      <c r="AD25" s="15" t="s">
        <v>459</v>
      </c>
      <c r="AE25" s="14">
        <v>0.04</v>
      </c>
      <c r="AF25" s="14">
        <v>0.03</v>
      </c>
    </row>
    <row r="26" spans="1:32" ht="36.950000000000003">
      <c r="A26" s="20"/>
      <c r="B26" s="11" t="s">
        <v>1595</v>
      </c>
      <c r="C26" s="12">
        <v>1056</v>
      </c>
      <c r="D26" s="12">
        <v>54</v>
      </c>
      <c r="E26" s="12">
        <v>20</v>
      </c>
      <c r="F26" s="12">
        <v>19</v>
      </c>
      <c r="G26" s="12">
        <v>65</v>
      </c>
      <c r="H26" s="12">
        <v>81</v>
      </c>
      <c r="I26" s="12">
        <v>102</v>
      </c>
      <c r="J26" s="12">
        <v>20</v>
      </c>
      <c r="K26" s="12">
        <v>57</v>
      </c>
      <c r="L26" s="12">
        <v>42</v>
      </c>
      <c r="M26" s="12">
        <v>23</v>
      </c>
      <c r="N26" s="12">
        <v>18</v>
      </c>
      <c r="O26" s="12">
        <v>61</v>
      </c>
      <c r="P26" s="12">
        <v>21</v>
      </c>
      <c r="Q26" s="12">
        <v>13</v>
      </c>
      <c r="R26" s="12">
        <v>12</v>
      </c>
      <c r="S26" s="12">
        <v>39</v>
      </c>
      <c r="T26" s="12">
        <v>22</v>
      </c>
      <c r="U26" s="12">
        <v>27</v>
      </c>
      <c r="V26" s="12">
        <v>13</v>
      </c>
      <c r="W26" s="12">
        <v>7</v>
      </c>
      <c r="X26" s="12">
        <v>102</v>
      </c>
      <c r="Y26" s="12">
        <v>36</v>
      </c>
      <c r="Z26" s="12">
        <v>13</v>
      </c>
      <c r="AA26" s="12">
        <v>9</v>
      </c>
      <c r="AB26" s="12">
        <v>3</v>
      </c>
      <c r="AC26" s="12">
        <v>38</v>
      </c>
      <c r="AD26" s="12">
        <v>38</v>
      </c>
      <c r="AE26" s="12">
        <v>79</v>
      </c>
      <c r="AF26" s="12">
        <v>88</v>
      </c>
    </row>
    <row r="27" spans="1:32" ht="60.95">
      <c r="A27" s="20"/>
      <c r="B27" s="13" t="s">
        <v>1596</v>
      </c>
      <c r="C27" s="14">
        <v>0.09</v>
      </c>
      <c r="D27" s="14">
        <v>0.1</v>
      </c>
      <c r="E27" s="14">
        <v>0.05</v>
      </c>
      <c r="F27" s="14">
        <v>0.05</v>
      </c>
      <c r="G27" s="14">
        <v>0.14000000000000001</v>
      </c>
      <c r="H27" s="14">
        <v>0.14000000000000001</v>
      </c>
      <c r="I27" s="14">
        <v>0.15</v>
      </c>
      <c r="J27" s="14">
        <v>0.15</v>
      </c>
      <c r="K27" s="14">
        <v>0.14000000000000001</v>
      </c>
      <c r="L27" s="14">
        <v>0.11</v>
      </c>
      <c r="M27" s="14">
        <v>0.05</v>
      </c>
      <c r="N27" s="14">
        <v>0.04</v>
      </c>
      <c r="O27" s="14">
        <v>0.12</v>
      </c>
      <c r="P27" s="14">
        <v>0.05</v>
      </c>
      <c r="Q27" s="14">
        <v>0.03</v>
      </c>
      <c r="R27" s="14">
        <v>0.06</v>
      </c>
      <c r="S27" s="14">
        <v>0.09</v>
      </c>
      <c r="T27" s="14">
        <v>0.05</v>
      </c>
      <c r="U27" s="14">
        <v>0.13</v>
      </c>
      <c r="V27" s="14">
        <v>0.04</v>
      </c>
      <c r="W27" s="14">
        <v>0.04</v>
      </c>
      <c r="X27" s="14">
        <v>0.22</v>
      </c>
      <c r="Y27" s="14">
        <v>0.09</v>
      </c>
      <c r="Z27" s="14">
        <v>0.04</v>
      </c>
      <c r="AA27" s="14">
        <v>0.02</v>
      </c>
      <c r="AB27" s="14">
        <v>0.01</v>
      </c>
      <c r="AC27" s="14">
        <v>0.09</v>
      </c>
      <c r="AD27" s="14">
        <v>0.1</v>
      </c>
      <c r="AE27" s="14">
        <v>0.17</v>
      </c>
      <c r="AF27" s="14">
        <v>0.23</v>
      </c>
    </row>
    <row r="28" spans="1:32" ht="24.95">
      <c r="A28" s="20"/>
      <c r="B28" s="11" t="s">
        <v>1597</v>
      </c>
      <c r="C28" s="12">
        <v>1252</v>
      </c>
      <c r="D28" s="12">
        <v>70</v>
      </c>
      <c r="E28" s="12">
        <v>39</v>
      </c>
      <c r="F28" s="12">
        <v>100</v>
      </c>
      <c r="G28" s="12">
        <v>64</v>
      </c>
      <c r="H28" s="12">
        <v>76</v>
      </c>
      <c r="I28" s="12">
        <v>93</v>
      </c>
      <c r="J28" s="12">
        <v>18</v>
      </c>
      <c r="K28" s="12">
        <v>28</v>
      </c>
      <c r="L28" s="12">
        <v>48</v>
      </c>
      <c r="M28" s="12">
        <v>42</v>
      </c>
      <c r="N28" s="12">
        <v>31</v>
      </c>
      <c r="O28" s="12">
        <v>49</v>
      </c>
      <c r="P28" s="12">
        <v>41</v>
      </c>
      <c r="Q28" s="12">
        <v>52</v>
      </c>
      <c r="R28" s="12">
        <v>20</v>
      </c>
      <c r="S28" s="12">
        <v>27</v>
      </c>
      <c r="T28" s="12">
        <v>18</v>
      </c>
      <c r="U28" s="12">
        <v>39</v>
      </c>
      <c r="V28" s="12">
        <v>60</v>
      </c>
      <c r="W28" s="12">
        <v>17</v>
      </c>
      <c r="X28" s="12">
        <v>68</v>
      </c>
      <c r="Y28" s="12">
        <v>59</v>
      </c>
      <c r="Z28" s="12">
        <v>20</v>
      </c>
      <c r="AA28" s="12">
        <v>20</v>
      </c>
      <c r="AB28" s="12">
        <v>25</v>
      </c>
      <c r="AC28" s="12">
        <v>50</v>
      </c>
      <c r="AD28" s="12">
        <v>37</v>
      </c>
      <c r="AE28" s="12">
        <v>49</v>
      </c>
      <c r="AF28" s="12">
        <v>48</v>
      </c>
    </row>
    <row r="29" spans="1:32" ht="24.95">
      <c r="A29" s="20"/>
      <c r="B29" s="13" t="s">
        <v>1598</v>
      </c>
      <c r="C29" s="14">
        <v>0.11</v>
      </c>
      <c r="D29" s="14">
        <v>0.13</v>
      </c>
      <c r="E29" s="14">
        <v>0.09</v>
      </c>
      <c r="F29" s="14">
        <v>0.25</v>
      </c>
      <c r="G29" s="14">
        <v>0.14000000000000001</v>
      </c>
      <c r="H29" s="14">
        <v>0.14000000000000001</v>
      </c>
      <c r="I29" s="14">
        <v>0.13</v>
      </c>
      <c r="J29" s="14">
        <v>0.14000000000000001</v>
      </c>
      <c r="K29" s="14">
        <v>7.0000000000000007E-2</v>
      </c>
      <c r="L29" s="14">
        <v>0.12</v>
      </c>
      <c r="M29" s="14">
        <v>0.1</v>
      </c>
      <c r="N29" s="14">
        <v>7.0000000000000007E-2</v>
      </c>
      <c r="O29" s="14">
        <v>0.1</v>
      </c>
      <c r="P29" s="14">
        <v>0.1</v>
      </c>
      <c r="Q29" s="14">
        <v>0.12</v>
      </c>
      <c r="R29" s="14">
        <v>0.11</v>
      </c>
      <c r="S29" s="14">
        <v>0.06</v>
      </c>
      <c r="T29" s="14">
        <v>0.04</v>
      </c>
      <c r="U29" s="14">
        <v>0.19</v>
      </c>
      <c r="V29" s="14">
        <v>0.16</v>
      </c>
      <c r="W29" s="14">
        <v>0.1</v>
      </c>
      <c r="X29" s="14">
        <v>0.15</v>
      </c>
      <c r="Y29" s="14">
        <v>0.14000000000000001</v>
      </c>
      <c r="Z29" s="14">
        <v>0.05</v>
      </c>
      <c r="AA29" s="14">
        <v>0.05</v>
      </c>
      <c r="AB29" s="14">
        <v>0.06</v>
      </c>
      <c r="AC29" s="14">
        <v>0.11</v>
      </c>
      <c r="AD29" s="14">
        <v>0.09</v>
      </c>
      <c r="AE29" s="14">
        <v>0.1</v>
      </c>
      <c r="AF29" s="14">
        <v>0.12</v>
      </c>
    </row>
    <row r="30" spans="1:32" ht="48.95">
      <c r="A30" s="20"/>
      <c r="B30" s="11" t="s">
        <v>1599</v>
      </c>
      <c r="C30" s="12">
        <v>488</v>
      </c>
      <c r="D30" s="12">
        <v>30</v>
      </c>
      <c r="E30" s="12">
        <v>18</v>
      </c>
      <c r="F30" s="12">
        <v>6</v>
      </c>
      <c r="G30" s="12">
        <v>13</v>
      </c>
      <c r="H30" s="12">
        <v>26</v>
      </c>
      <c r="I30" s="12">
        <v>29</v>
      </c>
      <c r="J30" s="12">
        <v>3</v>
      </c>
      <c r="K30" s="12">
        <v>18</v>
      </c>
      <c r="L30" s="12">
        <v>13</v>
      </c>
      <c r="M30" s="12">
        <v>19</v>
      </c>
      <c r="N30" s="12">
        <v>21</v>
      </c>
      <c r="O30" s="12">
        <v>26</v>
      </c>
      <c r="P30" s="12">
        <v>21</v>
      </c>
      <c r="Q30" s="12">
        <v>13</v>
      </c>
      <c r="R30" s="12">
        <v>17</v>
      </c>
      <c r="S30" s="12">
        <v>17</v>
      </c>
      <c r="T30" s="12">
        <v>17</v>
      </c>
      <c r="U30" s="12">
        <v>9</v>
      </c>
      <c r="V30" s="12">
        <v>4</v>
      </c>
      <c r="W30" s="12">
        <v>6</v>
      </c>
      <c r="X30" s="12">
        <v>17</v>
      </c>
      <c r="Y30" s="12">
        <v>11</v>
      </c>
      <c r="Z30" s="12">
        <v>28</v>
      </c>
      <c r="AA30" s="12">
        <v>8</v>
      </c>
      <c r="AB30" s="12">
        <v>9</v>
      </c>
      <c r="AC30" s="12">
        <v>22</v>
      </c>
      <c r="AD30" s="12">
        <v>15</v>
      </c>
      <c r="AE30" s="12">
        <v>10</v>
      </c>
      <c r="AF30" s="12">
        <v>28</v>
      </c>
    </row>
    <row r="31" spans="1:32" ht="36.950000000000003">
      <c r="A31" s="20"/>
      <c r="B31" s="13" t="s">
        <v>1600</v>
      </c>
      <c r="C31" s="14">
        <v>0.04</v>
      </c>
      <c r="D31" s="14">
        <v>0.06</v>
      </c>
      <c r="E31" s="14">
        <v>0.05</v>
      </c>
      <c r="F31" s="14">
        <v>0.02</v>
      </c>
      <c r="G31" s="14">
        <v>0.03</v>
      </c>
      <c r="H31" s="14">
        <v>0.05</v>
      </c>
      <c r="I31" s="14">
        <v>0.04</v>
      </c>
      <c r="J31" s="14">
        <v>0.02</v>
      </c>
      <c r="K31" s="14">
        <v>0.05</v>
      </c>
      <c r="L31" s="14">
        <v>0.03</v>
      </c>
      <c r="M31" s="14">
        <v>0.04</v>
      </c>
      <c r="N31" s="14">
        <v>0.04</v>
      </c>
      <c r="O31" s="14">
        <v>0.05</v>
      </c>
      <c r="P31" s="14">
        <v>0.05</v>
      </c>
      <c r="Q31" s="14">
        <v>0.03</v>
      </c>
      <c r="R31" s="14">
        <v>0.09</v>
      </c>
      <c r="S31" s="14">
        <v>0.04</v>
      </c>
      <c r="T31" s="14">
        <v>0.04</v>
      </c>
      <c r="U31" s="14">
        <v>0.05</v>
      </c>
      <c r="V31" s="14">
        <v>0.01</v>
      </c>
      <c r="W31" s="14">
        <v>0.04</v>
      </c>
      <c r="X31" s="14">
        <v>0.04</v>
      </c>
      <c r="Y31" s="14">
        <v>0.03</v>
      </c>
      <c r="Z31" s="14">
        <v>7.0000000000000007E-2</v>
      </c>
      <c r="AA31" s="14">
        <v>0.02</v>
      </c>
      <c r="AB31" s="14">
        <v>0.02</v>
      </c>
      <c r="AC31" s="14">
        <v>0.05</v>
      </c>
      <c r="AD31" s="14">
        <v>0.04</v>
      </c>
      <c r="AE31" s="14">
        <v>0.02</v>
      </c>
      <c r="AF31" s="14">
        <v>7.0000000000000007E-2</v>
      </c>
    </row>
    <row r="32" spans="1:32" ht="60.95">
      <c r="A32" s="20"/>
      <c r="B32" s="11" t="s">
        <v>1601</v>
      </c>
      <c r="C32" s="12">
        <v>1121</v>
      </c>
      <c r="D32" s="12">
        <v>85</v>
      </c>
      <c r="E32" s="12">
        <v>42</v>
      </c>
      <c r="F32" s="12">
        <v>17</v>
      </c>
      <c r="G32" s="12">
        <v>69</v>
      </c>
      <c r="H32" s="12">
        <v>35</v>
      </c>
      <c r="I32" s="12">
        <v>48</v>
      </c>
      <c r="J32" s="12">
        <v>13</v>
      </c>
      <c r="K32" s="12">
        <v>36</v>
      </c>
      <c r="L32" s="12">
        <v>53</v>
      </c>
      <c r="M32" s="12">
        <v>35</v>
      </c>
      <c r="N32" s="12">
        <v>42</v>
      </c>
      <c r="O32" s="12">
        <v>64</v>
      </c>
      <c r="P32" s="12">
        <v>68</v>
      </c>
      <c r="Q32" s="12">
        <v>15</v>
      </c>
      <c r="R32" s="12">
        <v>25</v>
      </c>
      <c r="S32" s="12">
        <v>64</v>
      </c>
      <c r="T32" s="12">
        <v>69</v>
      </c>
      <c r="U32" s="12">
        <v>21</v>
      </c>
      <c r="V32" s="12">
        <v>15</v>
      </c>
      <c r="W32" s="12">
        <v>10</v>
      </c>
      <c r="X32" s="12">
        <v>101</v>
      </c>
      <c r="Y32" s="12">
        <v>70</v>
      </c>
      <c r="Z32" s="12">
        <v>36</v>
      </c>
      <c r="AA32" s="12">
        <v>27</v>
      </c>
      <c r="AB32" s="12">
        <v>19</v>
      </c>
      <c r="AC32" s="12">
        <v>46</v>
      </c>
      <c r="AD32" s="12">
        <v>58</v>
      </c>
      <c r="AE32" s="12">
        <v>85</v>
      </c>
      <c r="AF32" s="12">
        <v>72</v>
      </c>
    </row>
    <row r="33" spans="1:32" ht="36.950000000000003">
      <c r="A33" s="20"/>
      <c r="B33" s="13" t="s">
        <v>1602</v>
      </c>
      <c r="C33" s="14">
        <v>0.1</v>
      </c>
      <c r="D33" s="14">
        <v>0.16</v>
      </c>
      <c r="E33" s="14">
        <v>0.1</v>
      </c>
      <c r="F33" s="14">
        <v>0.04</v>
      </c>
      <c r="G33" s="14">
        <v>0.15</v>
      </c>
      <c r="H33" s="14">
        <v>0.06</v>
      </c>
      <c r="I33" s="14">
        <v>7.0000000000000007E-2</v>
      </c>
      <c r="J33" s="14">
        <v>0.1</v>
      </c>
      <c r="K33" s="14">
        <v>0.09</v>
      </c>
      <c r="L33" s="14">
        <v>0.13</v>
      </c>
      <c r="M33" s="14">
        <v>0.08</v>
      </c>
      <c r="N33" s="14">
        <v>0.09</v>
      </c>
      <c r="O33" s="14">
        <v>0.13</v>
      </c>
      <c r="P33" s="14">
        <v>0.16</v>
      </c>
      <c r="Q33" s="14">
        <v>0.03</v>
      </c>
      <c r="R33" s="14">
        <v>0.13</v>
      </c>
      <c r="S33" s="14">
        <v>0.15</v>
      </c>
      <c r="T33" s="14">
        <v>0.16</v>
      </c>
      <c r="U33" s="14">
        <v>0.1</v>
      </c>
      <c r="V33" s="14">
        <v>0.04</v>
      </c>
      <c r="W33" s="14">
        <v>0.05</v>
      </c>
      <c r="X33" s="14">
        <v>0.22</v>
      </c>
      <c r="Y33" s="14">
        <v>0.17</v>
      </c>
      <c r="Z33" s="14">
        <v>0.1</v>
      </c>
      <c r="AA33" s="14">
        <v>0.06</v>
      </c>
      <c r="AB33" s="14">
        <v>0.04</v>
      </c>
      <c r="AC33" s="14">
        <v>0.11</v>
      </c>
      <c r="AD33" s="14">
        <v>0.14000000000000001</v>
      </c>
      <c r="AE33" s="14">
        <v>0.18</v>
      </c>
      <c r="AF33" s="14">
        <v>0.19</v>
      </c>
    </row>
    <row r="34" spans="1:32" ht="24.95">
      <c r="A34" s="20"/>
      <c r="B34" s="11" t="s">
        <v>1603</v>
      </c>
      <c r="C34" s="12">
        <v>255</v>
      </c>
      <c r="D34" s="12">
        <v>14</v>
      </c>
      <c r="E34" s="12">
        <v>10</v>
      </c>
      <c r="F34" s="12">
        <v>7</v>
      </c>
      <c r="G34" s="12">
        <v>4</v>
      </c>
      <c r="H34" s="12">
        <v>12</v>
      </c>
      <c r="I34" s="12">
        <v>16</v>
      </c>
      <c r="J34" s="12">
        <v>4</v>
      </c>
      <c r="K34" s="12">
        <v>10</v>
      </c>
      <c r="L34" s="12">
        <v>11</v>
      </c>
      <c r="M34" s="12">
        <v>9</v>
      </c>
      <c r="N34" s="12">
        <v>8</v>
      </c>
      <c r="O34" s="12">
        <v>12</v>
      </c>
      <c r="P34" s="12">
        <v>20</v>
      </c>
      <c r="Q34" s="12">
        <v>7</v>
      </c>
      <c r="R34" s="12">
        <v>3</v>
      </c>
      <c r="S34" s="12">
        <v>17</v>
      </c>
      <c r="T34" s="12">
        <v>18</v>
      </c>
      <c r="U34" s="12">
        <v>0</v>
      </c>
      <c r="V34" s="12">
        <v>9</v>
      </c>
      <c r="W34" s="12">
        <v>7</v>
      </c>
      <c r="X34" s="12">
        <v>15</v>
      </c>
      <c r="Y34" s="12">
        <v>9</v>
      </c>
      <c r="Z34" s="12">
        <v>7</v>
      </c>
      <c r="AA34" s="12">
        <v>8</v>
      </c>
      <c r="AB34" s="12">
        <v>9</v>
      </c>
      <c r="AC34" s="12">
        <v>15</v>
      </c>
      <c r="AD34" s="12">
        <v>7</v>
      </c>
      <c r="AE34" s="12">
        <v>11</v>
      </c>
      <c r="AF34" s="12">
        <v>7</v>
      </c>
    </row>
    <row r="35" spans="1:32">
      <c r="A35" s="20"/>
      <c r="B35" s="13" t="s">
        <v>1604</v>
      </c>
      <c r="C35" s="14">
        <v>0.02</v>
      </c>
      <c r="D35" s="14">
        <v>0.02</v>
      </c>
      <c r="E35" s="14">
        <v>0.03</v>
      </c>
      <c r="F35" s="14">
        <v>0.02</v>
      </c>
      <c r="G35" s="14">
        <v>0.01</v>
      </c>
      <c r="H35" s="14">
        <v>0.02</v>
      </c>
      <c r="I35" s="14">
        <v>0.02</v>
      </c>
      <c r="J35" s="14">
        <v>0.03</v>
      </c>
      <c r="K35" s="14">
        <v>0.02</v>
      </c>
      <c r="L35" s="14">
        <v>0.03</v>
      </c>
      <c r="M35" s="14">
        <v>0.02</v>
      </c>
      <c r="N35" s="14">
        <v>0.02</v>
      </c>
      <c r="O35" s="14">
        <v>0.03</v>
      </c>
      <c r="P35" s="14">
        <v>0.05</v>
      </c>
      <c r="Q35" s="14">
        <v>0.02</v>
      </c>
      <c r="R35" s="14">
        <v>0.02</v>
      </c>
      <c r="S35" s="14">
        <v>0.04</v>
      </c>
      <c r="T35" s="14">
        <v>0.04</v>
      </c>
      <c r="U35" s="15" t="s">
        <v>459</v>
      </c>
      <c r="V35" s="14">
        <v>0.02</v>
      </c>
      <c r="W35" s="14">
        <v>0.04</v>
      </c>
      <c r="X35" s="14">
        <v>0.03</v>
      </c>
      <c r="Y35" s="14">
        <v>0.02</v>
      </c>
      <c r="Z35" s="14">
        <v>0.02</v>
      </c>
      <c r="AA35" s="14">
        <v>0.02</v>
      </c>
      <c r="AB35" s="14">
        <v>0.02</v>
      </c>
      <c r="AC35" s="14">
        <v>0.03</v>
      </c>
      <c r="AD35" s="14">
        <v>0.02</v>
      </c>
      <c r="AE35" s="14">
        <v>0.02</v>
      </c>
      <c r="AF35" s="14">
        <v>0.02</v>
      </c>
    </row>
    <row r="36" spans="1:32">
      <c r="A36" s="20"/>
      <c r="B36" s="11" t="s">
        <v>1605</v>
      </c>
      <c r="C36" s="12">
        <v>2207</v>
      </c>
      <c r="D36" s="12">
        <v>80</v>
      </c>
      <c r="E36" s="12">
        <v>113</v>
      </c>
      <c r="F36" s="12">
        <v>101</v>
      </c>
      <c r="G36" s="12">
        <v>45</v>
      </c>
      <c r="H36" s="12">
        <v>78</v>
      </c>
      <c r="I36" s="12">
        <v>100</v>
      </c>
      <c r="J36" s="12">
        <v>21</v>
      </c>
      <c r="K36" s="12">
        <v>79</v>
      </c>
      <c r="L36" s="12">
        <v>67</v>
      </c>
      <c r="M36" s="12">
        <v>67</v>
      </c>
      <c r="N36" s="12">
        <v>115</v>
      </c>
      <c r="O36" s="12">
        <v>81</v>
      </c>
      <c r="P36" s="12">
        <v>93</v>
      </c>
      <c r="Q36" s="12">
        <v>56</v>
      </c>
      <c r="R36" s="12">
        <v>28</v>
      </c>
      <c r="S36" s="12">
        <v>109</v>
      </c>
      <c r="T36" s="12">
        <v>93</v>
      </c>
      <c r="U36" s="12">
        <v>21</v>
      </c>
      <c r="V36" s="12">
        <v>113</v>
      </c>
      <c r="W36" s="12">
        <v>35</v>
      </c>
      <c r="X36" s="12">
        <v>18</v>
      </c>
      <c r="Y36" s="12">
        <v>57</v>
      </c>
      <c r="Z36" s="12">
        <v>158</v>
      </c>
      <c r="AA36" s="12">
        <v>120</v>
      </c>
      <c r="AB36" s="12">
        <v>147</v>
      </c>
      <c r="AC36" s="12">
        <v>66</v>
      </c>
      <c r="AD36" s="12">
        <v>95</v>
      </c>
      <c r="AE36" s="12">
        <v>64</v>
      </c>
      <c r="AF36" s="12">
        <v>17</v>
      </c>
    </row>
    <row r="37" spans="1:32" ht="24.95">
      <c r="A37" s="20"/>
      <c r="B37" s="13" t="s">
        <v>1606</v>
      </c>
      <c r="C37" s="14">
        <v>0.19</v>
      </c>
      <c r="D37" s="14">
        <v>0.15</v>
      </c>
      <c r="E37" s="14">
        <v>0.27</v>
      </c>
      <c r="F37" s="14">
        <v>0.25</v>
      </c>
      <c r="G37" s="14">
        <v>0.1</v>
      </c>
      <c r="H37" s="14">
        <v>0.14000000000000001</v>
      </c>
      <c r="I37" s="14">
        <v>0.14000000000000001</v>
      </c>
      <c r="J37" s="14">
        <v>0.16</v>
      </c>
      <c r="K37" s="14">
        <v>0.19</v>
      </c>
      <c r="L37" s="14">
        <v>0.17</v>
      </c>
      <c r="M37" s="14">
        <v>0.15</v>
      </c>
      <c r="N37" s="14">
        <v>0.25</v>
      </c>
      <c r="O37" s="14">
        <v>0.16</v>
      </c>
      <c r="P37" s="14">
        <v>0.22</v>
      </c>
      <c r="Q37" s="14">
        <v>0.13</v>
      </c>
      <c r="R37" s="14">
        <v>0.15</v>
      </c>
      <c r="S37" s="14">
        <v>0.25</v>
      </c>
      <c r="T37" s="14">
        <v>0.22</v>
      </c>
      <c r="U37" s="14">
        <v>0.1</v>
      </c>
      <c r="V37" s="14">
        <v>0.31</v>
      </c>
      <c r="W37" s="14">
        <v>0.2</v>
      </c>
      <c r="X37" s="14">
        <v>0.04</v>
      </c>
      <c r="Y37" s="14">
        <v>0.14000000000000001</v>
      </c>
      <c r="Z37" s="14">
        <v>0.41</v>
      </c>
      <c r="AA37" s="14">
        <v>0.28999999999999998</v>
      </c>
      <c r="AB37" s="14">
        <v>0.33</v>
      </c>
      <c r="AC37" s="14">
        <v>0.15</v>
      </c>
      <c r="AD37" s="14">
        <v>0.24</v>
      </c>
      <c r="AE37" s="14">
        <v>0.14000000000000001</v>
      </c>
      <c r="AF37" s="14">
        <v>0.04</v>
      </c>
    </row>
    <row r="38" spans="1:32" ht="24.95">
      <c r="A38" s="20"/>
      <c r="B38" s="11" t="s">
        <v>1607</v>
      </c>
      <c r="C38" s="12">
        <v>1563</v>
      </c>
      <c r="D38" s="12">
        <v>58</v>
      </c>
      <c r="E38" s="12">
        <v>76</v>
      </c>
      <c r="F38" s="12">
        <v>53</v>
      </c>
      <c r="G38" s="12">
        <v>114</v>
      </c>
      <c r="H38" s="12">
        <v>91</v>
      </c>
      <c r="I38" s="12">
        <v>112</v>
      </c>
      <c r="J38" s="12">
        <v>20</v>
      </c>
      <c r="K38" s="12">
        <v>66</v>
      </c>
      <c r="L38" s="12">
        <v>73</v>
      </c>
      <c r="M38" s="12">
        <v>39</v>
      </c>
      <c r="N38" s="12">
        <v>75</v>
      </c>
      <c r="O38" s="12">
        <v>31</v>
      </c>
      <c r="P38" s="12">
        <v>49</v>
      </c>
      <c r="Q38" s="12">
        <v>72</v>
      </c>
      <c r="R38" s="12">
        <v>17</v>
      </c>
      <c r="S38" s="12">
        <v>69</v>
      </c>
      <c r="T38" s="12">
        <v>77</v>
      </c>
      <c r="U38" s="12">
        <v>11</v>
      </c>
      <c r="V38" s="12">
        <v>77</v>
      </c>
      <c r="W38" s="12">
        <v>28</v>
      </c>
      <c r="X38" s="12">
        <v>45</v>
      </c>
      <c r="Y38" s="12">
        <v>58</v>
      </c>
      <c r="Z38" s="12">
        <v>20</v>
      </c>
      <c r="AA38" s="12">
        <v>96</v>
      </c>
      <c r="AB38" s="12">
        <v>102</v>
      </c>
      <c r="AC38" s="12">
        <v>67</v>
      </c>
      <c r="AD38" s="12">
        <v>50</v>
      </c>
      <c r="AE38" s="12">
        <v>49</v>
      </c>
      <c r="AF38" s="12">
        <v>27</v>
      </c>
    </row>
    <row r="39" spans="1:32" ht="24.95">
      <c r="A39" s="20"/>
      <c r="B39" s="13" t="s">
        <v>1608</v>
      </c>
      <c r="C39" s="14">
        <v>0.13</v>
      </c>
      <c r="D39" s="14">
        <v>0.11</v>
      </c>
      <c r="E39" s="14">
        <v>0.19</v>
      </c>
      <c r="F39" s="14">
        <v>0.13</v>
      </c>
      <c r="G39" s="14">
        <v>0.25</v>
      </c>
      <c r="H39" s="14">
        <v>0.16</v>
      </c>
      <c r="I39" s="14">
        <v>0.16</v>
      </c>
      <c r="J39" s="14">
        <v>0.15</v>
      </c>
      <c r="K39" s="14">
        <v>0.16</v>
      </c>
      <c r="L39" s="14">
        <v>0.18</v>
      </c>
      <c r="M39" s="14">
        <v>0.09</v>
      </c>
      <c r="N39" s="14">
        <v>0.17</v>
      </c>
      <c r="O39" s="14">
        <v>0.06</v>
      </c>
      <c r="P39" s="14">
        <v>0.11</v>
      </c>
      <c r="Q39" s="14">
        <v>0.16</v>
      </c>
      <c r="R39" s="14">
        <v>0.09</v>
      </c>
      <c r="S39" s="14">
        <v>0.16</v>
      </c>
      <c r="T39" s="14">
        <v>0.18</v>
      </c>
      <c r="U39" s="14">
        <v>0.06</v>
      </c>
      <c r="V39" s="14">
        <v>0.21</v>
      </c>
      <c r="W39" s="14">
        <v>0.16</v>
      </c>
      <c r="X39" s="14">
        <v>0.1</v>
      </c>
      <c r="Y39" s="14">
        <v>0.14000000000000001</v>
      </c>
      <c r="Z39" s="14">
        <v>0.05</v>
      </c>
      <c r="AA39" s="14">
        <v>0.23</v>
      </c>
      <c r="AB39" s="14">
        <v>0.23</v>
      </c>
      <c r="AC39" s="14">
        <v>0.15</v>
      </c>
      <c r="AD39" s="14">
        <v>0.12</v>
      </c>
      <c r="AE39" s="14">
        <v>0.11</v>
      </c>
      <c r="AF39" s="14">
        <v>7.0000000000000007E-2</v>
      </c>
    </row>
    <row r="40" spans="1:32" ht="24.95">
      <c r="A40" s="20"/>
      <c r="B40" s="11" t="s">
        <v>1631</v>
      </c>
      <c r="C40" s="12">
        <v>2437</v>
      </c>
      <c r="D40" s="12">
        <v>98</v>
      </c>
      <c r="E40" s="12">
        <v>63</v>
      </c>
      <c r="F40" s="12">
        <v>66</v>
      </c>
      <c r="G40" s="12">
        <v>34</v>
      </c>
      <c r="H40" s="12">
        <v>106</v>
      </c>
      <c r="I40" s="12">
        <v>125</v>
      </c>
      <c r="J40" s="12">
        <v>19</v>
      </c>
      <c r="K40" s="12">
        <v>50</v>
      </c>
      <c r="L40" s="12">
        <v>51</v>
      </c>
      <c r="M40" s="12">
        <v>109</v>
      </c>
      <c r="N40" s="12">
        <v>93</v>
      </c>
      <c r="O40" s="12">
        <v>117</v>
      </c>
      <c r="P40" s="12">
        <v>81</v>
      </c>
      <c r="Q40" s="12">
        <v>162</v>
      </c>
      <c r="R40" s="12">
        <v>39</v>
      </c>
      <c r="S40" s="12">
        <v>35</v>
      </c>
      <c r="T40" s="12">
        <v>74</v>
      </c>
      <c r="U40" s="12">
        <v>45</v>
      </c>
      <c r="V40" s="12">
        <v>57</v>
      </c>
      <c r="W40" s="12">
        <v>40</v>
      </c>
      <c r="X40" s="12">
        <v>21</v>
      </c>
      <c r="Y40" s="12">
        <v>60</v>
      </c>
      <c r="Z40" s="12">
        <v>63</v>
      </c>
      <c r="AA40" s="12">
        <v>101</v>
      </c>
      <c r="AB40" s="12">
        <v>122</v>
      </c>
      <c r="AC40" s="12">
        <v>76</v>
      </c>
      <c r="AD40" s="12">
        <v>70</v>
      </c>
      <c r="AE40" s="12">
        <v>29</v>
      </c>
      <c r="AF40" s="12">
        <v>34</v>
      </c>
    </row>
    <row r="41" spans="1:32">
      <c r="A41" s="20"/>
      <c r="B41" s="13" t="s">
        <v>1632</v>
      </c>
      <c r="C41" s="14">
        <v>0.21</v>
      </c>
      <c r="D41" s="14">
        <v>0.18</v>
      </c>
      <c r="E41" s="14">
        <v>0.15</v>
      </c>
      <c r="F41" s="14">
        <v>0.16</v>
      </c>
      <c r="G41" s="14">
        <v>7.0000000000000007E-2</v>
      </c>
      <c r="H41" s="14">
        <v>0.19</v>
      </c>
      <c r="I41" s="14">
        <v>0.18</v>
      </c>
      <c r="J41" s="14">
        <v>0.14000000000000001</v>
      </c>
      <c r="K41" s="14">
        <v>0.12</v>
      </c>
      <c r="L41" s="14">
        <v>0.13</v>
      </c>
      <c r="M41" s="14">
        <v>0.25</v>
      </c>
      <c r="N41" s="14">
        <v>0.21</v>
      </c>
      <c r="O41" s="14">
        <v>0.23</v>
      </c>
      <c r="P41" s="14">
        <v>0.19</v>
      </c>
      <c r="Q41" s="14">
        <v>0.36</v>
      </c>
      <c r="R41" s="14">
        <v>0.21</v>
      </c>
      <c r="S41" s="14">
        <v>0.08</v>
      </c>
      <c r="T41" s="14">
        <v>0.17</v>
      </c>
      <c r="U41" s="14">
        <v>0.22</v>
      </c>
      <c r="V41" s="14">
        <v>0.16</v>
      </c>
      <c r="W41" s="14">
        <v>0.22</v>
      </c>
      <c r="X41" s="14">
        <v>0.04</v>
      </c>
      <c r="Y41" s="14">
        <v>0.15</v>
      </c>
      <c r="Z41" s="14">
        <v>0.16</v>
      </c>
      <c r="AA41" s="14">
        <v>0.24</v>
      </c>
      <c r="AB41" s="14">
        <v>0.28000000000000003</v>
      </c>
      <c r="AC41" s="14">
        <v>0.17</v>
      </c>
      <c r="AD41" s="14">
        <v>0.18</v>
      </c>
      <c r="AE41" s="14">
        <v>0.06</v>
      </c>
      <c r="AF41" s="14">
        <v>0.09</v>
      </c>
    </row>
  </sheetData>
  <mergeCells count="9">
    <mergeCell ref="H3:L3"/>
    <mergeCell ref="C8:AF8"/>
    <mergeCell ref="B3:F3"/>
    <mergeCell ref="B5:F5"/>
    <mergeCell ref="A10:A41"/>
    <mergeCell ref="H5:L5"/>
    <mergeCell ref="B10:B11"/>
    <mergeCell ref="H4:L4"/>
    <mergeCell ref="B4:F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1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365</v>
      </c>
      <c r="C3" s="18"/>
      <c r="D3" s="18"/>
      <c r="E3" s="18"/>
      <c r="F3" s="18"/>
      <c r="H3" s="18" t="s">
        <v>366</v>
      </c>
      <c r="I3" s="18"/>
      <c r="J3" s="18"/>
      <c r="K3" s="18"/>
      <c r="L3" s="18"/>
    </row>
    <row r="4" spans="1:32" ht="27" customHeight="1">
      <c r="B4" s="18"/>
      <c r="C4" s="18"/>
      <c r="D4" s="18"/>
      <c r="E4" s="18"/>
      <c r="F4" s="18"/>
      <c r="H4" s="18"/>
      <c r="I4" s="18"/>
      <c r="J4" s="18"/>
      <c r="K4" s="18"/>
      <c r="L4" s="18"/>
    </row>
    <row r="5" spans="1:32" ht="12" customHeight="1">
      <c r="B5" s="18" t="s">
        <v>1629</v>
      </c>
      <c r="C5" s="18"/>
      <c r="D5" s="18"/>
      <c r="E5" s="18"/>
      <c r="F5" s="18"/>
      <c r="H5" s="18" t="s">
        <v>1630</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11665</v>
      </c>
      <c r="D10" s="10">
        <v>541</v>
      </c>
      <c r="E10" s="10">
        <v>412</v>
      </c>
      <c r="F10" s="10">
        <v>401</v>
      </c>
      <c r="G10" s="10">
        <v>455</v>
      </c>
      <c r="H10" s="10">
        <v>562</v>
      </c>
      <c r="I10" s="10">
        <v>693</v>
      </c>
      <c r="J10" s="10">
        <v>131</v>
      </c>
      <c r="K10" s="10">
        <v>411</v>
      </c>
      <c r="L10" s="10">
        <v>396</v>
      </c>
      <c r="M10" s="10">
        <v>438</v>
      </c>
      <c r="N10" s="10">
        <v>453</v>
      </c>
      <c r="O10" s="10">
        <v>499</v>
      </c>
      <c r="P10" s="10">
        <v>429</v>
      </c>
      <c r="Q10" s="10">
        <v>447</v>
      </c>
      <c r="R10" s="10">
        <v>189</v>
      </c>
      <c r="S10" s="10">
        <v>432</v>
      </c>
      <c r="T10" s="10">
        <v>426</v>
      </c>
      <c r="U10" s="10">
        <v>203</v>
      </c>
      <c r="V10" s="10">
        <v>368</v>
      </c>
      <c r="W10" s="10">
        <v>179</v>
      </c>
      <c r="X10" s="10">
        <v>461</v>
      </c>
      <c r="Y10" s="10">
        <v>413</v>
      </c>
      <c r="Z10" s="10">
        <v>383</v>
      </c>
      <c r="AA10" s="10">
        <v>420</v>
      </c>
      <c r="AB10" s="10">
        <v>442</v>
      </c>
      <c r="AC10" s="10">
        <v>439</v>
      </c>
      <c r="AD10" s="10">
        <v>398</v>
      </c>
      <c r="AE10" s="10">
        <v>475</v>
      </c>
      <c r="AF10" s="10">
        <v>386</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1609</v>
      </c>
      <c r="C12" s="12">
        <v>824</v>
      </c>
      <c r="D12" s="12">
        <v>35</v>
      </c>
      <c r="E12" s="12">
        <v>21</v>
      </c>
      <c r="F12" s="12">
        <v>22</v>
      </c>
      <c r="G12" s="12">
        <v>23</v>
      </c>
      <c r="H12" s="12">
        <v>36</v>
      </c>
      <c r="I12" s="12">
        <v>42</v>
      </c>
      <c r="J12" s="12">
        <v>6</v>
      </c>
      <c r="K12" s="12">
        <v>23</v>
      </c>
      <c r="L12" s="12">
        <v>13</v>
      </c>
      <c r="M12" s="12">
        <v>87</v>
      </c>
      <c r="N12" s="12">
        <v>40</v>
      </c>
      <c r="O12" s="12">
        <v>26</v>
      </c>
      <c r="P12" s="12">
        <v>31</v>
      </c>
      <c r="Q12" s="12">
        <v>44</v>
      </c>
      <c r="R12" s="12">
        <v>22</v>
      </c>
      <c r="S12" s="12">
        <v>8</v>
      </c>
      <c r="T12" s="12">
        <v>11</v>
      </c>
      <c r="U12" s="12">
        <v>7</v>
      </c>
      <c r="V12" s="12">
        <v>9</v>
      </c>
      <c r="W12" s="12">
        <v>16</v>
      </c>
      <c r="X12" s="12">
        <v>37</v>
      </c>
      <c r="Y12" s="12">
        <v>47</v>
      </c>
      <c r="Z12" s="12">
        <v>32</v>
      </c>
      <c r="AA12" s="12">
        <v>25</v>
      </c>
      <c r="AB12" s="12">
        <v>6</v>
      </c>
      <c r="AC12" s="12">
        <v>28</v>
      </c>
      <c r="AD12" s="12">
        <v>16</v>
      </c>
      <c r="AE12" s="12">
        <v>47</v>
      </c>
      <c r="AF12" s="12">
        <v>23</v>
      </c>
    </row>
    <row r="13" spans="1:32">
      <c r="A13" s="20"/>
      <c r="B13" s="13" t="s">
        <v>1610</v>
      </c>
      <c r="C13" s="14">
        <v>7.0000000000000007E-2</v>
      </c>
      <c r="D13" s="14">
        <v>0.06</v>
      </c>
      <c r="E13" s="14">
        <v>0.05</v>
      </c>
      <c r="F13" s="14">
        <v>0.06</v>
      </c>
      <c r="G13" s="14">
        <v>0.05</v>
      </c>
      <c r="H13" s="14">
        <v>0.06</v>
      </c>
      <c r="I13" s="14">
        <v>0.06</v>
      </c>
      <c r="J13" s="14">
        <v>0.04</v>
      </c>
      <c r="K13" s="14">
        <v>0.06</v>
      </c>
      <c r="L13" s="14">
        <v>0.03</v>
      </c>
      <c r="M13" s="14">
        <v>0.2</v>
      </c>
      <c r="N13" s="14">
        <v>0.09</v>
      </c>
      <c r="O13" s="14">
        <v>0.05</v>
      </c>
      <c r="P13" s="14">
        <v>7.0000000000000007E-2</v>
      </c>
      <c r="Q13" s="14">
        <v>0.1</v>
      </c>
      <c r="R13" s="14">
        <v>0.12</v>
      </c>
      <c r="S13" s="14">
        <v>0.02</v>
      </c>
      <c r="T13" s="14">
        <v>0.03</v>
      </c>
      <c r="U13" s="14">
        <v>0.04</v>
      </c>
      <c r="V13" s="14">
        <v>0.02</v>
      </c>
      <c r="W13" s="14">
        <v>0.09</v>
      </c>
      <c r="X13" s="14">
        <v>0.08</v>
      </c>
      <c r="Y13" s="14">
        <v>0.11</v>
      </c>
      <c r="Z13" s="14">
        <v>0.08</v>
      </c>
      <c r="AA13" s="14">
        <v>0.06</v>
      </c>
      <c r="AB13" s="14">
        <v>0.01</v>
      </c>
      <c r="AC13" s="14">
        <v>7.0000000000000007E-2</v>
      </c>
      <c r="AD13" s="14">
        <v>0.04</v>
      </c>
      <c r="AE13" s="14">
        <v>0.1</v>
      </c>
      <c r="AF13" s="14">
        <v>0.06</v>
      </c>
    </row>
    <row r="14" spans="1:32">
      <c r="A14" s="20"/>
      <c r="B14" s="11" t="s">
        <v>1611</v>
      </c>
      <c r="C14" s="12">
        <v>8404</v>
      </c>
      <c r="D14" s="12">
        <v>408</v>
      </c>
      <c r="E14" s="12">
        <v>328</v>
      </c>
      <c r="F14" s="12">
        <v>313</v>
      </c>
      <c r="G14" s="12">
        <v>397</v>
      </c>
      <c r="H14" s="12">
        <v>419</v>
      </c>
      <c r="I14" s="12">
        <v>526</v>
      </c>
      <c r="J14" s="12">
        <v>107</v>
      </c>
      <c r="K14" s="12">
        <v>339</v>
      </c>
      <c r="L14" s="12">
        <v>332</v>
      </c>
      <c r="M14" s="12">
        <v>243</v>
      </c>
      <c r="N14" s="12">
        <v>320</v>
      </c>
      <c r="O14" s="12">
        <v>357</v>
      </c>
      <c r="P14" s="12">
        <v>317</v>
      </c>
      <c r="Q14" s="12">
        <v>241</v>
      </c>
      <c r="R14" s="12">
        <v>127</v>
      </c>
      <c r="S14" s="12">
        <v>388</v>
      </c>
      <c r="T14" s="12">
        <v>342</v>
      </c>
      <c r="U14" s="12">
        <v>151</v>
      </c>
      <c r="V14" s="12">
        <v>302</v>
      </c>
      <c r="W14" s="12">
        <v>123</v>
      </c>
      <c r="X14" s="12">
        <v>403</v>
      </c>
      <c r="Y14" s="12">
        <v>306</v>
      </c>
      <c r="Z14" s="12">
        <v>289</v>
      </c>
      <c r="AA14" s="12">
        <v>293</v>
      </c>
      <c r="AB14" s="12">
        <v>315</v>
      </c>
      <c r="AC14" s="12">
        <v>335</v>
      </c>
      <c r="AD14" s="12">
        <v>312</v>
      </c>
      <c r="AE14" s="12">
        <v>398</v>
      </c>
      <c r="AF14" s="12">
        <v>329</v>
      </c>
    </row>
    <row r="15" spans="1:32">
      <c r="A15" s="20"/>
      <c r="B15" s="13" t="s">
        <v>1612</v>
      </c>
      <c r="C15" s="14">
        <v>0.72</v>
      </c>
      <c r="D15" s="14">
        <v>0.76</v>
      </c>
      <c r="E15" s="14">
        <v>0.8</v>
      </c>
      <c r="F15" s="14">
        <v>0.78</v>
      </c>
      <c r="G15" s="14">
        <v>0.87</v>
      </c>
      <c r="H15" s="14">
        <v>0.75</v>
      </c>
      <c r="I15" s="14">
        <v>0.76</v>
      </c>
      <c r="J15" s="14">
        <v>0.82000000000000006</v>
      </c>
      <c r="K15" s="14">
        <v>0.82000000000000006</v>
      </c>
      <c r="L15" s="14">
        <v>0.84</v>
      </c>
      <c r="M15" s="14">
        <v>0.55000000000000004</v>
      </c>
      <c r="N15" s="14">
        <v>0.71</v>
      </c>
      <c r="O15" s="14">
        <v>0.72</v>
      </c>
      <c r="P15" s="14">
        <v>0.74</v>
      </c>
      <c r="Q15" s="14">
        <v>0.54</v>
      </c>
      <c r="R15" s="14">
        <v>0.67</v>
      </c>
      <c r="S15" s="14">
        <v>0.9</v>
      </c>
      <c r="T15" s="14">
        <v>0.8</v>
      </c>
      <c r="U15" s="14">
        <v>0.74</v>
      </c>
      <c r="V15" s="14">
        <v>0.82000000000000006</v>
      </c>
      <c r="W15" s="14">
        <v>0.69000000000000006</v>
      </c>
      <c r="X15" s="14">
        <v>0.87</v>
      </c>
      <c r="Y15" s="14">
        <v>0.74</v>
      </c>
      <c r="Z15" s="14">
        <v>0.76</v>
      </c>
      <c r="AA15" s="14">
        <v>0.70000000000000007</v>
      </c>
      <c r="AB15" s="14">
        <v>0.71</v>
      </c>
      <c r="AC15" s="14">
        <v>0.76</v>
      </c>
      <c r="AD15" s="14">
        <v>0.78</v>
      </c>
      <c r="AE15" s="14">
        <v>0.84</v>
      </c>
      <c r="AF15" s="14">
        <v>0.85</v>
      </c>
    </row>
    <row r="16" spans="1:32">
      <c r="A16" s="20"/>
      <c r="B16" s="11" t="s">
        <v>1613</v>
      </c>
      <c r="C16" s="12">
        <v>2437</v>
      </c>
      <c r="D16" s="12">
        <v>98</v>
      </c>
      <c r="E16" s="12">
        <v>63</v>
      </c>
      <c r="F16" s="12">
        <v>66</v>
      </c>
      <c r="G16" s="12">
        <v>34</v>
      </c>
      <c r="H16" s="12">
        <v>106</v>
      </c>
      <c r="I16" s="12">
        <v>125</v>
      </c>
      <c r="J16" s="12">
        <v>19</v>
      </c>
      <c r="K16" s="12">
        <v>50</v>
      </c>
      <c r="L16" s="12">
        <v>51</v>
      </c>
      <c r="M16" s="12">
        <v>109</v>
      </c>
      <c r="N16" s="12">
        <v>93</v>
      </c>
      <c r="O16" s="12">
        <v>117</v>
      </c>
      <c r="P16" s="12">
        <v>81</v>
      </c>
      <c r="Q16" s="12">
        <v>162</v>
      </c>
      <c r="R16" s="12">
        <v>39</v>
      </c>
      <c r="S16" s="12">
        <v>35</v>
      </c>
      <c r="T16" s="12">
        <v>74</v>
      </c>
      <c r="U16" s="12">
        <v>45</v>
      </c>
      <c r="V16" s="12">
        <v>57</v>
      </c>
      <c r="W16" s="12">
        <v>40</v>
      </c>
      <c r="X16" s="12">
        <v>21</v>
      </c>
      <c r="Y16" s="12">
        <v>60</v>
      </c>
      <c r="Z16" s="12">
        <v>63</v>
      </c>
      <c r="AA16" s="12">
        <v>101</v>
      </c>
      <c r="AB16" s="12">
        <v>122</v>
      </c>
      <c r="AC16" s="12">
        <v>76</v>
      </c>
      <c r="AD16" s="12">
        <v>70</v>
      </c>
      <c r="AE16" s="12">
        <v>29</v>
      </c>
      <c r="AF16" s="12">
        <v>34</v>
      </c>
    </row>
    <row r="17" spans="1:32">
      <c r="A17" s="20"/>
      <c r="B17" s="13" t="s">
        <v>1614</v>
      </c>
      <c r="C17" s="14">
        <v>0.21</v>
      </c>
      <c r="D17" s="14">
        <v>0.18</v>
      </c>
      <c r="E17" s="14">
        <v>0.15</v>
      </c>
      <c r="F17" s="14">
        <v>0.16</v>
      </c>
      <c r="G17" s="14">
        <v>0.08</v>
      </c>
      <c r="H17" s="14">
        <v>0.19</v>
      </c>
      <c r="I17" s="14">
        <v>0.18</v>
      </c>
      <c r="J17" s="14">
        <v>0.14000000000000001</v>
      </c>
      <c r="K17" s="14">
        <v>0.12</v>
      </c>
      <c r="L17" s="14">
        <v>0.13</v>
      </c>
      <c r="M17" s="14">
        <v>0.25</v>
      </c>
      <c r="N17" s="14">
        <v>0.2</v>
      </c>
      <c r="O17" s="14">
        <v>0.23</v>
      </c>
      <c r="P17" s="14">
        <v>0.19</v>
      </c>
      <c r="Q17" s="14">
        <v>0.36</v>
      </c>
      <c r="R17" s="14">
        <v>0.21</v>
      </c>
      <c r="S17" s="14">
        <v>0.08</v>
      </c>
      <c r="T17" s="14">
        <v>0.17</v>
      </c>
      <c r="U17" s="14">
        <v>0.22</v>
      </c>
      <c r="V17" s="14">
        <v>0.16</v>
      </c>
      <c r="W17" s="14">
        <v>0.22</v>
      </c>
      <c r="X17" s="14">
        <v>0.05</v>
      </c>
      <c r="Y17" s="14">
        <v>0.15</v>
      </c>
      <c r="Z17" s="14">
        <v>0.16</v>
      </c>
      <c r="AA17" s="14">
        <v>0.24</v>
      </c>
      <c r="AB17" s="14">
        <v>0.28000000000000003</v>
      </c>
      <c r="AC17" s="14">
        <v>0.17</v>
      </c>
      <c r="AD17" s="14">
        <v>0.18</v>
      </c>
      <c r="AE17" s="14">
        <v>0.06</v>
      </c>
      <c r="AF17" s="14">
        <v>0.09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367</v>
      </c>
      <c r="C3" s="18"/>
      <c r="D3" s="18"/>
      <c r="E3" s="18"/>
      <c r="F3" s="18"/>
      <c r="H3" s="18" t="s">
        <v>368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1633</v>
      </c>
      <c r="C12" s="12">
        <v>7916</v>
      </c>
      <c r="D12" s="12">
        <v>316</v>
      </c>
      <c r="E12" s="12">
        <v>310</v>
      </c>
      <c r="F12" s="12">
        <v>339</v>
      </c>
      <c r="G12" s="12">
        <v>224</v>
      </c>
      <c r="H12" s="12">
        <v>357</v>
      </c>
      <c r="I12" s="12">
        <v>429</v>
      </c>
      <c r="J12" s="12">
        <v>72</v>
      </c>
      <c r="K12" s="12">
        <v>334</v>
      </c>
      <c r="L12" s="12">
        <v>343</v>
      </c>
      <c r="M12" s="12">
        <v>304</v>
      </c>
      <c r="N12" s="12">
        <v>422</v>
      </c>
      <c r="O12" s="12">
        <v>294</v>
      </c>
      <c r="P12" s="12">
        <v>450</v>
      </c>
      <c r="Q12" s="12">
        <v>98</v>
      </c>
      <c r="R12" s="12">
        <v>165</v>
      </c>
      <c r="S12" s="12">
        <v>227</v>
      </c>
      <c r="T12" s="12">
        <v>367</v>
      </c>
      <c r="U12" s="12">
        <v>140</v>
      </c>
      <c r="V12" s="12">
        <v>263</v>
      </c>
      <c r="W12" s="12">
        <v>191</v>
      </c>
      <c r="X12" s="12">
        <v>375</v>
      </c>
      <c r="Y12" s="12">
        <v>460</v>
      </c>
      <c r="Z12" s="12">
        <v>383</v>
      </c>
      <c r="AA12" s="12">
        <v>404</v>
      </c>
      <c r="AB12" s="12">
        <v>432</v>
      </c>
      <c r="AC12" s="12">
        <v>523</v>
      </c>
      <c r="AD12" s="12">
        <v>464</v>
      </c>
      <c r="AE12" s="12">
        <v>331</v>
      </c>
      <c r="AF12" s="12">
        <v>87</v>
      </c>
    </row>
    <row r="13" spans="1:32">
      <c r="A13" s="20"/>
      <c r="B13" s="13" t="s">
        <v>1634</v>
      </c>
      <c r="C13" s="14">
        <v>0.3</v>
      </c>
      <c r="D13" s="14">
        <v>0.31</v>
      </c>
      <c r="E13" s="14">
        <v>0.31</v>
      </c>
      <c r="F13" s="14">
        <v>0.34</v>
      </c>
      <c r="G13" s="14">
        <v>0.22</v>
      </c>
      <c r="H13" s="14">
        <v>0.28999999999999998</v>
      </c>
      <c r="I13" s="14">
        <v>0.28000000000000003</v>
      </c>
      <c r="J13" s="14">
        <v>0.24</v>
      </c>
      <c r="K13" s="14">
        <v>0.33</v>
      </c>
      <c r="L13" s="14">
        <v>0.34</v>
      </c>
      <c r="M13" s="14">
        <v>0.3</v>
      </c>
      <c r="N13" s="14">
        <v>0.42</v>
      </c>
      <c r="O13" s="14">
        <v>0.28999999999999998</v>
      </c>
      <c r="P13" s="14">
        <v>0.44</v>
      </c>
      <c r="Q13" s="14">
        <v>0.1</v>
      </c>
      <c r="R13" s="14">
        <v>0.33</v>
      </c>
      <c r="S13" s="14">
        <v>0.22</v>
      </c>
      <c r="T13" s="14">
        <v>0.36</v>
      </c>
      <c r="U13" s="14">
        <v>0.27</v>
      </c>
      <c r="V13" s="14">
        <v>0.26</v>
      </c>
      <c r="W13" s="14">
        <v>0.38</v>
      </c>
      <c r="X13" s="14">
        <v>0.37</v>
      </c>
      <c r="Y13" s="14">
        <v>0.46</v>
      </c>
      <c r="Z13" s="14">
        <v>0.38</v>
      </c>
      <c r="AA13" s="14">
        <v>0.38</v>
      </c>
      <c r="AB13" s="14">
        <v>0.41</v>
      </c>
      <c r="AC13" s="14">
        <v>0.52</v>
      </c>
      <c r="AD13" s="14">
        <v>0.46</v>
      </c>
      <c r="AE13" s="14">
        <v>0.33</v>
      </c>
      <c r="AF13" s="14">
        <v>0.09</v>
      </c>
    </row>
    <row r="14" spans="1:32" ht="24.95">
      <c r="A14" s="20"/>
      <c r="B14" s="11" t="s">
        <v>1635</v>
      </c>
      <c r="C14" s="12">
        <v>11262</v>
      </c>
      <c r="D14" s="12">
        <v>371</v>
      </c>
      <c r="E14" s="12">
        <v>238</v>
      </c>
      <c r="F14" s="12">
        <v>436</v>
      </c>
      <c r="G14" s="12">
        <v>456</v>
      </c>
      <c r="H14" s="12">
        <v>559</v>
      </c>
      <c r="I14" s="12">
        <v>650</v>
      </c>
      <c r="J14" s="12">
        <v>90</v>
      </c>
      <c r="K14" s="12">
        <v>263</v>
      </c>
      <c r="L14" s="12">
        <v>237</v>
      </c>
      <c r="M14" s="12">
        <v>228</v>
      </c>
      <c r="N14" s="12">
        <v>347</v>
      </c>
      <c r="O14" s="12">
        <v>498</v>
      </c>
      <c r="P14" s="12">
        <v>282</v>
      </c>
      <c r="Q14" s="12">
        <v>690</v>
      </c>
      <c r="R14" s="12">
        <v>182</v>
      </c>
      <c r="S14" s="12">
        <v>460</v>
      </c>
      <c r="T14" s="12">
        <v>277</v>
      </c>
      <c r="U14" s="12">
        <v>288</v>
      </c>
      <c r="V14" s="12">
        <v>383</v>
      </c>
      <c r="W14" s="12">
        <v>172</v>
      </c>
      <c r="X14" s="12">
        <v>403</v>
      </c>
      <c r="Y14" s="12">
        <v>215</v>
      </c>
      <c r="Z14" s="12">
        <v>334</v>
      </c>
      <c r="AA14" s="12">
        <v>391</v>
      </c>
      <c r="AB14" s="12">
        <v>266</v>
      </c>
      <c r="AC14" s="12">
        <v>308</v>
      </c>
      <c r="AD14" s="12">
        <v>359</v>
      </c>
      <c r="AE14" s="12">
        <v>405</v>
      </c>
      <c r="AF14" s="12">
        <v>576</v>
      </c>
    </row>
    <row r="15" spans="1:32">
      <c r="A15" s="20"/>
      <c r="B15" s="13" t="s">
        <v>1636</v>
      </c>
      <c r="C15" s="14">
        <v>0.43</v>
      </c>
      <c r="D15" s="14">
        <v>0.37</v>
      </c>
      <c r="E15" s="14">
        <v>0.23</v>
      </c>
      <c r="F15" s="14">
        <v>0.43</v>
      </c>
      <c r="G15" s="14">
        <v>0.46</v>
      </c>
      <c r="H15" s="14">
        <v>0.46</v>
      </c>
      <c r="I15" s="14">
        <v>0.43</v>
      </c>
      <c r="J15" s="14">
        <v>0.31</v>
      </c>
      <c r="K15" s="14">
        <v>0.26</v>
      </c>
      <c r="L15" s="14">
        <v>0.24</v>
      </c>
      <c r="M15" s="14">
        <v>0.23</v>
      </c>
      <c r="N15" s="14">
        <v>0.35</v>
      </c>
      <c r="O15" s="14">
        <v>0.5</v>
      </c>
      <c r="P15" s="14">
        <v>0.28000000000000003</v>
      </c>
      <c r="Q15" s="14">
        <v>0.68</v>
      </c>
      <c r="R15" s="14">
        <v>0.36</v>
      </c>
      <c r="S15" s="14">
        <v>0.46</v>
      </c>
      <c r="T15" s="14">
        <v>0.27</v>
      </c>
      <c r="U15" s="14">
        <v>0.57000000000000006</v>
      </c>
      <c r="V15" s="14">
        <v>0.38</v>
      </c>
      <c r="W15" s="14">
        <v>0.34</v>
      </c>
      <c r="X15" s="14">
        <v>0.39</v>
      </c>
      <c r="Y15" s="14">
        <v>0.21</v>
      </c>
      <c r="Z15" s="14">
        <v>0.33</v>
      </c>
      <c r="AA15" s="14">
        <v>0.37</v>
      </c>
      <c r="AB15" s="14">
        <v>0.26</v>
      </c>
      <c r="AC15" s="14">
        <v>0.3</v>
      </c>
      <c r="AD15" s="14">
        <v>0.36</v>
      </c>
      <c r="AE15" s="14">
        <v>0.4</v>
      </c>
      <c r="AF15" s="14">
        <v>0.56000000000000005</v>
      </c>
    </row>
    <row r="16" spans="1:32">
      <c r="A16" s="20"/>
      <c r="B16" s="11" t="s">
        <v>1637</v>
      </c>
      <c r="C16" s="12">
        <v>7136</v>
      </c>
      <c r="D16" s="12">
        <v>316</v>
      </c>
      <c r="E16" s="12">
        <v>470</v>
      </c>
      <c r="F16" s="12">
        <v>230</v>
      </c>
      <c r="G16" s="12">
        <v>324</v>
      </c>
      <c r="H16" s="12">
        <v>300</v>
      </c>
      <c r="I16" s="12">
        <v>431</v>
      </c>
      <c r="J16" s="12">
        <v>132</v>
      </c>
      <c r="K16" s="12">
        <v>409</v>
      </c>
      <c r="L16" s="12">
        <v>426</v>
      </c>
      <c r="M16" s="12">
        <v>472</v>
      </c>
      <c r="N16" s="12">
        <v>235</v>
      </c>
      <c r="O16" s="12">
        <v>211</v>
      </c>
      <c r="P16" s="12">
        <v>290</v>
      </c>
      <c r="Q16" s="12">
        <v>229</v>
      </c>
      <c r="R16" s="12">
        <v>153</v>
      </c>
      <c r="S16" s="12">
        <v>321</v>
      </c>
      <c r="T16" s="12">
        <v>370</v>
      </c>
      <c r="U16" s="12">
        <v>79</v>
      </c>
      <c r="V16" s="12">
        <v>371</v>
      </c>
      <c r="W16" s="12">
        <v>137</v>
      </c>
      <c r="X16" s="12">
        <v>244</v>
      </c>
      <c r="Y16" s="12">
        <v>334</v>
      </c>
      <c r="Z16" s="12">
        <v>291</v>
      </c>
      <c r="AA16" s="12">
        <v>258</v>
      </c>
      <c r="AB16" s="12">
        <v>341</v>
      </c>
      <c r="AC16" s="12">
        <v>180</v>
      </c>
      <c r="AD16" s="12">
        <v>183</v>
      </c>
      <c r="AE16" s="12">
        <v>265</v>
      </c>
      <c r="AF16" s="12">
        <v>358</v>
      </c>
    </row>
    <row r="17" spans="1:32">
      <c r="A17" s="20"/>
      <c r="B17" s="13" t="s">
        <v>1638</v>
      </c>
      <c r="C17" s="14">
        <v>0.27</v>
      </c>
      <c r="D17" s="14">
        <v>0.32</v>
      </c>
      <c r="E17" s="14">
        <v>0.46</v>
      </c>
      <c r="F17" s="14">
        <v>0.23</v>
      </c>
      <c r="G17" s="14">
        <v>0.32</v>
      </c>
      <c r="H17" s="14">
        <v>0.25</v>
      </c>
      <c r="I17" s="14">
        <v>0.28999999999999998</v>
      </c>
      <c r="J17" s="14">
        <v>0.45</v>
      </c>
      <c r="K17" s="14">
        <v>0.41</v>
      </c>
      <c r="L17" s="14">
        <v>0.42</v>
      </c>
      <c r="M17" s="14">
        <v>0.47</v>
      </c>
      <c r="N17" s="14">
        <v>0.23</v>
      </c>
      <c r="O17" s="14">
        <v>0.21</v>
      </c>
      <c r="P17" s="14">
        <v>0.28000000000000003</v>
      </c>
      <c r="Q17" s="14">
        <v>0.22</v>
      </c>
      <c r="R17" s="14">
        <v>0.31</v>
      </c>
      <c r="S17" s="14">
        <v>0.32</v>
      </c>
      <c r="T17" s="14">
        <v>0.37</v>
      </c>
      <c r="U17" s="14">
        <v>0.16</v>
      </c>
      <c r="V17" s="14">
        <v>0.36</v>
      </c>
      <c r="W17" s="14">
        <v>0.27</v>
      </c>
      <c r="X17" s="14">
        <v>0.24</v>
      </c>
      <c r="Y17" s="14">
        <v>0.33</v>
      </c>
      <c r="Z17" s="14">
        <v>0.28999999999999998</v>
      </c>
      <c r="AA17" s="14">
        <v>0.25</v>
      </c>
      <c r="AB17" s="14">
        <v>0.33</v>
      </c>
      <c r="AC17" s="14">
        <v>0.18</v>
      </c>
      <c r="AD17" s="14">
        <v>0.18</v>
      </c>
      <c r="AE17" s="14">
        <v>0.27</v>
      </c>
      <c r="AF17" s="14">
        <v>0.35</v>
      </c>
    </row>
    <row r="18" spans="1:32">
      <c r="A18" s="20"/>
      <c r="B18" s="11" t="s">
        <v>468</v>
      </c>
      <c r="C18" s="12">
        <v>6</v>
      </c>
      <c r="D18" s="12">
        <v>0</v>
      </c>
      <c r="E18" s="12">
        <v>0</v>
      </c>
      <c r="F18" s="12">
        <v>0</v>
      </c>
      <c r="G18" s="12">
        <v>1</v>
      </c>
      <c r="H18" s="12">
        <v>0</v>
      </c>
      <c r="I18" s="12">
        <v>0</v>
      </c>
      <c r="J18" s="12">
        <v>0</v>
      </c>
      <c r="K18" s="12">
        <v>1</v>
      </c>
      <c r="L18" s="12">
        <v>0</v>
      </c>
      <c r="M18" s="12">
        <v>0</v>
      </c>
      <c r="N18" s="12">
        <v>0</v>
      </c>
      <c r="O18" s="12">
        <v>0</v>
      </c>
      <c r="P18" s="12">
        <v>0</v>
      </c>
      <c r="Q18" s="12">
        <v>2</v>
      </c>
      <c r="R18" s="12">
        <v>0</v>
      </c>
      <c r="S18" s="12">
        <v>0</v>
      </c>
      <c r="T18" s="12">
        <v>0</v>
      </c>
      <c r="U18" s="12">
        <v>0</v>
      </c>
      <c r="V18" s="12">
        <v>0</v>
      </c>
      <c r="W18" s="12">
        <v>3</v>
      </c>
      <c r="X18" s="12">
        <v>0</v>
      </c>
      <c r="Y18" s="12">
        <v>0</v>
      </c>
      <c r="Z18" s="12">
        <v>0</v>
      </c>
      <c r="AA18" s="12">
        <v>0</v>
      </c>
      <c r="AB18" s="12">
        <v>0</v>
      </c>
      <c r="AC18" s="12">
        <v>0</v>
      </c>
      <c r="AD18" s="12">
        <v>0</v>
      </c>
      <c r="AE18" s="12">
        <v>0</v>
      </c>
      <c r="AF18" s="12">
        <v>0</v>
      </c>
    </row>
    <row r="19" spans="1:32">
      <c r="A19" s="20"/>
      <c r="B19" s="13" t="s">
        <v>469</v>
      </c>
      <c r="C19" s="15" t="s">
        <v>459</v>
      </c>
      <c r="D19" s="15" t="s">
        <v>459</v>
      </c>
      <c r="E19" s="15" t="s">
        <v>459</v>
      </c>
      <c r="F19" s="15" t="s">
        <v>459</v>
      </c>
      <c r="G19" s="15" t="s">
        <v>459</v>
      </c>
      <c r="H19" s="15" t="s">
        <v>459</v>
      </c>
      <c r="I19" s="15" t="s">
        <v>459</v>
      </c>
      <c r="J19" s="15" t="s">
        <v>459</v>
      </c>
      <c r="K19" s="15" t="s">
        <v>459</v>
      </c>
      <c r="L19" s="15" t="s">
        <v>459</v>
      </c>
      <c r="M19" s="15" t="s">
        <v>459</v>
      </c>
      <c r="N19" s="15" t="s">
        <v>459</v>
      </c>
      <c r="O19" s="15" t="s">
        <v>459</v>
      </c>
      <c r="P19" s="15" t="s">
        <v>459</v>
      </c>
      <c r="Q19" s="15" t="s">
        <v>459</v>
      </c>
      <c r="R19" s="15" t="s">
        <v>459</v>
      </c>
      <c r="S19" s="15" t="s">
        <v>459</v>
      </c>
      <c r="T19" s="15" t="s">
        <v>459</v>
      </c>
      <c r="U19" s="15" t="s">
        <v>459</v>
      </c>
      <c r="V19" s="15" t="s">
        <v>459</v>
      </c>
      <c r="W19" s="14">
        <v>0.01</v>
      </c>
      <c r="X19" s="15" t="s">
        <v>459</v>
      </c>
      <c r="Y19" s="15" t="s">
        <v>459</v>
      </c>
      <c r="Z19" s="15" t="s">
        <v>459</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369</v>
      </c>
      <c r="C3" s="18"/>
      <c r="D3" s="18"/>
      <c r="E3" s="18"/>
      <c r="F3" s="18"/>
      <c r="H3" s="18" t="s">
        <v>370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1639</v>
      </c>
      <c r="C12" s="12">
        <v>1759</v>
      </c>
      <c r="D12" s="12">
        <v>71</v>
      </c>
      <c r="E12" s="12">
        <v>175</v>
      </c>
      <c r="F12" s="12">
        <v>53</v>
      </c>
      <c r="G12" s="12">
        <v>8</v>
      </c>
      <c r="H12" s="12">
        <v>96</v>
      </c>
      <c r="I12" s="12">
        <v>112</v>
      </c>
      <c r="J12" s="12">
        <v>16</v>
      </c>
      <c r="K12" s="12">
        <v>56</v>
      </c>
      <c r="L12" s="12">
        <v>79</v>
      </c>
      <c r="M12" s="12">
        <v>234</v>
      </c>
      <c r="N12" s="12">
        <v>81</v>
      </c>
      <c r="O12" s="12">
        <v>77</v>
      </c>
      <c r="P12" s="12">
        <v>92</v>
      </c>
      <c r="Q12" s="12">
        <v>48</v>
      </c>
      <c r="R12" s="12">
        <v>70</v>
      </c>
      <c r="S12" s="12">
        <v>61</v>
      </c>
      <c r="T12" s="12">
        <v>45</v>
      </c>
      <c r="U12" s="12">
        <v>18</v>
      </c>
      <c r="V12" s="12">
        <v>37</v>
      </c>
      <c r="W12" s="12">
        <v>54</v>
      </c>
      <c r="X12" s="12">
        <v>53</v>
      </c>
      <c r="Y12" s="12">
        <v>72</v>
      </c>
      <c r="Z12" s="12">
        <v>12</v>
      </c>
      <c r="AA12" s="12">
        <v>113</v>
      </c>
      <c r="AB12" s="12">
        <v>79</v>
      </c>
      <c r="AC12" s="12">
        <v>24</v>
      </c>
      <c r="AD12" s="12">
        <v>16</v>
      </c>
      <c r="AE12" s="12">
        <v>36</v>
      </c>
      <c r="AF12" s="12">
        <v>18</v>
      </c>
    </row>
    <row r="13" spans="1:32">
      <c r="A13" s="20"/>
      <c r="B13" s="13" t="s">
        <v>1640</v>
      </c>
      <c r="C13" s="14">
        <v>7.0000000000000007E-2</v>
      </c>
      <c r="D13" s="14">
        <v>7.0000000000000007E-2</v>
      </c>
      <c r="E13" s="14">
        <v>0.17</v>
      </c>
      <c r="F13" s="14">
        <v>0.05</v>
      </c>
      <c r="G13" s="14">
        <v>0.01</v>
      </c>
      <c r="H13" s="14">
        <v>0.08</v>
      </c>
      <c r="I13" s="14">
        <v>7.0000000000000007E-2</v>
      </c>
      <c r="J13" s="14">
        <v>0.05</v>
      </c>
      <c r="K13" s="14">
        <v>0.06</v>
      </c>
      <c r="L13" s="14">
        <v>0.08</v>
      </c>
      <c r="M13" s="14">
        <v>0.23</v>
      </c>
      <c r="N13" s="14">
        <v>0.08</v>
      </c>
      <c r="O13" s="14">
        <v>0.08</v>
      </c>
      <c r="P13" s="14">
        <v>0.09</v>
      </c>
      <c r="Q13" s="14">
        <v>0.05</v>
      </c>
      <c r="R13" s="14">
        <v>0.14000000000000001</v>
      </c>
      <c r="S13" s="14">
        <v>0.06</v>
      </c>
      <c r="T13" s="14">
        <v>0.04</v>
      </c>
      <c r="U13" s="14">
        <v>0.04</v>
      </c>
      <c r="V13" s="14">
        <v>0.04</v>
      </c>
      <c r="W13" s="14">
        <v>0.11</v>
      </c>
      <c r="X13" s="14">
        <v>0.05</v>
      </c>
      <c r="Y13" s="14">
        <v>7.0000000000000007E-2</v>
      </c>
      <c r="Z13" s="14">
        <v>0.01</v>
      </c>
      <c r="AA13" s="14">
        <v>0.11</v>
      </c>
      <c r="AB13" s="14">
        <v>0.08</v>
      </c>
      <c r="AC13" s="14">
        <v>0.02</v>
      </c>
      <c r="AD13" s="14">
        <v>0.02</v>
      </c>
      <c r="AE13" s="14">
        <v>0.04</v>
      </c>
      <c r="AF13" s="14">
        <v>0.02</v>
      </c>
    </row>
    <row r="14" spans="1:32">
      <c r="A14" s="20"/>
      <c r="B14" s="11" t="s">
        <v>1641</v>
      </c>
      <c r="C14" s="12">
        <v>7382</v>
      </c>
      <c r="D14" s="12">
        <v>297</v>
      </c>
      <c r="E14" s="12">
        <v>443</v>
      </c>
      <c r="F14" s="12">
        <v>288</v>
      </c>
      <c r="G14" s="12">
        <v>80</v>
      </c>
      <c r="H14" s="12">
        <v>241</v>
      </c>
      <c r="I14" s="12">
        <v>299</v>
      </c>
      <c r="J14" s="12">
        <v>58</v>
      </c>
      <c r="K14" s="12">
        <v>211</v>
      </c>
      <c r="L14" s="12">
        <v>360</v>
      </c>
      <c r="M14" s="12">
        <v>572</v>
      </c>
      <c r="N14" s="12">
        <v>231</v>
      </c>
      <c r="O14" s="12">
        <v>283</v>
      </c>
      <c r="P14" s="12">
        <v>412</v>
      </c>
      <c r="Q14" s="12">
        <v>467</v>
      </c>
      <c r="R14" s="12">
        <v>190</v>
      </c>
      <c r="S14" s="12">
        <v>237</v>
      </c>
      <c r="T14" s="12">
        <v>194</v>
      </c>
      <c r="U14" s="12">
        <v>85</v>
      </c>
      <c r="V14" s="12">
        <v>161</v>
      </c>
      <c r="W14" s="12">
        <v>113</v>
      </c>
      <c r="X14" s="12">
        <v>143</v>
      </c>
      <c r="Y14" s="12">
        <v>219</v>
      </c>
      <c r="Z14" s="12">
        <v>197</v>
      </c>
      <c r="AA14" s="12">
        <v>403</v>
      </c>
      <c r="AB14" s="12">
        <v>544</v>
      </c>
      <c r="AC14" s="12">
        <v>150</v>
      </c>
      <c r="AD14" s="12">
        <v>217</v>
      </c>
      <c r="AE14" s="12">
        <v>214</v>
      </c>
      <c r="AF14" s="12">
        <v>53</v>
      </c>
    </row>
    <row r="15" spans="1:32">
      <c r="A15" s="20"/>
      <c r="B15" s="13" t="s">
        <v>1642</v>
      </c>
      <c r="C15" s="14">
        <v>0.28000000000000003</v>
      </c>
      <c r="D15" s="14">
        <v>0.3</v>
      </c>
      <c r="E15" s="14">
        <v>0.44</v>
      </c>
      <c r="F15" s="14">
        <v>0.28999999999999998</v>
      </c>
      <c r="G15" s="14">
        <v>0.08</v>
      </c>
      <c r="H15" s="14">
        <v>0.2</v>
      </c>
      <c r="I15" s="14">
        <v>0.2</v>
      </c>
      <c r="J15" s="14">
        <v>0.2</v>
      </c>
      <c r="K15" s="14">
        <v>0.21</v>
      </c>
      <c r="L15" s="14">
        <v>0.36</v>
      </c>
      <c r="M15" s="14">
        <v>0.57000000000000006</v>
      </c>
      <c r="N15" s="14">
        <v>0.23</v>
      </c>
      <c r="O15" s="14">
        <v>0.28000000000000003</v>
      </c>
      <c r="P15" s="14">
        <v>0.4</v>
      </c>
      <c r="Q15" s="14">
        <v>0.46</v>
      </c>
      <c r="R15" s="14">
        <v>0.38</v>
      </c>
      <c r="S15" s="14">
        <v>0.24</v>
      </c>
      <c r="T15" s="14">
        <v>0.19</v>
      </c>
      <c r="U15" s="14">
        <v>0.17</v>
      </c>
      <c r="V15" s="14">
        <v>0.16</v>
      </c>
      <c r="W15" s="14">
        <v>0.22</v>
      </c>
      <c r="X15" s="14">
        <v>0.14000000000000001</v>
      </c>
      <c r="Y15" s="14">
        <v>0.22</v>
      </c>
      <c r="Z15" s="14">
        <v>0.2</v>
      </c>
      <c r="AA15" s="14">
        <v>0.38</v>
      </c>
      <c r="AB15" s="14">
        <v>0.52</v>
      </c>
      <c r="AC15" s="14">
        <v>0.15</v>
      </c>
      <c r="AD15" s="14">
        <v>0.22</v>
      </c>
      <c r="AE15" s="14">
        <v>0.21</v>
      </c>
      <c r="AF15" s="14">
        <v>0.05</v>
      </c>
    </row>
    <row r="16" spans="1:32">
      <c r="A16" s="20"/>
      <c r="B16" s="11" t="s">
        <v>1643</v>
      </c>
      <c r="C16" s="12">
        <v>16954</v>
      </c>
      <c r="D16" s="12">
        <v>630</v>
      </c>
      <c r="E16" s="12">
        <v>389</v>
      </c>
      <c r="F16" s="12">
        <v>661</v>
      </c>
      <c r="G16" s="12">
        <v>907</v>
      </c>
      <c r="H16" s="12">
        <v>877</v>
      </c>
      <c r="I16" s="12">
        <v>1092</v>
      </c>
      <c r="J16" s="12">
        <v>216</v>
      </c>
      <c r="K16" s="12">
        <v>709</v>
      </c>
      <c r="L16" s="12">
        <v>564</v>
      </c>
      <c r="M16" s="12">
        <v>194</v>
      </c>
      <c r="N16" s="12">
        <v>686</v>
      </c>
      <c r="O16" s="12">
        <v>623</v>
      </c>
      <c r="P16" s="12">
        <v>517</v>
      </c>
      <c r="Q16" s="12">
        <v>489</v>
      </c>
      <c r="R16" s="12">
        <v>235</v>
      </c>
      <c r="S16" s="12">
        <v>707</v>
      </c>
      <c r="T16" s="12">
        <v>769</v>
      </c>
      <c r="U16" s="12">
        <v>396</v>
      </c>
      <c r="V16" s="12">
        <v>819</v>
      </c>
      <c r="W16" s="12">
        <v>336</v>
      </c>
      <c r="X16" s="12">
        <v>821</v>
      </c>
      <c r="Y16" s="12">
        <v>682</v>
      </c>
      <c r="Z16" s="12">
        <v>799</v>
      </c>
      <c r="AA16" s="12">
        <v>535</v>
      </c>
      <c r="AB16" s="12">
        <v>414</v>
      </c>
      <c r="AC16" s="12">
        <v>835</v>
      </c>
      <c r="AD16" s="12">
        <v>749</v>
      </c>
      <c r="AE16" s="12">
        <v>750</v>
      </c>
      <c r="AF16" s="12">
        <v>949</v>
      </c>
    </row>
    <row r="17" spans="1:32">
      <c r="A17" s="20"/>
      <c r="B17" s="13" t="s">
        <v>1644</v>
      </c>
      <c r="C17" s="14">
        <v>0.64</v>
      </c>
      <c r="D17" s="14">
        <v>0.63</v>
      </c>
      <c r="E17" s="14">
        <v>0.38</v>
      </c>
      <c r="F17" s="14">
        <v>0.66</v>
      </c>
      <c r="G17" s="14">
        <v>0.9</v>
      </c>
      <c r="H17" s="14">
        <v>0.72</v>
      </c>
      <c r="I17" s="14">
        <v>0.72</v>
      </c>
      <c r="J17" s="14">
        <v>0.73</v>
      </c>
      <c r="K17" s="14">
        <v>0.70000000000000007</v>
      </c>
      <c r="L17" s="14">
        <v>0.56000000000000005</v>
      </c>
      <c r="M17" s="14">
        <v>0.2</v>
      </c>
      <c r="N17" s="14">
        <v>0.68</v>
      </c>
      <c r="O17" s="14">
        <v>0.62</v>
      </c>
      <c r="P17" s="14">
        <v>0.51</v>
      </c>
      <c r="Q17" s="14">
        <v>0.48</v>
      </c>
      <c r="R17" s="14">
        <v>0.47</v>
      </c>
      <c r="S17" s="14">
        <v>0.70000000000000007</v>
      </c>
      <c r="T17" s="14">
        <v>0.76</v>
      </c>
      <c r="U17" s="14">
        <v>0.78</v>
      </c>
      <c r="V17" s="14">
        <v>0.8</v>
      </c>
      <c r="W17" s="14">
        <v>0.67</v>
      </c>
      <c r="X17" s="14">
        <v>0.8</v>
      </c>
      <c r="Y17" s="14">
        <v>0.68</v>
      </c>
      <c r="Z17" s="14">
        <v>0.79</v>
      </c>
      <c r="AA17" s="14">
        <v>0.51</v>
      </c>
      <c r="AB17" s="14">
        <v>0.4</v>
      </c>
      <c r="AC17" s="14">
        <v>0.83000000000000007</v>
      </c>
      <c r="AD17" s="14">
        <v>0.74</v>
      </c>
      <c r="AE17" s="14">
        <v>0.75</v>
      </c>
      <c r="AF17" s="14">
        <v>0.93</v>
      </c>
    </row>
    <row r="18" spans="1:32">
      <c r="A18" s="20"/>
      <c r="B18" s="11" t="s">
        <v>1494</v>
      </c>
      <c r="C18" s="12">
        <v>224</v>
      </c>
      <c r="D18" s="12">
        <v>5</v>
      </c>
      <c r="E18" s="12">
        <v>10</v>
      </c>
      <c r="F18" s="12">
        <v>2</v>
      </c>
      <c r="G18" s="12">
        <v>8</v>
      </c>
      <c r="H18" s="12">
        <v>2</v>
      </c>
      <c r="I18" s="12">
        <v>7</v>
      </c>
      <c r="J18" s="12">
        <v>4</v>
      </c>
      <c r="K18" s="12">
        <v>30</v>
      </c>
      <c r="L18" s="12">
        <v>5</v>
      </c>
      <c r="M18" s="12">
        <v>2</v>
      </c>
      <c r="N18" s="12">
        <v>6</v>
      </c>
      <c r="O18" s="12">
        <v>20</v>
      </c>
      <c r="P18" s="12">
        <v>1</v>
      </c>
      <c r="Q18" s="12">
        <v>15</v>
      </c>
      <c r="R18" s="12">
        <v>5</v>
      </c>
      <c r="S18" s="12">
        <v>2</v>
      </c>
      <c r="T18" s="12">
        <v>6</v>
      </c>
      <c r="U18" s="12">
        <v>7</v>
      </c>
      <c r="V18" s="12">
        <v>1</v>
      </c>
      <c r="W18" s="12">
        <v>0</v>
      </c>
      <c r="X18" s="12">
        <v>4</v>
      </c>
      <c r="Y18" s="12">
        <v>36</v>
      </c>
      <c r="Z18" s="12">
        <v>0</v>
      </c>
      <c r="AA18" s="12">
        <v>3</v>
      </c>
      <c r="AB18" s="12">
        <v>2</v>
      </c>
      <c r="AC18" s="12">
        <v>1</v>
      </c>
      <c r="AD18" s="12">
        <v>24</v>
      </c>
      <c r="AE18" s="12">
        <v>1</v>
      </c>
      <c r="AF18" s="12">
        <v>0</v>
      </c>
    </row>
    <row r="19" spans="1:32">
      <c r="A19" s="20"/>
      <c r="B19" s="13" t="s">
        <v>1495</v>
      </c>
      <c r="C19" s="14">
        <v>0.01</v>
      </c>
      <c r="D19" s="15" t="s">
        <v>459</v>
      </c>
      <c r="E19" s="14">
        <v>0.01</v>
      </c>
      <c r="F19" s="15" t="s">
        <v>459</v>
      </c>
      <c r="G19" s="14">
        <v>0.01</v>
      </c>
      <c r="H19" s="15" t="s">
        <v>459</v>
      </c>
      <c r="I19" s="14">
        <v>0.01</v>
      </c>
      <c r="J19" s="14">
        <v>0.02</v>
      </c>
      <c r="K19" s="14">
        <v>0.03</v>
      </c>
      <c r="L19" s="15" t="s">
        <v>459</v>
      </c>
      <c r="M19" s="15" t="s">
        <v>459</v>
      </c>
      <c r="N19" s="14">
        <v>0.01</v>
      </c>
      <c r="O19" s="14">
        <v>0.02</v>
      </c>
      <c r="P19" s="15" t="s">
        <v>459</v>
      </c>
      <c r="Q19" s="14">
        <v>0.01</v>
      </c>
      <c r="R19" s="14">
        <v>0.01</v>
      </c>
      <c r="S19" s="15" t="s">
        <v>459</v>
      </c>
      <c r="T19" s="14">
        <v>0.01</v>
      </c>
      <c r="U19" s="14">
        <v>0.01</v>
      </c>
      <c r="V19" s="15" t="s">
        <v>459</v>
      </c>
      <c r="W19" s="15" t="s">
        <v>459</v>
      </c>
      <c r="X19" s="14">
        <v>0.01</v>
      </c>
      <c r="Y19" s="14">
        <v>0.03</v>
      </c>
      <c r="Z19" s="15" t="s">
        <v>459</v>
      </c>
      <c r="AA19" s="15" t="s">
        <v>459</v>
      </c>
      <c r="AB19" s="15" t="s">
        <v>459</v>
      </c>
      <c r="AC19" s="15" t="s">
        <v>459</v>
      </c>
      <c r="AD19" s="14">
        <v>0.02</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1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371</v>
      </c>
      <c r="C3" s="18"/>
      <c r="D3" s="18"/>
      <c r="E3" s="18"/>
      <c r="F3" s="18"/>
      <c r="H3" s="18" t="s">
        <v>372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1101</v>
      </c>
      <c r="C12" s="12">
        <v>9809</v>
      </c>
      <c r="D12" s="12">
        <v>271</v>
      </c>
      <c r="E12" s="12">
        <v>66</v>
      </c>
      <c r="F12" s="12">
        <v>39</v>
      </c>
      <c r="G12" s="12">
        <v>58</v>
      </c>
      <c r="H12" s="12">
        <v>721</v>
      </c>
      <c r="I12" s="12">
        <v>902</v>
      </c>
      <c r="J12" s="12">
        <v>182</v>
      </c>
      <c r="K12" s="12">
        <v>162</v>
      </c>
      <c r="L12" s="12">
        <v>162</v>
      </c>
      <c r="M12" s="12">
        <v>875</v>
      </c>
      <c r="N12" s="12">
        <v>424</v>
      </c>
      <c r="O12" s="12">
        <v>469</v>
      </c>
      <c r="P12" s="12">
        <v>473</v>
      </c>
      <c r="Q12" s="12">
        <v>419</v>
      </c>
      <c r="R12" s="12">
        <v>146</v>
      </c>
      <c r="S12" s="12">
        <v>28</v>
      </c>
      <c r="T12" s="12">
        <v>57</v>
      </c>
      <c r="U12" s="12">
        <v>222</v>
      </c>
      <c r="V12" s="12">
        <v>248</v>
      </c>
      <c r="W12" s="12">
        <v>425</v>
      </c>
      <c r="X12" s="12">
        <v>413</v>
      </c>
      <c r="Y12" s="12">
        <v>222</v>
      </c>
      <c r="Z12" s="12">
        <v>29</v>
      </c>
      <c r="AA12" s="12">
        <v>634</v>
      </c>
      <c r="AB12" s="12">
        <v>51</v>
      </c>
      <c r="AC12" s="12">
        <v>293</v>
      </c>
      <c r="AD12" s="12">
        <v>99</v>
      </c>
      <c r="AE12" s="12">
        <v>55</v>
      </c>
      <c r="AF12" s="12">
        <v>103</v>
      </c>
    </row>
    <row r="13" spans="1:32">
      <c r="A13" s="20"/>
      <c r="B13" s="13" t="s">
        <v>1102</v>
      </c>
      <c r="C13" s="14">
        <v>0.37</v>
      </c>
      <c r="D13" s="14">
        <v>0.27</v>
      </c>
      <c r="E13" s="14">
        <v>7.0000000000000007E-2</v>
      </c>
      <c r="F13" s="14">
        <v>0.04</v>
      </c>
      <c r="G13" s="14">
        <v>0.06</v>
      </c>
      <c r="H13" s="14">
        <v>0.59</v>
      </c>
      <c r="I13" s="14">
        <v>0.6</v>
      </c>
      <c r="J13" s="14">
        <v>0.62</v>
      </c>
      <c r="K13" s="14">
        <v>0.16</v>
      </c>
      <c r="L13" s="14">
        <v>0.16</v>
      </c>
      <c r="M13" s="14">
        <v>0.87</v>
      </c>
      <c r="N13" s="14">
        <v>0.42</v>
      </c>
      <c r="O13" s="14">
        <v>0.47</v>
      </c>
      <c r="P13" s="14">
        <v>0.46</v>
      </c>
      <c r="Q13" s="14">
        <v>0.41</v>
      </c>
      <c r="R13" s="14">
        <v>0.28999999999999998</v>
      </c>
      <c r="S13" s="14">
        <v>0.03</v>
      </c>
      <c r="T13" s="14">
        <v>0.06</v>
      </c>
      <c r="U13" s="14">
        <v>0.44</v>
      </c>
      <c r="V13" s="14">
        <v>0.24</v>
      </c>
      <c r="W13" s="14">
        <v>0.85</v>
      </c>
      <c r="X13" s="14">
        <v>0.4</v>
      </c>
      <c r="Y13" s="14">
        <v>0.22</v>
      </c>
      <c r="Z13" s="14">
        <v>0.03</v>
      </c>
      <c r="AA13" s="14">
        <v>0.6</v>
      </c>
      <c r="AB13" s="14">
        <v>0.05</v>
      </c>
      <c r="AC13" s="14">
        <v>0.28999999999999998</v>
      </c>
      <c r="AD13" s="14">
        <v>0.1</v>
      </c>
      <c r="AE13" s="14">
        <v>0.05</v>
      </c>
      <c r="AF13" s="14">
        <v>0.1</v>
      </c>
    </row>
    <row r="14" spans="1:32">
      <c r="A14" s="20"/>
      <c r="B14" s="11" t="s">
        <v>466</v>
      </c>
      <c r="C14" s="12">
        <v>16510</v>
      </c>
      <c r="D14" s="12">
        <v>732</v>
      </c>
      <c r="E14" s="12">
        <v>952</v>
      </c>
      <c r="F14" s="12">
        <v>966</v>
      </c>
      <c r="G14" s="12">
        <v>946</v>
      </c>
      <c r="H14" s="12">
        <v>495</v>
      </c>
      <c r="I14" s="12">
        <v>608</v>
      </c>
      <c r="J14" s="12">
        <v>112</v>
      </c>
      <c r="K14" s="12">
        <v>844</v>
      </c>
      <c r="L14" s="12">
        <v>845</v>
      </c>
      <c r="M14" s="12">
        <v>128</v>
      </c>
      <c r="N14" s="12">
        <v>580</v>
      </c>
      <c r="O14" s="12">
        <v>534</v>
      </c>
      <c r="P14" s="12">
        <v>549</v>
      </c>
      <c r="Q14" s="12">
        <v>600</v>
      </c>
      <c r="R14" s="12">
        <v>354</v>
      </c>
      <c r="S14" s="12">
        <v>980</v>
      </c>
      <c r="T14" s="12">
        <v>957</v>
      </c>
      <c r="U14" s="12">
        <v>285</v>
      </c>
      <c r="V14" s="12">
        <v>769</v>
      </c>
      <c r="W14" s="12">
        <v>78</v>
      </c>
      <c r="X14" s="12">
        <v>608</v>
      </c>
      <c r="Y14" s="12">
        <v>786</v>
      </c>
      <c r="Z14" s="12">
        <v>979</v>
      </c>
      <c r="AA14" s="12">
        <v>419</v>
      </c>
      <c r="AB14" s="12">
        <v>988</v>
      </c>
      <c r="AC14" s="12">
        <v>717</v>
      </c>
      <c r="AD14" s="12">
        <v>907</v>
      </c>
      <c r="AE14" s="12">
        <v>946</v>
      </c>
      <c r="AF14" s="12">
        <v>917</v>
      </c>
    </row>
    <row r="15" spans="1:32">
      <c r="A15" s="20"/>
      <c r="B15" s="13" t="s">
        <v>467</v>
      </c>
      <c r="C15" s="14">
        <v>0.63</v>
      </c>
      <c r="D15" s="14">
        <v>0.73</v>
      </c>
      <c r="E15" s="14">
        <v>0.93</v>
      </c>
      <c r="F15" s="14">
        <v>0.96</v>
      </c>
      <c r="G15" s="14">
        <v>0.94000000000000006</v>
      </c>
      <c r="H15" s="14">
        <v>0.41</v>
      </c>
      <c r="I15" s="14">
        <v>0.4</v>
      </c>
      <c r="J15" s="14">
        <v>0.38</v>
      </c>
      <c r="K15" s="14">
        <v>0.84</v>
      </c>
      <c r="L15" s="14">
        <v>0.84</v>
      </c>
      <c r="M15" s="14">
        <v>0.13</v>
      </c>
      <c r="N15" s="14">
        <v>0.57999999999999996</v>
      </c>
      <c r="O15" s="14">
        <v>0.53</v>
      </c>
      <c r="P15" s="14">
        <v>0.54</v>
      </c>
      <c r="Q15" s="14">
        <v>0.59</v>
      </c>
      <c r="R15" s="14">
        <v>0.71</v>
      </c>
      <c r="S15" s="14">
        <v>0.97</v>
      </c>
      <c r="T15" s="14">
        <v>0.94000000000000006</v>
      </c>
      <c r="U15" s="14">
        <v>0.56000000000000005</v>
      </c>
      <c r="V15" s="14">
        <v>0.76</v>
      </c>
      <c r="W15" s="14">
        <v>0.15</v>
      </c>
      <c r="X15" s="14">
        <v>0.6</v>
      </c>
      <c r="Y15" s="14">
        <v>0.78</v>
      </c>
      <c r="Z15" s="14">
        <v>0.97</v>
      </c>
      <c r="AA15" s="14">
        <v>0.4</v>
      </c>
      <c r="AB15" s="14">
        <v>0.95000000000000007</v>
      </c>
      <c r="AC15" s="14">
        <v>0.71</v>
      </c>
      <c r="AD15" s="14">
        <v>0.9</v>
      </c>
      <c r="AE15" s="14">
        <v>0.95000000000000007</v>
      </c>
      <c r="AF15" s="14">
        <v>0.9</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1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373</v>
      </c>
      <c r="C3" s="18"/>
      <c r="D3" s="18"/>
      <c r="E3" s="18"/>
      <c r="F3" s="18"/>
      <c r="H3" s="18" t="s">
        <v>374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1101</v>
      </c>
      <c r="C12" s="12">
        <v>25547</v>
      </c>
      <c r="D12" s="12">
        <v>975</v>
      </c>
      <c r="E12" s="12">
        <v>969</v>
      </c>
      <c r="F12" s="12">
        <v>976</v>
      </c>
      <c r="G12" s="12">
        <v>1001</v>
      </c>
      <c r="H12" s="12">
        <v>1173</v>
      </c>
      <c r="I12" s="12">
        <v>1458</v>
      </c>
      <c r="J12" s="12">
        <v>286</v>
      </c>
      <c r="K12" s="12">
        <v>986</v>
      </c>
      <c r="L12" s="12">
        <v>995</v>
      </c>
      <c r="M12" s="12">
        <v>969</v>
      </c>
      <c r="N12" s="12">
        <v>989</v>
      </c>
      <c r="O12" s="12">
        <v>966</v>
      </c>
      <c r="P12" s="12">
        <v>980</v>
      </c>
      <c r="Q12" s="12">
        <v>980</v>
      </c>
      <c r="R12" s="12">
        <v>493</v>
      </c>
      <c r="S12" s="12">
        <v>997</v>
      </c>
      <c r="T12" s="12">
        <v>998</v>
      </c>
      <c r="U12" s="12">
        <v>499</v>
      </c>
      <c r="V12" s="12">
        <v>976</v>
      </c>
      <c r="W12" s="12">
        <v>495</v>
      </c>
      <c r="X12" s="12">
        <v>1012</v>
      </c>
      <c r="Y12" s="12">
        <v>991</v>
      </c>
      <c r="Z12" s="12">
        <v>968</v>
      </c>
      <c r="AA12" s="12">
        <v>1021</v>
      </c>
      <c r="AB12" s="12">
        <v>1017</v>
      </c>
      <c r="AC12" s="12">
        <v>1000</v>
      </c>
      <c r="AD12" s="12">
        <v>984</v>
      </c>
      <c r="AE12" s="12">
        <v>995</v>
      </c>
      <c r="AF12" s="12">
        <v>1016</v>
      </c>
    </row>
    <row r="13" spans="1:32">
      <c r="A13" s="20"/>
      <c r="B13" s="13" t="s">
        <v>1102</v>
      </c>
      <c r="C13" s="14">
        <v>0.97</v>
      </c>
      <c r="D13" s="14">
        <v>0.97</v>
      </c>
      <c r="E13" s="14">
        <v>0.95000000000000007</v>
      </c>
      <c r="F13" s="14">
        <v>0.97</v>
      </c>
      <c r="G13" s="14">
        <v>1</v>
      </c>
      <c r="H13" s="14">
        <v>0.96</v>
      </c>
      <c r="I13" s="14">
        <v>0.97</v>
      </c>
      <c r="J13" s="14">
        <v>0.97</v>
      </c>
      <c r="K13" s="14">
        <v>0.98</v>
      </c>
      <c r="L13" s="14">
        <v>0.99</v>
      </c>
      <c r="M13" s="14">
        <v>0.97</v>
      </c>
      <c r="N13" s="14">
        <v>0.98</v>
      </c>
      <c r="O13" s="14">
        <v>0.96</v>
      </c>
      <c r="P13" s="14">
        <v>0.96</v>
      </c>
      <c r="Q13" s="14">
        <v>0.96</v>
      </c>
      <c r="R13" s="14">
        <v>0.99</v>
      </c>
      <c r="S13" s="14">
        <v>0.99</v>
      </c>
      <c r="T13" s="14">
        <v>0.98</v>
      </c>
      <c r="U13" s="14">
        <v>0.98</v>
      </c>
      <c r="V13" s="14">
        <v>0.96</v>
      </c>
      <c r="W13" s="14">
        <v>0.98</v>
      </c>
      <c r="X13" s="14">
        <v>0.99</v>
      </c>
      <c r="Y13" s="14">
        <v>0.98</v>
      </c>
      <c r="Z13" s="14">
        <v>0.96</v>
      </c>
      <c r="AA13" s="14">
        <v>0.97</v>
      </c>
      <c r="AB13" s="14">
        <v>0.98</v>
      </c>
      <c r="AC13" s="14">
        <v>0.99</v>
      </c>
      <c r="AD13" s="14">
        <v>0.98</v>
      </c>
      <c r="AE13" s="14">
        <v>0.99</v>
      </c>
      <c r="AF13" s="14">
        <v>1</v>
      </c>
    </row>
    <row r="14" spans="1:32">
      <c r="A14" s="20"/>
      <c r="B14" s="11" t="s">
        <v>466</v>
      </c>
      <c r="C14" s="12">
        <v>772</v>
      </c>
      <c r="D14" s="12">
        <v>28</v>
      </c>
      <c r="E14" s="12">
        <v>49</v>
      </c>
      <c r="F14" s="12">
        <v>29</v>
      </c>
      <c r="G14" s="12">
        <v>3</v>
      </c>
      <c r="H14" s="12">
        <v>43</v>
      </c>
      <c r="I14" s="12">
        <v>52</v>
      </c>
      <c r="J14" s="12">
        <v>8</v>
      </c>
      <c r="K14" s="12">
        <v>20</v>
      </c>
      <c r="L14" s="12">
        <v>12</v>
      </c>
      <c r="M14" s="12">
        <v>34</v>
      </c>
      <c r="N14" s="12">
        <v>15</v>
      </c>
      <c r="O14" s="12">
        <v>37</v>
      </c>
      <c r="P14" s="12">
        <v>42</v>
      </c>
      <c r="Q14" s="12">
        <v>39</v>
      </c>
      <c r="R14" s="12">
        <v>7</v>
      </c>
      <c r="S14" s="12">
        <v>11</v>
      </c>
      <c r="T14" s="12">
        <v>16</v>
      </c>
      <c r="U14" s="12">
        <v>8</v>
      </c>
      <c r="V14" s="12">
        <v>41</v>
      </c>
      <c r="W14" s="12">
        <v>8</v>
      </c>
      <c r="X14" s="12">
        <v>9</v>
      </c>
      <c r="Y14" s="12">
        <v>17</v>
      </c>
      <c r="Z14" s="12">
        <v>40</v>
      </c>
      <c r="AA14" s="12">
        <v>32</v>
      </c>
      <c r="AB14" s="12">
        <v>22</v>
      </c>
      <c r="AC14" s="12">
        <v>10</v>
      </c>
      <c r="AD14" s="12">
        <v>22</v>
      </c>
      <c r="AE14" s="12">
        <v>6</v>
      </c>
      <c r="AF14" s="12">
        <v>4</v>
      </c>
    </row>
    <row r="15" spans="1:32">
      <c r="A15" s="20"/>
      <c r="B15" s="13" t="s">
        <v>467</v>
      </c>
      <c r="C15" s="14">
        <v>0.03</v>
      </c>
      <c r="D15" s="14">
        <v>0.03</v>
      </c>
      <c r="E15" s="14">
        <v>0.05</v>
      </c>
      <c r="F15" s="14">
        <v>0.03</v>
      </c>
      <c r="G15" s="15" t="s">
        <v>459</v>
      </c>
      <c r="H15" s="14">
        <v>0.04</v>
      </c>
      <c r="I15" s="14">
        <v>0.03</v>
      </c>
      <c r="J15" s="14">
        <v>0.03</v>
      </c>
      <c r="K15" s="14">
        <v>0.02</v>
      </c>
      <c r="L15" s="14">
        <v>0.01</v>
      </c>
      <c r="M15" s="14">
        <v>0.03</v>
      </c>
      <c r="N15" s="14">
        <v>0.02</v>
      </c>
      <c r="O15" s="14">
        <v>0.04</v>
      </c>
      <c r="P15" s="14">
        <v>0.04</v>
      </c>
      <c r="Q15" s="14">
        <v>0.04</v>
      </c>
      <c r="R15" s="14">
        <v>0.01</v>
      </c>
      <c r="S15" s="14">
        <v>0.01</v>
      </c>
      <c r="T15" s="14">
        <v>0.02</v>
      </c>
      <c r="U15" s="14">
        <v>0.02</v>
      </c>
      <c r="V15" s="14">
        <v>0.04</v>
      </c>
      <c r="W15" s="14">
        <v>0.02</v>
      </c>
      <c r="X15" s="14">
        <v>0.01</v>
      </c>
      <c r="Y15" s="14">
        <v>0.02</v>
      </c>
      <c r="Z15" s="14">
        <v>0.04</v>
      </c>
      <c r="AA15" s="14">
        <v>0.03</v>
      </c>
      <c r="AB15" s="14">
        <v>0.02</v>
      </c>
      <c r="AC15" s="14">
        <v>0.01</v>
      </c>
      <c r="AD15" s="14">
        <v>0.02</v>
      </c>
      <c r="AE15" s="14">
        <v>0.01</v>
      </c>
      <c r="AF15" s="15" t="s">
        <v>459</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1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375</v>
      </c>
      <c r="C3" s="18"/>
      <c r="D3" s="18"/>
      <c r="E3" s="18"/>
      <c r="F3" s="18"/>
      <c r="H3" s="18" t="s">
        <v>376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HYPERLINK("#Content!A189","&lt;&lt;Back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1101</v>
      </c>
      <c r="C12" s="12">
        <v>22790</v>
      </c>
      <c r="D12" s="12">
        <v>950</v>
      </c>
      <c r="E12" s="12">
        <v>838</v>
      </c>
      <c r="F12" s="12">
        <v>841</v>
      </c>
      <c r="G12" s="12">
        <v>989</v>
      </c>
      <c r="H12" s="12">
        <v>1081</v>
      </c>
      <c r="I12" s="12">
        <v>1350</v>
      </c>
      <c r="J12" s="12">
        <v>269</v>
      </c>
      <c r="K12" s="12">
        <v>913</v>
      </c>
      <c r="L12" s="12">
        <v>951</v>
      </c>
      <c r="M12" s="12">
        <v>880</v>
      </c>
      <c r="N12" s="12">
        <v>905</v>
      </c>
      <c r="O12" s="12">
        <v>899</v>
      </c>
      <c r="P12" s="12">
        <v>848</v>
      </c>
      <c r="Q12" s="12">
        <v>722</v>
      </c>
      <c r="R12" s="12">
        <v>452</v>
      </c>
      <c r="S12" s="12">
        <v>886</v>
      </c>
      <c r="T12" s="12">
        <v>873</v>
      </c>
      <c r="U12" s="12">
        <v>486</v>
      </c>
      <c r="V12" s="12">
        <v>895</v>
      </c>
      <c r="W12" s="12">
        <v>459</v>
      </c>
      <c r="X12" s="12">
        <v>1018</v>
      </c>
      <c r="Y12" s="12">
        <v>881</v>
      </c>
      <c r="Z12" s="12">
        <v>838</v>
      </c>
      <c r="AA12" s="12">
        <v>917</v>
      </c>
      <c r="AB12" s="12">
        <v>804</v>
      </c>
      <c r="AC12" s="12">
        <v>933</v>
      </c>
      <c r="AD12" s="12">
        <v>924</v>
      </c>
      <c r="AE12" s="12">
        <v>957</v>
      </c>
      <c r="AF12" s="12">
        <v>1006</v>
      </c>
    </row>
    <row r="13" spans="1:32">
      <c r="A13" s="20"/>
      <c r="B13" s="13" t="s">
        <v>1102</v>
      </c>
      <c r="C13" s="14">
        <v>0.87</v>
      </c>
      <c r="D13" s="14">
        <v>0.95000000000000007</v>
      </c>
      <c r="E13" s="14">
        <v>0.82000000000000006</v>
      </c>
      <c r="F13" s="14">
        <v>0.84</v>
      </c>
      <c r="G13" s="14">
        <v>0.98</v>
      </c>
      <c r="H13" s="14">
        <v>0.89</v>
      </c>
      <c r="I13" s="14">
        <v>0.89</v>
      </c>
      <c r="J13" s="14">
        <v>0.92</v>
      </c>
      <c r="K13" s="14">
        <v>0.91</v>
      </c>
      <c r="L13" s="14">
        <v>0.94000000000000006</v>
      </c>
      <c r="M13" s="14">
        <v>0.88</v>
      </c>
      <c r="N13" s="14">
        <v>0.9</v>
      </c>
      <c r="O13" s="14">
        <v>0.9</v>
      </c>
      <c r="P13" s="14">
        <v>0.83000000000000007</v>
      </c>
      <c r="Q13" s="14">
        <v>0.71</v>
      </c>
      <c r="R13" s="14">
        <v>0.9</v>
      </c>
      <c r="S13" s="14">
        <v>0.88</v>
      </c>
      <c r="T13" s="14">
        <v>0.86</v>
      </c>
      <c r="U13" s="14">
        <v>0.96</v>
      </c>
      <c r="V13" s="14">
        <v>0.88</v>
      </c>
      <c r="W13" s="14">
        <v>0.91</v>
      </c>
      <c r="X13" s="14">
        <v>1</v>
      </c>
      <c r="Y13" s="14">
        <v>0.87</v>
      </c>
      <c r="Z13" s="14">
        <v>0.83000000000000007</v>
      </c>
      <c r="AA13" s="14">
        <v>0.87</v>
      </c>
      <c r="AB13" s="14">
        <v>0.77</v>
      </c>
      <c r="AC13" s="14">
        <v>0.92</v>
      </c>
      <c r="AD13" s="14">
        <v>0.92</v>
      </c>
      <c r="AE13" s="14">
        <v>0.96</v>
      </c>
      <c r="AF13" s="14">
        <v>0.99</v>
      </c>
    </row>
    <row r="14" spans="1:32">
      <c r="A14" s="20"/>
      <c r="B14" s="11" t="s">
        <v>466</v>
      </c>
      <c r="C14" s="12">
        <v>3529</v>
      </c>
      <c r="D14" s="12">
        <v>53</v>
      </c>
      <c r="E14" s="12">
        <v>180</v>
      </c>
      <c r="F14" s="12">
        <v>164</v>
      </c>
      <c r="G14" s="12">
        <v>15</v>
      </c>
      <c r="H14" s="12">
        <v>135</v>
      </c>
      <c r="I14" s="12">
        <v>160</v>
      </c>
      <c r="J14" s="12">
        <v>25</v>
      </c>
      <c r="K14" s="12">
        <v>93</v>
      </c>
      <c r="L14" s="12">
        <v>56</v>
      </c>
      <c r="M14" s="12">
        <v>123</v>
      </c>
      <c r="N14" s="12">
        <v>99</v>
      </c>
      <c r="O14" s="12">
        <v>104</v>
      </c>
      <c r="P14" s="12">
        <v>174</v>
      </c>
      <c r="Q14" s="12">
        <v>297</v>
      </c>
      <c r="R14" s="12">
        <v>48</v>
      </c>
      <c r="S14" s="12">
        <v>122</v>
      </c>
      <c r="T14" s="12">
        <v>141</v>
      </c>
      <c r="U14" s="12">
        <v>21</v>
      </c>
      <c r="V14" s="12">
        <v>122</v>
      </c>
      <c r="W14" s="12">
        <v>44</v>
      </c>
      <c r="X14" s="12">
        <v>3</v>
      </c>
      <c r="Y14" s="12">
        <v>127</v>
      </c>
      <c r="Z14" s="12">
        <v>170</v>
      </c>
      <c r="AA14" s="12">
        <v>136</v>
      </c>
      <c r="AB14" s="12">
        <v>235</v>
      </c>
      <c r="AC14" s="12">
        <v>77</v>
      </c>
      <c r="AD14" s="12">
        <v>82</v>
      </c>
      <c r="AE14" s="12">
        <v>44</v>
      </c>
      <c r="AF14" s="12">
        <v>14</v>
      </c>
    </row>
    <row r="15" spans="1:32">
      <c r="A15" s="20"/>
      <c r="B15" s="13" t="s">
        <v>467</v>
      </c>
      <c r="C15" s="14">
        <v>0.13</v>
      </c>
      <c r="D15" s="14">
        <v>0.05</v>
      </c>
      <c r="E15" s="14">
        <v>0.18</v>
      </c>
      <c r="F15" s="14">
        <v>0.16</v>
      </c>
      <c r="G15" s="14">
        <v>0.02</v>
      </c>
      <c r="H15" s="14">
        <v>0.11</v>
      </c>
      <c r="I15" s="14">
        <v>0.11</v>
      </c>
      <c r="J15" s="14">
        <v>0.08</v>
      </c>
      <c r="K15" s="14">
        <v>0.09</v>
      </c>
      <c r="L15" s="14">
        <v>0.06</v>
      </c>
      <c r="M15" s="14">
        <v>0.12</v>
      </c>
      <c r="N15" s="14">
        <v>0.1</v>
      </c>
      <c r="O15" s="14">
        <v>0.1</v>
      </c>
      <c r="P15" s="14">
        <v>0.17</v>
      </c>
      <c r="Q15" s="14">
        <v>0.28999999999999998</v>
      </c>
      <c r="R15" s="14">
        <v>0.1</v>
      </c>
      <c r="S15" s="14">
        <v>0.12</v>
      </c>
      <c r="T15" s="14">
        <v>0.14000000000000001</v>
      </c>
      <c r="U15" s="14">
        <v>0.04</v>
      </c>
      <c r="V15" s="14">
        <v>0.12</v>
      </c>
      <c r="W15" s="14">
        <v>0.09</v>
      </c>
      <c r="X15" s="15" t="s">
        <v>459</v>
      </c>
      <c r="Y15" s="14">
        <v>0.13</v>
      </c>
      <c r="Z15" s="14">
        <v>0.17</v>
      </c>
      <c r="AA15" s="14">
        <v>0.13</v>
      </c>
      <c r="AB15" s="14">
        <v>0.23</v>
      </c>
      <c r="AC15" s="14">
        <v>0.08</v>
      </c>
      <c r="AD15" s="14">
        <v>0.08</v>
      </c>
      <c r="AE15" s="14">
        <v>0.04</v>
      </c>
      <c r="AF15" s="14">
        <v>0.01</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377</v>
      </c>
      <c r="C3" s="18"/>
      <c r="D3" s="18"/>
      <c r="E3" s="18"/>
      <c r="F3" s="18"/>
      <c r="H3" s="18" t="s">
        <v>378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1645</v>
      </c>
      <c r="C12" s="12">
        <v>349</v>
      </c>
      <c r="D12" s="12">
        <v>10</v>
      </c>
      <c r="E12" s="12">
        <v>13</v>
      </c>
      <c r="F12" s="12">
        <v>0</v>
      </c>
      <c r="G12" s="12">
        <v>2</v>
      </c>
      <c r="H12" s="12">
        <v>31</v>
      </c>
      <c r="I12" s="12">
        <v>37</v>
      </c>
      <c r="J12" s="12">
        <v>5</v>
      </c>
      <c r="K12" s="12">
        <v>9</v>
      </c>
      <c r="L12" s="12">
        <v>5</v>
      </c>
      <c r="M12" s="12">
        <v>19</v>
      </c>
      <c r="N12" s="12">
        <v>11</v>
      </c>
      <c r="O12" s="12">
        <v>19</v>
      </c>
      <c r="P12" s="12">
        <v>27</v>
      </c>
      <c r="Q12" s="12">
        <v>13</v>
      </c>
      <c r="R12" s="12">
        <v>4</v>
      </c>
      <c r="S12" s="12">
        <v>4</v>
      </c>
      <c r="T12" s="12">
        <v>2</v>
      </c>
      <c r="U12" s="12">
        <v>0</v>
      </c>
      <c r="V12" s="12">
        <v>17</v>
      </c>
      <c r="W12" s="12">
        <v>5</v>
      </c>
      <c r="X12" s="12">
        <v>2</v>
      </c>
      <c r="Y12" s="12">
        <v>13</v>
      </c>
      <c r="Z12" s="12">
        <v>5</v>
      </c>
      <c r="AA12" s="12">
        <v>6</v>
      </c>
      <c r="AB12" s="12">
        <v>7</v>
      </c>
      <c r="AC12" s="12">
        <v>7</v>
      </c>
      <c r="AD12" s="12">
        <v>9</v>
      </c>
      <c r="AE12" s="12">
        <v>2</v>
      </c>
      <c r="AF12" s="12">
        <v>1</v>
      </c>
    </row>
    <row r="13" spans="1:32">
      <c r="A13" s="20"/>
      <c r="B13" s="13" t="s">
        <v>1646</v>
      </c>
      <c r="C13" s="14">
        <v>0.01</v>
      </c>
      <c r="D13" s="14">
        <v>0.01</v>
      </c>
      <c r="E13" s="14">
        <v>0.01</v>
      </c>
      <c r="F13" s="15" t="s">
        <v>459</v>
      </c>
      <c r="G13" s="15" t="s">
        <v>459</v>
      </c>
      <c r="H13" s="14">
        <v>0.03</v>
      </c>
      <c r="I13" s="14">
        <v>0.02</v>
      </c>
      <c r="J13" s="14">
        <v>0.02</v>
      </c>
      <c r="K13" s="14">
        <v>0.01</v>
      </c>
      <c r="L13" s="14">
        <v>0.01</v>
      </c>
      <c r="M13" s="14">
        <v>0.02</v>
      </c>
      <c r="N13" s="14">
        <v>0.01</v>
      </c>
      <c r="O13" s="14">
        <v>0.02</v>
      </c>
      <c r="P13" s="14">
        <v>0.03</v>
      </c>
      <c r="Q13" s="14">
        <v>0.01</v>
      </c>
      <c r="R13" s="14">
        <v>0.01</v>
      </c>
      <c r="S13" s="14">
        <v>0.01</v>
      </c>
      <c r="T13" s="15" t="s">
        <v>459</v>
      </c>
      <c r="U13" s="15" t="s">
        <v>459</v>
      </c>
      <c r="V13" s="14">
        <v>0.02</v>
      </c>
      <c r="W13" s="14">
        <v>0.01</v>
      </c>
      <c r="X13" s="15" t="s">
        <v>459</v>
      </c>
      <c r="Y13" s="14">
        <v>0.01</v>
      </c>
      <c r="Z13" s="14">
        <v>0.01</v>
      </c>
      <c r="AA13" s="14">
        <v>0.01</v>
      </c>
      <c r="AB13" s="14">
        <v>0.01</v>
      </c>
      <c r="AC13" s="14">
        <v>0.01</v>
      </c>
      <c r="AD13" s="14">
        <v>0.01</v>
      </c>
      <c r="AE13" s="15" t="s">
        <v>459</v>
      </c>
      <c r="AF13" s="15" t="s">
        <v>459</v>
      </c>
    </row>
    <row r="14" spans="1:32">
      <c r="A14" s="20"/>
      <c r="B14" s="11" t="s">
        <v>1647</v>
      </c>
      <c r="C14" s="12">
        <v>2220</v>
      </c>
      <c r="D14" s="12">
        <v>23</v>
      </c>
      <c r="E14" s="12">
        <v>127</v>
      </c>
      <c r="F14" s="12">
        <v>132</v>
      </c>
      <c r="G14" s="12">
        <v>9</v>
      </c>
      <c r="H14" s="12">
        <v>62</v>
      </c>
      <c r="I14" s="12">
        <v>69</v>
      </c>
      <c r="J14" s="12">
        <v>7</v>
      </c>
      <c r="K14" s="12">
        <v>70</v>
      </c>
      <c r="L14" s="12">
        <v>38</v>
      </c>
      <c r="M14" s="12">
        <v>60</v>
      </c>
      <c r="N14" s="12">
        <v>44</v>
      </c>
      <c r="O14" s="12">
        <v>55</v>
      </c>
      <c r="P14" s="12">
        <v>103</v>
      </c>
      <c r="Q14" s="12">
        <v>214</v>
      </c>
      <c r="R14" s="12">
        <v>31</v>
      </c>
      <c r="S14" s="12">
        <v>111</v>
      </c>
      <c r="T14" s="12">
        <v>114</v>
      </c>
      <c r="U14" s="12">
        <v>11</v>
      </c>
      <c r="V14" s="12">
        <v>62</v>
      </c>
      <c r="W14" s="12">
        <v>4</v>
      </c>
      <c r="X14" s="12">
        <v>0</v>
      </c>
      <c r="Y14" s="12">
        <v>76</v>
      </c>
      <c r="Z14" s="12">
        <v>131</v>
      </c>
      <c r="AA14" s="12">
        <v>46</v>
      </c>
      <c r="AB14" s="12">
        <v>211</v>
      </c>
      <c r="AC14" s="12">
        <v>47</v>
      </c>
      <c r="AD14" s="12">
        <v>53</v>
      </c>
      <c r="AE14" s="12">
        <v>38</v>
      </c>
      <c r="AF14" s="12">
        <v>12</v>
      </c>
    </row>
    <row r="15" spans="1:32">
      <c r="A15" s="20"/>
      <c r="B15" s="13" t="s">
        <v>1648</v>
      </c>
      <c r="C15" s="14">
        <v>0.09</v>
      </c>
      <c r="D15" s="14">
        <v>0.02</v>
      </c>
      <c r="E15" s="14">
        <v>0.12</v>
      </c>
      <c r="F15" s="14">
        <v>0.13</v>
      </c>
      <c r="G15" s="14">
        <v>0.01</v>
      </c>
      <c r="H15" s="14">
        <v>0.05</v>
      </c>
      <c r="I15" s="14">
        <v>0.05</v>
      </c>
      <c r="J15" s="14">
        <v>0.03</v>
      </c>
      <c r="K15" s="14">
        <v>7.0000000000000007E-2</v>
      </c>
      <c r="L15" s="14">
        <v>0.04</v>
      </c>
      <c r="M15" s="14">
        <v>0.06</v>
      </c>
      <c r="N15" s="14">
        <v>0.05</v>
      </c>
      <c r="O15" s="14">
        <v>0.06</v>
      </c>
      <c r="P15" s="14">
        <v>0.1</v>
      </c>
      <c r="Q15" s="14">
        <v>0.21</v>
      </c>
      <c r="R15" s="14">
        <v>0.06</v>
      </c>
      <c r="S15" s="14">
        <v>0.11</v>
      </c>
      <c r="T15" s="14">
        <v>0.11</v>
      </c>
      <c r="U15" s="14">
        <v>0.02</v>
      </c>
      <c r="V15" s="14">
        <v>0.06</v>
      </c>
      <c r="W15" s="14">
        <v>0.01</v>
      </c>
      <c r="X15" s="15" t="s">
        <v>459</v>
      </c>
      <c r="Y15" s="14">
        <v>0.08</v>
      </c>
      <c r="Z15" s="14">
        <v>0.13</v>
      </c>
      <c r="AA15" s="14">
        <v>0.04</v>
      </c>
      <c r="AB15" s="14">
        <v>0.2</v>
      </c>
      <c r="AC15" s="14">
        <v>0.05</v>
      </c>
      <c r="AD15" s="14">
        <v>0.05</v>
      </c>
      <c r="AE15" s="14">
        <v>0.04</v>
      </c>
      <c r="AF15" s="14">
        <v>0.01</v>
      </c>
    </row>
    <row r="16" spans="1:32">
      <c r="A16" s="20"/>
      <c r="B16" s="11" t="s">
        <v>1649</v>
      </c>
      <c r="C16" s="12">
        <v>91</v>
      </c>
      <c r="D16" s="12">
        <v>9</v>
      </c>
      <c r="E16" s="12">
        <v>7</v>
      </c>
      <c r="F16" s="12">
        <v>4</v>
      </c>
      <c r="G16" s="12">
        <v>1</v>
      </c>
      <c r="H16" s="12">
        <v>2</v>
      </c>
      <c r="I16" s="12">
        <v>3</v>
      </c>
      <c r="J16" s="12">
        <v>1</v>
      </c>
      <c r="K16" s="12">
        <v>3</v>
      </c>
      <c r="L16" s="12">
        <v>4</v>
      </c>
      <c r="M16" s="12">
        <v>1</v>
      </c>
      <c r="N16" s="12">
        <v>0</v>
      </c>
      <c r="O16" s="12">
        <v>7</v>
      </c>
      <c r="P16" s="12">
        <v>1</v>
      </c>
      <c r="Q16" s="12">
        <v>5</v>
      </c>
      <c r="R16" s="12">
        <v>0</v>
      </c>
      <c r="S16" s="12">
        <v>2</v>
      </c>
      <c r="T16" s="12">
        <v>2</v>
      </c>
      <c r="U16" s="12">
        <v>4</v>
      </c>
      <c r="V16" s="12">
        <v>5</v>
      </c>
      <c r="W16" s="12">
        <v>0</v>
      </c>
      <c r="X16" s="12">
        <v>4</v>
      </c>
      <c r="Y16" s="12">
        <v>3</v>
      </c>
      <c r="Z16" s="12">
        <v>5</v>
      </c>
      <c r="AA16" s="12">
        <v>1</v>
      </c>
      <c r="AB16" s="12">
        <v>3</v>
      </c>
      <c r="AC16" s="12">
        <v>1</v>
      </c>
      <c r="AD16" s="12">
        <v>2</v>
      </c>
      <c r="AE16" s="12">
        <v>2</v>
      </c>
      <c r="AF16" s="12">
        <v>3</v>
      </c>
    </row>
    <row r="17" spans="1:32">
      <c r="A17" s="20"/>
      <c r="B17" s="13" t="s">
        <v>1650</v>
      </c>
      <c r="C17" s="15" t="s">
        <v>459</v>
      </c>
      <c r="D17" s="14">
        <v>0.01</v>
      </c>
      <c r="E17" s="14">
        <v>0.01</v>
      </c>
      <c r="F17" s="15" t="s">
        <v>459</v>
      </c>
      <c r="G17" s="15" t="s">
        <v>459</v>
      </c>
      <c r="H17" s="15" t="s">
        <v>459</v>
      </c>
      <c r="I17" s="15" t="s">
        <v>459</v>
      </c>
      <c r="J17" s="15" t="s">
        <v>459</v>
      </c>
      <c r="K17" s="15" t="s">
        <v>459</v>
      </c>
      <c r="L17" s="15" t="s">
        <v>459</v>
      </c>
      <c r="M17" s="15" t="s">
        <v>459</v>
      </c>
      <c r="N17" s="15" t="s">
        <v>459</v>
      </c>
      <c r="O17" s="14">
        <v>0.01</v>
      </c>
      <c r="P17" s="15" t="s">
        <v>459</v>
      </c>
      <c r="Q17" s="14">
        <v>0.01</v>
      </c>
      <c r="R17" s="15" t="s">
        <v>459</v>
      </c>
      <c r="S17" s="15" t="s">
        <v>459</v>
      </c>
      <c r="T17" s="15" t="s">
        <v>459</v>
      </c>
      <c r="U17" s="14">
        <v>0.01</v>
      </c>
      <c r="V17" s="15" t="s">
        <v>459</v>
      </c>
      <c r="W17" s="15" t="s">
        <v>459</v>
      </c>
      <c r="X17" s="14">
        <v>0.01</v>
      </c>
      <c r="Y17" s="15" t="s">
        <v>459</v>
      </c>
      <c r="Z17" s="15" t="s">
        <v>459</v>
      </c>
      <c r="AA17" s="15" t="s">
        <v>459</v>
      </c>
      <c r="AB17" s="15" t="s">
        <v>459</v>
      </c>
      <c r="AC17" s="15" t="s">
        <v>459</v>
      </c>
      <c r="AD17" s="15" t="s">
        <v>459</v>
      </c>
      <c r="AE17" s="15" t="s">
        <v>459</v>
      </c>
      <c r="AF17" s="15" t="s">
        <v>459</v>
      </c>
    </row>
    <row r="18" spans="1:32" ht="24.95">
      <c r="A18" s="20"/>
      <c r="B18" s="11" t="s">
        <v>1651</v>
      </c>
      <c r="C18" s="12">
        <v>708</v>
      </c>
      <c r="D18" s="12">
        <v>13</v>
      </c>
      <c r="E18" s="12">
        <v>13</v>
      </c>
      <c r="F18" s="12">
        <v>7</v>
      </c>
      <c r="G18" s="12">
        <v>4</v>
      </c>
      <c r="H18" s="12">
        <v>38</v>
      </c>
      <c r="I18" s="12">
        <v>49</v>
      </c>
      <c r="J18" s="12">
        <v>11</v>
      </c>
      <c r="K18" s="12">
        <v>8</v>
      </c>
      <c r="L18" s="12">
        <v>12</v>
      </c>
      <c r="M18" s="12">
        <v>38</v>
      </c>
      <c r="N18" s="12">
        <v>42</v>
      </c>
      <c r="O18" s="12">
        <v>23</v>
      </c>
      <c r="P18" s="12">
        <v>39</v>
      </c>
      <c r="Q18" s="12">
        <v>52</v>
      </c>
      <c r="R18" s="12">
        <v>12</v>
      </c>
      <c r="S18" s="12">
        <v>3</v>
      </c>
      <c r="T18" s="12">
        <v>15</v>
      </c>
      <c r="U18" s="12">
        <v>8</v>
      </c>
      <c r="V18" s="12">
        <v>26</v>
      </c>
      <c r="W18" s="12">
        <v>36</v>
      </c>
      <c r="X18" s="12">
        <v>1</v>
      </c>
      <c r="Y18" s="12">
        <v>37</v>
      </c>
      <c r="Z18" s="12">
        <v>5</v>
      </c>
      <c r="AA18" s="12">
        <v>61</v>
      </c>
      <c r="AB18" s="12">
        <v>4</v>
      </c>
      <c r="AC18" s="12">
        <v>21</v>
      </c>
      <c r="AD18" s="12">
        <v>11</v>
      </c>
      <c r="AE18" s="12">
        <v>3</v>
      </c>
      <c r="AF18" s="12">
        <v>1</v>
      </c>
    </row>
    <row r="19" spans="1:32" ht="24.95">
      <c r="A19" s="20"/>
      <c r="B19" s="13" t="s">
        <v>1652</v>
      </c>
      <c r="C19" s="14">
        <v>0.03</v>
      </c>
      <c r="D19" s="14">
        <v>0.01</v>
      </c>
      <c r="E19" s="14">
        <v>0.01</v>
      </c>
      <c r="F19" s="14">
        <v>0.01</v>
      </c>
      <c r="G19" s="14">
        <v>0.01</v>
      </c>
      <c r="H19" s="14">
        <v>0.03</v>
      </c>
      <c r="I19" s="14">
        <v>0.03</v>
      </c>
      <c r="J19" s="14">
        <v>0.04</v>
      </c>
      <c r="K19" s="14">
        <v>0.01</v>
      </c>
      <c r="L19" s="14">
        <v>0.01</v>
      </c>
      <c r="M19" s="14">
        <v>0.04</v>
      </c>
      <c r="N19" s="14">
        <v>0.04</v>
      </c>
      <c r="O19" s="14">
        <v>0.02</v>
      </c>
      <c r="P19" s="14">
        <v>0.04</v>
      </c>
      <c r="Q19" s="14">
        <v>0.05</v>
      </c>
      <c r="R19" s="14">
        <v>0.03</v>
      </c>
      <c r="S19" s="15" t="s">
        <v>459</v>
      </c>
      <c r="T19" s="14">
        <v>0.02</v>
      </c>
      <c r="U19" s="14">
        <v>0.01</v>
      </c>
      <c r="V19" s="14">
        <v>0.03</v>
      </c>
      <c r="W19" s="14">
        <v>7.0000000000000007E-2</v>
      </c>
      <c r="X19" s="15" t="s">
        <v>459</v>
      </c>
      <c r="Y19" s="14">
        <v>0.04</v>
      </c>
      <c r="Z19" s="15" t="s">
        <v>459</v>
      </c>
      <c r="AA19" s="14">
        <v>0.06</v>
      </c>
      <c r="AB19" s="14">
        <v>0.01</v>
      </c>
      <c r="AC19" s="14">
        <v>0.02</v>
      </c>
      <c r="AD19" s="14">
        <v>0.01</v>
      </c>
      <c r="AE19" s="15" t="s">
        <v>459</v>
      </c>
      <c r="AF19" s="15" t="s">
        <v>459</v>
      </c>
    </row>
    <row r="20" spans="1:32">
      <c r="A20" s="20"/>
      <c r="B20" s="11" t="s">
        <v>1653</v>
      </c>
      <c r="C20" s="12">
        <v>79</v>
      </c>
      <c r="D20" s="12">
        <v>3</v>
      </c>
      <c r="E20" s="12">
        <v>2</v>
      </c>
      <c r="F20" s="12">
        <v>0</v>
      </c>
      <c r="G20" s="12">
        <v>1</v>
      </c>
      <c r="H20" s="12">
        <v>6</v>
      </c>
      <c r="I20" s="12">
        <v>7</v>
      </c>
      <c r="J20" s="12">
        <v>1</v>
      </c>
      <c r="K20" s="12">
        <v>2</v>
      </c>
      <c r="L20" s="12">
        <v>2</v>
      </c>
      <c r="M20" s="12">
        <v>8</v>
      </c>
      <c r="N20" s="12">
        <v>2</v>
      </c>
      <c r="O20" s="12">
        <v>5</v>
      </c>
      <c r="P20" s="12">
        <v>9</v>
      </c>
      <c r="Q20" s="12">
        <v>4</v>
      </c>
      <c r="R20" s="12">
        <v>2</v>
      </c>
      <c r="S20" s="12">
        <v>2</v>
      </c>
      <c r="T20" s="12">
        <v>4</v>
      </c>
      <c r="U20" s="12">
        <v>2</v>
      </c>
      <c r="V20" s="12">
        <v>2</v>
      </c>
      <c r="W20" s="12">
        <v>3</v>
      </c>
      <c r="X20" s="12">
        <v>3</v>
      </c>
      <c r="Y20" s="12">
        <v>1</v>
      </c>
      <c r="Z20" s="12">
        <v>0</v>
      </c>
      <c r="AA20" s="12">
        <v>2</v>
      </c>
      <c r="AB20" s="12">
        <v>0</v>
      </c>
      <c r="AC20" s="12">
        <v>0</v>
      </c>
      <c r="AD20" s="12">
        <v>3</v>
      </c>
      <c r="AE20" s="12">
        <v>0</v>
      </c>
      <c r="AF20" s="12">
        <v>1</v>
      </c>
    </row>
    <row r="21" spans="1:32">
      <c r="A21" s="20"/>
      <c r="B21" s="13" t="s">
        <v>1654</v>
      </c>
      <c r="C21" s="15" t="s">
        <v>459</v>
      </c>
      <c r="D21" s="15" t="s">
        <v>459</v>
      </c>
      <c r="E21" s="15" t="s">
        <v>459</v>
      </c>
      <c r="F21" s="15" t="s">
        <v>459</v>
      </c>
      <c r="G21" s="15" t="s">
        <v>459</v>
      </c>
      <c r="H21" s="14">
        <v>0.01</v>
      </c>
      <c r="I21" s="14">
        <v>0.01</v>
      </c>
      <c r="J21" s="15" t="s">
        <v>459</v>
      </c>
      <c r="K21" s="15" t="s">
        <v>459</v>
      </c>
      <c r="L21" s="15" t="s">
        <v>459</v>
      </c>
      <c r="M21" s="14">
        <v>0.01</v>
      </c>
      <c r="N21" s="15" t="s">
        <v>459</v>
      </c>
      <c r="O21" s="15" t="s">
        <v>459</v>
      </c>
      <c r="P21" s="14">
        <v>0.01</v>
      </c>
      <c r="Q21" s="15" t="s">
        <v>459</v>
      </c>
      <c r="R21" s="15" t="s">
        <v>459</v>
      </c>
      <c r="S21" s="15" t="s">
        <v>459</v>
      </c>
      <c r="T21" s="15" t="s">
        <v>459</v>
      </c>
      <c r="U21" s="15" t="s">
        <v>459</v>
      </c>
      <c r="V21" s="15" t="s">
        <v>459</v>
      </c>
      <c r="W21" s="15" t="s">
        <v>459</v>
      </c>
      <c r="X21" s="15" t="s">
        <v>459</v>
      </c>
      <c r="Y21" s="15" t="s">
        <v>459</v>
      </c>
      <c r="Z21" s="15" t="s">
        <v>459</v>
      </c>
      <c r="AA21" s="15" t="s">
        <v>459</v>
      </c>
      <c r="AB21" s="15" t="s">
        <v>459</v>
      </c>
      <c r="AC21" s="15" t="s">
        <v>459</v>
      </c>
      <c r="AD21" s="15" t="s">
        <v>459</v>
      </c>
      <c r="AE21" s="15" t="s">
        <v>459</v>
      </c>
      <c r="AF21" s="15" t="s">
        <v>459</v>
      </c>
    </row>
    <row r="22" spans="1:32">
      <c r="A22" s="20"/>
      <c r="B22" s="11" t="s">
        <v>1655</v>
      </c>
      <c r="C22" s="12">
        <v>13947</v>
      </c>
      <c r="D22" s="12">
        <v>694</v>
      </c>
      <c r="E22" s="12">
        <v>791</v>
      </c>
      <c r="F22" s="12">
        <v>805</v>
      </c>
      <c r="G22" s="12">
        <v>936</v>
      </c>
      <c r="H22" s="12">
        <v>428</v>
      </c>
      <c r="I22" s="12">
        <v>530</v>
      </c>
      <c r="J22" s="12">
        <v>103</v>
      </c>
      <c r="K22" s="12">
        <v>764</v>
      </c>
      <c r="L22" s="12">
        <v>801</v>
      </c>
      <c r="M22" s="12">
        <v>60</v>
      </c>
      <c r="N22" s="12">
        <v>534</v>
      </c>
      <c r="O22" s="12">
        <v>465</v>
      </c>
      <c r="P22" s="12">
        <v>440</v>
      </c>
      <c r="Q22" s="12">
        <v>364</v>
      </c>
      <c r="R22" s="12">
        <v>323</v>
      </c>
      <c r="S22" s="12">
        <v>864</v>
      </c>
      <c r="T22" s="12">
        <v>832</v>
      </c>
      <c r="U22" s="12">
        <v>267</v>
      </c>
      <c r="V22" s="12">
        <v>685</v>
      </c>
      <c r="W22" s="12">
        <v>74</v>
      </c>
      <c r="X22" s="12">
        <v>605</v>
      </c>
      <c r="Y22" s="12">
        <v>706</v>
      </c>
      <c r="Z22" s="12">
        <v>814</v>
      </c>
      <c r="AA22" s="12">
        <v>350</v>
      </c>
      <c r="AB22" s="12">
        <v>761</v>
      </c>
      <c r="AC22" s="12">
        <v>667</v>
      </c>
      <c r="AD22" s="12">
        <v>843</v>
      </c>
      <c r="AE22" s="12">
        <v>904</v>
      </c>
      <c r="AF22" s="12">
        <v>903</v>
      </c>
    </row>
    <row r="23" spans="1:32">
      <c r="A23" s="20"/>
      <c r="B23" s="13" t="s">
        <v>1656</v>
      </c>
      <c r="C23" s="14">
        <v>0.53</v>
      </c>
      <c r="D23" s="14">
        <v>0.69000000000000006</v>
      </c>
      <c r="E23" s="14">
        <v>0.78</v>
      </c>
      <c r="F23" s="14">
        <v>0.8</v>
      </c>
      <c r="G23" s="14">
        <v>0.93</v>
      </c>
      <c r="H23" s="14">
        <v>0.35</v>
      </c>
      <c r="I23" s="14">
        <v>0.35</v>
      </c>
      <c r="J23" s="14">
        <v>0.35</v>
      </c>
      <c r="K23" s="14">
        <v>0.76</v>
      </c>
      <c r="L23" s="14">
        <v>0.8</v>
      </c>
      <c r="M23" s="14">
        <v>0.06</v>
      </c>
      <c r="N23" s="14">
        <v>0.53</v>
      </c>
      <c r="O23" s="14">
        <v>0.46</v>
      </c>
      <c r="P23" s="14">
        <v>0.43</v>
      </c>
      <c r="Q23" s="14">
        <v>0.36</v>
      </c>
      <c r="R23" s="14">
        <v>0.65</v>
      </c>
      <c r="S23" s="14">
        <v>0.86</v>
      </c>
      <c r="T23" s="14">
        <v>0.82000000000000006</v>
      </c>
      <c r="U23" s="14">
        <v>0.53</v>
      </c>
      <c r="V23" s="14">
        <v>0.67</v>
      </c>
      <c r="W23" s="14">
        <v>0.15</v>
      </c>
      <c r="X23" s="14">
        <v>0.59</v>
      </c>
      <c r="Y23" s="14">
        <v>0.70000000000000007</v>
      </c>
      <c r="Z23" s="14">
        <v>0.81</v>
      </c>
      <c r="AA23" s="14">
        <v>0.33</v>
      </c>
      <c r="AB23" s="14">
        <v>0.73</v>
      </c>
      <c r="AC23" s="14">
        <v>0.66</v>
      </c>
      <c r="AD23" s="14">
        <v>0.84</v>
      </c>
      <c r="AE23" s="14">
        <v>0.91</v>
      </c>
      <c r="AF23" s="14">
        <v>0.89</v>
      </c>
    </row>
    <row r="24" spans="1:32" ht="24.95">
      <c r="A24" s="20"/>
      <c r="B24" s="11" t="s">
        <v>1657</v>
      </c>
      <c r="C24" s="12">
        <v>8672</v>
      </c>
      <c r="D24" s="12">
        <v>245</v>
      </c>
      <c r="E24" s="12">
        <v>38</v>
      </c>
      <c r="F24" s="12">
        <v>33</v>
      </c>
      <c r="G24" s="12">
        <v>51</v>
      </c>
      <c r="H24" s="12">
        <v>645</v>
      </c>
      <c r="I24" s="12">
        <v>810</v>
      </c>
      <c r="J24" s="12">
        <v>164</v>
      </c>
      <c r="K24" s="12">
        <v>144</v>
      </c>
      <c r="L24" s="12">
        <v>144</v>
      </c>
      <c r="M24" s="12">
        <v>811</v>
      </c>
      <c r="N24" s="12">
        <v>369</v>
      </c>
      <c r="O24" s="12">
        <v>423</v>
      </c>
      <c r="P24" s="12">
        <v>398</v>
      </c>
      <c r="Q24" s="12">
        <v>350</v>
      </c>
      <c r="R24" s="12">
        <v>127</v>
      </c>
      <c r="S24" s="12">
        <v>19</v>
      </c>
      <c r="T24" s="12">
        <v>36</v>
      </c>
      <c r="U24" s="12">
        <v>213</v>
      </c>
      <c r="V24" s="12">
        <v>204</v>
      </c>
      <c r="W24" s="12">
        <v>382</v>
      </c>
      <c r="X24" s="12">
        <v>407</v>
      </c>
      <c r="Y24" s="12">
        <v>171</v>
      </c>
      <c r="Z24" s="12">
        <v>19</v>
      </c>
      <c r="AA24" s="12">
        <v>565</v>
      </c>
      <c r="AB24" s="12">
        <v>40</v>
      </c>
      <c r="AC24" s="12">
        <v>266</v>
      </c>
      <c r="AD24" s="12">
        <v>76</v>
      </c>
      <c r="AE24" s="12">
        <v>50</v>
      </c>
      <c r="AF24" s="12">
        <v>100</v>
      </c>
    </row>
    <row r="25" spans="1:32" ht="24.95">
      <c r="A25" s="20"/>
      <c r="B25" s="13" t="s">
        <v>1658</v>
      </c>
      <c r="C25" s="14">
        <v>0.33</v>
      </c>
      <c r="D25" s="14">
        <v>0.25</v>
      </c>
      <c r="E25" s="14">
        <v>0.04</v>
      </c>
      <c r="F25" s="14">
        <v>0.03</v>
      </c>
      <c r="G25" s="14">
        <v>0.05</v>
      </c>
      <c r="H25" s="14">
        <v>0.53</v>
      </c>
      <c r="I25" s="14">
        <v>0.54</v>
      </c>
      <c r="J25" s="14">
        <v>0.56000000000000005</v>
      </c>
      <c r="K25" s="14">
        <v>0.14000000000000001</v>
      </c>
      <c r="L25" s="14">
        <v>0.14000000000000001</v>
      </c>
      <c r="M25" s="14">
        <v>0.81</v>
      </c>
      <c r="N25" s="14">
        <v>0.37</v>
      </c>
      <c r="O25" s="14">
        <v>0.42</v>
      </c>
      <c r="P25" s="14">
        <v>0.39</v>
      </c>
      <c r="Q25" s="14">
        <v>0.34</v>
      </c>
      <c r="R25" s="14">
        <v>0.25</v>
      </c>
      <c r="S25" s="14">
        <v>0.02</v>
      </c>
      <c r="T25" s="14">
        <v>0.04</v>
      </c>
      <c r="U25" s="14">
        <v>0.42</v>
      </c>
      <c r="V25" s="14">
        <v>0.2</v>
      </c>
      <c r="W25" s="14">
        <v>0.76</v>
      </c>
      <c r="X25" s="14">
        <v>0.4</v>
      </c>
      <c r="Y25" s="14">
        <v>0.17</v>
      </c>
      <c r="Z25" s="14">
        <v>0.02</v>
      </c>
      <c r="AA25" s="14">
        <v>0.54</v>
      </c>
      <c r="AB25" s="14">
        <v>0.04</v>
      </c>
      <c r="AC25" s="14">
        <v>0.26</v>
      </c>
      <c r="AD25" s="14">
        <v>0.08</v>
      </c>
      <c r="AE25" s="14">
        <v>0.05</v>
      </c>
      <c r="AF25" s="14">
        <v>0.1</v>
      </c>
    </row>
    <row r="26" spans="1:32">
      <c r="A26" s="20"/>
      <c r="B26" s="11" t="s">
        <v>1659</v>
      </c>
      <c r="C26" s="12">
        <v>252</v>
      </c>
      <c r="D26" s="12">
        <v>6</v>
      </c>
      <c r="E26" s="12">
        <v>27</v>
      </c>
      <c r="F26" s="12">
        <v>25</v>
      </c>
      <c r="G26" s="12">
        <v>0</v>
      </c>
      <c r="H26" s="12">
        <v>4</v>
      </c>
      <c r="I26" s="12">
        <v>5</v>
      </c>
      <c r="J26" s="12">
        <v>1</v>
      </c>
      <c r="K26" s="12">
        <v>6</v>
      </c>
      <c r="L26" s="12">
        <v>1</v>
      </c>
      <c r="M26" s="12">
        <v>6</v>
      </c>
      <c r="N26" s="12">
        <v>2</v>
      </c>
      <c r="O26" s="12">
        <v>7</v>
      </c>
      <c r="P26" s="12">
        <v>5</v>
      </c>
      <c r="Q26" s="12">
        <v>18</v>
      </c>
      <c r="R26" s="12">
        <v>1</v>
      </c>
      <c r="S26" s="12">
        <v>3</v>
      </c>
      <c r="T26" s="12">
        <v>9</v>
      </c>
      <c r="U26" s="12">
        <v>3</v>
      </c>
      <c r="V26" s="12">
        <v>17</v>
      </c>
      <c r="W26" s="12">
        <v>0</v>
      </c>
      <c r="X26" s="12">
        <v>0</v>
      </c>
      <c r="Y26" s="12">
        <v>1</v>
      </c>
      <c r="Z26" s="12">
        <v>29</v>
      </c>
      <c r="AA26" s="12">
        <v>22</v>
      </c>
      <c r="AB26" s="12">
        <v>12</v>
      </c>
      <c r="AC26" s="12">
        <v>3</v>
      </c>
      <c r="AD26" s="12">
        <v>9</v>
      </c>
      <c r="AE26" s="12">
        <v>2</v>
      </c>
      <c r="AF26" s="12">
        <v>0</v>
      </c>
    </row>
    <row r="27" spans="1:32">
      <c r="A27" s="20"/>
      <c r="B27" s="13" t="s">
        <v>1660</v>
      </c>
      <c r="C27" s="14">
        <v>0.01</v>
      </c>
      <c r="D27" s="14">
        <v>0.01</v>
      </c>
      <c r="E27" s="14">
        <v>0.03</v>
      </c>
      <c r="F27" s="14">
        <v>0.03</v>
      </c>
      <c r="G27" s="15" t="s">
        <v>459</v>
      </c>
      <c r="H27" s="15" t="s">
        <v>459</v>
      </c>
      <c r="I27" s="15" t="s">
        <v>459</v>
      </c>
      <c r="J27" s="15" t="s">
        <v>459</v>
      </c>
      <c r="K27" s="14">
        <v>0.01</v>
      </c>
      <c r="L27" s="15" t="s">
        <v>459</v>
      </c>
      <c r="M27" s="15" t="s">
        <v>459</v>
      </c>
      <c r="N27" s="15" t="s">
        <v>459</v>
      </c>
      <c r="O27" s="14">
        <v>0.01</v>
      </c>
      <c r="P27" s="15" t="s">
        <v>459</v>
      </c>
      <c r="Q27" s="14">
        <v>0.02</v>
      </c>
      <c r="R27" s="15" t="s">
        <v>459</v>
      </c>
      <c r="S27" s="15" t="s">
        <v>459</v>
      </c>
      <c r="T27" s="14">
        <v>0.01</v>
      </c>
      <c r="U27" s="14">
        <v>0.01</v>
      </c>
      <c r="V27" s="14">
        <v>0.02</v>
      </c>
      <c r="W27" s="15" t="s">
        <v>459</v>
      </c>
      <c r="X27" s="15" t="s">
        <v>459</v>
      </c>
      <c r="Y27" s="15" t="s">
        <v>459</v>
      </c>
      <c r="Z27" s="14">
        <v>0.03</v>
      </c>
      <c r="AA27" s="14">
        <v>0.02</v>
      </c>
      <c r="AB27" s="14">
        <v>0.01</v>
      </c>
      <c r="AC27" s="15" t="s">
        <v>459</v>
      </c>
      <c r="AD27" s="14">
        <v>0.01</v>
      </c>
      <c r="AE27" s="15" t="s">
        <v>459</v>
      </c>
      <c r="AF27" s="15" t="s">
        <v>459</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1661</v>
      </c>
      <c r="C3" s="18"/>
      <c r="D3" s="18"/>
      <c r="E3" s="18"/>
      <c r="F3" s="18"/>
      <c r="H3" s="18" t="s">
        <v>1662</v>
      </c>
      <c r="I3" s="18"/>
      <c r="J3" s="18"/>
      <c r="K3" s="18"/>
      <c r="L3" s="18"/>
    </row>
    <row r="4" spans="1:32" ht="27" customHeight="1">
      <c r="B4" s="18" t="s">
        <v>1663</v>
      </c>
      <c r="C4" s="18"/>
      <c r="D4" s="18"/>
      <c r="E4" s="18"/>
      <c r="F4" s="18"/>
      <c r="H4" s="18" t="s">
        <v>1664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1665</v>
      </c>
      <c r="C12" s="12">
        <v>20552</v>
      </c>
      <c r="D12" s="12">
        <v>868</v>
      </c>
      <c r="E12" s="12">
        <v>745</v>
      </c>
      <c r="F12" s="12">
        <v>706</v>
      </c>
      <c r="G12" s="12">
        <v>943</v>
      </c>
      <c r="H12" s="12">
        <v>910</v>
      </c>
      <c r="I12" s="12">
        <v>1142</v>
      </c>
      <c r="J12" s="12">
        <v>232</v>
      </c>
      <c r="K12" s="12">
        <v>826</v>
      </c>
      <c r="L12" s="12">
        <v>882</v>
      </c>
      <c r="M12" s="12">
        <v>773</v>
      </c>
      <c r="N12" s="12">
        <v>833</v>
      </c>
      <c r="O12" s="12">
        <v>807</v>
      </c>
      <c r="P12" s="12">
        <v>732</v>
      </c>
      <c r="Q12" s="12">
        <v>697</v>
      </c>
      <c r="R12" s="12">
        <v>409</v>
      </c>
      <c r="S12" s="12">
        <v>858</v>
      </c>
      <c r="T12" s="12">
        <v>802</v>
      </c>
      <c r="U12" s="12">
        <v>458</v>
      </c>
      <c r="V12" s="12">
        <v>782</v>
      </c>
      <c r="W12" s="12">
        <v>414</v>
      </c>
      <c r="X12" s="12">
        <v>983</v>
      </c>
      <c r="Y12" s="12">
        <v>696</v>
      </c>
      <c r="Z12" s="12">
        <v>770</v>
      </c>
      <c r="AA12" s="12">
        <v>780</v>
      </c>
      <c r="AB12" s="12">
        <v>744</v>
      </c>
      <c r="AC12" s="12">
        <v>742</v>
      </c>
      <c r="AD12" s="12">
        <v>834</v>
      </c>
      <c r="AE12" s="12">
        <v>906</v>
      </c>
      <c r="AF12" s="12">
        <v>982</v>
      </c>
    </row>
    <row r="13" spans="1:32">
      <c r="A13" s="20"/>
      <c r="B13" s="13" t="s">
        <v>1666</v>
      </c>
      <c r="C13" s="14">
        <v>0.78</v>
      </c>
      <c r="D13" s="14">
        <v>0.87</v>
      </c>
      <c r="E13" s="14">
        <v>0.73</v>
      </c>
      <c r="F13" s="14">
        <v>0.70000000000000007</v>
      </c>
      <c r="G13" s="14">
        <v>0.94000000000000006</v>
      </c>
      <c r="H13" s="14">
        <v>0.75</v>
      </c>
      <c r="I13" s="14">
        <v>0.76</v>
      </c>
      <c r="J13" s="14">
        <v>0.79</v>
      </c>
      <c r="K13" s="14">
        <v>0.82000000000000006</v>
      </c>
      <c r="L13" s="14">
        <v>0.88</v>
      </c>
      <c r="M13" s="14">
        <v>0.77</v>
      </c>
      <c r="N13" s="14">
        <v>0.83000000000000007</v>
      </c>
      <c r="O13" s="14">
        <v>0.8</v>
      </c>
      <c r="P13" s="14">
        <v>0.71</v>
      </c>
      <c r="Q13" s="14">
        <v>0.68</v>
      </c>
      <c r="R13" s="14">
        <v>0.82000000000000006</v>
      </c>
      <c r="S13" s="14">
        <v>0.85</v>
      </c>
      <c r="T13" s="14">
        <v>0.79</v>
      </c>
      <c r="U13" s="14">
        <v>0.9</v>
      </c>
      <c r="V13" s="14">
        <v>0.77</v>
      </c>
      <c r="W13" s="14">
        <v>0.82000000000000006</v>
      </c>
      <c r="X13" s="14">
        <v>0.96</v>
      </c>
      <c r="Y13" s="14">
        <v>0.69000000000000006</v>
      </c>
      <c r="Z13" s="14">
        <v>0.76</v>
      </c>
      <c r="AA13" s="14">
        <v>0.74</v>
      </c>
      <c r="AB13" s="14">
        <v>0.72</v>
      </c>
      <c r="AC13" s="14">
        <v>0.73</v>
      </c>
      <c r="AD13" s="14">
        <v>0.83000000000000007</v>
      </c>
      <c r="AE13" s="14">
        <v>0.91</v>
      </c>
      <c r="AF13" s="14">
        <v>0.96</v>
      </c>
    </row>
    <row r="14" spans="1:32">
      <c r="A14" s="20"/>
      <c r="B14" s="11" t="s">
        <v>1667</v>
      </c>
      <c r="C14" s="12">
        <v>1903</v>
      </c>
      <c r="D14" s="12">
        <v>70</v>
      </c>
      <c r="E14" s="12">
        <v>82</v>
      </c>
      <c r="F14" s="12">
        <v>97</v>
      </c>
      <c r="G14" s="12">
        <v>27</v>
      </c>
      <c r="H14" s="12">
        <v>121</v>
      </c>
      <c r="I14" s="12">
        <v>150</v>
      </c>
      <c r="J14" s="12">
        <v>29</v>
      </c>
      <c r="K14" s="12">
        <v>58</v>
      </c>
      <c r="L14" s="12">
        <v>54</v>
      </c>
      <c r="M14" s="12">
        <v>64</v>
      </c>
      <c r="N14" s="12">
        <v>48</v>
      </c>
      <c r="O14" s="12">
        <v>75</v>
      </c>
      <c r="P14" s="12">
        <v>61</v>
      </c>
      <c r="Q14" s="12">
        <v>79</v>
      </c>
      <c r="R14" s="12">
        <v>15</v>
      </c>
      <c r="S14" s="12">
        <v>17</v>
      </c>
      <c r="T14" s="12">
        <v>36</v>
      </c>
      <c r="U14" s="12">
        <v>28</v>
      </c>
      <c r="V14" s="12">
        <v>89</v>
      </c>
      <c r="W14" s="12">
        <v>27</v>
      </c>
      <c r="X14" s="12">
        <v>25</v>
      </c>
      <c r="Y14" s="12">
        <v>141</v>
      </c>
      <c r="Z14" s="12">
        <v>68</v>
      </c>
      <c r="AA14" s="12">
        <v>54</v>
      </c>
      <c r="AB14" s="12">
        <v>94</v>
      </c>
      <c r="AC14" s="12">
        <v>104</v>
      </c>
      <c r="AD14" s="12">
        <v>53</v>
      </c>
      <c r="AE14" s="12">
        <v>30</v>
      </c>
      <c r="AF14" s="12">
        <v>16</v>
      </c>
    </row>
    <row r="15" spans="1:32">
      <c r="A15" s="20"/>
      <c r="B15" s="13" t="s">
        <v>1668</v>
      </c>
      <c r="C15" s="14">
        <v>7.0000000000000007E-2</v>
      </c>
      <c r="D15" s="14">
        <v>7.0000000000000007E-2</v>
      </c>
      <c r="E15" s="14">
        <v>0.08</v>
      </c>
      <c r="F15" s="14">
        <v>0.1</v>
      </c>
      <c r="G15" s="14">
        <v>0.03</v>
      </c>
      <c r="H15" s="14">
        <v>0.1</v>
      </c>
      <c r="I15" s="14">
        <v>0.1</v>
      </c>
      <c r="J15" s="14">
        <v>0.1</v>
      </c>
      <c r="K15" s="14">
        <v>0.06</v>
      </c>
      <c r="L15" s="14">
        <v>0.05</v>
      </c>
      <c r="M15" s="14">
        <v>0.06</v>
      </c>
      <c r="N15" s="14">
        <v>0.05</v>
      </c>
      <c r="O15" s="14">
        <v>7.0000000000000007E-2</v>
      </c>
      <c r="P15" s="14">
        <v>0.06</v>
      </c>
      <c r="Q15" s="14">
        <v>0.08</v>
      </c>
      <c r="R15" s="14">
        <v>0.03</v>
      </c>
      <c r="S15" s="14">
        <v>0.02</v>
      </c>
      <c r="T15" s="14">
        <v>0.04</v>
      </c>
      <c r="U15" s="14">
        <v>0.05</v>
      </c>
      <c r="V15" s="14">
        <v>0.09</v>
      </c>
      <c r="W15" s="14">
        <v>0.05</v>
      </c>
      <c r="X15" s="14">
        <v>0.03</v>
      </c>
      <c r="Y15" s="14">
        <v>0.14000000000000001</v>
      </c>
      <c r="Z15" s="14">
        <v>7.0000000000000007E-2</v>
      </c>
      <c r="AA15" s="14">
        <v>0.05</v>
      </c>
      <c r="AB15" s="14">
        <v>0.09</v>
      </c>
      <c r="AC15" s="14">
        <v>0.1</v>
      </c>
      <c r="AD15" s="14">
        <v>0.05</v>
      </c>
      <c r="AE15" s="14">
        <v>0.03</v>
      </c>
      <c r="AF15" s="14">
        <v>0.01</v>
      </c>
    </row>
    <row r="16" spans="1:32">
      <c r="A16" s="20"/>
      <c r="B16" s="11" t="s">
        <v>1669</v>
      </c>
      <c r="C16" s="12">
        <v>509</v>
      </c>
      <c r="D16" s="12">
        <v>14</v>
      </c>
      <c r="E16" s="12">
        <v>18</v>
      </c>
      <c r="F16" s="12">
        <v>21</v>
      </c>
      <c r="G16" s="12">
        <v>8</v>
      </c>
      <c r="H16" s="12">
        <v>32</v>
      </c>
      <c r="I16" s="12">
        <v>38</v>
      </c>
      <c r="J16" s="12">
        <v>5</v>
      </c>
      <c r="K16" s="12">
        <v>25</v>
      </c>
      <c r="L16" s="12">
        <v>12</v>
      </c>
      <c r="M16" s="12">
        <v>8</v>
      </c>
      <c r="N16" s="12">
        <v>12</v>
      </c>
      <c r="O16" s="12">
        <v>27</v>
      </c>
      <c r="P16" s="12">
        <v>22</v>
      </c>
      <c r="Q16" s="12">
        <v>24</v>
      </c>
      <c r="R16" s="12">
        <v>7</v>
      </c>
      <c r="S16" s="12">
        <v>8</v>
      </c>
      <c r="T16" s="12">
        <v>9</v>
      </c>
      <c r="U16" s="12">
        <v>4</v>
      </c>
      <c r="V16" s="12">
        <v>11</v>
      </c>
      <c r="W16" s="12">
        <v>11</v>
      </c>
      <c r="X16" s="12">
        <v>6</v>
      </c>
      <c r="Y16" s="12">
        <v>45</v>
      </c>
      <c r="Z16" s="12">
        <v>21</v>
      </c>
      <c r="AA16" s="12">
        <v>17</v>
      </c>
      <c r="AB16" s="12">
        <v>8</v>
      </c>
      <c r="AC16" s="12">
        <v>17</v>
      </c>
      <c r="AD16" s="12">
        <v>9</v>
      </c>
      <c r="AE16" s="12">
        <v>14</v>
      </c>
      <c r="AF16" s="12">
        <v>6</v>
      </c>
    </row>
    <row r="17" spans="1:32">
      <c r="A17" s="20"/>
      <c r="B17" s="13" t="s">
        <v>1670</v>
      </c>
      <c r="C17" s="14">
        <v>0.02</v>
      </c>
      <c r="D17" s="14">
        <v>0.01</v>
      </c>
      <c r="E17" s="14">
        <v>0.02</v>
      </c>
      <c r="F17" s="14">
        <v>0.02</v>
      </c>
      <c r="G17" s="14">
        <v>0.01</v>
      </c>
      <c r="H17" s="14">
        <v>0.03</v>
      </c>
      <c r="I17" s="14">
        <v>0.02</v>
      </c>
      <c r="J17" s="14">
        <v>0.02</v>
      </c>
      <c r="K17" s="14">
        <v>0.02</v>
      </c>
      <c r="L17" s="14">
        <v>0.01</v>
      </c>
      <c r="M17" s="14">
        <v>0.01</v>
      </c>
      <c r="N17" s="14">
        <v>0.01</v>
      </c>
      <c r="O17" s="14">
        <v>0.03</v>
      </c>
      <c r="P17" s="14">
        <v>0.02</v>
      </c>
      <c r="Q17" s="14">
        <v>0.02</v>
      </c>
      <c r="R17" s="14">
        <v>0.01</v>
      </c>
      <c r="S17" s="14">
        <v>0.01</v>
      </c>
      <c r="T17" s="14">
        <v>0.01</v>
      </c>
      <c r="U17" s="14">
        <v>0.01</v>
      </c>
      <c r="V17" s="14">
        <v>0.01</v>
      </c>
      <c r="W17" s="14">
        <v>0.02</v>
      </c>
      <c r="X17" s="14">
        <v>0.01</v>
      </c>
      <c r="Y17" s="14">
        <v>0.04</v>
      </c>
      <c r="Z17" s="14">
        <v>0.02</v>
      </c>
      <c r="AA17" s="14">
        <v>0.02</v>
      </c>
      <c r="AB17" s="14">
        <v>0.01</v>
      </c>
      <c r="AC17" s="14">
        <v>0.02</v>
      </c>
      <c r="AD17" s="14">
        <v>0.01</v>
      </c>
      <c r="AE17" s="14">
        <v>0.01</v>
      </c>
      <c r="AF17" s="14">
        <v>0.01</v>
      </c>
    </row>
    <row r="18" spans="1:32">
      <c r="A18" s="20"/>
      <c r="B18" s="11" t="s">
        <v>1671</v>
      </c>
      <c r="C18" s="12">
        <v>121</v>
      </c>
      <c r="D18" s="12">
        <v>6</v>
      </c>
      <c r="E18" s="12">
        <v>6</v>
      </c>
      <c r="F18" s="12">
        <v>4</v>
      </c>
      <c r="G18" s="12">
        <v>2</v>
      </c>
      <c r="H18" s="12">
        <v>7</v>
      </c>
      <c r="I18" s="12">
        <v>8</v>
      </c>
      <c r="J18" s="12">
        <v>2</v>
      </c>
      <c r="K18" s="12">
        <v>6</v>
      </c>
      <c r="L18" s="12">
        <v>3</v>
      </c>
      <c r="M18" s="12">
        <v>3</v>
      </c>
      <c r="N18" s="12">
        <v>0</v>
      </c>
      <c r="O18" s="12">
        <v>8</v>
      </c>
      <c r="P18" s="12">
        <v>8</v>
      </c>
      <c r="Q18" s="12">
        <v>6</v>
      </c>
      <c r="R18" s="12">
        <v>1</v>
      </c>
      <c r="S18" s="12">
        <v>4</v>
      </c>
      <c r="T18" s="12">
        <v>0</v>
      </c>
      <c r="U18" s="12">
        <v>1</v>
      </c>
      <c r="V18" s="12">
        <v>9</v>
      </c>
      <c r="W18" s="12">
        <v>3</v>
      </c>
      <c r="X18" s="12">
        <v>1</v>
      </c>
      <c r="Y18" s="12">
        <v>8</v>
      </c>
      <c r="Z18" s="12">
        <v>5</v>
      </c>
      <c r="AA18" s="12">
        <v>2</v>
      </c>
      <c r="AB18" s="12">
        <v>0</v>
      </c>
      <c r="AC18" s="12">
        <v>9</v>
      </c>
      <c r="AD18" s="12">
        <v>2</v>
      </c>
      <c r="AE18" s="12">
        <v>4</v>
      </c>
      <c r="AF18" s="12">
        <v>2</v>
      </c>
    </row>
    <row r="19" spans="1:32">
      <c r="A19" s="20"/>
      <c r="B19" s="13" t="s">
        <v>1672</v>
      </c>
      <c r="C19" s="15" t="s">
        <v>459</v>
      </c>
      <c r="D19" s="14">
        <v>0.01</v>
      </c>
      <c r="E19" s="14">
        <v>0.01</v>
      </c>
      <c r="F19" s="15" t="s">
        <v>459</v>
      </c>
      <c r="G19" s="15" t="s">
        <v>459</v>
      </c>
      <c r="H19" s="15" t="s">
        <v>459</v>
      </c>
      <c r="I19" s="14">
        <v>0.01</v>
      </c>
      <c r="J19" s="15" t="s">
        <v>459</v>
      </c>
      <c r="K19" s="14">
        <v>0.01</v>
      </c>
      <c r="L19" s="15" t="s">
        <v>459</v>
      </c>
      <c r="M19" s="15" t="s">
        <v>459</v>
      </c>
      <c r="N19" s="15" t="s">
        <v>459</v>
      </c>
      <c r="O19" s="14">
        <v>0.01</v>
      </c>
      <c r="P19" s="14">
        <v>0.01</v>
      </c>
      <c r="Q19" s="14">
        <v>0.01</v>
      </c>
      <c r="R19" s="15" t="s">
        <v>459</v>
      </c>
      <c r="S19" s="15" t="s">
        <v>459</v>
      </c>
      <c r="T19" s="15" t="s">
        <v>459</v>
      </c>
      <c r="U19" s="15" t="s">
        <v>459</v>
      </c>
      <c r="V19" s="14">
        <v>0.01</v>
      </c>
      <c r="W19" s="14">
        <v>0.01</v>
      </c>
      <c r="X19" s="15" t="s">
        <v>459</v>
      </c>
      <c r="Y19" s="14">
        <v>0.01</v>
      </c>
      <c r="Z19" s="14">
        <v>0.01</v>
      </c>
      <c r="AA19" s="15" t="s">
        <v>459</v>
      </c>
      <c r="AB19" s="15" t="s">
        <v>459</v>
      </c>
      <c r="AC19" s="14">
        <v>0.01</v>
      </c>
      <c r="AD19" s="15" t="s">
        <v>459</v>
      </c>
      <c r="AE19" s="15" t="s">
        <v>459</v>
      </c>
      <c r="AF19" s="15" t="s">
        <v>459</v>
      </c>
    </row>
    <row r="20" spans="1:32">
      <c r="A20" s="20"/>
      <c r="B20" s="11" t="s">
        <v>1673</v>
      </c>
      <c r="C20" s="12">
        <v>217</v>
      </c>
      <c r="D20" s="12">
        <v>9</v>
      </c>
      <c r="E20" s="12">
        <v>9</v>
      </c>
      <c r="F20" s="12">
        <v>18</v>
      </c>
      <c r="G20" s="12">
        <v>3</v>
      </c>
      <c r="H20" s="12">
        <v>11</v>
      </c>
      <c r="I20" s="12">
        <v>16</v>
      </c>
      <c r="J20" s="12">
        <v>5</v>
      </c>
      <c r="K20" s="12">
        <v>13</v>
      </c>
      <c r="L20" s="12">
        <v>10</v>
      </c>
      <c r="M20" s="12">
        <v>6</v>
      </c>
      <c r="N20" s="12">
        <v>4</v>
      </c>
      <c r="O20" s="12">
        <v>8</v>
      </c>
      <c r="P20" s="12">
        <v>41</v>
      </c>
      <c r="Q20" s="12">
        <v>14</v>
      </c>
      <c r="R20" s="12">
        <v>6</v>
      </c>
      <c r="S20" s="12">
        <v>2</v>
      </c>
      <c r="T20" s="12">
        <v>9</v>
      </c>
      <c r="U20" s="12">
        <v>3</v>
      </c>
      <c r="V20" s="12">
        <v>3</v>
      </c>
      <c r="W20" s="12">
        <v>1</v>
      </c>
      <c r="X20" s="12">
        <v>2</v>
      </c>
      <c r="Y20" s="12">
        <v>10</v>
      </c>
      <c r="Z20" s="12">
        <v>0</v>
      </c>
      <c r="AA20" s="12">
        <v>10</v>
      </c>
      <c r="AB20" s="12">
        <v>5</v>
      </c>
      <c r="AC20" s="12">
        <v>28</v>
      </c>
      <c r="AD20" s="12">
        <v>10</v>
      </c>
      <c r="AE20" s="12">
        <v>7</v>
      </c>
      <c r="AF20" s="12">
        <v>6</v>
      </c>
    </row>
    <row r="21" spans="1:32">
      <c r="A21" s="20"/>
      <c r="B21" s="13" t="s">
        <v>1674</v>
      </c>
      <c r="C21" s="14">
        <v>0.01</v>
      </c>
      <c r="D21" s="14">
        <v>0.01</v>
      </c>
      <c r="E21" s="14">
        <v>0.01</v>
      </c>
      <c r="F21" s="14">
        <v>0.02</v>
      </c>
      <c r="G21" s="15" t="s">
        <v>459</v>
      </c>
      <c r="H21" s="14">
        <v>0.01</v>
      </c>
      <c r="I21" s="14">
        <v>0.01</v>
      </c>
      <c r="J21" s="14">
        <v>0.02</v>
      </c>
      <c r="K21" s="14">
        <v>0.01</v>
      </c>
      <c r="L21" s="14">
        <v>0.01</v>
      </c>
      <c r="M21" s="14">
        <v>0.01</v>
      </c>
      <c r="N21" s="15" t="s">
        <v>459</v>
      </c>
      <c r="O21" s="14">
        <v>0.01</v>
      </c>
      <c r="P21" s="14">
        <v>0.04</v>
      </c>
      <c r="Q21" s="14">
        <v>0.01</v>
      </c>
      <c r="R21" s="14">
        <v>0.01</v>
      </c>
      <c r="S21" s="15" t="s">
        <v>459</v>
      </c>
      <c r="T21" s="14">
        <v>0.01</v>
      </c>
      <c r="U21" s="14">
        <v>0.01</v>
      </c>
      <c r="V21" s="15" t="s">
        <v>459</v>
      </c>
      <c r="W21" s="15" t="s">
        <v>459</v>
      </c>
      <c r="X21" s="15" t="s">
        <v>459</v>
      </c>
      <c r="Y21" s="14">
        <v>0.01</v>
      </c>
      <c r="Z21" s="15" t="s">
        <v>459</v>
      </c>
      <c r="AA21" s="14">
        <v>0.01</v>
      </c>
      <c r="AB21" s="15" t="s">
        <v>459</v>
      </c>
      <c r="AC21" s="14">
        <v>0.03</v>
      </c>
      <c r="AD21" s="14">
        <v>0.01</v>
      </c>
      <c r="AE21" s="14">
        <v>0.01</v>
      </c>
      <c r="AF21" s="14">
        <v>0.01</v>
      </c>
    </row>
    <row r="22" spans="1:32">
      <c r="A22" s="20"/>
      <c r="B22" s="11" t="s">
        <v>1675</v>
      </c>
      <c r="C22" s="12">
        <v>2824</v>
      </c>
      <c r="D22" s="12">
        <v>31</v>
      </c>
      <c r="E22" s="12">
        <v>127</v>
      </c>
      <c r="F22" s="12">
        <v>138</v>
      </c>
      <c r="G22" s="12">
        <v>21</v>
      </c>
      <c r="H22" s="12">
        <v>121</v>
      </c>
      <c r="I22" s="12">
        <v>143</v>
      </c>
      <c r="J22" s="12">
        <v>22</v>
      </c>
      <c r="K22" s="12">
        <v>74</v>
      </c>
      <c r="L22" s="12">
        <v>44</v>
      </c>
      <c r="M22" s="12">
        <v>136</v>
      </c>
      <c r="N22" s="12">
        <v>107</v>
      </c>
      <c r="O22" s="12">
        <v>76</v>
      </c>
      <c r="P22" s="12">
        <v>149</v>
      </c>
      <c r="Q22" s="12">
        <v>189</v>
      </c>
      <c r="R22" s="12">
        <v>58</v>
      </c>
      <c r="S22" s="12">
        <v>101</v>
      </c>
      <c r="T22" s="12">
        <v>135</v>
      </c>
      <c r="U22" s="12">
        <v>13</v>
      </c>
      <c r="V22" s="12">
        <v>122</v>
      </c>
      <c r="W22" s="12">
        <v>30</v>
      </c>
      <c r="X22" s="12">
        <v>3</v>
      </c>
      <c r="Y22" s="12">
        <v>87</v>
      </c>
      <c r="Z22" s="12">
        <v>144</v>
      </c>
      <c r="AA22" s="12">
        <v>168</v>
      </c>
      <c r="AB22" s="12">
        <v>164</v>
      </c>
      <c r="AC22" s="12">
        <v>98</v>
      </c>
      <c r="AD22" s="12">
        <v>95</v>
      </c>
      <c r="AE22" s="12">
        <v>33</v>
      </c>
      <c r="AF22" s="12">
        <v>8</v>
      </c>
    </row>
    <row r="23" spans="1:32">
      <c r="A23" s="20"/>
      <c r="B23" s="13" t="s">
        <v>1676</v>
      </c>
      <c r="C23" s="14">
        <v>0.11</v>
      </c>
      <c r="D23" s="14">
        <v>0.03</v>
      </c>
      <c r="E23" s="14">
        <v>0.12</v>
      </c>
      <c r="F23" s="14">
        <v>0.14000000000000001</v>
      </c>
      <c r="G23" s="14">
        <v>0.02</v>
      </c>
      <c r="H23" s="14">
        <v>0.1</v>
      </c>
      <c r="I23" s="14">
        <v>0.09</v>
      </c>
      <c r="J23" s="14">
        <v>7.0000000000000007E-2</v>
      </c>
      <c r="K23" s="14">
        <v>7.0000000000000007E-2</v>
      </c>
      <c r="L23" s="14">
        <v>0.05</v>
      </c>
      <c r="M23" s="14">
        <v>0.14000000000000001</v>
      </c>
      <c r="N23" s="14">
        <v>0.11</v>
      </c>
      <c r="O23" s="14">
        <v>0.08</v>
      </c>
      <c r="P23" s="14">
        <v>0.15</v>
      </c>
      <c r="Q23" s="14">
        <v>0.19</v>
      </c>
      <c r="R23" s="14">
        <v>0.12</v>
      </c>
      <c r="S23" s="14">
        <v>0.1</v>
      </c>
      <c r="T23" s="14">
        <v>0.13</v>
      </c>
      <c r="U23" s="14">
        <v>0.03</v>
      </c>
      <c r="V23" s="14">
        <v>0.12</v>
      </c>
      <c r="W23" s="14">
        <v>0.06</v>
      </c>
      <c r="X23" s="15" t="s">
        <v>459</v>
      </c>
      <c r="Y23" s="14">
        <v>0.09</v>
      </c>
      <c r="Z23" s="14">
        <v>0.14000000000000001</v>
      </c>
      <c r="AA23" s="14">
        <v>0.16</v>
      </c>
      <c r="AB23" s="14">
        <v>0.16</v>
      </c>
      <c r="AC23" s="14">
        <v>0.1</v>
      </c>
      <c r="AD23" s="14">
        <v>0.1</v>
      </c>
      <c r="AE23" s="14">
        <v>0.03</v>
      </c>
      <c r="AF23" s="14">
        <v>0.01</v>
      </c>
    </row>
    <row r="24" spans="1:32" ht="24.95">
      <c r="A24" s="20"/>
      <c r="B24" s="11" t="s">
        <v>1677</v>
      </c>
      <c r="C24" s="12">
        <v>194</v>
      </c>
      <c r="D24" s="12">
        <v>4</v>
      </c>
      <c r="E24" s="12">
        <v>31</v>
      </c>
      <c r="F24" s="12">
        <v>21</v>
      </c>
      <c r="G24" s="12">
        <v>0</v>
      </c>
      <c r="H24" s="12">
        <v>13</v>
      </c>
      <c r="I24" s="12">
        <v>13</v>
      </c>
      <c r="J24" s="12">
        <v>0</v>
      </c>
      <c r="K24" s="12">
        <v>6</v>
      </c>
      <c r="L24" s="12">
        <v>2</v>
      </c>
      <c r="M24" s="12">
        <v>13</v>
      </c>
      <c r="N24" s="12">
        <v>0</v>
      </c>
      <c r="O24" s="12">
        <v>3</v>
      </c>
      <c r="P24" s="12">
        <v>9</v>
      </c>
      <c r="Q24" s="12">
        <v>10</v>
      </c>
      <c r="R24" s="12">
        <v>4</v>
      </c>
      <c r="S24" s="12">
        <v>18</v>
      </c>
      <c r="T24" s="12">
        <v>22</v>
      </c>
      <c r="U24" s="12">
        <v>2</v>
      </c>
      <c r="V24" s="12">
        <v>2</v>
      </c>
      <c r="W24" s="12">
        <v>18</v>
      </c>
      <c r="X24" s="12">
        <v>0</v>
      </c>
      <c r="Y24" s="12">
        <v>22</v>
      </c>
      <c r="Z24" s="12">
        <v>0</v>
      </c>
      <c r="AA24" s="12">
        <v>22</v>
      </c>
      <c r="AB24" s="12">
        <v>25</v>
      </c>
      <c r="AC24" s="12">
        <v>11</v>
      </c>
      <c r="AD24" s="12">
        <v>3</v>
      </c>
      <c r="AE24" s="12">
        <v>8</v>
      </c>
      <c r="AF24" s="12">
        <v>0</v>
      </c>
    </row>
    <row r="25" spans="1:32" ht="24.95">
      <c r="A25" s="20"/>
      <c r="B25" s="13" t="s">
        <v>1678</v>
      </c>
      <c r="C25" s="14">
        <v>0.01</v>
      </c>
      <c r="D25" s="15" t="s">
        <v>459</v>
      </c>
      <c r="E25" s="14">
        <v>0.03</v>
      </c>
      <c r="F25" s="14">
        <v>0.02</v>
      </c>
      <c r="G25" s="15" t="s">
        <v>459</v>
      </c>
      <c r="H25" s="14">
        <v>0.01</v>
      </c>
      <c r="I25" s="14">
        <v>0.01</v>
      </c>
      <c r="J25" s="15" t="s">
        <v>459</v>
      </c>
      <c r="K25" s="14">
        <v>0.01</v>
      </c>
      <c r="L25" s="15" t="s">
        <v>459</v>
      </c>
      <c r="M25" s="14">
        <v>0.01</v>
      </c>
      <c r="N25" s="15" t="s">
        <v>459</v>
      </c>
      <c r="O25" s="15" t="s">
        <v>459</v>
      </c>
      <c r="P25" s="14">
        <v>0.01</v>
      </c>
      <c r="Q25" s="14">
        <v>0.01</v>
      </c>
      <c r="R25" s="14">
        <v>0.01</v>
      </c>
      <c r="S25" s="14">
        <v>0.02</v>
      </c>
      <c r="T25" s="14">
        <v>0.02</v>
      </c>
      <c r="U25" s="15" t="s">
        <v>459</v>
      </c>
      <c r="V25" s="15" t="s">
        <v>459</v>
      </c>
      <c r="W25" s="14">
        <v>0.04</v>
      </c>
      <c r="X25" s="15" t="s">
        <v>459</v>
      </c>
      <c r="Y25" s="14">
        <v>0.02</v>
      </c>
      <c r="Z25" s="15" t="s">
        <v>459</v>
      </c>
      <c r="AA25" s="14">
        <v>0.02</v>
      </c>
      <c r="AB25" s="14">
        <v>0.02</v>
      </c>
      <c r="AC25" s="14">
        <v>0.01</v>
      </c>
      <c r="AD25" s="15" t="s">
        <v>459</v>
      </c>
      <c r="AE25" s="14">
        <v>0.01</v>
      </c>
      <c r="AF25" s="15" t="s">
        <v>459</v>
      </c>
    </row>
    <row r="26" spans="1:32">
      <c r="A26" s="20"/>
      <c r="B26" s="11" t="s">
        <v>1679</v>
      </c>
      <c r="C26" s="12">
        <v>23302</v>
      </c>
      <c r="D26" s="12">
        <v>967</v>
      </c>
      <c r="E26" s="12">
        <v>860</v>
      </c>
      <c r="F26" s="12">
        <v>846</v>
      </c>
      <c r="G26" s="12">
        <v>983</v>
      </c>
      <c r="H26" s="12">
        <v>1081</v>
      </c>
      <c r="I26" s="12">
        <v>1354</v>
      </c>
      <c r="J26" s="12">
        <v>273</v>
      </c>
      <c r="K26" s="12">
        <v>928</v>
      </c>
      <c r="L26" s="12">
        <v>961</v>
      </c>
      <c r="M26" s="12">
        <v>854</v>
      </c>
      <c r="N26" s="12">
        <v>897</v>
      </c>
      <c r="O26" s="12">
        <v>925</v>
      </c>
      <c r="P26" s="12">
        <v>864</v>
      </c>
      <c r="Q26" s="12">
        <v>820</v>
      </c>
      <c r="R26" s="12">
        <v>438</v>
      </c>
      <c r="S26" s="12">
        <v>889</v>
      </c>
      <c r="T26" s="12">
        <v>856</v>
      </c>
      <c r="U26" s="12">
        <v>494</v>
      </c>
      <c r="V26" s="12">
        <v>894</v>
      </c>
      <c r="W26" s="12">
        <v>456</v>
      </c>
      <c r="X26" s="12">
        <v>1017</v>
      </c>
      <c r="Y26" s="12">
        <v>900</v>
      </c>
      <c r="Z26" s="12">
        <v>864</v>
      </c>
      <c r="AA26" s="12">
        <v>863</v>
      </c>
      <c r="AB26" s="12">
        <v>851</v>
      </c>
      <c r="AC26" s="12">
        <v>900</v>
      </c>
      <c r="AD26" s="12">
        <v>908</v>
      </c>
      <c r="AE26" s="12">
        <v>961</v>
      </c>
      <c r="AF26" s="12">
        <v>1012</v>
      </c>
    </row>
    <row r="27" spans="1:32">
      <c r="A27" s="20"/>
      <c r="B27" s="13" t="s">
        <v>1680</v>
      </c>
      <c r="C27" s="14">
        <v>0.88</v>
      </c>
      <c r="D27" s="14">
        <v>0.97</v>
      </c>
      <c r="E27" s="14">
        <v>0.85</v>
      </c>
      <c r="F27" s="14">
        <v>0.84</v>
      </c>
      <c r="G27" s="14">
        <v>0.98</v>
      </c>
      <c r="H27" s="14">
        <v>0.89</v>
      </c>
      <c r="I27" s="14">
        <v>0.9</v>
      </c>
      <c r="J27" s="14">
        <v>0.93</v>
      </c>
      <c r="K27" s="14">
        <v>0.92</v>
      </c>
      <c r="L27" s="14">
        <v>0.95000000000000007</v>
      </c>
      <c r="M27" s="14">
        <v>0.85</v>
      </c>
      <c r="N27" s="14">
        <v>0.89</v>
      </c>
      <c r="O27" s="14">
        <v>0.92</v>
      </c>
      <c r="P27" s="14">
        <v>0.84</v>
      </c>
      <c r="Q27" s="14">
        <v>0.8</v>
      </c>
      <c r="R27" s="14">
        <v>0.87</v>
      </c>
      <c r="S27" s="14">
        <v>0.88</v>
      </c>
      <c r="T27" s="14">
        <v>0.85</v>
      </c>
      <c r="U27" s="14">
        <v>0.97</v>
      </c>
      <c r="V27" s="14">
        <v>0.88</v>
      </c>
      <c r="W27" s="14">
        <v>0.9</v>
      </c>
      <c r="X27" s="14">
        <v>1</v>
      </c>
      <c r="Y27" s="14">
        <v>0.89</v>
      </c>
      <c r="Z27" s="14">
        <v>0.86</v>
      </c>
      <c r="AA27" s="14">
        <v>0.82000000000000006</v>
      </c>
      <c r="AB27" s="14">
        <v>0.82000000000000006</v>
      </c>
      <c r="AC27" s="14">
        <v>0.89</v>
      </c>
      <c r="AD27" s="14">
        <v>0.9</v>
      </c>
      <c r="AE27" s="14">
        <v>0.96</v>
      </c>
      <c r="AF27" s="14">
        <v>0.99</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1681</v>
      </c>
      <c r="C3" s="18"/>
      <c r="D3" s="18"/>
      <c r="E3" s="18"/>
      <c r="F3" s="18"/>
      <c r="H3" s="18" t="s">
        <v>1682</v>
      </c>
      <c r="I3" s="18"/>
      <c r="J3" s="18"/>
      <c r="K3" s="18"/>
      <c r="L3" s="18"/>
    </row>
    <row r="4" spans="1:32" ht="27" customHeight="1">
      <c r="B4" s="18" t="s">
        <v>1683</v>
      </c>
      <c r="C4" s="18"/>
      <c r="D4" s="18"/>
      <c r="E4" s="18"/>
      <c r="F4" s="18"/>
      <c r="H4" s="18" t="s">
        <v>1684</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1665</v>
      </c>
      <c r="C12" s="12">
        <v>12313</v>
      </c>
      <c r="D12" s="12">
        <v>503</v>
      </c>
      <c r="E12" s="12">
        <v>464</v>
      </c>
      <c r="F12" s="12">
        <v>492</v>
      </c>
      <c r="G12" s="12">
        <v>618</v>
      </c>
      <c r="H12" s="12">
        <v>522</v>
      </c>
      <c r="I12" s="12">
        <v>655</v>
      </c>
      <c r="J12" s="12">
        <v>133</v>
      </c>
      <c r="K12" s="12">
        <v>493</v>
      </c>
      <c r="L12" s="12">
        <v>562</v>
      </c>
      <c r="M12" s="12">
        <v>484</v>
      </c>
      <c r="N12" s="12">
        <v>428</v>
      </c>
      <c r="O12" s="12">
        <v>395</v>
      </c>
      <c r="P12" s="12">
        <v>579</v>
      </c>
      <c r="Q12" s="12">
        <v>464</v>
      </c>
      <c r="R12" s="12">
        <v>282</v>
      </c>
      <c r="S12" s="12">
        <v>505</v>
      </c>
      <c r="T12" s="12">
        <v>491</v>
      </c>
      <c r="U12" s="12">
        <v>326</v>
      </c>
      <c r="V12" s="12">
        <v>483</v>
      </c>
      <c r="W12" s="12">
        <v>329</v>
      </c>
      <c r="X12" s="12">
        <v>704</v>
      </c>
      <c r="Y12" s="12">
        <v>460</v>
      </c>
      <c r="Z12" s="12">
        <v>482</v>
      </c>
      <c r="AA12" s="12">
        <v>527</v>
      </c>
      <c r="AB12" s="12">
        <v>473</v>
      </c>
      <c r="AC12" s="12">
        <v>501</v>
      </c>
      <c r="AD12" s="12">
        <v>581</v>
      </c>
      <c r="AE12" s="12">
        <v>580</v>
      </c>
      <c r="AF12" s="12">
        <v>680</v>
      </c>
    </row>
    <row r="13" spans="1:32">
      <c r="A13" s="20"/>
      <c r="B13" s="13" t="s">
        <v>1666</v>
      </c>
      <c r="C13" s="14">
        <v>0.47</v>
      </c>
      <c r="D13" s="14">
        <v>0.5</v>
      </c>
      <c r="E13" s="14">
        <v>0.46</v>
      </c>
      <c r="F13" s="14">
        <v>0.49</v>
      </c>
      <c r="G13" s="14">
        <v>0.62</v>
      </c>
      <c r="H13" s="14">
        <v>0.43</v>
      </c>
      <c r="I13" s="14">
        <v>0.43</v>
      </c>
      <c r="J13" s="14">
        <v>0.45</v>
      </c>
      <c r="K13" s="14">
        <v>0.49</v>
      </c>
      <c r="L13" s="14">
        <v>0.56000000000000005</v>
      </c>
      <c r="M13" s="14">
        <v>0.48</v>
      </c>
      <c r="N13" s="14">
        <v>0.43</v>
      </c>
      <c r="O13" s="14">
        <v>0.39</v>
      </c>
      <c r="P13" s="14">
        <v>0.57000000000000006</v>
      </c>
      <c r="Q13" s="14">
        <v>0.46</v>
      </c>
      <c r="R13" s="14">
        <v>0.56000000000000005</v>
      </c>
      <c r="S13" s="14">
        <v>0.5</v>
      </c>
      <c r="T13" s="14">
        <v>0.49</v>
      </c>
      <c r="U13" s="14">
        <v>0.64</v>
      </c>
      <c r="V13" s="14">
        <v>0.47</v>
      </c>
      <c r="W13" s="14">
        <v>0.65</v>
      </c>
      <c r="X13" s="14">
        <v>0.69000000000000006</v>
      </c>
      <c r="Y13" s="14">
        <v>0.46</v>
      </c>
      <c r="Z13" s="14">
        <v>0.48</v>
      </c>
      <c r="AA13" s="14">
        <v>0.5</v>
      </c>
      <c r="AB13" s="14">
        <v>0.46</v>
      </c>
      <c r="AC13" s="14">
        <v>0.5</v>
      </c>
      <c r="AD13" s="14">
        <v>0.57999999999999996</v>
      </c>
      <c r="AE13" s="14">
        <v>0.57999999999999996</v>
      </c>
      <c r="AF13" s="14">
        <v>0.67</v>
      </c>
    </row>
    <row r="14" spans="1:32">
      <c r="A14" s="20"/>
      <c r="B14" s="11" t="s">
        <v>1667</v>
      </c>
      <c r="C14" s="12">
        <v>1204</v>
      </c>
      <c r="D14" s="12">
        <v>54</v>
      </c>
      <c r="E14" s="12">
        <v>62</v>
      </c>
      <c r="F14" s="12">
        <v>51</v>
      </c>
      <c r="G14" s="12">
        <v>34</v>
      </c>
      <c r="H14" s="12">
        <v>63</v>
      </c>
      <c r="I14" s="12">
        <v>84</v>
      </c>
      <c r="J14" s="12">
        <v>21</v>
      </c>
      <c r="K14" s="12">
        <v>59</v>
      </c>
      <c r="L14" s="12">
        <v>61</v>
      </c>
      <c r="M14" s="12">
        <v>33</v>
      </c>
      <c r="N14" s="12">
        <v>35</v>
      </c>
      <c r="O14" s="12">
        <v>34</v>
      </c>
      <c r="P14" s="12">
        <v>32</v>
      </c>
      <c r="Q14" s="12">
        <v>47</v>
      </c>
      <c r="R14" s="12">
        <v>20</v>
      </c>
      <c r="S14" s="12">
        <v>20</v>
      </c>
      <c r="T14" s="12">
        <v>25</v>
      </c>
      <c r="U14" s="12">
        <v>21</v>
      </c>
      <c r="V14" s="12">
        <v>80</v>
      </c>
      <c r="W14" s="12">
        <v>16</v>
      </c>
      <c r="X14" s="12">
        <v>32</v>
      </c>
      <c r="Y14" s="12">
        <v>71</v>
      </c>
      <c r="Z14" s="12">
        <v>61</v>
      </c>
      <c r="AA14" s="12">
        <v>26</v>
      </c>
      <c r="AB14" s="12">
        <v>69</v>
      </c>
      <c r="AC14" s="12">
        <v>39</v>
      </c>
      <c r="AD14" s="12">
        <v>41</v>
      </c>
      <c r="AE14" s="12">
        <v>23</v>
      </c>
      <c r="AF14" s="12">
        <v>14</v>
      </c>
    </row>
    <row r="15" spans="1:32">
      <c r="A15" s="20"/>
      <c r="B15" s="13" t="s">
        <v>1668</v>
      </c>
      <c r="C15" s="14">
        <v>0.05</v>
      </c>
      <c r="D15" s="14">
        <v>0.05</v>
      </c>
      <c r="E15" s="14">
        <v>0.06</v>
      </c>
      <c r="F15" s="14">
        <v>0.05</v>
      </c>
      <c r="G15" s="14">
        <v>0.03</v>
      </c>
      <c r="H15" s="14">
        <v>0.05</v>
      </c>
      <c r="I15" s="14">
        <v>0.06</v>
      </c>
      <c r="J15" s="14">
        <v>7.0000000000000007E-2</v>
      </c>
      <c r="K15" s="14">
        <v>0.06</v>
      </c>
      <c r="L15" s="14">
        <v>0.06</v>
      </c>
      <c r="M15" s="14">
        <v>0.03</v>
      </c>
      <c r="N15" s="14">
        <v>0.04</v>
      </c>
      <c r="O15" s="14">
        <v>0.03</v>
      </c>
      <c r="P15" s="14">
        <v>0.03</v>
      </c>
      <c r="Q15" s="14">
        <v>0.05</v>
      </c>
      <c r="R15" s="14">
        <v>0.04</v>
      </c>
      <c r="S15" s="14">
        <v>0.02</v>
      </c>
      <c r="T15" s="14">
        <v>0.02</v>
      </c>
      <c r="U15" s="14">
        <v>0.04</v>
      </c>
      <c r="V15" s="14">
        <v>0.08</v>
      </c>
      <c r="W15" s="14">
        <v>0.03</v>
      </c>
      <c r="X15" s="14">
        <v>0.03</v>
      </c>
      <c r="Y15" s="14">
        <v>7.0000000000000007E-2</v>
      </c>
      <c r="Z15" s="14">
        <v>0.06</v>
      </c>
      <c r="AA15" s="14">
        <v>0.02</v>
      </c>
      <c r="AB15" s="14">
        <v>7.0000000000000007E-2</v>
      </c>
      <c r="AC15" s="14">
        <v>0.04</v>
      </c>
      <c r="AD15" s="14">
        <v>0.04</v>
      </c>
      <c r="AE15" s="14">
        <v>0.02</v>
      </c>
      <c r="AF15" s="14">
        <v>0.01</v>
      </c>
    </row>
    <row r="16" spans="1:32">
      <c r="A16" s="20"/>
      <c r="B16" s="11" t="s">
        <v>1669</v>
      </c>
      <c r="C16" s="12">
        <v>364</v>
      </c>
      <c r="D16" s="12">
        <v>16</v>
      </c>
      <c r="E16" s="12">
        <v>20</v>
      </c>
      <c r="F16" s="12">
        <v>14</v>
      </c>
      <c r="G16" s="12">
        <v>10</v>
      </c>
      <c r="H16" s="12">
        <v>17</v>
      </c>
      <c r="I16" s="12">
        <v>22</v>
      </c>
      <c r="J16" s="12">
        <v>5</v>
      </c>
      <c r="K16" s="12">
        <v>19</v>
      </c>
      <c r="L16" s="12">
        <v>15</v>
      </c>
      <c r="M16" s="12">
        <v>6</v>
      </c>
      <c r="N16" s="12">
        <v>14</v>
      </c>
      <c r="O16" s="12">
        <v>11</v>
      </c>
      <c r="P16" s="12">
        <v>11</v>
      </c>
      <c r="Q16" s="12">
        <v>15</v>
      </c>
      <c r="R16" s="12">
        <v>6</v>
      </c>
      <c r="S16" s="12">
        <v>8</v>
      </c>
      <c r="T16" s="12">
        <v>14</v>
      </c>
      <c r="U16" s="12">
        <v>3</v>
      </c>
      <c r="V16" s="12">
        <v>26</v>
      </c>
      <c r="W16" s="12">
        <v>5</v>
      </c>
      <c r="X16" s="12">
        <v>15</v>
      </c>
      <c r="Y16" s="12">
        <v>26</v>
      </c>
      <c r="Z16" s="12">
        <v>17</v>
      </c>
      <c r="AA16" s="12">
        <v>6</v>
      </c>
      <c r="AB16" s="12">
        <v>10</v>
      </c>
      <c r="AC16" s="12">
        <v>4</v>
      </c>
      <c r="AD16" s="12">
        <v>6</v>
      </c>
      <c r="AE16" s="12">
        <v>13</v>
      </c>
      <c r="AF16" s="12">
        <v>12</v>
      </c>
    </row>
    <row r="17" spans="1:32">
      <c r="A17" s="20"/>
      <c r="B17" s="13" t="s">
        <v>1670</v>
      </c>
      <c r="C17" s="14">
        <v>0.01</v>
      </c>
      <c r="D17" s="14">
        <v>0.02</v>
      </c>
      <c r="E17" s="14">
        <v>0.02</v>
      </c>
      <c r="F17" s="14">
        <v>0.01</v>
      </c>
      <c r="G17" s="14">
        <v>0.01</v>
      </c>
      <c r="H17" s="14">
        <v>0.01</v>
      </c>
      <c r="I17" s="14">
        <v>0.01</v>
      </c>
      <c r="J17" s="14">
        <v>0.02</v>
      </c>
      <c r="K17" s="14">
        <v>0.02</v>
      </c>
      <c r="L17" s="14">
        <v>0.02</v>
      </c>
      <c r="M17" s="14">
        <v>0.01</v>
      </c>
      <c r="N17" s="14">
        <v>0.01</v>
      </c>
      <c r="O17" s="14">
        <v>0.01</v>
      </c>
      <c r="P17" s="14">
        <v>0.01</v>
      </c>
      <c r="Q17" s="14">
        <v>0.01</v>
      </c>
      <c r="R17" s="14">
        <v>0.01</v>
      </c>
      <c r="S17" s="14">
        <v>0.01</v>
      </c>
      <c r="T17" s="14">
        <v>0.01</v>
      </c>
      <c r="U17" s="14">
        <v>0.01</v>
      </c>
      <c r="V17" s="14">
        <v>0.03</v>
      </c>
      <c r="W17" s="14">
        <v>0.01</v>
      </c>
      <c r="X17" s="14">
        <v>0.01</v>
      </c>
      <c r="Y17" s="14">
        <v>0.03</v>
      </c>
      <c r="Z17" s="14">
        <v>0.02</v>
      </c>
      <c r="AA17" s="14">
        <v>0.01</v>
      </c>
      <c r="AB17" s="14">
        <v>0.01</v>
      </c>
      <c r="AC17" s="15" t="s">
        <v>459</v>
      </c>
      <c r="AD17" s="14">
        <v>0.01</v>
      </c>
      <c r="AE17" s="14">
        <v>0.01</v>
      </c>
      <c r="AF17" s="14">
        <v>0.01</v>
      </c>
    </row>
    <row r="18" spans="1:32">
      <c r="A18" s="20"/>
      <c r="B18" s="11" t="s">
        <v>1671</v>
      </c>
      <c r="C18" s="12">
        <v>163</v>
      </c>
      <c r="D18" s="12">
        <v>5</v>
      </c>
      <c r="E18" s="12">
        <v>7</v>
      </c>
      <c r="F18" s="12">
        <v>7</v>
      </c>
      <c r="G18" s="12">
        <v>7</v>
      </c>
      <c r="H18" s="12">
        <v>12</v>
      </c>
      <c r="I18" s="12">
        <v>12</v>
      </c>
      <c r="J18" s="12">
        <v>1</v>
      </c>
      <c r="K18" s="12">
        <v>8</v>
      </c>
      <c r="L18" s="12">
        <v>7</v>
      </c>
      <c r="M18" s="12">
        <v>8</v>
      </c>
      <c r="N18" s="12">
        <v>3</v>
      </c>
      <c r="O18" s="12">
        <v>5</v>
      </c>
      <c r="P18" s="12">
        <v>4</v>
      </c>
      <c r="Q18" s="12">
        <v>5</v>
      </c>
      <c r="R18" s="12">
        <v>1</v>
      </c>
      <c r="S18" s="12">
        <v>0</v>
      </c>
      <c r="T18" s="12">
        <v>6</v>
      </c>
      <c r="U18" s="12">
        <v>0</v>
      </c>
      <c r="V18" s="12">
        <v>7</v>
      </c>
      <c r="W18" s="12">
        <v>2</v>
      </c>
      <c r="X18" s="12">
        <v>7</v>
      </c>
      <c r="Y18" s="12">
        <v>10</v>
      </c>
      <c r="Z18" s="12">
        <v>10</v>
      </c>
      <c r="AA18" s="12">
        <v>0</v>
      </c>
      <c r="AB18" s="12">
        <v>5</v>
      </c>
      <c r="AC18" s="12">
        <v>2</v>
      </c>
      <c r="AD18" s="12">
        <v>8</v>
      </c>
      <c r="AE18" s="12">
        <v>6</v>
      </c>
      <c r="AF18" s="12">
        <v>7</v>
      </c>
    </row>
    <row r="19" spans="1:32">
      <c r="A19" s="20"/>
      <c r="B19" s="13" t="s">
        <v>1672</v>
      </c>
      <c r="C19" s="14">
        <v>0.01</v>
      </c>
      <c r="D19" s="14">
        <v>0.01</v>
      </c>
      <c r="E19" s="14">
        <v>0.01</v>
      </c>
      <c r="F19" s="14">
        <v>0.01</v>
      </c>
      <c r="G19" s="14">
        <v>0.01</v>
      </c>
      <c r="H19" s="14">
        <v>0.01</v>
      </c>
      <c r="I19" s="14">
        <v>0.01</v>
      </c>
      <c r="J19" s="15" t="s">
        <v>459</v>
      </c>
      <c r="K19" s="14">
        <v>0.01</v>
      </c>
      <c r="L19" s="14">
        <v>0.01</v>
      </c>
      <c r="M19" s="14">
        <v>0.01</v>
      </c>
      <c r="N19" s="15" t="s">
        <v>459</v>
      </c>
      <c r="O19" s="14">
        <v>0.01</v>
      </c>
      <c r="P19" s="14">
        <v>0.01</v>
      </c>
      <c r="Q19" s="15" t="s">
        <v>459</v>
      </c>
      <c r="R19" s="15" t="s">
        <v>459</v>
      </c>
      <c r="S19" s="15" t="s">
        <v>459</v>
      </c>
      <c r="T19" s="14">
        <v>0.01</v>
      </c>
      <c r="U19" s="15" t="s">
        <v>459</v>
      </c>
      <c r="V19" s="14">
        <v>0.01</v>
      </c>
      <c r="W19" s="15" t="s">
        <v>459</v>
      </c>
      <c r="X19" s="14">
        <v>0.01</v>
      </c>
      <c r="Y19" s="14">
        <v>0.01</v>
      </c>
      <c r="Z19" s="14">
        <v>0.01</v>
      </c>
      <c r="AA19" s="15" t="s">
        <v>459</v>
      </c>
      <c r="AB19" s="15" t="s">
        <v>459</v>
      </c>
      <c r="AC19" s="15" t="s">
        <v>459</v>
      </c>
      <c r="AD19" s="14">
        <v>0.01</v>
      </c>
      <c r="AE19" s="14">
        <v>0.01</v>
      </c>
      <c r="AF19" s="14">
        <v>0.01</v>
      </c>
    </row>
    <row r="20" spans="1:32">
      <c r="A20" s="20"/>
      <c r="B20" s="11" t="s">
        <v>1673</v>
      </c>
      <c r="C20" s="12">
        <v>761</v>
      </c>
      <c r="D20" s="12">
        <v>48</v>
      </c>
      <c r="E20" s="12">
        <v>36</v>
      </c>
      <c r="F20" s="12">
        <v>45</v>
      </c>
      <c r="G20" s="12">
        <v>12</v>
      </c>
      <c r="H20" s="12">
        <v>55</v>
      </c>
      <c r="I20" s="12">
        <v>71</v>
      </c>
      <c r="J20" s="12">
        <v>16</v>
      </c>
      <c r="K20" s="12">
        <v>55</v>
      </c>
      <c r="L20" s="12">
        <v>40</v>
      </c>
      <c r="M20" s="12">
        <v>20</v>
      </c>
      <c r="N20" s="12">
        <v>33</v>
      </c>
      <c r="O20" s="12">
        <v>20</v>
      </c>
      <c r="P20" s="12">
        <v>53</v>
      </c>
      <c r="Q20" s="12">
        <v>17</v>
      </c>
      <c r="R20" s="12">
        <v>8</v>
      </c>
      <c r="S20" s="12">
        <v>13</v>
      </c>
      <c r="T20" s="12">
        <v>21</v>
      </c>
      <c r="U20" s="12">
        <v>11</v>
      </c>
      <c r="V20" s="12">
        <v>28</v>
      </c>
      <c r="W20" s="12">
        <v>1</v>
      </c>
      <c r="X20" s="12">
        <v>29</v>
      </c>
      <c r="Y20" s="12">
        <v>15</v>
      </c>
      <c r="Z20" s="12">
        <v>32</v>
      </c>
      <c r="AA20" s="12">
        <v>20</v>
      </c>
      <c r="AB20" s="12">
        <v>17</v>
      </c>
      <c r="AC20" s="12">
        <v>23</v>
      </c>
      <c r="AD20" s="12">
        <v>22</v>
      </c>
      <c r="AE20" s="12">
        <v>17</v>
      </c>
      <c r="AF20" s="12">
        <v>14</v>
      </c>
    </row>
    <row r="21" spans="1:32">
      <c r="A21" s="20"/>
      <c r="B21" s="13" t="s">
        <v>1674</v>
      </c>
      <c r="C21" s="14">
        <v>0.03</v>
      </c>
      <c r="D21" s="14">
        <v>0.05</v>
      </c>
      <c r="E21" s="14">
        <v>0.03</v>
      </c>
      <c r="F21" s="14">
        <v>0.05</v>
      </c>
      <c r="G21" s="14">
        <v>0.01</v>
      </c>
      <c r="H21" s="14">
        <v>0.05</v>
      </c>
      <c r="I21" s="14">
        <v>0.05</v>
      </c>
      <c r="J21" s="14">
        <v>0.05</v>
      </c>
      <c r="K21" s="14">
        <v>0.05</v>
      </c>
      <c r="L21" s="14">
        <v>0.04</v>
      </c>
      <c r="M21" s="14">
        <v>0.02</v>
      </c>
      <c r="N21" s="14">
        <v>0.03</v>
      </c>
      <c r="O21" s="14">
        <v>0.02</v>
      </c>
      <c r="P21" s="14">
        <v>0.05</v>
      </c>
      <c r="Q21" s="14">
        <v>0.02</v>
      </c>
      <c r="R21" s="14">
        <v>0.02</v>
      </c>
      <c r="S21" s="14">
        <v>0.01</v>
      </c>
      <c r="T21" s="14">
        <v>0.02</v>
      </c>
      <c r="U21" s="14">
        <v>0.02</v>
      </c>
      <c r="V21" s="14">
        <v>0.03</v>
      </c>
      <c r="W21" s="15" t="s">
        <v>459</v>
      </c>
      <c r="X21" s="14">
        <v>0.03</v>
      </c>
      <c r="Y21" s="14">
        <v>0.01</v>
      </c>
      <c r="Z21" s="14">
        <v>0.03</v>
      </c>
      <c r="AA21" s="14">
        <v>0.02</v>
      </c>
      <c r="AB21" s="14">
        <v>0.02</v>
      </c>
      <c r="AC21" s="14">
        <v>0.02</v>
      </c>
      <c r="AD21" s="14">
        <v>0.02</v>
      </c>
      <c r="AE21" s="14">
        <v>0.02</v>
      </c>
      <c r="AF21" s="14">
        <v>0.01</v>
      </c>
    </row>
    <row r="22" spans="1:32">
      <c r="A22" s="20"/>
      <c r="B22" s="11" t="s">
        <v>1675</v>
      </c>
      <c r="C22" s="12">
        <v>11121</v>
      </c>
      <c r="D22" s="12">
        <v>335</v>
      </c>
      <c r="E22" s="12">
        <v>404</v>
      </c>
      <c r="F22" s="12">
        <v>373</v>
      </c>
      <c r="G22" s="12">
        <v>284</v>
      </c>
      <c r="H22" s="12">
        <v>517</v>
      </c>
      <c r="I22" s="12">
        <v>633</v>
      </c>
      <c r="J22" s="12">
        <v>116</v>
      </c>
      <c r="K22" s="12">
        <v>363</v>
      </c>
      <c r="L22" s="12">
        <v>317</v>
      </c>
      <c r="M22" s="12">
        <v>414</v>
      </c>
      <c r="N22" s="12">
        <v>491</v>
      </c>
      <c r="O22" s="12">
        <v>529</v>
      </c>
      <c r="P22" s="12">
        <v>321</v>
      </c>
      <c r="Q22" s="12">
        <v>449</v>
      </c>
      <c r="R22" s="12">
        <v>180</v>
      </c>
      <c r="S22" s="12">
        <v>429</v>
      </c>
      <c r="T22" s="12">
        <v>449</v>
      </c>
      <c r="U22" s="12">
        <v>144</v>
      </c>
      <c r="V22" s="12">
        <v>390</v>
      </c>
      <c r="W22" s="12">
        <v>148</v>
      </c>
      <c r="X22" s="12">
        <v>230</v>
      </c>
      <c r="Y22" s="12">
        <v>398</v>
      </c>
      <c r="Z22" s="12">
        <v>405</v>
      </c>
      <c r="AA22" s="12">
        <v>446</v>
      </c>
      <c r="AB22" s="12">
        <v>439</v>
      </c>
      <c r="AC22" s="12">
        <v>427</v>
      </c>
      <c r="AD22" s="12">
        <v>346</v>
      </c>
      <c r="AE22" s="12">
        <v>355</v>
      </c>
      <c r="AF22" s="12">
        <v>281</v>
      </c>
    </row>
    <row r="23" spans="1:32">
      <c r="A23" s="20"/>
      <c r="B23" s="13" t="s">
        <v>1676</v>
      </c>
      <c r="C23" s="14">
        <v>0.42</v>
      </c>
      <c r="D23" s="14">
        <v>0.33</v>
      </c>
      <c r="E23" s="14">
        <v>0.4</v>
      </c>
      <c r="F23" s="14">
        <v>0.37</v>
      </c>
      <c r="G23" s="14">
        <v>0.28000000000000003</v>
      </c>
      <c r="H23" s="14">
        <v>0.43</v>
      </c>
      <c r="I23" s="14">
        <v>0.42</v>
      </c>
      <c r="J23" s="14">
        <v>0.4</v>
      </c>
      <c r="K23" s="14">
        <v>0.36</v>
      </c>
      <c r="L23" s="14">
        <v>0.31</v>
      </c>
      <c r="M23" s="14">
        <v>0.41</v>
      </c>
      <c r="N23" s="14">
        <v>0.49</v>
      </c>
      <c r="O23" s="14">
        <v>0.53</v>
      </c>
      <c r="P23" s="14">
        <v>0.31</v>
      </c>
      <c r="Q23" s="14">
        <v>0.44</v>
      </c>
      <c r="R23" s="14">
        <v>0.36</v>
      </c>
      <c r="S23" s="14">
        <v>0.43</v>
      </c>
      <c r="T23" s="14">
        <v>0.44</v>
      </c>
      <c r="U23" s="14">
        <v>0.28999999999999998</v>
      </c>
      <c r="V23" s="14">
        <v>0.38</v>
      </c>
      <c r="W23" s="14">
        <v>0.3</v>
      </c>
      <c r="X23" s="14">
        <v>0.23</v>
      </c>
      <c r="Y23" s="14">
        <v>0.39</v>
      </c>
      <c r="Z23" s="14">
        <v>0.4</v>
      </c>
      <c r="AA23" s="14">
        <v>0.42</v>
      </c>
      <c r="AB23" s="14">
        <v>0.42</v>
      </c>
      <c r="AC23" s="14">
        <v>0.42</v>
      </c>
      <c r="AD23" s="14">
        <v>0.34</v>
      </c>
      <c r="AE23" s="14">
        <v>0.35</v>
      </c>
      <c r="AF23" s="14">
        <v>0.28000000000000003</v>
      </c>
    </row>
    <row r="24" spans="1:32" ht="24.95">
      <c r="A24" s="20"/>
      <c r="B24" s="11" t="s">
        <v>1677</v>
      </c>
      <c r="C24" s="12">
        <v>393</v>
      </c>
      <c r="D24" s="12">
        <v>41</v>
      </c>
      <c r="E24" s="12">
        <v>25</v>
      </c>
      <c r="F24" s="12">
        <v>23</v>
      </c>
      <c r="G24" s="12">
        <v>39</v>
      </c>
      <c r="H24" s="12">
        <v>30</v>
      </c>
      <c r="I24" s="12">
        <v>32</v>
      </c>
      <c r="J24" s="12">
        <v>2</v>
      </c>
      <c r="K24" s="12">
        <v>10</v>
      </c>
      <c r="L24" s="12">
        <v>4</v>
      </c>
      <c r="M24" s="12">
        <v>38</v>
      </c>
      <c r="N24" s="12">
        <v>1</v>
      </c>
      <c r="O24" s="12">
        <v>8</v>
      </c>
      <c r="P24" s="12">
        <v>22</v>
      </c>
      <c r="Q24" s="12">
        <v>21</v>
      </c>
      <c r="R24" s="12">
        <v>4</v>
      </c>
      <c r="S24" s="12">
        <v>33</v>
      </c>
      <c r="T24" s="12">
        <v>8</v>
      </c>
      <c r="U24" s="12">
        <v>2</v>
      </c>
      <c r="V24" s="12">
        <v>3</v>
      </c>
      <c r="W24" s="12">
        <v>2</v>
      </c>
      <c r="X24" s="12">
        <v>3</v>
      </c>
      <c r="Y24" s="12">
        <v>29</v>
      </c>
      <c r="Z24" s="12">
        <v>1</v>
      </c>
      <c r="AA24" s="12">
        <v>29</v>
      </c>
      <c r="AB24" s="12">
        <v>25</v>
      </c>
      <c r="AC24" s="12">
        <v>14</v>
      </c>
      <c r="AD24" s="12">
        <v>2</v>
      </c>
      <c r="AE24" s="12">
        <v>5</v>
      </c>
      <c r="AF24" s="12">
        <v>13</v>
      </c>
    </row>
    <row r="25" spans="1:32" ht="24.95">
      <c r="A25" s="20"/>
      <c r="B25" s="13" t="s">
        <v>1678</v>
      </c>
      <c r="C25" s="14">
        <v>0.01</v>
      </c>
      <c r="D25" s="14">
        <v>0.04</v>
      </c>
      <c r="E25" s="14">
        <v>0.02</v>
      </c>
      <c r="F25" s="14">
        <v>0.02</v>
      </c>
      <c r="G25" s="14">
        <v>0.04</v>
      </c>
      <c r="H25" s="14">
        <v>0.02</v>
      </c>
      <c r="I25" s="14">
        <v>0.02</v>
      </c>
      <c r="J25" s="14">
        <v>0.01</v>
      </c>
      <c r="K25" s="14">
        <v>0.01</v>
      </c>
      <c r="L25" s="15" t="s">
        <v>459</v>
      </c>
      <c r="M25" s="14">
        <v>0.04</v>
      </c>
      <c r="N25" s="15" t="s">
        <v>459</v>
      </c>
      <c r="O25" s="14">
        <v>0.01</v>
      </c>
      <c r="P25" s="14">
        <v>0.02</v>
      </c>
      <c r="Q25" s="14">
        <v>0.02</v>
      </c>
      <c r="R25" s="14">
        <v>0.01</v>
      </c>
      <c r="S25" s="14">
        <v>0.03</v>
      </c>
      <c r="T25" s="14">
        <v>0.01</v>
      </c>
      <c r="U25" s="15" t="s">
        <v>459</v>
      </c>
      <c r="V25" s="15" t="s">
        <v>459</v>
      </c>
      <c r="W25" s="14">
        <v>0.01</v>
      </c>
      <c r="X25" s="15" t="s">
        <v>459</v>
      </c>
      <c r="Y25" s="14">
        <v>0.03</v>
      </c>
      <c r="Z25" s="15" t="s">
        <v>459</v>
      </c>
      <c r="AA25" s="14">
        <v>0.03</v>
      </c>
      <c r="AB25" s="14">
        <v>0.02</v>
      </c>
      <c r="AC25" s="14">
        <v>0.02</v>
      </c>
      <c r="AD25" s="15" t="s">
        <v>459</v>
      </c>
      <c r="AE25" s="14">
        <v>0.01</v>
      </c>
      <c r="AF25" s="14">
        <v>0.01</v>
      </c>
    </row>
    <row r="26" spans="1:32">
      <c r="A26" s="20"/>
      <c r="B26" s="11" t="s">
        <v>1679</v>
      </c>
      <c r="C26" s="12">
        <v>14805</v>
      </c>
      <c r="D26" s="12">
        <v>626</v>
      </c>
      <c r="E26" s="12">
        <v>589</v>
      </c>
      <c r="F26" s="12">
        <v>609</v>
      </c>
      <c r="G26" s="12">
        <v>681</v>
      </c>
      <c r="H26" s="12">
        <v>669</v>
      </c>
      <c r="I26" s="12">
        <v>844</v>
      </c>
      <c r="J26" s="12">
        <v>176</v>
      </c>
      <c r="K26" s="12">
        <v>634</v>
      </c>
      <c r="L26" s="12">
        <v>685</v>
      </c>
      <c r="M26" s="12">
        <v>551</v>
      </c>
      <c r="N26" s="12">
        <v>513</v>
      </c>
      <c r="O26" s="12">
        <v>465</v>
      </c>
      <c r="P26" s="12">
        <v>679</v>
      </c>
      <c r="Q26" s="12">
        <v>548</v>
      </c>
      <c r="R26" s="12">
        <v>317</v>
      </c>
      <c r="S26" s="12">
        <v>546</v>
      </c>
      <c r="T26" s="12">
        <v>557</v>
      </c>
      <c r="U26" s="12">
        <v>361</v>
      </c>
      <c r="V26" s="12">
        <v>624</v>
      </c>
      <c r="W26" s="12">
        <v>353</v>
      </c>
      <c r="X26" s="12">
        <v>787</v>
      </c>
      <c r="Y26" s="12">
        <v>582</v>
      </c>
      <c r="Z26" s="12">
        <v>602</v>
      </c>
      <c r="AA26" s="12">
        <v>579</v>
      </c>
      <c r="AB26" s="12">
        <v>574</v>
      </c>
      <c r="AC26" s="12">
        <v>569</v>
      </c>
      <c r="AD26" s="12">
        <v>658</v>
      </c>
      <c r="AE26" s="12">
        <v>639</v>
      </c>
      <c r="AF26" s="12">
        <v>727</v>
      </c>
    </row>
    <row r="27" spans="1:32">
      <c r="A27" s="20"/>
      <c r="B27" s="13" t="s">
        <v>1680</v>
      </c>
      <c r="C27" s="14">
        <v>0.57000000000000006</v>
      </c>
      <c r="D27" s="14">
        <v>0.63</v>
      </c>
      <c r="E27" s="14">
        <v>0.57999999999999996</v>
      </c>
      <c r="F27" s="14">
        <v>0.61</v>
      </c>
      <c r="G27" s="14">
        <v>0.68</v>
      </c>
      <c r="H27" s="14">
        <v>0.55000000000000004</v>
      </c>
      <c r="I27" s="14">
        <v>0.56000000000000005</v>
      </c>
      <c r="J27" s="14">
        <v>0.59</v>
      </c>
      <c r="K27" s="14">
        <v>0.63</v>
      </c>
      <c r="L27" s="14">
        <v>0.69000000000000006</v>
      </c>
      <c r="M27" s="14">
        <v>0.55000000000000004</v>
      </c>
      <c r="N27" s="14">
        <v>0.51</v>
      </c>
      <c r="O27" s="14">
        <v>0.46</v>
      </c>
      <c r="P27" s="14">
        <v>0.67</v>
      </c>
      <c r="Q27" s="14">
        <v>0.54</v>
      </c>
      <c r="R27" s="14">
        <v>0.63</v>
      </c>
      <c r="S27" s="14">
        <v>0.54</v>
      </c>
      <c r="T27" s="14">
        <v>0.55000000000000004</v>
      </c>
      <c r="U27" s="14">
        <v>0.71</v>
      </c>
      <c r="V27" s="14">
        <v>0.62</v>
      </c>
      <c r="W27" s="14">
        <v>0.69000000000000006</v>
      </c>
      <c r="X27" s="14">
        <v>0.77</v>
      </c>
      <c r="Y27" s="14">
        <v>0.57999999999999996</v>
      </c>
      <c r="Z27" s="14">
        <v>0.6</v>
      </c>
      <c r="AA27" s="14">
        <v>0.55000000000000004</v>
      </c>
      <c r="AB27" s="14">
        <v>0.56000000000000005</v>
      </c>
      <c r="AC27" s="14">
        <v>0.56000000000000005</v>
      </c>
      <c r="AD27" s="14">
        <v>0.66</v>
      </c>
      <c r="AE27" s="14">
        <v>0.64</v>
      </c>
      <c r="AF27" s="14">
        <v>0.71</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1685</v>
      </c>
      <c r="C3" s="18"/>
      <c r="D3" s="18"/>
      <c r="E3" s="18"/>
      <c r="F3" s="18"/>
      <c r="H3" s="18" t="s">
        <v>1686</v>
      </c>
      <c r="I3" s="18"/>
      <c r="J3" s="18"/>
      <c r="K3" s="18"/>
      <c r="L3" s="18"/>
    </row>
    <row r="4" spans="1:32" ht="27" customHeight="1">
      <c r="B4" s="18" t="s">
        <v>1687</v>
      </c>
      <c r="C4" s="18"/>
      <c r="D4" s="18"/>
      <c r="E4" s="18"/>
      <c r="F4" s="18"/>
      <c r="H4" s="18" t="s">
        <v>1688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1665</v>
      </c>
      <c r="C12" s="12">
        <v>20805</v>
      </c>
      <c r="D12" s="12">
        <v>825</v>
      </c>
      <c r="E12" s="12">
        <v>776</v>
      </c>
      <c r="F12" s="12">
        <v>711</v>
      </c>
      <c r="G12" s="12">
        <v>906</v>
      </c>
      <c r="H12" s="12">
        <v>955</v>
      </c>
      <c r="I12" s="12">
        <v>1188</v>
      </c>
      <c r="J12" s="12">
        <v>234</v>
      </c>
      <c r="K12" s="12">
        <v>818</v>
      </c>
      <c r="L12" s="12">
        <v>826</v>
      </c>
      <c r="M12" s="12">
        <v>745</v>
      </c>
      <c r="N12" s="12">
        <v>802</v>
      </c>
      <c r="O12" s="12">
        <v>798</v>
      </c>
      <c r="P12" s="12">
        <v>781</v>
      </c>
      <c r="Q12" s="12">
        <v>810</v>
      </c>
      <c r="R12" s="12">
        <v>377</v>
      </c>
      <c r="S12" s="12">
        <v>842</v>
      </c>
      <c r="T12" s="12">
        <v>820</v>
      </c>
      <c r="U12" s="12">
        <v>462</v>
      </c>
      <c r="V12" s="12">
        <v>715</v>
      </c>
      <c r="W12" s="12">
        <v>413</v>
      </c>
      <c r="X12" s="12">
        <v>962</v>
      </c>
      <c r="Y12" s="12">
        <v>763</v>
      </c>
      <c r="Z12" s="12">
        <v>724</v>
      </c>
      <c r="AA12" s="12">
        <v>771</v>
      </c>
      <c r="AB12" s="12">
        <v>772</v>
      </c>
      <c r="AC12" s="12">
        <v>825</v>
      </c>
      <c r="AD12" s="12">
        <v>785</v>
      </c>
      <c r="AE12" s="12">
        <v>909</v>
      </c>
      <c r="AF12" s="12">
        <v>958</v>
      </c>
    </row>
    <row r="13" spans="1:32">
      <c r="A13" s="20"/>
      <c r="B13" s="13" t="s">
        <v>1666</v>
      </c>
      <c r="C13" s="14">
        <v>0.79</v>
      </c>
      <c r="D13" s="14">
        <v>0.82000000000000006</v>
      </c>
      <c r="E13" s="14">
        <v>0.76</v>
      </c>
      <c r="F13" s="14">
        <v>0.71</v>
      </c>
      <c r="G13" s="14">
        <v>0.9</v>
      </c>
      <c r="H13" s="14">
        <v>0.79</v>
      </c>
      <c r="I13" s="14">
        <v>0.79</v>
      </c>
      <c r="J13" s="14">
        <v>0.8</v>
      </c>
      <c r="K13" s="14">
        <v>0.81</v>
      </c>
      <c r="L13" s="14">
        <v>0.82000000000000006</v>
      </c>
      <c r="M13" s="14">
        <v>0.74</v>
      </c>
      <c r="N13" s="14">
        <v>0.8</v>
      </c>
      <c r="O13" s="14">
        <v>0.8</v>
      </c>
      <c r="P13" s="14">
        <v>0.76</v>
      </c>
      <c r="Q13" s="14">
        <v>0.79</v>
      </c>
      <c r="R13" s="14">
        <v>0.75</v>
      </c>
      <c r="S13" s="14">
        <v>0.84</v>
      </c>
      <c r="T13" s="14">
        <v>0.81</v>
      </c>
      <c r="U13" s="14">
        <v>0.91</v>
      </c>
      <c r="V13" s="14">
        <v>0.70000000000000007</v>
      </c>
      <c r="W13" s="14">
        <v>0.82000000000000006</v>
      </c>
      <c r="X13" s="14">
        <v>0.94000000000000006</v>
      </c>
      <c r="Y13" s="14">
        <v>0.76</v>
      </c>
      <c r="Z13" s="14">
        <v>0.72</v>
      </c>
      <c r="AA13" s="14">
        <v>0.73</v>
      </c>
      <c r="AB13" s="14">
        <v>0.74</v>
      </c>
      <c r="AC13" s="14">
        <v>0.82000000000000006</v>
      </c>
      <c r="AD13" s="14">
        <v>0.78</v>
      </c>
      <c r="AE13" s="14">
        <v>0.91</v>
      </c>
      <c r="AF13" s="14">
        <v>0.94000000000000006</v>
      </c>
    </row>
    <row r="14" spans="1:32">
      <c r="A14" s="20"/>
      <c r="B14" s="11" t="s">
        <v>1667</v>
      </c>
      <c r="C14" s="12">
        <v>1749</v>
      </c>
      <c r="D14" s="12">
        <v>67</v>
      </c>
      <c r="E14" s="12">
        <v>65</v>
      </c>
      <c r="F14" s="12">
        <v>78</v>
      </c>
      <c r="G14" s="12">
        <v>24</v>
      </c>
      <c r="H14" s="12">
        <v>94</v>
      </c>
      <c r="I14" s="12">
        <v>118</v>
      </c>
      <c r="J14" s="12">
        <v>24</v>
      </c>
      <c r="K14" s="12">
        <v>39</v>
      </c>
      <c r="L14" s="12">
        <v>67</v>
      </c>
      <c r="M14" s="12">
        <v>85</v>
      </c>
      <c r="N14" s="12">
        <v>61</v>
      </c>
      <c r="O14" s="12">
        <v>73</v>
      </c>
      <c r="P14" s="12">
        <v>54</v>
      </c>
      <c r="Q14" s="12">
        <v>71</v>
      </c>
      <c r="R14" s="12">
        <v>26</v>
      </c>
      <c r="S14" s="12">
        <v>24</v>
      </c>
      <c r="T14" s="12">
        <v>28</v>
      </c>
      <c r="U14" s="12">
        <v>19</v>
      </c>
      <c r="V14" s="12">
        <v>72</v>
      </c>
      <c r="W14" s="12">
        <v>25</v>
      </c>
      <c r="X14" s="12">
        <v>24</v>
      </c>
      <c r="Y14" s="12">
        <v>91</v>
      </c>
      <c r="Z14" s="12">
        <v>79</v>
      </c>
      <c r="AA14" s="12">
        <v>55</v>
      </c>
      <c r="AB14" s="12">
        <v>64</v>
      </c>
      <c r="AC14" s="12">
        <v>55</v>
      </c>
      <c r="AD14" s="12">
        <v>66</v>
      </c>
      <c r="AE14" s="12">
        <v>20</v>
      </c>
      <c r="AF14" s="12">
        <v>23</v>
      </c>
    </row>
    <row r="15" spans="1:32">
      <c r="A15" s="20"/>
      <c r="B15" s="13" t="s">
        <v>1668</v>
      </c>
      <c r="C15" s="14">
        <v>7.0000000000000007E-2</v>
      </c>
      <c r="D15" s="14">
        <v>7.0000000000000007E-2</v>
      </c>
      <c r="E15" s="14">
        <v>7.0000000000000007E-2</v>
      </c>
      <c r="F15" s="14">
        <v>0.08</v>
      </c>
      <c r="G15" s="14">
        <v>0.03</v>
      </c>
      <c r="H15" s="14">
        <v>0.08</v>
      </c>
      <c r="I15" s="14">
        <v>0.08</v>
      </c>
      <c r="J15" s="14">
        <v>0.08</v>
      </c>
      <c r="K15" s="14">
        <v>0.04</v>
      </c>
      <c r="L15" s="14">
        <v>7.0000000000000007E-2</v>
      </c>
      <c r="M15" s="14">
        <v>0.08</v>
      </c>
      <c r="N15" s="14">
        <v>0.06</v>
      </c>
      <c r="O15" s="14">
        <v>7.0000000000000007E-2</v>
      </c>
      <c r="P15" s="14">
        <v>0.05</v>
      </c>
      <c r="Q15" s="14">
        <v>7.0000000000000007E-2</v>
      </c>
      <c r="R15" s="14">
        <v>0.05</v>
      </c>
      <c r="S15" s="14">
        <v>0.02</v>
      </c>
      <c r="T15" s="14">
        <v>0.03</v>
      </c>
      <c r="U15" s="14">
        <v>0.04</v>
      </c>
      <c r="V15" s="14">
        <v>7.0000000000000007E-2</v>
      </c>
      <c r="W15" s="14">
        <v>0.05</v>
      </c>
      <c r="X15" s="14">
        <v>0.03</v>
      </c>
      <c r="Y15" s="14">
        <v>0.09</v>
      </c>
      <c r="Z15" s="14">
        <v>0.08</v>
      </c>
      <c r="AA15" s="14">
        <v>0.05</v>
      </c>
      <c r="AB15" s="14">
        <v>0.06</v>
      </c>
      <c r="AC15" s="14">
        <v>0.06</v>
      </c>
      <c r="AD15" s="14">
        <v>7.0000000000000007E-2</v>
      </c>
      <c r="AE15" s="14">
        <v>0.02</v>
      </c>
      <c r="AF15" s="14">
        <v>0.02</v>
      </c>
    </row>
    <row r="16" spans="1:32">
      <c r="A16" s="20"/>
      <c r="B16" s="11" t="s">
        <v>1669</v>
      </c>
      <c r="C16" s="12">
        <v>476</v>
      </c>
      <c r="D16" s="12">
        <v>16</v>
      </c>
      <c r="E16" s="12">
        <v>21</v>
      </c>
      <c r="F16" s="12">
        <v>18</v>
      </c>
      <c r="G16" s="12">
        <v>9</v>
      </c>
      <c r="H16" s="12">
        <v>14</v>
      </c>
      <c r="I16" s="12">
        <v>22</v>
      </c>
      <c r="J16" s="12">
        <v>8</v>
      </c>
      <c r="K16" s="12">
        <v>15</v>
      </c>
      <c r="L16" s="12">
        <v>22</v>
      </c>
      <c r="M16" s="12">
        <v>17</v>
      </c>
      <c r="N16" s="12">
        <v>24</v>
      </c>
      <c r="O16" s="12">
        <v>15</v>
      </c>
      <c r="P16" s="12">
        <v>11</v>
      </c>
      <c r="Q16" s="12">
        <v>22</v>
      </c>
      <c r="R16" s="12">
        <v>9</v>
      </c>
      <c r="S16" s="12">
        <v>6</v>
      </c>
      <c r="T16" s="12">
        <v>9</v>
      </c>
      <c r="U16" s="12">
        <v>3</v>
      </c>
      <c r="V16" s="12">
        <v>27</v>
      </c>
      <c r="W16" s="12">
        <v>5</v>
      </c>
      <c r="X16" s="12">
        <v>11</v>
      </c>
      <c r="Y16" s="12">
        <v>52</v>
      </c>
      <c r="Z16" s="12">
        <v>24</v>
      </c>
      <c r="AA16" s="12">
        <v>17</v>
      </c>
      <c r="AB16" s="12">
        <v>16</v>
      </c>
      <c r="AC16" s="12">
        <v>12</v>
      </c>
      <c r="AD16" s="12">
        <v>18</v>
      </c>
      <c r="AE16" s="12">
        <v>7</v>
      </c>
      <c r="AF16" s="12">
        <v>6</v>
      </c>
    </row>
    <row r="17" spans="1:32">
      <c r="A17" s="20"/>
      <c r="B17" s="13" t="s">
        <v>1670</v>
      </c>
      <c r="C17" s="14">
        <v>0.02</v>
      </c>
      <c r="D17" s="14">
        <v>0.02</v>
      </c>
      <c r="E17" s="14">
        <v>0.02</v>
      </c>
      <c r="F17" s="14">
        <v>0.02</v>
      </c>
      <c r="G17" s="14">
        <v>0.01</v>
      </c>
      <c r="H17" s="14">
        <v>0.01</v>
      </c>
      <c r="I17" s="14">
        <v>0.02</v>
      </c>
      <c r="J17" s="14">
        <v>0.03</v>
      </c>
      <c r="K17" s="14">
        <v>0.02</v>
      </c>
      <c r="L17" s="14">
        <v>0.02</v>
      </c>
      <c r="M17" s="14">
        <v>0.02</v>
      </c>
      <c r="N17" s="14">
        <v>0.02</v>
      </c>
      <c r="O17" s="14">
        <v>0.01</v>
      </c>
      <c r="P17" s="14">
        <v>0.01</v>
      </c>
      <c r="Q17" s="14">
        <v>0.02</v>
      </c>
      <c r="R17" s="14">
        <v>0.02</v>
      </c>
      <c r="S17" s="14">
        <v>0.01</v>
      </c>
      <c r="T17" s="14">
        <v>0.01</v>
      </c>
      <c r="U17" s="14">
        <v>0.01</v>
      </c>
      <c r="V17" s="14">
        <v>0.03</v>
      </c>
      <c r="W17" s="14">
        <v>0.01</v>
      </c>
      <c r="X17" s="14">
        <v>0.01</v>
      </c>
      <c r="Y17" s="14">
        <v>0.05</v>
      </c>
      <c r="Z17" s="14">
        <v>0.02</v>
      </c>
      <c r="AA17" s="14">
        <v>0.02</v>
      </c>
      <c r="AB17" s="14">
        <v>0.02</v>
      </c>
      <c r="AC17" s="14">
        <v>0.01</v>
      </c>
      <c r="AD17" s="14">
        <v>0.02</v>
      </c>
      <c r="AE17" s="14">
        <v>0.01</v>
      </c>
      <c r="AF17" s="14">
        <v>0.01</v>
      </c>
    </row>
    <row r="18" spans="1:32">
      <c r="A18" s="20"/>
      <c r="B18" s="11" t="s">
        <v>1671</v>
      </c>
      <c r="C18" s="12">
        <v>156</v>
      </c>
      <c r="D18" s="12">
        <v>8</v>
      </c>
      <c r="E18" s="12">
        <v>12</v>
      </c>
      <c r="F18" s="12">
        <v>6</v>
      </c>
      <c r="G18" s="12">
        <v>1</v>
      </c>
      <c r="H18" s="12">
        <v>5</v>
      </c>
      <c r="I18" s="12">
        <v>6</v>
      </c>
      <c r="J18" s="12">
        <v>1</v>
      </c>
      <c r="K18" s="12">
        <v>2</v>
      </c>
      <c r="L18" s="12">
        <v>9</v>
      </c>
      <c r="M18" s="12">
        <v>7</v>
      </c>
      <c r="N18" s="12">
        <v>5</v>
      </c>
      <c r="O18" s="12">
        <v>9</v>
      </c>
      <c r="P18" s="12">
        <v>15</v>
      </c>
      <c r="Q18" s="12">
        <v>5</v>
      </c>
      <c r="R18" s="12">
        <v>2</v>
      </c>
      <c r="S18" s="12">
        <v>3</v>
      </c>
      <c r="T18" s="12">
        <v>2</v>
      </c>
      <c r="U18" s="12">
        <v>1</v>
      </c>
      <c r="V18" s="12">
        <v>11</v>
      </c>
      <c r="W18" s="12">
        <v>6</v>
      </c>
      <c r="X18" s="12">
        <v>2</v>
      </c>
      <c r="Y18" s="12">
        <v>10</v>
      </c>
      <c r="Z18" s="12">
        <v>6</v>
      </c>
      <c r="AA18" s="12">
        <v>5</v>
      </c>
      <c r="AB18" s="12">
        <v>4</v>
      </c>
      <c r="AC18" s="12">
        <v>4</v>
      </c>
      <c r="AD18" s="12">
        <v>2</v>
      </c>
      <c r="AE18" s="12">
        <v>3</v>
      </c>
      <c r="AF18" s="12">
        <v>7</v>
      </c>
    </row>
    <row r="19" spans="1:32">
      <c r="A19" s="20"/>
      <c r="B19" s="13" t="s">
        <v>1672</v>
      </c>
      <c r="C19" s="15" t="s">
        <v>459</v>
      </c>
      <c r="D19" s="14">
        <v>0.01</v>
      </c>
      <c r="E19" s="14">
        <v>0.01</v>
      </c>
      <c r="F19" s="15" t="s">
        <v>459</v>
      </c>
      <c r="G19" s="15" t="s">
        <v>459</v>
      </c>
      <c r="H19" s="15" t="s">
        <v>459</v>
      </c>
      <c r="I19" s="15" t="s">
        <v>459</v>
      </c>
      <c r="J19" s="15" t="s">
        <v>459</v>
      </c>
      <c r="K19" s="15" t="s">
        <v>459</v>
      </c>
      <c r="L19" s="14">
        <v>0.01</v>
      </c>
      <c r="M19" s="14">
        <v>0.01</v>
      </c>
      <c r="N19" s="14">
        <v>0.01</v>
      </c>
      <c r="O19" s="14">
        <v>0.01</v>
      </c>
      <c r="P19" s="14">
        <v>0.02</v>
      </c>
      <c r="Q19" s="14">
        <v>0.01</v>
      </c>
      <c r="R19" s="15" t="s">
        <v>459</v>
      </c>
      <c r="S19" s="15" t="s">
        <v>459</v>
      </c>
      <c r="T19" s="15" t="s">
        <v>459</v>
      </c>
      <c r="U19" s="15" t="s">
        <v>459</v>
      </c>
      <c r="V19" s="14">
        <v>0.01</v>
      </c>
      <c r="W19" s="14">
        <v>0.01</v>
      </c>
      <c r="X19" s="15" t="s">
        <v>459</v>
      </c>
      <c r="Y19" s="14">
        <v>0.01</v>
      </c>
      <c r="Z19" s="14">
        <v>0.01</v>
      </c>
      <c r="AA19" s="14">
        <v>0.01</v>
      </c>
      <c r="AB19" s="15" t="s">
        <v>459</v>
      </c>
      <c r="AC19" s="15" t="s">
        <v>459</v>
      </c>
      <c r="AD19" s="15" t="s">
        <v>459</v>
      </c>
      <c r="AE19" s="15" t="s">
        <v>459</v>
      </c>
      <c r="AF19" s="14">
        <v>0.01</v>
      </c>
    </row>
    <row r="20" spans="1:32">
      <c r="A20" s="20"/>
      <c r="B20" s="11" t="s">
        <v>1673</v>
      </c>
      <c r="C20" s="12">
        <v>318</v>
      </c>
      <c r="D20" s="12">
        <v>24</v>
      </c>
      <c r="E20" s="12">
        <v>13</v>
      </c>
      <c r="F20" s="12">
        <v>24</v>
      </c>
      <c r="G20" s="12">
        <v>8</v>
      </c>
      <c r="H20" s="12">
        <v>26</v>
      </c>
      <c r="I20" s="12">
        <v>30</v>
      </c>
      <c r="J20" s="12">
        <v>3</v>
      </c>
      <c r="K20" s="12">
        <v>12</v>
      </c>
      <c r="L20" s="12">
        <v>23</v>
      </c>
      <c r="M20" s="12">
        <v>4</v>
      </c>
      <c r="N20" s="12">
        <v>13</v>
      </c>
      <c r="O20" s="12">
        <v>8</v>
      </c>
      <c r="P20" s="12">
        <v>32</v>
      </c>
      <c r="Q20" s="12">
        <v>6</v>
      </c>
      <c r="R20" s="12">
        <v>9</v>
      </c>
      <c r="S20" s="12">
        <v>8</v>
      </c>
      <c r="T20" s="12">
        <v>4</v>
      </c>
      <c r="U20" s="12">
        <v>4</v>
      </c>
      <c r="V20" s="12">
        <v>9</v>
      </c>
      <c r="W20" s="12">
        <v>4</v>
      </c>
      <c r="X20" s="12">
        <v>10</v>
      </c>
      <c r="Y20" s="12">
        <v>14</v>
      </c>
      <c r="Z20" s="12">
        <v>9</v>
      </c>
      <c r="AA20" s="12">
        <v>14</v>
      </c>
      <c r="AB20" s="12">
        <v>10</v>
      </c>
      <c r="AC20" s="12">
        <v>12</v>
      </c>
      <c r="AD20" s="12">
        <v>14</v>
      </c>
      <c r="AE20" s="12">
        <v>9</v>
      </c>
      <c r="AF20" s="12">
        <v>9</v>
      </c>
    </row>
    <row r="21" spans="1:32">
      <c r="A21" s="20"/>
      <c r="B21" s="13" t="s">
        <v>1674</v>
      </c>
      <c r="C21" s="14">
        <v>0.01</v>
      </c>
      <c r="D21" s="14">
        <v>0.02</v>
      </c>
      <c r="E21" s="14">
        <v>0.01</v>
      </c>
      <c r="F21" s="14">
        <v>0.02</v>
      </c>
      <c r="G21" s="14">
        <v>0.01</v>
      </c>
      <c r="H21" s="14">
        <v>0.02</v>
      </c>
      <c r="I21" s="14">
        <v>0.02</v>
      </c>
      <c r="J21" s="14">
        <v>0.01</v>
      </c>
      <c r="K21" s="14">
        <v>0.01</v>
      </c>
      <c r="L21" s="14">
        <v>0.02</v>
      </c>
      <c r="M21" s="15" t="s">
        <v>459</v>
      </c>
      <c r="N21" s="14">
        <v>0.01</v>
      </c>
      <c r="O21" s="14">
        <v>0.01</v>
      </c>
      <c r="P21" s="14">
        <v>0.03</v>
      </c>
      <c r="Q21" s="14">
        <v>0.01</v>
      </c>
      <c r="R21" s="14">
        <v>0.02</v>
      </c>
      <c r="S21" s="14">
        <v>0.01</v>
      </c>
      <c r="T21" s="15" t="s">
        <v>459</v>
      </c>
      <c r="U21" s="14">
        <v>0.01</v>
      </c>
      <c r="V21" s="14">
        <v>0.01</v>
      </c>
      <c r="W21" s="14">
        <v>0.01</v>
      </c>
      <c r="X21" s="14">
        <v>0.01</v>
      </c>
      <c r="Y21" s="14">
        <v>0.01</v>
      </c>
      <c r="Z21" s="14">
        <v>0.01</v>
      </c>
      <c r="AA21" s="14">
        <v>0.01</v>
      </c>
      <c r="AB21" s="14">
        <v>0.01</v>
      </c>
      <c r="AC21" s="14">
        <v>0.01</v>
      </c>
      <c r="AD21" s="14">
        <v>0.01</v>
      </c>
      <c r="AE21" s="14">
        <v>0.01</v>
      </c>
      <c r="AF21" s="14">
        <v>0.01</v>
      </c>
    </row>
    <row r="22" spans="1:32">
      <c r="A22" s="20"/>
      <c r="B22" s="11" t="s">
        <v>1675</v>
      </c>
      <c r="C22" s="12">
        <v>2597</v>
      </c>
      <c r="D22" s="12">
        <v>47</v>
      </c>
      <c r="E22" s="12">
        <v>114</v>
      </c>
      <c r="F22" s="12">
        <v>147</v>
      </c>
      <c r="G22" s="12">
        <v>54</v>
      </c>
      <c r="H22" s="12">
        <v>103</v>
      </c>
      <c r="I22" s="12">
        <v>126</v>
      </c>
      <c r="J22" s="12">
        <v>23</v>
      </c>
      <c r="K22" s="12">
        <v>109</v>
      </c>
      <c r="L22" s="12">
        <v>57</v>
      </c>
      <c r="M22" s="12">
        <v>128</v>
      </c>
      <c r="N22" s="12">
        <v>97</v>
      </c>
      <c r="O22" s="12">
        <v>101</v>
      </c>
      <c r="P22" s="12">
        <v>116</v>
      </c>
      <c r="Q22" s="12">
        <v>95</v>
      </c>
      <c r="R22" s="12">
        <v>73</v>
      </c>
      <c r="S22" s="12">
        <v>102</v>
      </c>
      <c r="T22" s="12">
        <v>139</v>
      </c>
      <c r="U22" s="12">
        <v>16</v>
      </c>
      <c r="V22" s="12">
        <v>181</v>
      </c>
      <c r="W22" s="12">
        <v>31</v>
      </c>
      <c r="X22" s="12">
        <v>10</v>
      </c>
      <c r="Y22" s="12">
        <v>57</v>
      </c>
      <c r="Z22" s="12">
        <v>166</v>
      </c>
      <c r="AA22" s="12">
        <v>168</v>
      </c>
      <c r="AB22" s="12">
        <v>146</v>
      </c>
      <c r="AC22" s="12">
        <v>93</v>
      </c>
      <c r="AD22" s="12">
        <v>118</v>
      </c>
      <c r="AE22" s="12">
        <v>45</v>
      </c>
      <c r="AF22" s="12">
        <v>16</v>
      </c>
    </row>
    <row r="23" spans="1:32">
      <c r="A23" s="20"/>
      <c r="B23" s="13" t="s">
        <v>1676</v>
      </c>
      <c r="C23" s="14">
        <v>0.1</v>
      </c>
      <c r="D23" s="14">
        <v>0.05</v>
      </c>
      <c r="E23" s="14">
        <v>0.11</v>
      </c>
      <c r="F23" s="14">
        <v>0.15</v>
      </c>
      <c r="G23" s="14">
        <v>0.05</v>
      </c>
      <c r="H23" s="14">
        <v>0.08</v>
      </c>
      <c r="I23" s="14">
        <v>0.08</v>
      </c>
      <c r="J23" s="14">
        <v>0.08</v>
      </c>
      <c r="K23" s="14">
        <v>0.11</v>
      </c>
      <c r="L23" s="14">
        <v>0.06</v>
      </c>
      <c r="M23" s="14">
        <v>0.13</v>
      </c>
      <c r="N23" s="14">
        <v>0.1</v>
      </c>
      <c r="O23" s="14">
        <v>0.1</v>
      </c>
      <c r="P23" s="14">
        <v>0.12</v>
      </c>
      <c r="Q23" s="14">
        <v>0.09</v>
      </c>
      <c r="R23" s="14">
        <v>0.15</v>
      </c>
      <c r="S23" s="14">
        <v>0.1</v>
      </c>
      <c r="T23" s="14">
        <v>0.14000000000000001</v>
      </c>
      <c r="U23" s="14">
        <v>0.03</v>
      </c>
      <c r="V23" s="14">
        <v>0.18</v>
      </c>
      <c r="W23" s="14">
        <v>0.06</v>
      </c>
      <c r="X23" s="14">
        <v>0.01</v>
      </c>
      <c r="Y23" s="14">
        <v>0.06</v>
      </c>
      <c r="Z23" s="14">
        <v>0.16</v>
      </c>
      <c r="AA23" s="14">
        <v>0.16</v>
      </c>
      <c r="AB23" s="14">
        <v>0.14000000000000001</v>
      </c>
      <c r="AC23" s="14">
        <v>0.09</v>
      </c>
      <c r="AD23" s="14">
        <v>0.12</v>
      </c>
      <c r="AE23" s="14">
        <v>0.04</v>
      </c>
      <c r="AF23" s="14">
        <v>0.01</v>
      </c>
    </row>
    <row r="24" spans="1:32" ht="24.95">
      <c r="A24" s="20"/>
      <c r="B24" s="11" t="s">
        <v>1677</v>
      </c>
      <c r="C24" s="12">
        <v>217</v>
      </c>
      <c r="D24" s="12">
        <v>15</v>
      </c>
      <c r="E24" s="12">
        <v>16</v>
      </c>
      <c r="F24" s="12">
        <v>22</v>
      </c>
      <c r="G24" s="12">
        <v>2</v>
      </c>
      <c r="H24" s="12">
        <v>20</v>
      </c>
      <c r="I24" s="12">
        <v>20</v>
      </c>
      <c r="J24" s="12">
        <v>1</v>
      </c>
      <c r="K24" s="12">
        <v>11</v>
      </c>
      <c r="L24" s="12">
        <v>2</v>
      </c>
      <c r="M24" s="12">
        <v>17</v>
      </c>
      <c r="N24" s="12">
        <v>1</v>
      </c>
      <c r="O24" s="12">
        <v>0</v>
      </c>
      <c r="P24" s="12">
        <v>12</v>
      </c>
      <c r="Q24" s="12">
        <v>10</v>
      </c>
      <c r="R24" s="12">
        <v>4</v>
      </c>
      <c r="S24" s="12">
        <v>22</v>
      </c>
      <c r="T24" s="12">
        <v>12</v>
      </c>
      <c r="U24" s="12">
        <v>2</v>
      </c>
      <c r="V24" s="12">
        <v>2</v>
      </c>
      <c r="W24" s="12">
        <v>18</v>
      </c>
      <c r="X24" s="12">
        <v>1</v>
      </c>
      <c r="Y24" s="12">
        <v>22</v>
      </c>
      <c r="Z24" s="12">
        <v>0</v>
      </c>
      <c r="AA24" s="12">
        <v>22</v>
      </c>
      <c r="AB24" s="12">
        <v>27</v>
      </c>
      <c r="AC24" s="12">
        <v>9</v>
      </c>
      <c r="AD24" s="12">
        <v>4</v>
      </c>
      <c r="AE24" s="12">
        <v>8</v>
      </c>
      <c r="AF24" s="12">
        <v>1</v>
      </c>
    </row>
    <row r="25" spans="1:32" ht="24.95">
      <c r="A25" s="20"/>
      <c r="B25" s="13" t="s">
        <v>1678</v>
      </c>
      <c r="C25" s="14">
        <v>0.01</v>
      </c>
      <c r="D25" s="14">
        <v>0.01</v>
      </c>
      <c r="E25" s="14">
        <v>0.02</v>
      </c>
      <c r="F25" s="14">
        <v>0.02</v>
      </c>
      <c r="G25" s="15" t="s">
        <v>459</v>
      </c>
      <c r="H25" s="14">
        <v>0.02</v>
      </c>
      <c r="I25" s="14">
        <v>0.01</v>
      </c>
      <c r="J25" s="15" t="s">
        <v>459</v>
      </c>
      <c r="K25" s="14">
        <v>0.01</v>
      </c>
      <c r="L25" s="15" t="s">
        <v>459</v>
      </c>
      <c r="M25" s="14">
        <v>0.02</v>
      </c>
      <c r="N25" s="15" t="s">
        <v>459</v>
      </c>
      <c r="O25" s="15" t="s">
        <v>459</v>
      </c>
      <c r="P25" s="14">
        <v>0.01</v>
      </c>
      <c r="Q25" s="14">
        <v>0.01</v>
      </c>
      <c r="R25" s="14">
        <v>0.01</v>
      </c>
      <c r="S25" s="14">
        <v>0.02</v>
      </c>
      <c r="T25" s="14">
        <v>0.01</v>
      </c>
      <c r="U25" s="15" t="s">
        <v>459</v>
      </c>
      <c r="V25" s="15" t="s">
        <v>459</v>
      </c>
      <c r="W25" s="14">
        <v>0.04</v>
      </c>
      <c r="X25" s="15" t="s">
        <v>459</v>
      </c>
      <c r="Y25" s="14">
        <v>0.02</v>
      </c>
      <c r="Z25" s="15" t="s">
        <v>459</v>
      </c>
      <c r="AA25" s="14">
        <v>0.02</v>
      </c>
      <c r="AB25" s="14">
        <v>0.03</v>
      </c>
      <c r="AC25" s="14">
        <v>0.01</v>
      </c>
      <c r="AD25" s="15" t="s">
        <v>459</v>
      </c>
      <c r="AE25" s="14">
        <v>0.01</v>
      </c>
      <c r="AF25" s="15" t="s">
        <v>459</v>
      </c>
    </row>
    <row r="26" spans="1:32">
      <c r="A26" s="20"/>
      <c r="B26" s="11" t="s">
        <v>1679</v>
      </c>
      <c r="C26" s="12">
        <v>23504</v>
      </c>
      <c r="D26" s="12">
        <v>940</v>
      </c>
      <c r="E26" s="12">
        <v>887</v>
      </c>
      <c r="F26" s="12">
        <v>837</v>
      </c>
      <c r="G26" s="12">
        <v>948</v>
      </c>
      <c r="H26" s="12">
        <v>1094</v>
      </c>
      <c r="I26" s="12">
        <v>1364</v>
      </c>
      <c r="J26" s="12">
        <v>270</v>
      </c>
      <c r="K26" s="12">
        <v>886</v>
      </c>
      <c r="L26" s="12">
        <v>947</v>
      </c>
      <c r="M26" s="12">
        <v>858</v>
      </c>
      <c r="N26" s="12">
        <v>905</v>
      </c>
      <c r="O26" s="12">
        <v>903</v>
      </c>
      <c r="P26" s="12">
        <v>893</v>
      </c>
      <c r="Q26" s="12">
        <v>914</v>
      </c>
      <c r="R26" s="12">
        <v>423</v>
      </c>
      <c r="S26" s="12">
        <v>883</v>
      </c>
      <c r="T26" s="12">
        <v>863</v>
      </c>
      <c r="U26" s="12">
        <v>489</v>
      </c>
      <c r="V26" s="12">
        <v>834</v>
      </c>
      <c r="W26" s="12">
        <v>453</v>
      </c>
      <c r="X26" s="12">
        <v>1009</v>
      </c>
      <c r="Y26" s="12">
        <v>930</v>
      </c>
      <c r="Z26" s="12">
        <v>842</v>
      </c>
      <c r="AA26" s="12">
        <v>862</v>
      </c>
      <c r="AB26" s="12">
        <v>866</v>
      </c>
      <c r="AC26" s="12">
        <v>908</v>
      </c>
      <c r="AD26" s="12">
        <v>885</v>
      </c>
      <c r="AE26" s="12">
        <v>948</v>
      </c>
      <c r="AF26" s="12">
        <v>1003</v>
      </c>
    </row>
    <row r="27" spans="1:32">
      <c r="A27" s="20"/>
      <c r="B27" s="13" t="s">
        <v>1680</v>
      </c>
      <c r="C27" s="14">
        <v>0.89</v>
      </c>
      <c r="D27" s="14">
        <v>0.94000000000000006</v>
      </c>
      <c r="E27" s="14">
        <v>0.87</v>
      </c>
      <c r="F27" s="14">
        <v>0.83000000000000007</v>
      </c>
      <c r="G27" s="14">
        <v>0.95000000000000007</v>
      </c>
      <c r="H27" s="14">
        <v>0.9</v>
      </c>
      <c r="I27" s="14">
        <v>0.91</v>
      </c>
      <c r="J27" s="14">
        <v>0.92</v>
      </c>
      <c r="K27" s="14">
        <v>0.88</v>
      </c>
      <c r="L27" s="14">
        <v>0.94000000000000006</v>
      </c>
      <c r="M27" s="14">
        <v>0.85</v>
      </c>
      <c r="N27" s="14">
        <v>0.9</v>
      </c>
      <c r="O27" s="14">
        <v>0.9</v>
      </c>
      <c r="P27" s="14">
        <v>0.87</v>
      </c>
      <c r="Q27" s="14">
        <v>0.9</v>
      </c>
      <c r="R27" s="14">
        <v>0.84</v>
      </c>
      <c r="S27" s="14">
        <v>0.88</v>
      </c>
      <c r="T27" s="14">
        <v>0.85</v>
      </c>
      <c r="U27" s="14">
        <v>0.97</v>
      </c>
      <c r="V27" s="14">
        <v>0.82000000000000006</v>
      </c>
      <c r="W27" s="14">
        <v>0.9</v>
      </c>
      <c r="X27" s="14">
        <v>0.99</v>
      </c>
      <c r="Y27" s="14">
        <v>0.92</v>
      </c>
      <c r="Z27" s="14">
        <v>0.84</v>
      </c>
      <c r="AA27" s="14">
        <v>0.82000000000000006</v>
      </c>
      <c r="AB27" s="14">
        <v>0.83000000000000007</v>
      </c>
      <c r="AC27" s="14">
        <v>0.9</v>
      </c>
      <c r="AD27" s="14">
        <v>0.88</v>
      </c>
      <c r="AE27" s="14">
        <v>0.95000000000000007</v>
      </c>
      <c r="AF27" s="14">
        <v>0.99</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F27"/>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1689</v>
      </c>
      <c r="C3" s="18"/>
      <c r="D3" s="18"/>
      <c r="E3" s="18"/>
      <c r="F3" s="18"/>
      <c r="H3" s="18" t="s">
        <v>1690</v>
      </c>
      <c r="I3" s="18"/>
      <c r="J3" s="18"/>
      <c r="K3" s="18"/>
      <c r="L3" s="18"/>
    </row>
    <row r="4" spans="1:32" ht="27" customHeight="1">
      <c r="B4" s="18" t="s">
        <v>1691</v>
      </c>
      <c r="C4" s="18"/>
      <c r="D4" s="18"/>
      <c r="E4" s="18"/>
      <c r="F4" s="18"/>
      <c r="H4" s="18" t="s">
        <v>1692</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1665</v>
      </c>
      <c r="C12" s="12">
        <v>5808</v>
      </c>
      <c r="D12" s="12">
        <v>318</v>
      </c>
      <c r="E12" s="12">
        <v>181</v>
      </c>
      <c r="F12" s="12">
        <v>166</v>
      </c>
      <c r="G12" s="12">
        <v>206</v>
      </c>
      <c r="H12" s="12">
        <v>217</v>
      </c>
      <c r="I12" s="12">
        <v>260</v>
      </c>
      <c r="J12" s="12">
        <v>43</v>
      </c>
      <c r="K12" s="12">
        <v>270</v>
      </c>
      <c r="L12" s="12">
        <v>241</v>
      </c>
      <c r="M12" s="12">
        <v>209</v>
      </c>
      <c r="N12" s="12">
        <v>293</v>
      </c>
      <c r="O12" s="12">
        <v>175</v>
      </c>
      <c r="P12" s="12">
        <v>309</v>
      </c>
      <c r="Q12" s="12">
        <v>211</v>
      </c>
      <c r="R12" s="12">
        <v>185</v>
      </c>
      <c r="S12" s="12">
        <v>354</v>
      </c>
      <c r="T12" s="12">
        <v>265</v>
      </c>
      <c r="U12" s="12">
        <v>208</v>
      </c>
      <c r="V12" s="12">
        <v>277</v>
      </c>
      <c r="W12" s="12">
        <v>196</v>
      </c>
      <c r="X12" s="12">
        <v>398</v>
      </c>
      <c r="Y12" s="12">
        <v>222</v>
      </c>
      <c r="Z12" s="12">
        <v>138</v>
      </c>
      <c r="AA12" s="12">
        <v>356</v>
      </c>
      <c r="AB12" s="12">
        <v>336</v>
      </c>
      <c r="AC12" s="12">
        <v>254</v>
      </c>
      <c r="AD12" s="12">
        <v>257</v>
      </c>
      <c r="AE12" s="12">
        <v>146</v>
      </c>
      <c r="AF12" s="12">
        <v>199</v>
      </c>
    </row>
    <row r="13" spans="1:32">
      <c r="A13" s="20"/>
      <c r="B13" s="13" t="s">
        <v>1666</v>
      </c>
      <c r="C13" s="14">
        <v>0.22</v>
      </c>
      <c r="D13" s="14">
        <v>0.32</v>
      </c>
      <c r="E13" s="14">
        <v>0.18</v>
      </c>
      <c r="F13" s="14">
        <v>0.16</v>
      </c>
      <c r="G13" s="14">
        <v>0.2</v>
      </c>
      <c r="H13" s="14">
        <v>0.18</v>
      </c>
      <c r="I13" s="14">
        <v>0.17</v>
      </c>
      <c r="J13" s="14">
        <v>0.15</v>
      </c>
      <c r="K13" s="14">
        <v>0.27</v>
      </c>
      <c r="L13" s="14">
        <v>0.24</v>
      </c>
      <c r="M13" s="14">
        <v>0.21</v>
      </c>
      <c r="N13" s="14">
        <v>0.28999999999999998</v>
      </c>
      <c r="O13" s="14">
        <v>0.17</v>
      </c>
      <c r="P13" s="14">
        <v>0.3</v>
      </c>
      <c r="Q13" s="14">
        <v>0.21</v>
      </c>
      <c r="R13" s="14">
        <v>0.37</v>
      </c>
      <c r="S13" s="14">
        <v>0.35</v>
      </c>
      <c r="T13" s="14">
        <v>0.26</v>
      </c>
      <c r="U13" s="14">
        <v>0.41</v>
      </c>
      <c r="V13" s="14">
        <v>0.27</v>
      </c>
      <c r="W13" s="14">
        <v>0.39</v>
      </c>
      <c r="X13" s="14">
        <v>0.39</v>
      </c>
      <c r="Y13" s="14">
        <v>0.22</v>
      </c>
      <c r="Z13" s="14">
        <v>0.14000000000000001</v>
      </c>
      <c r="AA13" s="14">
        <v>0.34</v>
      </c>
      <c r="AB13" s="14">
        <v>0.32</v>
      </c>
      <c r="AC13" s="14">
        <v>0.25</v>
      </c>
      <c r="AD13" s="14">
        <v>0.26</v>
      </c>
      <c r="AE13" s="14">
        <v>0.15</v>
      </c>
      <c r="AF13" s="14">
        <v>0.19</v>
      </c>
    </row>
    <row r="14" spans="1:32">
      <c r="A14" s="20"/>
      <c r="B14" s="11" t="s">
        <v>1667</v>
      </c>
      <c r="C14" s="12">
        <v>1477</v>
      </c>
      <c r="D14" s="12">
        <v>65</v>
      </c>
      <c r="E14" s="12">
        <v>45</v>
      </c>
      <c r="F14" s="12">
        <v>76</v>
      </c>
      <c r="G14" s="12">
        <v>48</v>
      </c>
      <c r="H14" s="12">
        <v>50</v>
      </c>
      <c r="I14" s="12">
        <v>70</v>
      </c>
      <c r="J14" s="12">
        <v>21</v>
      </c>
      <c r="K14" s="12">
        <v>55</v>
      </c>
      <c r="L14" s="12">
        <v>100</v>
      </c>
      <c r="M14" s="12">
        <v>85</v>
      </c>
      <c r="N14" s="12">
        <v>63</v>
      </c>
      <c r="O14" s="12">
        <v>34</v>
      </c>
      <c r="P14" s="12">
        <v>49</v>
      </c>
      <c r="Q14" s="12">
        <v>58</v>
      </c>
      <c r="R14" s="12">
        <v>42</v>
      </c>
      <c r="S14" s="12">
        <v>45</v>
      </c>
      <c r="T14" s="12">
        <v>62</v>
      </c>
      <c r="U14" s="12">
        <v>17</v>
      </c>
      <c r="V14" s="12">
        <v>71</v>
      </c>
      <c r="W14" s="12">
        <v>55</v>
      </c>
      <c r="X14" s="12">
        <v>95</v>
      </c>
      <c r="Y14" s="12">
        <v>85</v>
      </c>
      <c r="Z14" s="12">
        <v>47</v>
      </c>
      <c r="AA14" s="12">
        <v>83</v>
      </c>
      <c r="AB14" s="12">
        <v>56</v>
      </c>
      <c r="AC14" s="12">
        <v>50</v>
      </c>
      <c r="AD14" s="12">
        <v>103</v>
      </c>
      <c r="AE14" s="12">
        <v>43</v>
      </c>
      <c r="AF14" s="12">
        <v>67</v>
      </c>
    </row>
    <row r="15" spans="1:32">
      <c r="A15" s="20"/>
      <c r="B15" s="13" t="s">
        <v>1668</v>
      </c>
      <c r="C15" s="14">
        <v>0.05</v>
      </c>
      <c r="D15" s="14">
        <v>7.0000000000000007E-2</v>
      </c>
      <c r="E15" s="14">
        <v>0.05</v>
      </c>
      <c r="F15" s="14">
        <v>7.0000000000000007E-2</v>
      </c>
      <c r="G15" s="14">
        <v>0.05</v>
      </c>
      <c r="H15" s="14">
        <v>0.04</v>
      </c>
      <c r="I15" s="14">
        <v>0.05</v>
      </c>
      <c r="J15" s="14">
        <v>7.0000000000000007E-2</v>
      </c>
      <c r="K15" s="14">
        <v>0.06</v>
      </c>
      <c r="L15" s="14">
        <v>0.1</v>
      </c>
      <c r="M15" s="14">
        <v>0.08</v>
      </c>
      <c r="N15" s="14">
        <v>0.06</v>
      </c>
      <c r="O15" s="14">
        <v>0.04</v>
      </c>
      <c r="P15" s="14">
        <v>0.05</v>
      </c>
      <c r="Q15" s="14">
        <v>0.06</v>
      </c>
      <c r="R15" s="14">
        <v>0.08</v>
      </c>
      <c r="S15" s="14">
        <v>0.05</v>
      </c>
      <c r="T15" s="14">
        <v>0.06</v>
      </c>
      <c r="U15" s="14">
        <v>0.03</v>
      </c>
      <c r="V15" s="14">
        <v>7.0000000000000007E-2</v>
      </c>
      <c r="W15" s="14">
        <v>0.11</v>
      </c>
      <c r="X15" s="14">
        <v>0.09</v>
      </c>
      <c r="Y15" s="14">
        <v>0.08</v>
      </c>
      <c r="Z15" s="14">
        <v>0.05</v>
      </c>
      <c r="AA15" s="14">
        <v>0.08</v>
      </c>
      <c r="AB15" s="14">
        <v>0.05</v>
      </c>
      <c r="AC15" s="14">
        <v>0.05</v>
      </c>
      <c r="AD15" s="14">
        <v>0.1</v>
      </c>
      <c r="AE15" s="14">
        <v>0.04</v>
      </c>
      <c r="AF15" s="14">
        <v>7.0000000000000007E-2</v>
      </c>
    </row>
    <row r="16" spans="1:32">
      <c r="A16" s="20"/>
      <c r="B16" s="11" t="s">
        <v>1669</v>
      </c>
      <c r="C16" s="12">
        <v>967</v>
      </c>
      <c r="D16" s="12">
        <v>44</v>
      </c>
      <c r="E16" s="12">
        <v>43</v>
      </c>
      <c r="F16" s="12">
        <v>49</v>
      </c>
      <c r="G16" s="12">
        <v>36</v>
      </c>
      <c r="H16" s="12">
        <v>30</v>
      </c>
      <c r="I16" s="12">
        <v>45</v>
      </c>
      <c r="J16" s="12">
        <v>15</v>
      </c>
      <c r="K16" s="12">
        <v>53</v>
      </c>
      <c r="L16" s="12">
        <v>82</v>
      </c>
      <c r="M16" s="12">
        <v>51</v>
      </c>
      <c r="N16" s="12">
        <v>36</v>
      </c>
      <c r="O16" s="12">
        <v>14</v>
      </c>
      <c r="P16" s="12">
        <v>38</v>
      </c>
      <c r="Q16" s="12">
        <v>43</v>
      </c>
      <c r="R16" s="12">
        <v>27</v>
      </c>
      <c r="S16" s="12">
        <v>31</v>
      </c>
      <c r="T16" s="12">
        <v>42</v>
      </c>
      <c r="U16" s="12">
        <v>12</v>
      </c>
      <c r="V16" s="12">
        <v>52</v>
      </c>
      <c r="W16" s="12">
        <v>68</v>
      </c>
      <c r="X16" s="12">
        <v>51</v>
      </c>
      <c r="Y16" s="12">
        <v>84</v>
      </c>
      <c r="Z16" s="12">
        <v>44</v>
      </c>
      <c r="AA16" s="12">
        <v>48</v>
      </c>
      <c r="AB16" s="12">
        <v>26</v>
      </c>
      <c r="AC16" s="12">
        <v>21</v>
      </c>
      <c r="AD16" s="12">
        <v>75</v>
      </c>
      <c r="AE16" s="12">
        <v>36</v>
      </c>
      <c r="AF16" s="12">
        <v>41</v>
      </c>
    </row>
    <row r="17" spans="1:32">
      <c r="A17" s="20"/>
      <c r="B17" s="13" t="s">
        <v>1670</v>
      </c>
      <c r="C17" s="14">
        <v>0.04</v>
      </c>
      <c r="D17" s="14">
        <v>0.04</v>
      </c>
      <c r="E17" s="14">
        <v>0.04</v>
      </c>
      <c r="F17" s="14">
        <v>0.05</v>
      </c>
      <c r="G17" s="14">
        <v>0.04</v>
      </c>
      <c r="H17" s="14">
        <v>0.02</v>
      </c>
      <c r="I17" s="14">
        <v>0.03</v>
      </c>
      <c r="J17" s="14">
        <v>0.05</v>
      </c>
      <c r="K17" s="14">
        <v>0.05</v>
      </c>
      <c r="L17" s="14">
        <v>0.08</v>
      </c>
      <c r="M17" s="14">
        <v>0.05</v>
      </c>
      <c r="N17" s="14">
        <v>0.04</v>
      </c>
      <c r="O17" s="14">
        <v>0.01</v>
      </c>
      <c r="P17" s="14">
        <v>0.04</v>
      </c>
      <c r="Q17" s="14">
        <v>0.04</v>
      </c>
      <c r="R17" s="14">
        <v>0.05</v>
      </c>
      <c r="S17" s="14">
        <v>0.03</v>
      </c>
      <c r="T17" s="14">
        <v>0.04</v>
      </c>
      <c r="U17" s="14">
        <v>0.02</v>
      </c>
      <c r="V17" s="14">
        <v>0.05</v>
      </c>
      <c r="W17" s="14">
        <v>0.13</v>
      </c>
      <c r="X17" s="14">
        <v>0.05</v>
      </c>
      <c r="Y17" s="14">
        <v>0.08</v>
      </c>
      <c r="Z17" s="14">
        <v>0.04</v>
      </c>
      <c r="AA17" s="14">
        <v>0.05</v>
      </c>
      <c r="AB17" s="14">
        <v>0.03</v>
      </c>
      <c r="AC17" s="14">
        <v>0.02</v>
      </c>
      <c r="AD17" s="14">
        <v>7.0000000000000007E-2</v>
      </c>
      <c r="AE17" s="14">
        <v>0.04</v>
      </c>
      <c r="AF17" s="14">
        <v>0.04</v>
      </c>
    </row>
    <row r="18" spans="1:32">
      <c r="A18" s="20"/>
      <c r="B18" s="11" t="s">
        <v>1671</v>
      </c>
      <c r="C18" s="12">
        <v>1035</v>
      </c>
      <c r="D18" s="12">
        <v>32</v>
      </c>
      <c r="E18" s="12">
        <v>49</v>
      </c>
      <c r="F18" s="12">
        <v>57</v>
      </c>
      <c r="G18" s="12">
        <v>63</v>
      </c>
      <c r="H18" s="12">
        <v>34</v>
      </c>
      <c r="I18" s="12">
        <v>49</v>
      </c>
      <c r="J18" s="12">
        <v>14</v>
      </c>
      <c r="K18" s="12">
        <v>66</v>
      </c>
      <c r="L18" s="12">
        <v>52</v>
      </c>
      <c r="M18" s="12">
        <v>38</v>
      </c>
      <c r="N18" s="12">
        <v>26</v>
      </c>
      <c r="O18" s="12">
        <v>20</v>
      </c>
      <c r="P18" s="12">
        <v>28</v>
      </c>
      <c r="Q18" s="12">
        <v>58</v>
      </c>
      <c r="R18" s="12">
        <v>8</v>
      </c>
      <c r="S18" s="12">
        <v>34</v>
      </c>
      <c r="T18" s="12">
        <v>48</v>
      </c>
      <c r="U18" s="12">
        <v>6</v>
      </c>
      <c r="V18" s="12">
        <v>66</v>
      </c>
      <c r="W18" s="12">
        <v>16</v>
      </c>
      <c r="X18" s="12">
        <v>19</v>
      </c>
      <c r="Y18" s="12">
        <v>80</v>
      </c>
      <c r="Z18" s="12">
        <v>50</v>
      </c>
      <c r="AA18" s="12">
        <v>32</v>
      </c>
      <c r="AB18" s="12">
        <v>59</v>
      </c>
      <c r="AC18" s="12">
        <v>32</v>
      </c>
      <c r="AD18" s="12">
        <v>61</v>
      </c>
      <c r="AE18" s="12">
        <v>48</v>
      </c>
      <c r="AF18" s="12">
        <v>61</v>
      </c>
    </row>
    <row r="19" spans="1:32">
      <c r="A19" s="20"/>
      <c r="B19" s="13" t="s">
        <v>1672</v>
      </c>
      <c r="C19" s="14">
        <v>0.04</v>
      </c>
      <c r="D19" s="14">
        <v>0.03</v>
      </c>
      <c r="E19" s="14">
        <v>0.05</v>
      </c>
      <c r="F19" s="14">
        <v>0.06</v>
      </c>
      <c r="G19" s="14">
        <v>0.06</v>
      </c>
      <c r="H19" s="14">
        <v>0.03</v>
      </c>
      <c r="I19" s="14">
        <v>0.03</v>
      </c>
      <c r="J19" s="14">
        <v>0.05</v>
      </c>
      <c r="K19" s="14">
        <v>7.0000000000000007E-2</v>
      </c>
      <c r="L19" s="14">
        <v>0.05</v>
      </c>
      <c r="M19" s="14">
        <v>0.04</v>
      </c>
      <c r="N19" s="14">
        <v>0.03</v>
      </c>
      <c r="O19" s="14">
        <v>0.02</v>
      </c>
      <c r="P19" s="14">
        <v>0.03</v>
      </c>
      <c r="Q19" s="14">
        <v>0.06</v>
      </c>
      <c r="R19" s="14">
        <v>0.02</v>
      </c>
      <c r="S19" s="14">
        <v>0.03</v>
      </c>
      <c r="T19" s="14">
        <v>0.05</v>
      </c>
      <c r="U19" s="14">
        <v>0.01</v>
      </c>
      <c r="V19" s="14">
        <v>7.0000000000000007E-2</v>
      </c>
      <c r="W19" s="14">
        <v>0.03</v>
      </c>
      <c r="X19" s="14">
        <v>0.02</v>
      </c>
      <c r="Y19" s="14">
        <v>0.08</v>
      </c>
      <c r="Z19" s="14">
        <v>0.05</v>
      </c>
      <c r="AA19" s="14">
        <v>0.03</v>
      </c>
      <c r="AB19" s="14">
        <v>0.06</v>
      </c>
      <c r="AC19" s="14">
        <v>0.03</v>
      </c>
      <c r="AD19" s="14">
        <v>0.06</v>
      </c>
      <c r="AE19" s="14">
        <v>0.05</v>
      </c>
      <c r="AF19" s="14">
        <v>0.06</v>
      </c>
    </row>
    <row r="20" spans="1:32">
      <c r="A20" s="20"/>
      <c r="B20" s="11" t="s">
        <v>1673</v>
      </c>
      <c r="C20" s="12">
        <v>3423</v>
      </c>
      <c r="D20" s="12">
        <v>161</v>
      </c>
      <c r="E20" s="12">
        <v>197</v>
      </c>
      <c r="F20" s="12">
        <v>258</v>
      </c>
      <c r="G20" s="12">
        <v>150</v>
      </c>
      <c r="H20" s="12">
        <v>208</v>
      </c>
      <c r="I20" s="12">
        <v>273</v>
      </c>
      <c r="J20" s="12">
        <v>66</v>
      </c>
      <c r="K20" s="12">
        <v>186</v>
      </c>
      <c r="L20" s="12">
        <v>178</v>
      </c>
      <c r="M20" s="12">
        <v>102</v>
      </c>
      <c r="N20" s="12">
        <v>82</v>
      </c>
      <c r="O20" s="12">
        <v>85</v>
      </c>
      <c r="P20" s="12">
        <v>157</v>
      </c>
      <c r="Q20" s="12">
        <v>135</v>
      </c>
      <c r="R20" s="12">
        <v>44</v>
      </c>
      <c r="S20" s="12">
        <v>99</v>
      </c>
      <c r="T20" s="12">
        <v>106</v>
      </c>
      <c r="U20" s="12">
        <v>33</v>
      </c>
      <c r="V20" s="12">
        <v>123</v>
      </c>
      <c r="W20" s="12">
        <v>39</v>
      </c>
      <c r="X20" s="12">
        <v>138</v>
      </c>
      <c r="Y20" s="12">
        <v>169</v>
      </c>
      <c r="Z20" s="12">
        <v>73</v>
      </c>
      <c r="AA20" s="12">
        <v>77</v>
      </c>
      <c r="AB20" s="12">
        <v>154</v>
      </c>
      <c r="AC20" s="12">
        <v>132</v>
      </c>
      <c r="AD20" s="12">
        <v>112</v>
      </c>
      <c r="AE20" s="12">
        <v>182</v>
      </c>
      <c r="AF20" s="12">
        <v>204</v>
      </c>
    </row>
    <row r="21" spans="1:32">
      <c r="A21" s="20"/>
      <c r="B21" s="13" t="s">
        <v>1674</v>
      </c>
      <c r="C21" s="14">
        <v>0.13</v>
      </c>
      <c r="D21" s="14">
        <v>0.16</v>
      </c>
      <c r="E21" s="14">
        <v>0.19</v>
      </c>
      <c r="F21" s="14">
        <v>0.26</v>
      </c>
      <c r="G21" s="14">
        <v>0.15</v>
      </c>
      <c r="H21" s="14">
        <v>0.17</v>
      </c>
      <c r="I21" s="14">
        <v>0.18</v>
      </c>
      <c r="J21" s="14">
        <v>0.22</v>
      </c>
      <c r="K21" s="14">
        <v>0.18</v>
      </c>
      <c r="L21" s="14">
        <v>0.18</v>
      </c>
      <c r="M21" s="14">
        <v>0.1</v>
      </c>
      <c r="N21" s="14">
        <v>0.08</v>
      </c>
      <c r="O21" s="14">
        <v>0.09</v>
      </c>
      <c r="P21" s="14">
        <v>0.15</v>
      </c>
      <c r="Q21" s="14">
        <v>0.13</v>
      </c>
      <c r="R21" s="14">
        <v>0.09</v>
      </c>
      <c r="S21" s="14">
        <v>0.1</v>
      </c>
      <c r="T21" s="14">
        <v>0.11</v>
      </c>
      <c r="U21" s="14">
        <v>7.0000000000000007E-2</v>
      </c>
      <c r="V21" s="14">
        <v>0.12</v>
      </c>
      <c r="W21" s="14">
        <v>0.08</v>
      </c>
      <c r="X21" s="14">
        <v>0.14000000000000001</v>
      </c>
      <c r="Y21" s="14">
        <v>0.17</v>
      </c>
      <c r="Z21" s="14">
        <v>7.0000000000000007E-2</v>
      </c>
      <c r="AA21" s="14">
        <v>7.0000000000000007E-2</v>
      </c>
      <c r="AB21" s="14">
        <v>0.15</v>
      </c>
      <c r="AC21" s="14">
        <v>0.13</v>
      </c>
      <c r="AD21" s="14">
        <v>0.11</v>
      </c>
      <c r="AE21" s="14">
        <v>0.18</v>
      </c>
      <c r="AF21" s="14">
        <v>0.2</v>
      </c>
    </row>
    <row r="22" spans="1:32">
      <c r="A22" s="20"/>
      <c r="B22" s="11" t="s">
        <v>1675</v>
      </c>
      <c r="C22" s="12">
        <v>13368</v>
      </c>
      <c r="D22" s="12">
        <v>350</v>
      </c>
      <c r="E22" s="12">
        <v>492</v>
      </c>
      <c r="F22" s="12">
        <v>378</v>
      </c>
      <c r="G22" s="12">
        <v>499</v>
      </c>
      <c r="H22" s="12">
        <v>657</v>
      </c>
      <c r="I22" s="12">
        <v>791</v>
      </c>
      <c r="J22" s="12">
        <v>134</v>
      </c>
      <c r="K22" s="12">
        <v>375</v>
      </c>
      <c r="L22" s="12">
        <v>352</v>
      </c>
      <c r="M22" s="12">
        <v>490</v>
      </c>
      <c r="N22" s="12">
        <v>502</v>
      </c>
      <c r="O22" s="12">
        <v>675</v>
      </c>
      <c r="P22" s="12">
        <v>427</v>
      </c>
      <c r="Q22" s="12">
        <v>502</v>
      </c>
      <c r="R22" s="12">
        <v>190</v>
      </c>
      <c r="S22" s="12">
        <v>428</v>
      </c>
      <c r="T22" s="12">
        <v>490</v>
      </c>
      <c r="U22" s="12">
        <v>228</v>
      </c>
      <c r="V22" s="12">
        <v>427</v>
      </c>
      <c r="W22" s="12">
        <v>111</v>
      </c>
      <c r="X22" s="12">
        <v>319</v>
      </c>
      <c r="Y22" s="12">
        <v>351</v>
      </c>
      <c r="Z22" s="12">
        <v>656</v>
      </c>
      <c r="AA22" s="12">
        <v>435</v>
      </c>
      <c r="AB22" s="12">
        <v>379</v>
      </c>
      <c r="AC22" s="12">
        <v>511</v>
      </c>
      <c r="AD22" s="12">
        <v>397</v>
      </c>
      <c r="AE22" s="12">
        <v>545</v>
      </c>
      <c r="AF22" s="12">
        <v>445</v>
      </c>
    </row>
    <row r="23" spans="1:32">
      <c r="A23" s="20"/>
      <c r="B23" s="13" t="s">
        <v>1676</v>
      </c>
      <c r="C23" s="14">
        <v>0.51</v>
      </c>
      <c r="D23" s="14">
        <v>0.35</v>
      </c>
      <c r="E23" s="14">
        <v>0.48</v>
      </c>
      <c r="F23" s="14">
        <v>0.38</v>
      </c>
      <c r="G23" s="14">
        <v>0.5</v>
      </c>
      <c r="H23" s="14">
        <v>0.54</v>
      </c>
      <c r="I23" s="14">
        <v>0.53</v>
      </c>
      <c r="J23" s="14">
        <v>0.46</v>
      </c>
      <c r="K23" s="14">
        <v>0.37</v>
      </c>
      <c r="L23" s="14">
        <v>0.35</v>
      </c>
      <c r="M23" s="14">
        <v>0.49</v>
      </c>
      <c r="N23" s="14">
        <v>0.5</v>
      </c>
      <c r="O23" s="14">
        <v>0.67</v>
      </c>
      <c r="P23" s="14">
        <v>0.42</v>
      </c>
      <c r="Q23" s="14">
        <v>0.49</v>
      </c>
      <c r="R23" s="14">
        <v>0.38</v>
      </c>
      <c r="S23" s="14">
        <v>0.42</v>
      </c>
      <c r="T23" s="14">
        <v>0.48</v>
      </c>
      <c r="U23" s="14">
        <v>0.45</v>
      </c>
      <c r="V23" s="14">
        <v>0.42</v>
      </c>
      <c r="W23" s="14">
        <v>0.22</v>
      </c>
      <c r="X23" s="14">
        <v>0.31</v>
      </c>
      <c r="Y23" s="14">
        <v>0.35</v>
      </c>
      <c r="Z23" s="14">
        <v>0.65</v>
      </c>
      <c r="AA23" s="14">
        <v>0.41</v>
      </c>
      <c r="AB23" s="14">
        <v>0.36</v>
      </c>
      <c r="AC23" s="14">
        <v>0.51</v>
      </c>
      <c r="AD23" s="14">
        <v>0.4</v>
      </c>
      <c r="AE23" s="14">
        <v>0.54</v>
      </c>
      <c r="AF23" s="14">
        <v>0.44</v>
      </c>
    </row>
    <row r="24" spans="1:32" ht="24.95">
      <c r="A24" s="20"/>
      <c r="B24" s="11" t="s">
        <v>1677</v>
      </c>
      <c r="C24" s="12">
        <v>240</v>
      </c>
      <c r="D24" s="12">
        <v>32</v>
      </c>
      <c r="E24" s="12">
        <v>12</v>
      </c>
      <c r="F24" s="12">
        <v>22</v>
      </c>
      <c r="G24" s="12">
        <v>1</v>
      </c>
      <c r="H24" s="12">
        <v>20</v>
      </c>
      <c r="I24" s="12">
        <v>21</v>
      </c>
      <c r="J24" s="12">
        <v>1</v>
      </c>
      <c r="K24" s="12">
        <v>2</v>
      </c>
      <c r="L24" s="12">
        <v>2</v>
      </c>
      <c r="M24" s="12">
        <v>27</v>
      </c>
      <c r="N24" s="12">
        <v>2</v>
      </c>
      <c r="O24" s="12">
        <v>0</v>
      </c>
      <c r="P24" s="12">
        <v>14</v>
      </c>
      <c r="Q24" s="12">
        <v>11</v>
      </c>
      <c r="R24" s="12">
        <v>4</v>
      </c>
      <c r="S24" s="12">
        <v>17</v>
      </c>
      <c r="T24" s="12">
        <v>2</v>
      </c>
      <c r="U24" s="12">
        <v>2</v>
      </c>
      <c r="V24" s="12">
        <v>2</v>
      </c>
      <c r="W24" s="12">
        <v>19</v>
      </c>
      <c r="X24" s="12">
        <v>1</v>
      </c>
      <c r="Y24" s="12">
        <v>16</v>
      </c>
      <c r="Z24" s="12">
        <v>2</v>
      </c>
      <c r="AA24" s="12">
        <v>23</v>
      </c>
      <c r="AB24" s="12">
        <v>28</v>
      </c>
      <c r="AC24" s="12">
        <v>9</v>
      </c>
      <c r="AD24" s="12">
        <v>1</v>
      </c>
      <c r="AE24" s="12">
        <v>1</v>
      </c>
      <c r="AF24" s="12">
        <v>2</v>
      </c>
    </row>
    <row r="25" spans="1:32" ht="24.95">
      <c r="A25" s="20"/>
      <c r="B25" s="13" t="s">
        <v>1678</v>
      </c>
      <c r="C25" s="14">
        <v>0.01</v>
      </c>
      <c r="D25" s="14">
        <v>0.03</v>
      </c>
      <c r="E25" s="14">
        <v>0.01</v>
      </c>
      <c r="F25" s="14">
        <v>0.02</v>
      </c>
      <c r="G25" s="15" t="s">
        <v>459</v>
      </c>
      <c r="H25" s="14">
        <v>0.02</v>
      </c>
      <c r="I25" s="14">
        <v>0.01</v>
      </c>
      <c r="J25" s="15" t="s">
        <v>459</v>
      </c>
      <c r="K25" s="15" t="s">
        <v>459</v>
      </c>
      <c r="L25" s="15" t="s">
        <v>459</v>
      </c>
      <c r="M25" s="14">
        <v>0.03</v>
      </c>
      <c r="N25" s="15" t="s">
        <v>459</v>
      </c>
      <c r="O25" s="15" t="s">
        <v>459</v>
      </c>
      <c r="P25" s="14">
        <v>0.01</v>
      </c>
      <c r="Q25" s="14">
        <v>0.01</v>
      </c>
      <c r="R25" s="14">
        <v>0.01</v>
      </c>
      <c r="S25" s="14">
        <v>0.02</v>
      </c>
      <c r="T25" s="15" t="s">
        <v>459</v>
      </c>
      <c r="U25" s="14">
        <v>0.01</v>
      </c>
      <c r="V25" s="15" t="s">
        <v>459</v>
      </c>
      <c r="W25" s="14">
        <v>0.04</v>
      </c>
      <c r="X25" s="15" t="s">
        <v>459</v>
      </c>
      <c r="Y25" s="14">
        <v>0.02</v>
      </c>
      <c r="Z25" s="15" t="s">
        <v>459</v>
      </c>
      <c r="AA25" s="14">
        <v>0.02</v>
      </c>
      <c r="AB25" s="14">
        <v>0.03</v>
      </c>
      <c r="AC25" s="14">
        <v>0.01</v>
      </c>
      <c r="AD25" s="15" t="s">
        <v>459</v>
      </c>
      <c r="AE25" s="15" t="s">
        <v>459</v>
      </c>
      <c r="AF25" s="15" t="s">
        <v>459</v>
      </c>
    </row>
    <row r="26" spans="1:32">
      <c r="A26" s="20"/>
      <c r="B26" s="11" t="s">
        <v>1679</v>
      </c>
      <c r="C26" s="12">
        <v>12710</v>
      </c>
      <c r="D26" s="12">
        <v>620</v>
      </c>
      <c r="E26" s="12">
        <v>515</v>
      </c>
      <c r="F26" s="12">
        <v>606</v>
      </c>
      <c r="G26" s="12">
        <v>503</v>
      </c>
      <c r="H26" s="12">
        <v>539</v>
      </c>
      <c r="I26" s="12">
        <v>697</v>
      </c>
      <c r="J26" s="12">
        <v>159</v>
      </c>
      <c r="K26" s="12">
        <v>630</v>
      </c>
      <c r="L26" s="12">
        <v>653</v>
      </c>
      <c r="M26" s="12">
        <v>485</v>
      </c>
      <c r="N26" s="12">
        <v>500</v>
      </c>
      <c r="O26" s="12">
        <v>328</v>
      </c>
      <c r="P26" s="12">
        <v>581</v>
      </c>
      <c r="Q26" s="12">
        <v>505</v>
      </c>
      <c r="R26" s="12">
        <v>306</v>
      </c>
      <c r="S26" s="12">
        <v>563</v>
      </c>
      <c r="T26" s="12">
        <v>523</v>
      </c>
      <c r="U26" s="12">
        <v>276</v>
      </c>
      <c r="V26" s="12">
        <v>589</v>
      </c>
      <c r="W26" s="12">
        <v>374</v>
      </c>
      <c r="X26" s="12">
        <v>701</v>
      </c>
      <c r="Y26" s="12">
        <v>640</v>
      </c>
      <c r="Z26" s="12">
        <v>352</v>
      </c>
      <c r="AA26" s="12">
        <v>596</v>
      </c>
      <c r="AB26" s="12">
        <v>631</v>
      </c>
      <c r="AC26" s="12">
        <v>489</v>
      </c>
      <c r="AD26" s="12">
        <v>608</v>
      </c>
      <c r="AE26" s="12">
        <v>455</v>
      </c>
      <c r="AF26" s="12">
        <v>572</v>
      </c>
    </row>
    <row r="27" spans="1:32">
      <c r="A27" s="20"/>
      <c r="B27" s="13" t="s">
        <v>1680</v>
      </c>
      <c r="C27" s="14">
        <v>0.48</v>
      </c>
      <c r="D27" s="14">
        <v>0.62</v>
      </c>
      <c r="E27" s="14">
        <v>0.51</v>
      </c>
      <c r="F27" s="14">
        <v>0.6</v>
      </c>
      <c r="G27" s="14">
        <v>0.5</v>
      </c>
      <c r="H27" s="14">
        <v>0.44</v>
      </c>
      <c r="I27" s="14">
        <v>0.46</v>
      </c>
      <c r="J27" s="14">
        <v>0.54</v>
      </c>
      <c r="K27" s="14">
        <v>0.63</v>
      </c>
      <c r="L27" s="14">
        <v>0.65</v>
      </c>
      <c r="M27" s="14">
        <v>0.48</v>
      </c>
      <c r="N27" s="14">
        <v>0.5</v>
      </c>
      <c r="O27" s="14">
        <v>0.33</v>
      </c>
      <c r="P27" s="14">
        <v>0.57000000000000006</v>
      </c>
      <c r="Q27" s="14">
        <v>0.5</v>
      </c>
      <c r="R27" s="14">
        <v>0.61</v>
      </c>
      <c r="S27" s="14">
        <v>0.56000000000000005</v>
      </c>
      <c r="T27" s="14">
        <v>0.52</v>
      </c>
      <c r="U27" s="14">
        <v>0.54</v>
      </c>
      <c r="V27" s="14">
        <v>0.57999999999999996</v>
      </c>
      <c r="W27" s="14">
        <v>0.74</v>
      </c>
      <c r="X27" s="14">
        <v>0.69000000000000006</v>
      </c>
      <c r="Y27" s="14">
        <v>0.63</v>
      </c>
      <c r="Z27" s="14">
        <v>0.35</v>
      </c>
      <c r="AA27" s="14">
        <v>0.57000000000000006</v>
      </c>
      <c r="AB27" s="14">
        <v>0.61</v>
      </c>
      <c r="AC27" s="14">
        <v>0.48</v>
      </c>
      <c r="AD27" s="14">
        <v>0.6</v>
      </c>
      <c r="AE27" s="14">
        <v>0.46</v>
      </c>
      <c r="AF27" s="14">
        <v>0.56000000000000005</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387</v>
      </c>
      <c r="C3" s="18"/>
      <c r="D3" s="18"/>
      <c r="E3" s="18"/>
      <c r="F3" s="18"/>
      <c r="H3" s="18" t="s">
        <v>388</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1693</v>
      </c>
      <c r="C12" s="12">
        <v>22341</v>
      </c>
      <c r="D12" s="12">
        <v>913</v>
      </c>
      <c r="E12" s="12">
        <v>826</v>
      </c>
      <c r="F12" s="12">
        <v>788</v>
      </c>
      <c r="G12" s="12">
        <v>963</v>
      </c>
      <c r="H12" s="12">
        <v>1016</v>
      </c>
      <c r="I12" s="12">
        <v>1267</v>
      </c>
      <c r="J12" s="12">
        <v>251</v>
      </c>
      <c r="K12" s="12">
        <v>894</v>
      </c>
      <c r="L12" s="12">
        <v>902</v>
      </c>
      <c r="M12" s="12">
        <v>794</v>
      </c>
      <c r="N12" s="12">
        <v>877</v>
      </c>
      <c r="O12" s="12">
        <v>858</v>
      </c>
      <c r="P12" s="12">
        <v>848</v>
      </c>
      <c r="Q12" s="12">
        <v>857</v>
      </c>
      <c r="R12" s="12">
        <v>418</v>
      </c>
      <c r="S12" s="12">
        <v>903</v>
      </c>
      <c r="T12" s="12">
        <v>849</v>
      </c>
      <c r="U12" s="12">
        <v>473</v>
      </c>
      <c r="V12" s="12">
        <v>830</v>
      </c>
      <c r="W12" s="12">
        <v>446</v>
      </c>
      <c r="X12" s="12">
        <v>1001</v>
      </c>
      <c r="Y12" s="12">
        <v>840</v>
      </c>
      <c r="Z12" s="12">
        <v>790</v>
      </c>
      <c r="AA12" s="12">
        <v>807</v>
      </c>
      <c r="AB12" s="12">
        <v>823</v>
      </c>
      <c r="AC12" s="12">
        <v>855</v>
      </c>
      <c r="AD12" s="12">
        <v>856</v>
      </c>
      <c r="AE12" s="12">
        <v>943</v>
      </c>
      <c r="AF12" s="12">
        <v>999</v>
      </c>
    </row>
    <row r="13" spans="1:32">
      <c r="A13" s="20"/>
      <c r="B13" s="13" t="s">
        <v>1694</v>
      </c>
      <c r="C13" s="14">
        <v>0.85</v>
      </c>
      <c r="D13" s="14">
        <v>0.91</v>
      </c>
      <c r="E13" s="14">
        <v>0.81</v>
      </c>
      <c r="F13" s="14">
        <v>0.78</v>
      </c>
      <c r="G13" s="14">
        <v>0.96</v>
      </c>
      <c r="H13" s="14">
        <v>0.84</v>
      </c>
      <c r="I13" s="14">
        <v>0.84</v>
      </c>
      <c r="J13" s="14">
        <v>0.86</v>
      </c>
      <c r="K13" s="14">
        <v>0.89</v>
      </c>
      <c r="L13" s="14">
        <v>0.9</v>
      </c>
      <c r="M13" s="14">
        <v>0.79</v>
      </c>
      <c r="N13" s="14">
        <v>0.88</v>
      </c>
      <c r="O13" s="14">
        <v>0.86</v>
      </c>
      <c r="P13" s="14">
        <v>0.83000000000000007</v>
      </c>
      <c r="Q13" s="14">
        <v>0.84</v>
      </c>
      <c r="R13" s="14">
        <v>0.84</v>
      </c>
      <c r="S13" s="14">
        <v>0.9</v>
      </c>
      <c r="T13" s="14">
        <v>0.84</v>
      </c>
      <c r="U13" s="14">
        <v>0.93</v>
      </c>
      <c r="V13" s="14">
        <v>0.82000000000000006</v>
      </c>
      <c r="W13" s="14">
        <v>0.89</v>
      </c>
      <c r="X13" s="14">
        <v>0.98</v>
      </c>
      <c r="Y13" s="14">
        <v>0.83000000000000007</v>
      </c>
      <c r="Z13" s="14">
        <v>0.78</v>
      </c>
      <c r="AA13" s="14">
        <v>0.77</v>
      </c>
      <c r="AB13" s="14">
        <v>0.79</v>
      </c>
      <c r="AC13" s="14">
        <v>0.85</v>
      </c>
      <c r="AD13" s="14">
        <v>0.85</v>
      </c>
      <c r="AE13" s="14">
        <v>0.94000000000000006</v>
      </c>
      <c r="AF13" s="14">
        <v>0.98</v>
      </c>
    </row>
    <row r="14" spans="1:32">
      <c r="A14" s="20"/>
      <c r="B14" s="11" t="s">
        <v>1695</v>
      </c>
      <c r="C14" s="12">
        <v>1857</v>
      </c>
      <c r="D14" s="12">
        <v>62</v>
      </c>
      <c r="E14" s="12">
        <v>79</v>
      </c>
      <c r="F14" s="12">
        <v>91</v>
      </c>
      <c r="G14" s="12">
        <v>23</v>
      </c>
      <c r="H14" s="12">
        <v>110</v>
      </c>
      <c r="I14" s="12">
        <v>134</v>
      </c>
      <c r="J14" s="12">
        <v>24</v>
      </c>
      <c r="K14" s="12">
        <v>50</v>
      </c>
      <c r="L14" s="12">
        <v>64</v>
      </c>
      <c r="M14" s="12">
        <v>72</v>
      </c>
      <c r="N14" s="12">
        <v>53</v>
      </c>
      <c r="O14" s="12">
        <v>83</v>
      </c>
      <c r="P14" s="12">
        <v>68</v>
      </c>
      <c r="Q14" s="12">
        <v>78</v>
      </c>
      <c r="R14" s="12">
        <v>26</v>
      </c>
      <c r="S14" s="12">
        <v>24</v>
      </c>
      <c r="T14" s="12">
        <v>31</v>
      </c>
      <c r="U14" s="12">
        <v>22</v>
      </c>
      <c r="V14" s="12">
        <v>68</v>
      </c>
      <c r="W14" s="12">
        <v>12</v>
      </c>
      <c r="X14" s="12">
        <v>17</v>
      </c>
      <c r="Y14" s="12">
        <v>102</v>
      </c>
      <c r="Z14" s="12">
        <v>80</v>
      </c>
      <c r="AA14" s="12">
        <v>74</v>
      </c>
      <c r="AB14" s="12">
        <v>67</v>
      </c>
      <c r="AC14" s="12">
        <v>69</v>
      </c>
      <c r="AD14" s="12">
        <v>57</v>
      </c>
      <c r="AE14" s="12">
        <v>29</v>
      </c>
      <c r="AF14" s="12">
        <v>17</v>
      </c>
    </row>
    <row r="15" spans="1:32">
      <c r="A15" s="20"/>
      <c r="B15" s="13" t="s">
        <v>1696</v>
      </c>
      <c r="C15" s="14">
        <v>7.0000000000000007E-2</v>
      </c>
      <c r="D15" s="14">
        <v>0.06</v>
      </c>
      <c r="E15" s="14">
        <v>0.08</v>
      </c>
      <c r="F15" s="14">
        <v>0.09</v>
      </c>
      <c r="G15" s="14">
        <v>0.02</v>
      </c>
      <c r="H15" s="14">
        <v>0.09</v>
      </c>
      <c r="I15" s="14">
        <v>0.09</v>
      </c>
      <c r="J15" s="14">
        <v>0.08</v>
      </c>
      <c r="K15" s="14">
        <v>0.05</v>
      </c>
      <c r="L15" s="14">
        <v>0.06</v>
      </c>
      <c r="M15" s="14">
        <v>7.0000000000000007E-2</v>
      </c>
      <c r="N15" s="14">
        <v>0.05</v>
      </c>
      <c r="O15" s="14">
        <v>0.08</v>
      </c>
      <c r="P15" s="14">
        <v>7.0000000000000007E-2</v>
      </c>
      <c r="Q15" s="14">
        <v>0.08</v>
      </c>
      <c r="R15" s="14">
        <v>0.05</v>
      </c>
      <c r="S15" s="14">
        <v>0.02</v>
      </c>
      <c r="T15" s="14">
        <v>0.03</v>
      </c>
      <c r="U15" s="14">
        <v>0.04</v>
      </c>
      <c r="V15" s="14">
        <v>7.0000000000000007E-2</v>
      </c>
      <c r="W15" s="14">
        <v>0.02</v>
      </c>
      <c r="X15" s="14">
        <v>0.02</v>
      </c>
      <c r="Y15" s="14">
        <v>0.1</v>
      </c>
      <c r="Z15" s="14">
        <v>0.08</v>
      </c>
      <c r="AA15" s="14">
        <v>7.0000000000000007E-2</v>
      </c>
      <c r="AB15" s="14">
        <v>7.0000000000000007E-2</v>
      </c>
      <c r="AC15" s="14">
        <v>7.0000000000000007E-2</v>
      </c>
      <c r="AD15" s="14">
        <v>0.06</v>
      </c>
      <c r="AE15" s="14">
        <v>0.03</v>
      </c>
      <c r="AF15" s="14">
        <v>0.02</v>
      </c>
    </row>
    <row r="16" spans="1:32">
      <c r="A16" s="20"/>
      <c r="B16" s="11" t="s">
        <v>1675</v>
      </c>
      <c r="C16" s="12">
        <v>1978</v>
      </c>
      <c r="D16" s="12">
        <v>23</v>
      </c>
      <c r="E16" s="12">
        <v>104</v>
      </c>
      <c r="F16" s="12">
        <v>105</v>
      </c>
      <c r="G16" s="12">
        <v>18</v>
      </c>
      <c r="H16" s="12">
        <v>78</v>
      </c>
      <c r="I16" s="12">
        <v>97</v>
      </c>
      <c r="J16" s="12">
        <v>19</v>
      </c>
      <c r="K16" s="12">
        <v>62</v>
      </c>
      <c r="L16" s="12">
        <v>39</v>
      </c>
      <c r="M16" s="12">
        <v>124</v>
      </c>
      <c r="N16" s="12">
        <v>73</v>
      </c>
      <c r="O16" s="12">
        <v>61</v>
      </c>
      <c r="P16" s="12">
        <v>103</v>
      </c>
      <c r="Q16" s="12">
        <v>76</v>
      </c>
      <c r="R16" s="12">
        <v>52</v>
      </c>
      <c r="S16" s="12">
        <v>68</v>
      </c>
      <c r="T16" s="12">
        <v>133</v>
      </c>
      <c r="U16" s="12">
        <v>12</v>
      </c>
      <c r="V16" s="12">
        <v>116</v>
      </c>
      <c r="W16" s="12">
        <v>45</v>
      </c>
      <c r="X16" s="12">
        <v>2</v>
      </c>
      <c r="Y16" s="12">
        <v>54</v>
      </c>
      <c r="Z16" s="12">
        <v>138</v>
      </c>
      <c r="AA16" s="12">
        <v>152</v>
      </c>
      <c r="AB16" s="12">
        <v>126</v>
      </c>
      <c r="AC16" s="12">
        <v>77</v>
      </c>
      <c r="AD16" s="12">
        <v>93</v>
      </c>
      <c r="AE16" s="12">
        <v>29</v>
      </c>
      <c r="AF16" s="12">
        <v>4</v>
      </c>
    </row>
    <row r="17" spans="1:32">
      <c r="A17" s="20"/>
      <c r="B17" s="13" t="s">
        <v>1676</v>
      </c>
      <c r="C17" s="14">
        <v>7.0000000000000007E-2</v>
      </c>
      <c r="D17" s="14">
        <v>0.02</v>
      </c>
      <c r="E17" s="14">
        <v>0.1</v>
      </c>
      <c r="F17" s="14">
        <v>0.11</v>
      </c>
      <c r="G17" s="14">
        <v>0.02</v>
      </c>
      <c r="H17" s="14">
        <v>0.06</v>
      </c>
      <c r="I17" s="14">
        <v>0.06</v>
      </c>
      <c r="J17" s="14">
        <v>0.06</v>
      </c>
      <c r="K17" s="14">
        <v>0.06</v>
      </c>
      <c r="L17" s="14">
        <v>0.04</v>
      </c>
      <c r="M17" s="14">
        <v>0.13</v>
      </c>
      <c r="N17" s="14">
        <v>7.0000000000000007E-2</v>
      </c>
      <c r="O17" s="14">
        <v>0.06</v>
      </c>
      <c r="P17" s="14">
        <v>0.1</v>
      </c>
      <c r="Q17" s="14">
        <v>7.0000000000000007E-2</v>
      </c>
      <c r="R17" s="14">
        <v>0.1</v>
      </c>
      <c r="S17" s="14">
        <v>7.0000000000000007E-2</v>
      </c>
      <c r="T17" s="14">
        <v>0.13</v>
      </c>
      <c r="U17" s="14">
        <v>0.03</v>
      </c>
      <c r="V17" s="14">
        <v>0.11</v>
      </c>
      <c r="W17" s="14">
        <v>0.09</v>
      </c>
      <c r="X17" s="15" t="s">
        <v>459</v>
      </c>
      <c r="Y17" s="14">
        <v>0.06</v>
      </c>
      <c r="Z17" s="14">
        <v>0.14000000000000001</v>
      </c>
      <c r="AA17" s="14">
        <v>0.14000000000000001</v>
      </c>
      <c r="AB17" s="14">
        <v>0.12</v>
      </c>
      <c r="AC17" s="14">
        <v>7.0000000000000007E-2</v>
      </c>
      <c r="AD17" s="14">
        <v>0.09</v>
      </c>
      <c r="AE17" s="14">
        <v>0.03</v>
      </c>
      <c r="AF17" s="15" t="s">
        <v>459</v>
      </c>
    </row>
    <row r="18" spans="1:32" ht="24.95">
      <c r="A18" s="20"/>
      <c r="B18" s="11" t="s">
        <v>1697</v>
      </c>
      <c r="C18" s="12">
        <v>143</v>
      </c>
      <c r="D18" s="12">
        <v>4</v>
      </c>
      <c r="E18" s="12">
        <v>10</v>
      </c>
      <c r="F18" s="12">
        <v>21</v>
      </c>
      <c r="G18" s="12">
        <v>0</v>
      </c>
      <c r="H18" s="12">
        <v>12</v>
      </c>
      <c r="I18" s="12">
        <v>12</v>
      </c>
      <c r="J18" s="12">
        <v>0</v>
      </c>
      <c r="K18" s="12">
        <v>0</v>
      </c>
      <c r="L18" s="12">
        <v>2</v>
      </c>
      <c r="M18" s="12">
        <v>13</v>
      </c>
      <c r="N18" s="12">
        <v>0</v>
      </c>
      <c r="O18" s="12">
        <v>0</v>
      </c>
      <c r="P18" s="12">
        <v>3</v>
      </c>
      <c r="Q18" s="12">
        <v>8</v>
      </c>
      <c r="R18" s="12">
        <v>4</v>
      </c>
      <c r="S18" s="12">
        <v>13</v>
      </c>
      <c r="T18" s="12">
        <v>1</v>
      </c>
      <c r="U18" s="12">
        <v>1</v>
      </c>
      <c r="V18" s="12">
        <v>2</v>
      </c>
      <c r="W18" s="12">
        <v>0</v>
      </c>
      <c r="X18" s="12">
        <v>0</v>
      </c>
      <c r="Y18" s="12">
        <v>12</v>
      </c>
      <c r="Z18" s="12">
        <v>0</v>
      </c>
      <c r="AA18" s="12">
        <v>20</v>
      </c>
      <c r="AB18" s="12">
        <v>23</v>
      </c>
      <c r="AC18" s="12">
        <v>8</v>
      </c>
      <c r="AD18" s="12">
        <v>0</v>
      </c>
      <c r="AE18" s="12">
        <v>0</v>
      </c>
      <c r="AF18" s="12">
        <v>0</v>
      </c>
    </row>
    <row r="19" spans="1:32" ht="24.95">
      <c r="A19" s="20"/>
      <c r="B19" s="13" t="s">
        <v>1698</v>
      </c>
      <c r="C19" s="14">
        <v>0.01</v>
      </c>
      <c r="D19" s="14">
        <v>0.01</v>
      </c>
      <c r="E19" s="14">
        <v>0.01</v>
      </c>
      <c r="F19" s="14">
        <v>0.02</v>
      </c>
      <c r="G19" s="15" t="s">
        <v>459</v>
      </c>
      <c r="H19" s="14">
        <v>0.01</v>
      </c>
      <c r="I19" s="14">
        <v>0.01</v>
      </c>
      <c r="J19" s="15" t="s">
        <v>459</v>
      </c>
      <c r="K19" s="15" t="s">
        <v>459</v>
      </c>
      <c r="L19" s="15" t="s">
        <v>459</v>
      </c>
      <c r="M19" s="14">
        <v>0.01</v>
      </c>
      <c r="N19" s="15" t="s">
        <v>459</v>
      </c>
      <c r="O19" s="15" t="s">
        <v>459</v>
      </c>
      <c r="P19" s="15" t="s">
        <v>459</v>
      </c>
      <c r="Q19" s="14">
        <v>0.01</v>
      </c>
      <c r="R19" s="14">
        <v>0.01</v>
      </c>
      <c r="S19" s="14">
        <v>0.01</v>
      </c>
      <c r="T19" s="15" t="s">
        <v>459</v>
      </c>
      <c r="U19" s="15" t="s">
        <v>459</v>
      </c>
      <c r="V19" s="15" t="s">
        <v>459</v>
      </c>
      <c r="W19" s="15" t="s">
        <v>459</v>
      </c>
      <c r="X19" s="15" t="s">
        <v>459</v>
      </c>
      <c r="Y19" s="14">
        <v>0.01</v>
      </c>
      <c r="Z19" s="15" t="s">
        <v>459</v>
      </c>
      <c r="AA19" s="14">
        <v>0.02</v>
      </c>
      <c r="AB19" s="14">
        <v>0.02</v>
      </c>
      <c r="AC19" s="14">
        <v>0.01</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389</v>
      </c>
      <c r="C3" s="18"/>
      <c r="D3" s="18"/>
      <c r="E3" s="18"/>
      <c r="F3" s="18"/>
      <c r="H3" s="18" t="s">
        <v>390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1699</v>
      </c>
      <c r="C12" s="12">
        <v>5835</v>
      </c>
      <c r="D12" s="12">
        <v>135</v>
      </c>
      <c r="E12" s="12">
        <v>391</v>
      </c>
      <c r="F12" s="12">
        <v>194</v>
      </c>
      <c r="G12" s="12">
        <v>138</v>
      </c>
      <c r="H12" s="12">
        <v>179</v>
      </c>
      <c r="I12" s="12">
        <v>251</v>
      </c>
      <c r="J12" s="12">
        <v>71</v>
      </c>
      <c r="K12" s="12">
        <v>239</v>
      </c>
      <c r="L12" s="12">
        <v>385</v>
      </c>
      <c r="M12" s="12">
        <v>200</v>
      </c>
      <c r="N12" s="12">
        <v>379</v>
      </c>
      <c r="O12" s="12">
        <v>234</v>
      </c>
      <c r="P12" s="12">
        <v>308</v>
      </c>
      <c r="Q12" s="12">
        <v>117</v>
      </c>
      <c r="R12" s="12">
        <v>120</v>
      </c>
      <c r="S12" s="12">
        <v>340</v>
      </c>
      <c r="T12" s="12">
        <v>251</v>
      </c>
      <c r="U12" s="12">
        <v>62</v>
      </c>
      <c r="V12" s="12">
        <v>253</v>
      </c>
      <c r="W12" s="12">
        <v>132</v>
      </c>
      <c r="X12" s="12">
        <v>53</v>
      </c>
      <c r="Y12" s="12">
        <v>184</v>
      </c>
      <c r="Z12" s="12">
        <v>334</v>
      </c>
      <c r="AA12" s="12">
        <v>540</v>
      </c>
      <c r="AB12" s="12">
        <v>220</v>
      </c>
      <c r="AC12" s="12">
        <v>192</v>
      </c>
      <c r="AD12" s="12">
        <v>151</v>
      </c>
      <c r="AE12" s="12">
        <v>202</v>
      </c>
      <c r="AF12" s="12">
        <v>127</v>
      </c>
    </row>
    <row r="13" spans="1:32">
      <c r="A13" s="20"/>
      <c r="B13" s="13" t="s">
        <v>1700</v>
      </c>
      <c r="C13" s="14">
        <v>0.22</v>
      </c>
      <c r="D13" s="14">
        <v>0.13</v>
      </c>
      <c r="E13" s="14">
        <v>0.38</v>
      </c>
      <c r="F13" s="14">
        <v>0.19</v>
      </c>
      <c r="G13" s="14">
        <v>0.14000000000000001</v>
      </c>
      <c r="H13" s="14">
        <v>0.15</v>
      </c>
      <c r="I13" s="14">
        <v>0.17</v>
      </c>
      <c r="J13" s="14">
        <v>0.24</v>
      </c>
      <c r="K13" s="14">
        <v>0.24</v>
      </c>
      <c r="L13" s="14">
        <v>0.38</v>
      </c>
      <c r="M13" s="14">
        <v>0.2</v>
      </c>
      <c r="N13" s="14">
        <v>0.38</v>
      </c>
      <c r="O13" s="14">
        <v>0.23</v>
      </c>
      <c r="P13" s="14">
        <v>0.3</v>
      </c>
      <c r="Q13" s="14">
        <v>0.11</v>
      </c>
      <c r="R13" s="14">
        <v>0.24</v>
      </c>
      <c r="S13" s="14">
        <v>0.34</v>
      </c>
      <c r="T13" s="14">
        <v>0.25</v>
      </c>
      <c r="U13" s="14">
        <v>0.12</v>
      </c>
      <c r="V13" s="14">
        <v>0.25</v>
      </c>
      <c r="W13" s="14">
        <v>0.26</v>
      </c>
      <c r="X13" s="14">
        <v>0.05</v>
      </c>
      <c r="Y13" s="14">
        <v>0.18</v>
      </c>
      <c r="Z13" s="14">
        <v>0.33</v>
      </c>
      <c r="AA13" s="14">
        <v>0.51</v>
      </c>
      <c r="AB13" s="14">
        <v>0.21</v>
      </c>
      <c r="AC13" s="14">
        <v>0.19</v>
      </c>
      <c r="AD13" s="14">
        <v>0.15</v>
      </c>
      <c r="AE13" s="14">
        <v>0.2</v>
      </c>
      <c r="AF13" s="14">
        <v>0.12</v>
      </c>
    </row>
    <row r="14" spans="1:32" ht="24.95">
      <c r="A14" s="20"/>
      <c r="B14" s="11" t="s">
        <v>1701</v>
      </c>
      <c r="C14" s="12">
        <v>4758</v>
      </c>
      <c r="D14" s="12">
        <v>226</v>
      </c>
      <c r="E14" s="12">
        <v>140</v>
      </c>
      <c r="F14" s="12">
        <v>180</v>
      </c>
      <c r="G14" s="12">
        <v>91</v>
      </c>
      <c r="H14" s="12">
        <v>303</v>
      </c>
      <c r="I14" s="12">
        <v>374</v>
      </c>
      <c r="J14" s="12">
        <v>71</v>
      </c>
      <c r="K14" s="12">
        <v>199</v>
      </c>
      <c r="L14" s="12">
        <v>117</v>
      </c>
      <c r="M14" s="12">
        <v>231</v>
      </c>
      <c r="N14" s="12">
        <v>158</v>
      </c>
      <c r="O14" s="12">
        <v>212</v>
      </c>
      <c r="P14" s="12">
        <v>136</v>
      </c>
      <c r="Q14" s="12">
        <v>160</v>
      </c>
      <c r="R14" s="12">
        <v>51</v>
      </c>
      <c r="S14" s="12">
        <v>74</v>
      </c>
      <c r="T14" s="12">
        <v>163</v>
      </c>
      <c r="U14" s="12">
        <v>46</v>
      </c>
      <c r="V14" s="12">
        <v>266</v>
      </c>
      <c r="W14" s="12">
        <v>55</v>
      </c>
      <c r="X14" s="12">
        <v>86</v>
      </c>
      <c r="Y14" s="12">
        <v>123</v>
      </c>
      <c r="Z14" s="12">
        <v>146</v>
      </c>
      <c r="AA14" s="12">
        <v>227</v>
      </c>
      <c r="AB14" s="12">
        <v>146</v>
      </c>
      <c r="AC14" s="12">
        <v>108</v>
      </c>
      <c r="AD14" s="12">
        <v>184</v>
      </c>
      <c r="AE14" s="12">
        <v>141</v>
      </c>
      <c r="AF14" s="12">
        <v>97</v>
      </c>
    </row>
    <row r="15" spans="1:32" ht="24.95">
      <c r="A15" s="20"/>
      <c r="B15" s="13" t="s">
        <v>1702</v>
      </c>
      <c r="C15" s="14">
        <v>0.18</v>
      </c>
      <c r="D15" s="14">
        <v>0.23</v>
      </c>
      <c r="E15" s="14">
        <v>0.14000000000000001</v>
      </c>
      <c r="F15" s="14">
        <v>0.18</v>
      </c>
      <c r="G15" s="14">
        <v>0.09</v>
      </c>
      <c r="H15" s="14">
        <v>0.25</v>
      </c>
      <c r="I15" s="14">
        <v>0.25</v>
      </c>
      <c r="J15" s="14">
        <v>0.24</v>
      </c>
      <c r="K15" s="14">
        <v>0.2</v>
      </c>
      <c r="L15" s="14">
        <v>0.12</v>
      </c>
      <c r="M15" s="14">
        <v>0.23</v>
      </c>
      <c r="N15" s="14">
        <v>0.16</v>
      </c>
      <c r="O15" s="14">
        <v>0.21</v>
      </c>
      <c r="P15" s="14">
        <v>0.13</v>
      </c>
      <c r="Q15" s="14">
        <v>0.16</v>
      </c>
      <c r="R15" s="14">
        <v>0.1</v>
      </c>
      <c r="S15" s="14">
        <v>0.08</v>
      </c>
      <c r="T15" s="14">
        <v>0.16</v>
      </c>
      <c r="U15" s="14">
        <v>0.09</v>
      </c>
      <c r="V15" s="14">
        <v>0.26</v>
      </c>
      <c r="W15" s="14">
        <v>0.11</v>
      </c>
      <c r="X15" s="14">
        <v>0.09</v>
      </c>
      <c r="Y15" s="14">
        <v>0.12</v>
      </c>
      <c r="Z15" s="14">
        <v>0.15</v>
      </c>
      <c r="AA15" s="14">
        <v>0.22</v>
      </c>
      <c r="AB15" s="14">
        <v>0.14000000000000001</v>
      </c>
      <c r="AC15" s="14">
        <v>0.11</v>
      </c>
      <c r="AD15" s="14">
        <v>0.18</v>
      </c>
      <c r="AE15" s="14">
        <v>0.14000000000000001</v>
      </c>
      <c r="AF15" s="14">
        <v>0.1</v>
      </c>
    </row>
    <row r="16" spans="1:32">
      <c r="A16" s="20"/>
      <c r="B16" s="11" t="s">
        <v>1703</v>
      </c>
      <c r="C16" s="12">
        <v>13060</v>
      </c>
      <c r="D16" s="12">
        <v>539</v>
      </c>
      <c r="E16" s="12">
        <v>395</v>
      </c>
      <c r="F16" s="12">
        <v>541</v>
      </c>
      <c r="G16" s="12">
        <v>541</v>
      </c>
      <c r="H16" s="12">
        <v>611</v>
      </c>
      <c r="I16" s="12">
        <v>740</v>
      </c>
      <c r="J16" s="12">
        <v>128</v>
      </c>
      <c r="K16" s="12">
        <v>394</v>
      </c>
      <c r="L16" s="12">
        <v>437</v>
      </c>
      <c r="M16" s="12">
        <v>537</v>
      </c>
      <c r="N16" s="12">
        <v>422</v>
      </c>
      <c r="O16" s="12">
        <v>463</v>
      </c>
      <c r="P16" s="12">
        <v>490</v>
      </c>
      <c r="Q16" s="12">
        <v>641</v>
      </c>
      <c r="R16" s="12">
        <v>310</v>
      </c>
      <c r="S16" s="12">
        <v>516</v>
      </c>
      <c r="T16" s="12">
        <v>533</v>
      </c>
      <c r="U16" s="12">
        <v>293</v>
      </c>
      <c r="V16" s="12">
        <v>464</v>
      </c>
      <c r="W16" s="12">
        <v>258</v>
      </c>
      <c r="X16" s="12">
        <v>498</v>
      </c>
      <c r="Y16" s="12">
        <v>555</v>
      </c>
      <c r="Z16" s="12">
        <v>451</v>
      </c>
      <c r="AA16" s="12">
        <v>250</v>
      </c>
      <c r="AB16" s="12">
        <v>592</v>
      </c>
      <c r="AC16" s="12">
        <v>637</v>
      </c>
      <c r="AD16" s="12">
        <v>572</v>
      </c>
      <c r="AE16" s="12">
        <v>420</v>
      </c>
      <c r="AF16" s="12">
        <v>590</v>
      </c>
    </row>
    <row r="17" spans="1:32">
      <c r="A17" s="20"/>
      <c r="B17" s="13" t="s">
        <v>1704</v>
      </c>
      <c r="C17" s="14">
        <v>0.5</v>
      </c>
      <c r="D17" s="14">
        <v>0.54</v>
      </c>
      <c r="E17" s="14">
        <v>0.39</v>
      </c>
      <c r="F17" s="14">
        <v>0.54</v>
      </c>
      <c r="G17" s="14">
        <v>0.54</v>
      </c>
      <c r="H17" s="14">
        <v>0.5</v>
      </c>
      <c r="I17" s="14">
        <v>0.49</v>
      </c>
      <c r="J17" s="14">
        <v>0.44</v>
      </c>
      <c r="K17" s="14">
        <v>0.39</v>
      </c>
      <c r="L17" s="14">
        <v>0.43</v>
      </c>
      <c r="M17" s="14">
        <v>0.53</v>
      </c>
      <c r="N17" s="14">
        <v>0.42</v>
      </c>
      <c r="O17" s="14">
        <v>0.46</v>
      </c>
      <c r="P17" s="14">
        <v>0.48</v>
      </c>
      <c r="Q17" s="14">
        <v>0.63</v>
      </c>
      <c r="R17" s="14">
        <v>0.62</v>
      </c>
      <c r="S17" s="14">
        <v>0.51</v>
      </c>
      <c r="T17" s="14">
        <v>0.52</v>
      </c>
      <c r="U17" s="14">
        <v>0.57999999999999996</v>
      </c>
      <c r="V17" s="14">
        <v>0.46</v>
      </c>
      <c r="W17" s="14">
        <v>0.51</v>
      </c>
      <c r="X17" s="14">
        <v>0.49</v>
      </c>
      <c r="Y17" s="14">
        <v>0.55000000000000004</v>
      </c>
      <c r="Z17" s="14">
        <v>0.45</v>
      </c>
      <c r="AA17" s="14">
        <v>0.24</v>
      </c>
      <c r="AB17" s="14">
        <v>0.57000000000000006</v>
      </c>
      <c r="AC17" s="14">
        <v>0.63</v>
      </c>
      <c r="AD17" s="14">
        <v>0.57000000000000006</v>
      </c>
      <c r="AE17" s="14">
        <v>0.42</v>
      </c>
      <c r="AF17" s="14">
        <v>0.57999999999999996</v>
      </c>
    </row>
    <row r="18" spans="1:32" ht="24.95">
      <c r="A18" s="20"/>
      <c r="B18" s="11" t="s">
        <v>1705</v>
      </c>
      <c r="C18" s="12">
        <v>2120</v>
      </c>
      <c r="D18" s="12">
        <v>96</v>
      </c>
      <c r="E18" s="12">
        <v>35</v>
      </c>
      <c r="F18" s="12">
        <v>78</v>
      </c>
      <c r="G18" s="12">
        <v>205</v>
      </c>
      <c r="H18" s="12">
        <v>114</v>
      </c>
      <c r="I18" s="12">
        <v>133</v>
      </c>
      <c r="J18" s="12">
        <v>19</v>
      </c>
      <c r="K18" s="12">
        <v>60</v>
      </c>
      <c r="L18" s="12">
        <v>28</v>
      </c>
      <c r="M18" s="12">
        <v>18</v>
      </c>
      <c r="N18" s="12">
        <v>41</v>
      </c>
      <c r="O18" s="12">
        <v>71</v>
      </c>
      <c r="P18" s="12">
        <v>67</v>
      </c>
      <c r="Q18" s="12">
        <v>83</v>
      </c>
      <c r="R18" s="12">
        <v>11</v>
      </c>
      <c r="S18" s="12">
        <v>40</v>
      </c>
      <c r="T18" s="12">
        <v>29</v>
      </c>
      <c r="U18" s="12">
        <v>92</v>
      </c>
      <c r="V18" s="12">
        <v>26</v>
      </c>
      <c r="W18" s="12">
        <v>51</v>
      </c>
      <c r="X18" s="12">
        <v>319</v>
      </c>
      <c r="Y18" s="12">
        <v>98</v>
      </c>
      <c r="Z18" s="12">
        <v>34</v>
      </c>
      <c r="AA18" s="12">
        <v>23</v>
      </c>
      <c r="AB18" s="12">
        <v>72</v>
      </c>
      <c r="AC18" s="12">
        <v>61</v>
      </c>
      <c r="AD18" s="12">
        <v>80</v>
      </c>
      <c r="AE18" s="12">
        <v>162</v>
      </c>
      <c r="AF18" s="12">
        <v>180</v>
      </c>
    </row>
    <row r="19" spans="1:32" ht="24.95">
      <c r="A19" s="20"/>
      <c r="B19" s="13" t="s">
        <v>1706</v>
      </c>
      <c r="C19" s="14">
        <v>0.08</v>
      </c>
      <c r="D19" s="14">
        <v>0.1</v>
      </c>
      <c r="E19" s="14">
        <v>0.03</v>
      </c>
      <c r="F19" s="14">
        <v>0.08</v>
      </c>
      <c r="G19" s="14">
        <v>0.2</v>
      </c>
      <c r="H19" s="14">
        <v>0.1</v>
      </c>
      <c r="I19" s="14">
        <v>0.09</v>
      </c>
      <c r="J19" s="14">
        <v>7.0000000000000007E-2</v>
      </c>
      <c r="K19" s="14">
        <v>0.06</v>
      </c>
      <c r="L19" s="14">
        <v>0.03</v>
      </c>
      <c r="M19" s="14">
        <v>0.02</v>
      </c>
      <c r="N19" s="14">
        <v>0.04</v>
      </c>
      <c r="O19" s="14">
        <v>7.0000000000000007E-2</v>
      </c>
      <c r="P19" s="14">
        <v>7.0000000000000007E-2</v>
      </c>
      <c r="Q19" s="14">
        <v>0.08</v>
      </c>
      <c r="R19" s="14">
        <v>0.02</v>
      </c>
      <c r="S19" s="14">
        <v>0.04</v>
      </c>
      <c r="T19" s="14">
        <v>0.03</v>
      </c>
      <c r="U19" s="14">
        <v>0.18</v>
      </c>
      <c r="V19" s="14">
        <v>0.03</v>
      </c>
      <c r="W19" s="14">
        <v>0.1</v>
      </c>
      <c r="X19" s="14">
        <v>0.31</v>
      </c>
      <c r="Y19" s="14">
        <v>0.1</v>
      </c>
      <c r="Z19" s="14">
        <v>0.03</v>
      </c>
      <c r="AA19" s="14">
        <v>0.02</v>
      </c>
      <c r="AB19" s="14">
        <v>7.0000000000000007E-2</v>
      </c>
      <c r="AC19" s="14">
        <v>0.06</v>
      </c>
      <c r="AD19" s="14">
        <v>0.08</v>
      </c>
      <c r="AE19" s="14">
        <v>0.16</v>
      </c>
      <c r="AF19" s="14">
        <v>0.18</v>
      </c>
    </row>
    <row r="20" spans="1:32" ht="24.95">
      <c r="A20" s="20"/>
      <c r="B20" s="11" t="s">
        <v>1707</v>
      </c>
      <c r="C20" s="12">
        <v>228</v>
      </c>
      <c r="D20" s="12">
        <v>4</v>
      </c>
      <c r="E20" s="12">
        <v>0</v>
      </c>
      <c r="F20" s="12">
        <v>10</v>
      </c>
      <c r="G20" s="12">
        <v>7</v>
      </c>
      <c r="H20" s="12">
        <v>3</v>
      </c>
      <c r="I20" s="12">
        <v>3</v>
      </c>
      <c r="J20" s="12">
        <v>0</v>
      </c>
      <c r="K20" s="12">
        <v>4</v>
      </c>
      <c r="L20" s="12">
        <v>4</v>
      </c>
      <c r="M20" s="12">
        <v>0</v>
      </c>
      <c r="N20" s="12">
        <v>0</v>
      </c>
      <c r="O20" s="12">
        <v>6</v>
      </c>
      <c r="P20" s="12">
        <v>19</v>
      </c>
      <c r="Q20" s="12">
        <v>6</v>
      </c>
      <c r="R20" s="12">
        <v>4</v>
      </c>
      <c r="S20" s="12">
        <v>7</v>
      </c>
      <c r="T20" s="12">
        <v>6</v>
      </c>
      <c r="U20" s="12">
        <v>10</v>
      </c>
      <c r="V20" s="12">
        <v>1</v>
      </c>
      <c r="W20" s="12">
        <v>5</v>
      </c>
      <c r="X20" s="12">
        <v>53</v>
      </c>
      <c r="Y20" s="12">
        <v>8</v>
      </c>
      <c r="Z20" s="12">
        <v>33</v>
      </c>
      <c r="AA20" s="12">
        <v>1</v>
      </c>
      <c r="AB20" s="12">
        <v>7</v>
      </c>
      <c r="AC20" s="12">
        <v>4</v>
      </c>
      <c r="AD20" s="12">
        <v>4</v>
      </c>
      <c r="AE20" s="12">
        <v>27</v>
      </c>
      <c r="AF20" s="12">
        <v>7</v>
      </c>
    </row>
    <row r="21" spans="1:32">
      <c r="A21" s="20"/>
      <c r="B21" s="13" t="s">
        <v>1708</v>
      </c>
      <c r="C21" s="14">
        <v>0.01</v>
      </c>
      <c r="D21" s="15" t="s">
        <v>459</v>
      </c>
      <c r="E21" s="15" t="s">
        <v>459</v>
      </c>
      <c r="F21" s="14">
        <v>0.01</v>
      </c>
      <c r="G21" s="14">
        <v>0.01</v>
      </c>
      <c r="H21" s="15" t="s">
        <v>459</v>
      </c>
      <c r="I21" s="15" t="s">
        <v>459</v>
      </c>
      <c r="J21" s="15" t="s">
        <v>459</v>
      </c>
      <c r="K21" s="15" t="s">
        <v>459</v>
      </c>
      <c r="L21" s="14">
        <v>0.01</v>
      </c>
      <c r="M21" s="15" t="s">
        <v>459</v>
      </c>
      <c r="N21" s="15" t="s">
        <v>459</v>
      </c>
      <c r="O21" s="14">
        <v>0.01</v>
      </c>
      <c r="P21" s="14">
        <v>0.02</v>
      </c>
      <c r="Q21" s="14">
        <v>0.01</v>
      </c>
      <c r="R21" s="14">
        <v>0.01</v>
      </c>
      <c r="S21" s="14">
        <v>0.01</v>
      </c>
      <c r="T21" s="14">
        <v>0.01</v>
      </c>
      <c r="U21" s="14">
        <v>0.02</v>
      </c>
      <c r="V21" s="15" t="s">
        <v>459</v>
      </c>
      <c r="W21" s="14">
        <v>0.01</v>
      </c>
      <c r="X21" s="14">
        <v>0.05</v>
      </c>
      <c r="Y21" s="14">
        <v>0.01</v>
      </c>
      <c r="Z21" s="14">
        <v>0.03</v>
      </c>
      <c r="AA21" s="15" t="s">
        <v>459</v>
      </c>
      <c r="AB21" s="14">
        <v>0.01</v>
      </c>
      <c r="AC21" s="15" t="s">
        <v>459</v>
      </c>
      <c r="AD21" s="14">
        <v>0.01</v>
      </c>
      <c r="AE21" s="14">
        <v>0.03</v>
      </c>
      <c r="AF21" s="14">
        <v>0.01</v>
      </c>
    </row>
    <row r="22" spans="1:32">
      <c r="A22" s="20"/>
      <c r="B22" s="11" t="s">
        <v>519</v>
      </c>
      <c r="C22" s="12">
        <v>19</v>
      </c>
      <c r="D22" s="12">
        <v>0</v>
      </c>
      <c r="E22" s="12">
        <v>0</v>
      </c>
      <c r="F22" s="12">
        <v>0</v>
      </c>
      <c r="G22" s="12">
        <v>0</v>
      </c>
      <c r="H22" s="12">
        <v>0</v>
      </c>
      <c r="I22" s="12">
        <v>2</v>
      </c>
      <c r="J22" s="12">
        <v>2</v>
      </c>
      <c r="K22" s="12">
        <v>28</v>
      </c>
      <c r="L22" s="12">
        <v>0</v>
      </c>
      <c r="M22" s="12">
        <v>0</v>
      </c>
      <c r="N22" s="12">
        <v>0</v>
      </c>
      <c r="O22" s="12">
        <v>0</v>
      </c>
      <c r="P22" s="12">
        <v>0</v>
      </c>
      <c r="Q22" s="12">
        <v>1</v>
      </c>
      <c r="R22" s="12">
        <v>0</v>
      </c>
      <c r="S22" s="12">
        <v>2</v>
      </c>
      <c r="T22" s="12">
        <v>0</v>
      </c>
      <c r="U22" s="12">
        <v>1</v>
      </c>
      <c r="V22" s="12">
        <v>0</v>
      </c>
      <c r="W22" s="12">
        <v>0</v>
      </c>
      <c r="X22" s="12">
        <v>1</v>
      </c>
      <c r="Y22" s="12">
        <v>2</v>
      </c>
      <c r="Z22" s="12">
        <v>0</v>
      </c>
      <c r="AA22" s="12">
        <v>3</v>
      </c>
      <c r="AB22" s="12">
        <v>3</v>
      </c>
      <c r="AC22" s="12">
        <v>1</v>
      </c>
      <c r="AD22" s="12">
        <v>0</v>
      </c>
      <c r="AE22" s="12">
        <v>0</v>
      </c>
      <c r="AF22" s="12">
        <v>0</v>
      </c>
    </row>
    <row r="23" spans="1:32">
      <c r="A23" s="20"/>
      <c r="B23" s="13" t="s">
        <v>520</v>
      </c>
      <c r="C23" s="15" t="s">
        <v>459</v>
      </c>
      <c r="D23" s="15" t="s">
        <v>459</v>
      </c>
      <c r="E23" s="15" t="s">
        <v>459</v>
      </c>
      <c r="F23" s="15" t="s">
        <v>459</v>
      </c>
      <c r="G23" s="15" t="s">
        <v>459</v>
      </c>
      <c r="H23" s="15" t="s">
        <v>459</v>
      </c>
      <c r="I23" s="15" t="s">
        <v>459</v>
      </c>
      <c r="J23" s="14">
        <v>0.01</v>
      </c>
      <c r="K23" s="14">
        <v>0.03</v>
      </c>
      <c r="L23" s="15" t="s">
        <v>459</v>
      </c>
      <c r="M23" s="15" t="s">
        <v>459</v>
      </c>
      <c r="N23" s="15" t="s">
        <v>459</v>
      </c>
      <c r="O23" s="15" t="s">
        <v>459</v>
      </c>
      <c r="P23" s="15" t="s">
        <v>459</v>
      </c>
      <c r="Q23" s="15" t="s">
        <v>459</v>
      </c>
      <c r="R23" s="15" t="s">
        <v>459</v>
      </c>
      <c r="S23" s="15" t="s">
        <v>459</v>
      </c>
      <c r="T23" s="15" t="s">
        <v>459</v>
      </c>
      <c r="U23" s="15" t="s">
        <v>459</v>
      </c>
      <c r="V23" s="15" t="s">
        <v>459</v>
      </c>
      <c r="W23" s="15" t="s">
        <v>459</v>
      </c>
      <c r="X23" s="15" t="s">
        <v>459</v>
      </c>
      <c r="Y23" s="15" t="s">
        <v>459</v>
      </c>
      <c r="Z23" s="15" t="s">
        <v>459</v>
      </c>
      <c r="AA23" s="15" t="s">
        <v>459</v>
      </c>
      <c r="AB23" s="15" t="s">
        <v>459</v>
      </c>
      <c r="AC23" s="15" t="s">
        <v>459</v>
      </c>
      <c r="AD23" s="15" t="s">
        <v>459</v>
      </c>
      <c r="AE23" s="15" t="s">
        <v>459</v>
      </c>
      <c r="AF23" s="15" t="s">
        <v>459</v>
      </c>
    </row>
    <row r="24" spans="1:32">
      <c r="A24" s="20"/>
      <c r="B24" s="11" t="s">
        <v>1494</v>
      </c>
      <c r="C24" s="12">
        <v>71</v>
      </c>
      <c r="D24" s="12">
        <v>1</v>
      </c>
      <c r="E24" s="12">
        <v>8</v>
      </c>
      <c r="F24" s="12">
        <v>0</v>
      </c>
      <c r="G24" s="12">
        <v>4</v>
      </c>
      <c r="H24" s="12">
        <v>3</v>
      </c>
      <c r="I24" s="12">
        <v>3</v>
      </c>
      <c r="J24" s="12">
        <v>1</v>
      </c>
      <c r="K24" s="12">
        <v>12</v>
      </c>
      <c r="L24" s="12">
        <v>8</v>
      </c>
      <c r="M24" s="12">
        <v>1</v>
      </c>
      <c r="N24" s="12">
        <v>1</v>
      </c>
      <c r="O24" s="12">
        <v>5</v>
      </c>
      <c r="P24" s="12">
        <v>0</v>
      </c>
      <c r="Q24" s="12">
        <v>4</v>
      </c>
      <c r="R24" s="12">
        <v>0</v>
      </c>
      <c r="S24" s="12">
        <v>4</v>
      </c>
      <c r="T24" s="12">
        <v>0</v>
      </c>
      <c r="U24" s="12">
        <v>1</v>
      </c>
      <c r="V24" s="12">
        <v>4</v>
      </c>
      <c r="W24" s="12">
        <v>0</v>
      </c>
      <c r="X24" s="12">
        <v>4</v>
      </c>
      <c r="Y24" s="12">
        <v>6</v>
      </c>
      <c r="Z24" s="12">
        <v>0</v>
      </c>
      <c r="AA24" s="12">
        <v>0</v>
      </c>
      <c r="AB24" s="12">
        <v>0</v>
      </c>
      <c r="AC24" s="12">
        <v>0</v>
      </c>
      <c r="AD24" s="12">
        <v>12</v>
      </c>
      <c r="AE24" s="12">
        <v>1</v>
      </c>
      <c r="AF24" s="12">
        <v>3</v>
      </c>
    </row>
    <row r="25" spans="1:32">
      <c r="A25" s="20"/>
      <c r="B25" s="13" t="s">
        <v>1495</v>
      </c>
      <c r="C25" s="15" t="s">
        <v>459</v>
      </c>
      <c r="D25" s="15" t="s">
        <v>459</v>
      </c>
      <c r="E25" s="14">
        <v>0.01</v>
      </c>
      <c r="F25" s="15" t="s">
        <v>459</v>
      </c>
      <c r="G25" s="15" t="s">
        <v>459</v>
      </c>
      <c r="H25" s="15" t="s">
        <v>459</v>
      </c>
      <c r="I25" s="15" t="s">
        <v>459</v>
      </c>
      <c r="J25" s="15" t="s">
        <v>459</v>
      </c>
      <c r="K25" s="14">
        <v>0.01</v>
      </c>
      <c r="L25" s="14">
        <v>0.01</v>
      </c>
      <c r="M25" s="15" t="s">
        <v>459</v>
      </c>
      <c r="N25" s="15" t="s">
        <v>459</v>
      </c>
      <c r="O25" s="15" t="s">
        <v>459</v>
      </c>
      <c r="P25" s="15" t="s">
        <v>459</v>
      </c>
      <c r="Q25" s="15" t="s">
        <v>459</v>
      </c>
      <c r="R25" s="15" t="s">
        <v>459</v>
      </c>
      <c r="S25" s="15" t="s">
        <v>459</v>
      </c>
      <c r="T25" s="15" t="s">
        <v>459</v>
      </c>
      <c r="U25" s="15" t="s">
        <v>459</v>
      </c>
      <c r="V25" s="15" t="s">
        <v>459</v>
      </c>
      <c r="W25" s="15" t="s">
        <v>459</v>
      </c>
      <c r="X25" s="15" t="s">
        <v>459</v>
      </c>
      <c r="Y25" s="14">
        <v>0.01</v>
      </c>
      <c r="Z25" s="15" t="s">
        <v>459</v>
      </c>
      <c r="AA25" s="15" t="s">
        <v>459</v>
      </c>
      <c r="AB25" s="15" t="s">
        <v>459</v>
      </c>
      <c r="AC25" s="15" t="s">
        <v>459</v>
      </c>
      <c r="AD25" s="14">
        <v>0.01</v>
      </c>
      <c r="AE25" s="15" t="s">
        <v>459</v>
      </c>
      <c r="AF25" s="15" t="s">
        <v>459</v>
      </c>
    </row>
    <row r="26" spans="1:32">
      <c r="A26" s="20"/>
      <c r="B26" s="11" t="s">
        <v>521</v>
      </c>
      <c r="C26" s="12">
        <v>69</v>
      </c>
      <c r="D26" s="12">
        <v>0</v>
      </c>
      <c r="E26" s="12">
        <v>9</v>
      </c>
      <c r="F26" s="12">
        <v>1</v>
      </c>
      <c r="G26" s="12">
        <v>4</v>
      </c>
      <c r="H26" s="12">
        <v>1</v>
      </c>
      <c r="I26" s="12">
        <v>2</v>
      </c>
      <c r="J26" s="12">
        <v>1</v>
      </c>
      <c r="K26" s="12">
        <v>35</v>
      </c>
      <c r="L26" s="12">
        <v>3</v>
      </c>
      <c r="M26" s="12">
        <v>7</v>
      </c>
      <c r="N26" s="12">
        <v>1</v>
      </c>
      <c r="O26" s="12">
        <v>6</v>
      </c>
      <c r="P26" s="12">
        <v>0</v>
      </c>
      <c r="Q26" s="12">
        <v>0</v>
      </c>
      <c r="R26" s="12">
        <v>1</v>
      </c>
      <c r="S26" s="12">
        <v>3</v>
      </c>
      <c r="T26" s="12">
        <v>5</v>
      </c>
      <c r="U26" s="12">
        <v>0</v>
      </c>
      <c r="V26" s="12">
        <v>1</v>
      </c>
      <c r="W26" s="12">
        <v>0</v>
      </c>
      <c r="X26" s="12">
        <v>0</v>
      </c>
      <c r="Y26" s="12">
        <v>18</v>
      </c>
      <c r="Z26" s="12">
        <v>1</v>
      </c>
      <c r="AA26" s="12">
        <v>6</v>
      </c>
      <c r="AB26" s="12">
        <v>0</v>
      </c>
      <c r="AC26" s="12">
        <v>2</v>
      </c>
      <c r="AD26" s="12">
        <v>1</v>
      </c>
      <c r="AE26" s="12">
        <v>13</v>
      </c>
      <c r="AF26" s="12">
        <v>2</v>
      </c>
    </row>
    <row r="27" spans="1:32">
      <c r="A27" s="20"/>
      <c r="B27" s="13" t="s">
        <v>522</v>
      </c>
      <c r="C27" s="15" t="s">
        <v>459</v>
      </c>
      <c r="D27" s="15" t="s">
        <v>459</v>
      </c>
      <c r="E27" s="14">
        <v>0.01</v>
      </c>
      <c r="F27" s="15" t="s">
        <v>459</v>
      </c>
      <c r="G27" s="15" t="s">
        <v>459</v>
      </c>
      <c r="H27" s="15" t="s">
        <v>459</v>
      </c>
      <c r="I27" s="15" t="s">
        <v>459</v>
      </c>
      <c r="J27" s="15" t="s">
        <v>459</v>
      </c>
      <c r="K27" s="14">
        <v>0.03</v>
      </c>
      <c r="L27" s="15" t="s">
        <v>459</v>
      </c>
      <c r="M27" s="14">
        <v>0.01</v>
      </c>
      <c r="N27" s="15" t="s">
        <v>459</v>
      </c>
      <c r="O27" s="14">
        <v>0.01</v>
      </c>
      <c r="P27" s="15" t="s">
        <v>459</v>
      </c>
      <c r="Q27" s="15" t="s">
        <v>459</v>
      </c>
      <c r="R27" s="15" t="s">
        <v>459</v>
      </c>
      <c r="S27" s="15" t="s">
        <v>459</v>
      </c>
      <c r="T27" s="15" t="s">
        <v>459</v>
      </c>
      <c r="U27" s="15" t="s">
        <v>459</v>
      </c>
      <c r="V27" s="15" t="s">
        <v>459</v>
      </c>
      <c r="W27" s="15" t="s">
        <v>459</v>
      </c>
      <c r="X27" s="15" t="s">
        <v>459</v>
      </c>
      <c r="Y27" s="14">
        <v>0.02</v>
      </c>
      <c r="Z27" s="15" t="s">
        <v>459</v>
      </c>
      <c r="AA27" s="14">
        <v>0.01</v>
      </c>
      <c r="AB27" s="15" t="s">
        <v>459</v>
      </c>
      <c r="AC27" s="15" t="s">
        <v>459</v>
      </c>
      <c r="AD27" s="15" t="s">
        <v>459</v>
      </c>
      <c r="AE27" s="14">
        <v>0.01</v>
      </c>
      <c r="AF27" s="15" t="s">
        <v>459</v>
      </c>
    </row>
    <row r="28" spans="1:32">
      <c r="A28" s="20"/>
      <c r="B28" s="11" t="s">
        <v>468</v>
      </c>
      <c r="C28" s="12">
        <v>159</v>
      </c>
      <c r="D28" s="12">
        <v>2</v>
      </c>
      <c r="E28" s="12">
        <v>39</v>
      </c>
      <c r="F28" s="12">
        <v>1</v>
      </c>
      <c r="G28" s="12">
        <v>15</v>
      </c>
      <c r="H28" s="12">
        <v>1</v>
      </c>
      <c r="I28" s="12">
        <v>2</v>
      </c>
      <c r="J28" s="12">
        <v>1</v>
      </c>
      <c r="K28" s="12">
        <v>35</v>
      </c>
      <c r="L28" s="12">
        <v>24</v>
      </c>
      <c r="M28" s="12">
        <v>9</v>
      </c>
      <c r="N28" s="12">
        <v>3</v>
      </c>
      <c r="O28" s="12">
        <v>6</v>
      </c>
      <c r="P28" s="12">
        <v>1</v>
      </c>
      <c r="Q28" s="12">
        <v>6</v>
      </c>
      <c r="R28" s="12">
        <v>3</v>
      </c>
      <c r="S28" s="12">
        <v>21</v>
      </c>
      <c r="T28" s="12">
        <v>26</v>
      </c>
      <c r="U28" s="12">
        <v>2</v>
      </c>
      <c r="V28" s="12">
        <v>1</v>
      </c>
      <c r="W28" s="12">
        <v>2</v>
      </c>
      <c r="X28" s="12">
        <v>6</v>
      </c>
      <c r="Y28" s="12">
        <v>14</v>
      </c>
      <c r="Z28" s="12">
        <v>8</v>
      </c>
      <c r="AA28" s="12">
        <v>1</v>
      </c>
      <c r="AB28" s="12">
        <v>0</v>
      </c>
      <c r="AC28" s="12">
        <v>5</v>
      </c>
      <c r="AD28" s="12">
        <v>4</v>
      </c>
      <c r="AE28" s="12">
        <v>35</v>
      </c>
      <c r="AF28" s="12">
        <v>14</v>
      </c>
    </row>
    <row r="29" spans="1:32">
      <c r="A29" s="20"/>
      <c r="B29" s="13" t="s">
        <v>469</v>
      </c>
      <c r="C29" s="14">
        <v>0.01</v>
      </c>
      <c r="D29" s="15" t="s">
        <v>459</v>
      </c>
      <c r="E29" s="14">
        <v>0.04</v>
      </c>
      <c r="F29" s="15" t="s">
        <v>459</v>
      </c>
      <c r="G29" s="14">
        <v>0.02</v>
      </c>
      <c r="H29" s="15" t="s">
        <v>459</v>
      </c>
      <c r="I29" s="15" t="s">
        <v>459</v>
      </c>
      <c r="J29" s="15" t="s">
        <v>459</v>
      </c>
      <c r="K29" s="14">
        <v>0.04</v>
      </c>
      <c r="L29" s="14">
        <v>0.02</v>
      </c>
      <c r="M29" s="14">
        <v>0.01</v>
      </c>
      <c r="N29" s="15" t="s">
        <v>459</v>
      </c>
      <c r="O29" s="14">
        <v>0.01</v>
      </c>
      <c r="P29" s="15" t="s">
        <v>459</v>
      </c>
      <c r="Q29" s="14">
        <v>0.01</v>
      </c>
      <c r="R29" s="14">
        <v>0.01</v>
      </c>
      <c r="S29" s="14">
        <v>0.02</v>
      </c>
      <c r="T29" s="14">
        <v>0.03</v>
      </c>
      <c r="U29" s="14">
        <v>0.01</v>
      </c>
      <c r="V29" s="15" t="s">
        <v>459</v>
      </c>
      <c r="W29" s="14">
        <v>0.01</v>
      </c>
      <c r="X29" s="14">
        <v>0.01</v>
      </c>
      <c r="Y29" s="14">
        <v>0.01</v>
      </c>
      <c r="Z29" s="14">
        <v>0.01</v>
      </c>
      <c r="AA29" s="15" t="s">
        <v>459</v>
      </c>
      <c r="AB29" s="15" t="s">
        <v>459</v>
      </c>
      <c r="AC29" s="14">
        <v>0.01</v>
      </c>
      <c r="AD29" s="15" t="s">
        <v>459</v>
      </c>
      <c r="AE29" s="14">
        <v>0.04</v>
      </c>
      <c r="AF29" s="14">
        <v>0.01</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391</v>
      </c>
      <c r="C3" s="18"/>
      <c r="D3" s="18"/>
      <c r="E3" s="18"/>
      <c r="F3" s="18"/>
      <c r="H3" s="18" t="s">
        <v>392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1709</v>
      </c>
      <c r="C12" s="12">
        <v>5371</v>
      </c>
      <c r="D12" s="12">
        <v>230</v>
      </c>
      <c r="E12" s="12">
        <v>123</v>
      </c>
      <c r="F12" s="12">
        <v>149</v>
      </c>
      <c r="G12" s="12">
        <v>628</v>
      </c>
      <c r="H12" s="12">
        <v>248</v>
      </c>
      <c r="I12" s="12">
        <v>292</v>
      </c>
      <c r="J12" s="12">
        <v>44</v>
      </c>
      <c r="K12" s="12">
        <v>153</v>
      </c>
      <c r="L12" s="12">
        <v>434</v>
      </c>
      <c r="M12" s="12">
        <v>83</v>
      </c>
      <c r="N12" s="12">
        <v>251</v>
      </c>
      <c r="O12" s="12">
        <v>193</v>
      </c>
      <c r="P12" s="12">
        <v>148</v>
      </c>
      <c r="Q12" s="12">
        <v>95</v>
      </c>
      <c r="R12" s="12">
        <v>154</v>
      </c>
      <c r="S12" s="12">
        <v>176</v>
      </c>
      <c r="T12" s="12">
        <v>209</v>
      </c>
      <c r="U12" s="12">
        <v>224</v>
      </c>
      <c r="V12" s="12">
        <v>136</v>
      </c>
      <c r="W12" s="12">
        <v>151</v>
      </c>
      <c r="X12" s="12">
        <v>540</v>
      </c>
      <c r="Y12" s="12">
        <v>375</v>
      </c>
      <c r="Z12" s="12">
        <v>125</v>
      </c>
      <c r="AA12" s="12">
        <v>124</v>
      </c>
      <c r="AB12" s="12">
        <v>98</v>
      </c>
      <c r="AC12" s="12">
        <v>385</v>
      </c>
      <c r="AD12" s="12">
        <v>164</v>
      </c>
      <c r="AE12" s="12">
        <v>402</v>
      </c>
      <c r="AF12" s="12">
        <v>469</v>
      </c>
    </row>
    <row r="13" spans="1:32">
      <c r="A13" s="20"/>
      <c r="B13" s="13" t="s">
        <v>1710</v>
      </c>
      <c r="C13" s="14">
        <v>0.21</v>
      </c>
      <c r="D13" s="14">
        <v>0.23</v>
      </c>
      <c r="E13" s="14">
        <v>0.12</v>
      </c>
      <c r="F13" s="14">
        <v>0.15</v>
      </c>
      <c r="G13" s="14">
        <v>0.63</v>
      </c>
      <c r="H13" s="14">
        <v>0.2</v>
      </c>
      <c r="I13" s="14">
        <v>0.19</v>
      </c>
      <c r="J13" s="14">
        <v>0.15</v>
      </c>
      <c r="K13" s="14">
        <v>0.15</v>
      </c>
      <c r="L13" s="14">
        <v>0.43</v>
      </c>
      <c r="M13" s="14">
        <v>0.09</v>
      </c>
      <c r="N13" s="14">
        <v>0.25</v>
      </c>
      <c r="O13" s="14">
        <v>0.19</v>
      </c>
      <c r="P13" s="14">
        <v>0.15</v>
      </c>
      <c r="Q13" s="14">
        <v>0.1</v>
      </c>
      <c r="R13" s="14">
        <v>0.31</v>
      </c>
      <c r="S13" s="14">
        <v>0.18</v>
      </c>
      <c r="T13" s="14">
        <v>0.21</v>
      </c>
      <c r="U13" s="14">
        <v>0.44</v>
      </c>
      <c r="V13" s="14">
        <v>0.13</v>
      </c>
      <c r="W13" s="14">
        <v>0.3</v>
      </c>
      <c r="X13" s="14">
        <v>0.53</v>
      </c>
      <c r="Y13" s="14">
        <v>0.37</v>
      </c>
      <c r="Z13" s="14">
        <v>0.13</v>
      </c>
      <c r="AA13" s="14">
        <v>0.12</v>
      </c>
      <c r="AB13" s="14">
        <v>0.09</v>
      </c>
      <c r="AC13" s="14">
        <v>0.38</v>
      </c>
      <c r="AD13" s="14">
        <v>0.16</v>
      </c>
      <c r="AE13" s="14">
        <v>0.4</v>
      </c>
      <c r="AF13" s="14">
        <v>0.46</v>
      </c>
    </row>
    <row r="14" spans="1:32">
      <c r="A14" s="20"/>
      <c r="B14" s="11" t="s">
        <v>1711</v>
      </c>
      <c r="C14" s="12">
        <v>17277</v>
      </c>
      <c r="D14" s="12">
        <v>651</v>
      </c>
      <c r="E14" s="12">
        <v>611</v>
      </c>
      <c r="F14" s="12">
        <v>731</v>
      </c>
      <c r="G14" s="12">
        <v>338</v>
      </c>
      <c r="H14" s="12">
        <v>811</v>
      </c>
      <c r="I14" s="12">
        <v>1010</v>
      </c>
      <c r="J14" s="12">
        <v>199</v>
      </c>
      <c r="K14" s="12">
        <v>692</v>
      </c>
      <c r="L14" s="12">
        <v>535</v>
      </c>
      <c r="M14" s="12">
        <v>635</v>
      </c>
      <c r="N14" s="12">
        <v>634</v>
      </c>
      <c r="O14" s="12">
        <v>673</v>
      </c>
      <c r="P14" s="12">
        <v>677</v>
      </c>
      <c r="Q14" s="12">
        <v>727</v>
      </c>
      <c r="R14" s="12">
        <v>264</v>
      </c>
      <c r="S14" s="12">
        <v>665</v>
      </c>
      <c r="T14" s="12">
        <v>679</v>
      </c>
      <c r="U14" s="12">
        <v>242</v>
      </c>
      <c r="V14" s="12">
        <v>727</v>
      </c>
      <c r="W14" s="12">
        <v>307</v>
      </c>
      <c r="X14" s="12">
        <v>447</v>
      </c>
      <c r="Y14" s="12">
        <v>481</v>
      </c>
      <c r="Z14" s="12">
        <v>810</v>
      </c>
      <c r="AA14" s="12">
        <v>822</v>
      </c>
      <c r="AB14" s="12">
        <v>619</v>
      </c>
      <c r="AC14" s="12">
        <v>576</v>
      </c>
      <c r="AD14" s="12">
        <v>719</v>
      </c>
      <c r="AE14" s="12">
        <v>531</v>
      </c>
      <c r="AF14" s="12">
        <v>506</v>
      </c>
    </row>
    <row r="15" spans="1:32">
      <c r="A15" s="20"/>
      <c r="B15" s="13" t="s">
        <v>1712</v>
      </c>
      <c r="C15" s="14">
        <v>0.66</v>
      </c>
      <c r="D15" s="14">
        <v>0.65</v>
      </c>
      <c r="E15" s="14">
        <v>0.6</v>
      </c>
      <c r="F15" s="14">
        <v>0.73</v>
      </c>
      <c r="G15" s="14">
        <v>0.34</v>
      </c>
      <c r="H15" s="14">
        <v>0.67</v>
      </c>
      <c r="I15" s="14">
        <v>0.67</v>
      </c>
      <c r="J15" s="14">
        <v>0.68</v>
      </c>
      <c r="K15" s="14">
        <v>0.69000000000000006</v>
      </c>
      <c r="L15" s="14">
        <v>0.53</v>
      </c>
      <c r="M15" s="14">
        <v>0.63</v>
      </c>
      <c r="N15" s="14">
        <v>0.63</v>
      </c>
      <c r="O15" s="14">
        <v>0.67</v>
      </c>
      <c r="P15" s="14">
        <v>0.66</v>
      </c>
      <c r="Q15" s="14">
        <v>0.71</v>
      </c>
      <c r="R15" s="14">
        <v>0.53</v>
      </c>
      <c r="S15" s="14">
        <v>0.66</v>
      </c>
      <c r="T15" s="14">
        <v>0.67</v>
      </c>
      <c r="U15" s="14">
        <v>0.48</v>
      </c>
      <c r="V15" s="14">
        <v>0.72</v>
      </c>
      <c r="W15" s="14">
        <v>0.61</v>
      </c>
      <c r="X15" s="14">
        <v>0.44</v>
      </c>
      <c r="Y15" s="14">
        <v>0.48</v>
      </c>
      <c r="Z15" s="14">
        <v>0.8</v>
      </c>
      <c r="AA15" s="14">
        <v>0.78</v>
      </c>
      <c r="AB15" s="14">
        <v>0.6</v>
      </c>
      <c r="AC15" s="14">
        <v>0.57000000000000006</v>
      </c>
      <c r="AD15" s="14">
        <v>0.71</v>
      </c>
      <c r="AE15" s="14">
        <v>0.53</v>
      </c>
      <c r="AF15" s="14">
        <v>0.5</v>
      </c>
    </row>
    <row r="16" spans="1:32">
      <c r="A16" s="20"/>
      <c r="B16" s="11" t="s">
        <v>1713</v>
      </c>
      <c r="C16" s="12">
        <v>3241</v>
      </c>
      <c r="D16" s="12">
        <v>103</v>
      </c>
      <c r="E16" s="12">
        <v>229</v>
      </c>
      <c r="F16" s="12">
        <v>98</v>
      </c>
      <c r="G16" s="12">
        <v>29</v>
      </c>
      <c r="H16" s="12">
        <v>138</v>
      </c>
      <c r="I16" s="12">
        <v>181</v>
      </c>
      <c r="J16" s="12">
        <v>43</v>
      </c>
      <c r="K16" s="12">
        <v>128</v>
      </c>
      <c r="L16" s="12">
        <v>30</v>
      </c>
      <c r="M16" s="12">
        <v>253</v>
      </c>
      <c r="N16" s="12">
        <v>105</v>
      </c>
      <c r="O16" s="12">
        <v>125</v>
      </c>
      <c r="P16" s="12">
        <v>176</v>
      </c>
      <c r="Q16" s="12">
        <v>177</v>
      </c>
      <c r="R16" s="12">
        <v>70</v>
      </c>
      <c r="S16" s="12">
        <v>145</v>
      </c>
      <c r="T16" s="12">
        <v>99</v>
      </c>
      <c r="U16" s="12">
        <v>36</v>
      </c>
      <c r="V16" s="12">
        <v>135</v>
      </c>
      <c r="W16" s="12">
        <v>40</v>
      </c>
      <c r="X16" s="12">
        <v>33</v>
      </c>
      <c r="Y16" s="12">
        <v>141</v>
      </c>
      <c r="Z16" s="12">
        <v>61</v>
      </c>
      <c r="AA16" s="12">
        <v>100</v>
      </c>
      <c r="AB16" s="12">
        <v>287</v>
      </c>
      <c r="AC16" s="12">
        <v>44</v>
      </c>
      <c r="AD16" s="12">
        <v>118</v>
      </c>
      <c r="AE16" s="12">
        <v>61</v>
      </c>
      <c r="AF16" s="12">
        <v>35</v>
      </c>
    </row>
    <row r="17" spans="1:32">
      <c r="A17" s="20"/>
      <c r="B17" s="13" t="s">
        <v>1714</v>
      </c>
      <c r="C17" s="14">
        <v>0.12</v>
      </c>
      <c r="D17" s="14">
        <v>0.1</v>
      </c>
      <c r="E17" s="14">
        <v>0.23</v>
      </c>
      <c r="F17" s="14">
        <v>0.1</v>
      </c>
      <c r="G17" s="14">
        <v>0.03</v>
      </c>
      <c r="H17" s="14">
        <v>0.11</v>
      </c>
      <c r="I17" s="14">
        <v>0.12</v>
      </c>
      <c r="J17" s="14">
        <v>0.15</v>
      </c>
      <c r="K17" s="14">
        <v>0.13</v>
      </c>
      <c r="L17" s="14">
        <v>0.03</v>
      </c>
      <c r="M17" s="14">
        <v>0.25</v>
      </c>
      <c r="N17" s="14">
        <v>0.11</v>
      </c>
      <c r="O17" s="14">
        <v>0.13</v>
      </c>
      <c r="P17" s="14">
        <v>0.17</v>
      </c>
      <c r="Q17" s="14">
        <v>0.17</v>
      </c>
      <c r="R17" s="14">
        <v>0.14000000000000001</v>
      </c>
      <c r="S17" s="14">
        <v>0.14000000000000001</v>
      </c>
      <c r="T17" s="14">
        <v>0.1</v>
      </c>
      <c r="U17" s="14">
        <v>7.0000000000000007E-2</v>
      </c>
      <c r="V17" s="14">
        <v>0.13</v>
      </c>
      <c r="W17" s="14">
        <v>0.08</v>
      </c>
      <c r="X17" s="14">
        <v>0.03</v>
      </c>
      <c r="Y17" s="14">
        <v>0.14000000000000001</v>
      </c>
      <c r="Z17" s="14">
        <v>0.06</v>
      </c>
      <c r="AA17" s="14">
        <v>0.09</v>
      </c>
      <c r="AB17" s="14">
        <v>0.28000000000000003</v>
      </c>
      <c r="AC17" s="14">
        <v>0.04</v>
      </c>
      <c r="AD17" s="14">
        <v>0.12</v>
      </c>
      <c r="AE17" s="14">
        <v>0.06</v>
      </c>
      <c r="AF17" s="14">
        <v>0.03</v>
      </c>
    </row>
    <row r="18" spans="1:32">
      <c r="A18" s="20"/>
      <c r="B18" s="11" t="s">
        <v>1715</v>
      </c>
      <c r="C18" s="12">
        <v>363</v>
      </c>
      <c r="D18" s="12">
        <v>18</v>
      </c>
      <c r="E18" s="12">
        <v>50</v>
      </c>
      <c r="F18" s="12">
        <v>22</v>
      </c>
      <c r="G18" s="12">
        <v>4</v>
      </c>
      <c r="H18" s="12">
        <v>17</v>
      </c>
      <c r="I18" s="12">
        <v>25</v>
      </c>
      <c r="J18" s="12">
        <v>7</v>
      </c>
      <c r="K18" s="12">
        <v>25</v>
      </c>
      <c r="L18" s="12">
        <v>4</v>
      </c>
      <c r="M18" s="12">
        <v>32</v>
      </c>
      <c r="N18" s="12">
        <v>13</v>
      </c>
      <c r="O18" s="12">
        <v>9</v>
      </c>
      <c r="P18" s="12">
        <v>20</v>
      </c>
      <c r="Q18" s="12">
        <v>17</v>
      </c>
      <c r="R18" s="12">
        <v>12</v>
      </c>
      <c r="S18" s="12">
        <v>19</v>
      </c>
      <c r="T18" s="12">
        <v>23</v>
      </c>
      <c r="U18" s="12">
        <v>5</v>
      </c>
      <c r="V18" s="12">
        <v>19</v>
      </c>
      <c r="W18" s="12">
        <v>5</v>
      </c>
      <c r="X18" s="12">
        <v>1</v>
      </c>
      <c r="Y18" s="12">
        <v>7</v>
      </c>
      <c r="Z18" s="12">
        <v>2</v>
      </c>
      <c r="AA18" s="12">
        <v>6</v>
      </c>
      <c r="AB18" s="12">
        <v>35</v>
      </c>
      <c r="AC18" s="12">
        <v>5</v>
      </c>
      <c r="AD18" s="12">
        <v>6</v>
      </c>
      <c r="AE18" s="12">
        <v>7</v>
      </c>
      <c r="AF18" s="12">
        <v>10</v>
      </c>
    </row>
    <row r="19" spans="1:32">
      <c r="A19" s="20"/>
      <c r="B19" s="13" t="s">
        <v>1716</v>
      </c>
      <c r="C19" s="14">
        <v>0.01</v>
      </c>
      <c r="D19" s="14">
        <v>0.02</v>
      </c>
      <c r="E19" s="14">
        <v>0.05</v>
      </c>
      <c r="F19" s="14">
        <v>0.02</v>
      </c>
      <c r="G19" s="15" t="s">
        <v>459</v>
      </c>
      <c r="H19" s="14">
        <v>0.02</v>
      </c>
      <c r="I19" s="14">
        <v>0.02</v>
      </c>
      <c r="J19" s="14">
        <v>0.02</v>
      </c>
      <c r="K19" s="14">
        <v>0.02</v>
      </c>
      <c r="L19" s="14">
        <v>0.01</v>
      </c>
      <c r="M19" s="14">
        <v>0.03</v>
      </c>
      <c r="N19" s="14">
        <v>0.01</v>
      </c>
      <c r="O19" s="14">
        <v>0.01</v>
      </c>
      <c r="P19" s="14">
        <v>0.02</v>
      </c>
      <c r="Q19" s="14">
        <v>0.02</v>
      </c>
      <c r="R19" s="14">
        <v>0.02</v>
      </c>
      <c r="S19" s="14">
        <v>0.02</v>
      </c>
      <c r="T19" s="14">
        <v>0.02</v>
      </c>
      <c r="U19" s="14">
        <v>0.01</v>
      </c>
      <c r="V19" s="14">
        <v>0.02</v>
      </c>
      <c r="W19" s="14">
        <v>0.01</v>
      </c>
      <c r="X19" s="15" t="s">
        <v>459</v>
      </c>
      <c r="Y19" s="14">
        <v>0.01</v>
      </c>
      <c r="Z19" s="15" t="s">
        <v>459</v>
      </c>
      <c r="AA19" s="14">
        <v>0.01</v>
      </c>
      <c r="AB19" s="14">
        <v>0.03</v>
      </c>
      <c r="AC19" s="14">
        <v>0.01</v>
      </c>
      <c r="AD19" s="14">
        <v>0.01</v>
      </c>
      <c r="AE19" s="14">
        <v>0.01</v>
      </c>
      <c r="AF19" s="14">
        <v>0.01</v>
      </c>
    </row>
    <row r="20" spans="1:32">
      <c r="A20" s="20"/>
      <c r="B20" s="11" t="s">
        <v>468</v>
      </c>
      <c r="C20" s="12">
        <v>67</v>
      </c>
      <c r="D20" s="12">
        <v>1</v>
      </c>
      <c r="E20" s="12">
        <v>4</v>
      </c>
      <c r="F20" s="12">
        <v>5</v>
      </c>
      <c r="G20" s="12">
        <v>5</v>
      </c>
      <c r="H20" s="12">
        <v>1</v>
      </c>
      <c r="I20" s="12">
        <v>2</v>
      </c>
      <c r="J20" s="12">
        <v>1</v>
      </c>
      <c r="K20" s="12">
        <v>8</v>
      </c>
      <c r="L20" s="12">
        <v>4</v>
      </c>
      <c r="M20" s="12">
        <v>0</v>
      </c>
      <c r="N20" s="12">
        <v>2</v>
      </c>
      <c r="O20" s="12">
        <v>2</v>
      </c>
      <c r="P20" s="12">
        <v>1</v>
      </c>
      <c r="Q20" s="12">
        <v>3</v>
      </c>
      <c r="R20" s="12">
        <v>0</v>
      </c>
      <c r="S20" s="12">
        <v>4</v>
      </c>
      <c r="T20" s="12">
        <v>5</v>
      </c>
      <c r="U20" s="12">
        <v>0</v>
      </c>
      <c r="V20" s="12">
        <v>0</v>
      </c>
      <c r="W20" s="12">
        <v>0</v>
      </c>
      <c r="X20" s="12">
        <v>0</v>
      </c>
      <c r="Y20" s="12">
        <v>4</v>
      </c>
      <c r="Z20" s="12">
        <v>11</v>
      </c>
      <c r="AA20" s="12">
        <v>0</v>
      </c>
      <c r="AB20" s="12">
        <v>0</v>
      </c>
      <c r="AC20" s="12">
        <v>0</v>
      </c>
      <c r="AD20" s="12">
        <v>0</v>
      </c>
      <c r="AE20" s="12">
        <v>0</v>
      </c>
      <c r="AF20" s="12">
        <v>1</v>
      </c>
    </row>
    <row r="21" spans="1:32">
      <c r="A21" s="20"/>
      <c r="B21" s="13" t="s">
        <v>469</v>
      </c>
      <c r="C21" s="15" t="s">
        <v>459</v>
      </c>
      <c r="D21" s="15" t="s">
        <v>459</v>
      </c>
      <c r="E21" s="15" t="s">
        <v>459</v>
      </c>
      <c r="F21" s="15" t="s">
        <v>459</v>
      </c>
      <c r="G21" s="15" t="s">
        <v>459</v>
      </c>
      <c r="H21" s="15" t="s">
        <v>459</v>
      </c>
      <c r="I21" s="15" t="s">
        <v>459</v>
      </c>
      <c r="J21" s="15" t="s">
        <v>459</v>
      </c>
      <c r="K21" s="14">
        <v>0.01</v>
      </c>
      <c r="L21" s="15" t="s">
        <v>459</v>
      </c>
      <c r="M21" s="15" t="s">
        <v>459</v>
      </c>
      <c r="N21" s="15" t="s">
        <v>459</v>
      </c>
      <c r="O21" s="15" t="s">
        <v>459</v>
      </c>
      <c r="P21" s="15" t="s">
        <v>459</v>
      </c>
      <c r="Q21" s="15" t="s">
        <v>459</v>
      </c>
      <c r="R21" s="15" t="s">
        <v>459</v>
      </c>
      <c r="S21" s="15" t="s">
        <v>459</v>
      </c>
      <c r="T21" s="15" t="s">
        <v>459</v>
      </c>
      <c r="U21" s="15" t="s">
        <v>459</v>
      </c>
      <c r="V21" s="15" t="s">
        <v>459</v>
      </c>
      <c r="W21" s="15" t="s">
        <v>459</v>
      </c>
      <c r="X21" s="15" t="s">
        <v>459</v>
      </c>
      <c r="Y21" s="15" t="s">
        <v>459</v>
      </c>
      <c r="Z21" s="14">
        <v>0.01</v>
      </c>
      <c r="AA21" s="15" t="s">
        <v>459</v>
      </c>
      <c r="AB21" s="15" t="s">
        <v>459</v>
      </c>
      <c r="AC21" s="15" t="s">
        <v>459</v>
      </c>
      <c r="AD21" s="15" t="s">
        <v>459</v>
      </c>
      <c r="AE21" s="15" t="s">
        <v>459</v>
      </c>
      <c r="AF21" s="15" t="s">
        <v>459</v>
      </c>
    </row>
    <row r="22" spans="1:32">
      <c r="A22" s="20"/>
      <c r="B22" s="11" t="s">
        <v>1717</v>
      </c>
      <c r="C22" s="12">
        <v>22648</v>
      </c>
      <c r="D22" s="12">
        <v>881</v>
      </c>
      <c r="E22" s="12">
        <v>734</v>
      </c>
      <c r="F22" s="12">
        <v>880</v>
      </c>
      <c r="G22" s="12">
        <v>966</v>
      </c>
      <c r="H22" s="12">
        <v>1059</v>
      </c>
      <c r="I22" s="12">
        <v>1302</v>
      </c>
      <c r="J22" s="12">
        <v>243</v>
      </c>
      <c r="K22" s="12">
        <v>845</v>
      </c>
      <c r="L22" s="12">
        <v>969</v>
      </c>
      <c r="M22" s="12">
        <v>718</v>
      </c>
      <c r="N22" s="12">
        <v>885</v>
      </c>
      <c r="O22" s="12">
        <v>866</v>
      </c>
      <c r="P22" s="12">
        <v>825</v>
      </c>
      <c r="Q22" s="12">
        <v>822</v>
      </c>
      <c r="R22" s="12">
        <v>418</v>
      </c>
      <c r="S22" s="12">
        <v>841</v>
      </c>
      <c r="T22" s="12">
        <v>888</v>
      </c>
      <c r="U22" s="12">
        <v>466</v>
      </c>
      <c r="V22" s="12">
        <v>863</v>
      </c>
      <c r="W22" s="12">
        <v>458</v>
      </c>
      <c r="X22" s="12">
        <v>987</v>
      </c>
      <c r="Y22" s="12">
        <v>856</v>
      </c>
      <c r="Z22" s="12">
        <v>935</v>
      </c>
      <c r="AA22" s="12">
        <v>946</v>
      </c>
      <c r="AB22" s="12">
        <v>717</v>
      </c>
      <c r="AC22" s="12">
        <v>961</v>
      </c>
      <c r="AD22" s="12">
        <v>883</v>
      </c>
      <c r="AE22" s="12">
        <v>933</v>
      </c>
      <c r="AF22" s="12">
        <v>975</v>
      </c>
    </row>
    <row r="23" spans="1:32">
      <c r="A23" s="20"/>
      <c r="B23" s="13" t="s">
        <v>1718</v>
      </c>
      <c r="C23" s="14">
        <v>0.87</v>
      </c>
      <c r="D23" s="14">
        <v>0.88</v>
      </c>
      <c r="E23" s="14">
        <v>0.72</v>
      </c>
      <c r="F23" s="14">
        <v>0.88</v>
      </c>
      <c r="G23" s="14">
        <v>0.97</v>
      </c>
      <c r="H23" s="14">
        <v>0.87</v>
      </c>
      <c r="I23" s="14">
        <v>0.86</v>
      </c>
      <c r="J23" s="14">
        <v>0.83000000000000007</v>
      </c>
      <c r="K23" s="14">
        <v>0.84</v>
      </c>
      <c r="L23" s="14">
        <v>0.96</v>
      </c>
      <c r="M23" s="14">
        <v>0.72</v>
      </c>
      <c r="N23" s="14">
        <v>0.88</v>
      </c>
      <c r="O23" s="14">
        <v>0.86</v>
      </c>
      <c r="P23" s="14">
        <v>0.81</v>
      </c>
      <c r="Q23" s="14">
        <v>0.81</v>
      </c>
      <c r="R23" s="14">
        <v>0.84</v>
      </c>
      <c r="S23" s="14">
        <v>0.84</v>
      </c>
      <c r="T23" s="14">
        <v>0.88</v>
      </c>
      <c r="U23" s="14">
        <v>0.92</v>
      </c>
      <c r="V23" s="14">
        <v>0.85</v>
      </c>
      <c r="W23" s="14">
        <v>0.91</v>
      </c>
      <c r="X23" s="14">
        <v>0.97</v>
      </c>
      <c r="Y23" s="14">
        <v>0.85</v>
      </c>
      <c r="Z23" s="14">
        <v>0.93</v>
      </c>
      <c r="AA23" s="14">
        <v>0.9</v>
      </c>
      <c r="AB23" s="14">
        <v>0.69000000000000006</v>
      </c>
      <c r="AC23" s="14">
        <v>0.95000000000000007</v>
      </c>
      <c r="AD23" s="14">
        <v>0.87</v>
      </c>
      <c r="AE23" s="14">
        <v>0.93</v>
      </c>
      <c r="AF23" s="14">
        <v>0.96</v>
      </c>
    </row>
    <row r="24" spans="1:32">
      <c r="A24" s="20"/>
      <c r="B24" s="11" t="s">
        <v>1719</v>
      </c>
      <c r="C24" s="12">
        <v>3604</v>
      </c>
      <c r="D24" s="12">
        <v>121</v>
      </c>
      <c r="E24" s="12">
        <v>279</v>
      </c>
      <c r="F24" s="12">
        <v>120</v>
      </c>
      <c r="G24" s="12">
        <v>33</v>
      </c>
      <c r="H24" s="12">
        <v>155</v>
      </c>
      <c r="I24" s="12">
        <v>206</v>
      </c>
      <c r="J24" s="12">
        <v>50</v>
      </c>
      <c r="K24" s="12">
        <v>153</v>
      </c>
      <c r="L24" s="12">
        <v>34</v>
      </c>
      <c r="M24" s="12">
        <v>285</v>
      </c>
      <c r="N24" s="12">
        <v>118</v>
      </c>
      <c r="O24" s="12">
        <v>134</v>
      </c>
      <c r="P24" s="12">
        <v>196</v>
      </c>
      <c r="Q24" s="12">
        <v>194</v>
      </c>
      <c r="R24" s="12">
        <v>82</v>
      </c>
      <c r="S24" s="12">
        <v>164</v>
      </c>
      <c r="T24" s="12">
        <v>122</v>
      </c>
      <c r="U24" s="12">
        <v>41</v>
      </c>
      <c r="V24" s="12">
        <v>154</v>
      </c>
      <c r="W24" s="12">
        <v>45</v>
      </c>
      <c r="X24" s="12">
        <v>34</v>
      </c>
      <c r="Y24" s="12">
        <v>148</v>
      </c>
      <c r="Z24" s="12">
        <v>63</v>
      </c>
      <c r="AA24" s="12">
        <v>106</v>
      </c>
      <c r="AB24" s="12">
        <v>322</v>
      </c>
      <c r="AC24" s="12">
        <v>49</v>
      </c>
      <c r="AD24" s="12">
        <v>124</v>
      </c>
      <c r="AE24" s="12">
        <v>68</v>
      </c>
      <c r="AF24" s="12">
        <v>45</v>
      </c>
    </row>
    <row r="25" spans="1:32">
      <c r="A25" s="20"/>
      <c r="B25" s="13" t="s">
        <v>1720</v>
      </c>
      <c r="C25" s="14">
        <v>0.13</v>
      </c>
      <c r="D25" s="14">
        <v>0.12</v>
      </c>
      <c r="E25" s="14">
        <v>0.28000000000000003</v>
      </c>
      <c r="F25" s="14">
        <v>0.12</v>
      </c>
      <c r="G25" s="14">
        <v>0.03</v>
      </c>
      <c r="H25" s="14">
        <v>0.13</v>
      </c>
      <c r="I25" s="14">
        <v>0.14000000000000001</v>
      </c>
      <c r="J25" s="14">
        <v>0.17</v>
      </c>
      <c r="K25" s="14">
        <v>0.15</v>
      </c>
      <c r="L25" s="14">
        <v>0.04</v>
      </c>
      <c r="M25" s="14">
        <v>0.28000000000000003</v>
      </c>
      <c r="N25" s="14">
        <v>0.12</v>
      </c>
      <c r="O25" s="14">
        <v>0.14000000000000001</v>
      </c>
      <c r="P25" s="14">
        <v>0.19</v>
      </c>
      <c r="Q25" s="14">
        <v>0.19</v>
      </c>
      <c r="R25" s="14">
        <v>0.16</v>
      </c>
      <c r="S25" s="14">
        <v>0.16</v>
      </c>
      <c r="T25" s="14">
        <v>0.12</v>
      </c>
      <c r="U25" s="14">
        <v>0.08</v>
      </c>
      <c r="V25" s="14">
        <v>0.15</v>
      </c>
      <c r="W25" s="14">
        <v>0.09</v>
      </c>
      <c r="X25" s="14">
        <v>0.03</v>
      </c>
      <c r="Y25" s="14">
        <v>0.15</v>
      </c>
      <c r="Z25" s="14">
        <v>0.06</v>
      </c>
      <c r="AA25" s="14">
        <v>0.1</v>
      </c>
      <c r="AB25" s="14">
        <v>0.31</v>
      </c>
      <c r="AC25" s="14">
        <v>0.05</v>
      </c>
      <c r="AD25" s="14">
        <v>0.13</v>
      </c>
      <c r="AE25" s="14">
        <v>7.0000000000000007E-2</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393</v>
      </c>
      <c r="C3" s="18"/>
      <c r="D3" s="18"/>
      <c r="E3" s="18"/>
      <c r="F3" s="18"/>
      <c r="H3" s="18" t="s">
        <v>394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1709</v>
      </c>
      <c r="C12" s="12">
        <v>5300</v>
      </c>
      <c r="D12" s="12">
        <v>223</v>
      </c>
      <c r="E12" s="12">
        <v>125</v>
      </c>
      <c r="F12" s="12">
        <v>148</v>
      </c>
      <c r="G12" s="12">
        <v>603</v>
      </c>
      <c r="H12" s="12">
        <v>222</v>
      </c>
      <c r="I12" s="12">
        <v>266</v>
      </c>
      <c r="J12" s="12">
        <v>44</v>
      </c>
      <c r="K12" s="12">
        <v>150</v>
      </c>
      <c r="L12" s="12">
        <v>417</v>
      </c>
      <c r="M12" s="12">
        <v>78</v>
      </c>
      <c r="N12" s="12">
        <v>253</v>
      </c>
      <c r="O12" s="12">
        <v>197</v>
      </c>
      <c r="P12" s="12">
        <v>155</v>
      </c>
      <c r="Q12" s="12">
        <v>116</v>
      </c>
      <c r="R12" s="12">
        <v>126</v>
      </c>
      <c r="S12" s="12">
        <v>159</v>
      </c>
      <c r="T12" s="12">
        <v>218</v>
      </c>
      <c r="U12" s="12">
        <v>210</v>
      </c>
      <c r="V12" s="12">
        <v>152</v>
      </c>
      <c r="W12" s="12">
        <v>153</v>
      </c>
      <c r="X12" s="12">
        <v>472</v>
      </c>
      <c r="Y12" s="12">
        <v>357</v>
      </c>
      <c r="Z12" s="12">
        <v>140</v>
      </c>
      <c r="AA12" s="12">
        <v>137</v>
      </c>
      <c r="AB12" s="12">
        <v>94</v>
      </c>
      <c r="AC12" s="12">
        <v>366</v>
      </c>
      <c r="AD12" s="12">
        <v>189</v>
      </c>
      <c r="AE12" s="12">
        <v>386</v>
      </c>
      <c r="AF12" s="12">
        <v>441</v>
      </c>
    </row>
    <row r="13" spans="1:32">
      <c r="A13" s="20"/>
      <c r="B13" s="13" t="s">
        <v>1710</v>
      </c>
      <c r="C13" s="14">
        <v>0.2</v>
      </c>
      <c r="D13" s="14">
        <v>0.22</v>
      </c>
      <c r="E13" s="14">
        <v>0.12</v>
      </c>
      <c r="F13" s="14">
        <v>0.15</v>
      </c>
      <c r="G13" s="14">
        <v>0.6</v>
      </c>
      <c r="H13" s="14">
        <v>0.18</v>
      </c>
      <c r="I13" s="14">
        <v>0.18</v>
      </c>
      <c r="J13" s="14">
        <v>0.15</v>
      </c>
      <c r="K13" s="14">
        <v>0.15</v>
      </c>
      <c r="L13" s="14">
        <v>0.41</v>
      </c>
      <c r="M13" s="14">
        <v>0.08</v>
      </c>
      <c r="N13" s="14">
        <v>0.25</v>
      </c>
      <c r="O13" s="14">
        <v>0.2</v>
      </c>
      <c r="P13" s="14">
        <v>0.15</v>
      </c>
      <c r="Q13" s="14">
        <v>0.11</v>
      </c>
      <c r="R13" s="14">
        <v>0.25</v>
      </c>
      <c r="S13" s="14">
        <v>0.16</v>
      </c>
      <c r="T13" s="14">
        <v>0.21</v>
      </c>
      <c r="U13" s="14">
        <v>0.42</v>
      </c>
      <c r="V13" s="14">
        <v>0.15</v>
      </c>
      <c r="W13" s="14">
        <v>0.3</v>
      </c>
      <c r="X13" s="14">
        <v>0.46</v>
      </c>
      <c r="Y13" s="14">
        <v>0.36</v>
      </c>
      <c r="Z13" s="14">
        <v>0.14000000000000001</v>
      </c>
      <c r="AA13" s="14">
        <v>0.13</v>
      </c>
      <c r="AB13" s="14">
        <v>0.09</v>
      </c>
      <c r="AC13" s="14">
        <v>0.36</v>
      </c>
      <c r="AD13" s="14">
        <v>0.19</v>
      </c>
      <c r="AE13" s="14">
        <v>0.39</v>
      </c>
      <c r="AF13" s="14">
        <v>0.43</v>
      </c>
    </row>
    <row r="14" spans="1:32">
      <c r="A14" s="20"/>
      <c r="B14" s="11" t="s">
        <v>1711</v>
      </c>
      <c r="C14" s="12">
        <v>17116</v>
      </c>
      <c r="D14" s="12">
        <v>657</v>
      </c>
      <c r="E14" s="12">
        <v>600</v>
      </c>
      <c r="F14" s="12">
        <v>726</v>
      </c>
      <c r="G14" s="12">
        <v>363</v>
      </c>
      <c r="H14" s="12">
        <v>834</v>
      </c>
      <c r="I14" s="12">
        <v>1031</v>
      </c>
      <c r="J14" s="12">
        <v>198</v>
      </c>
      <c r="K14" s="12">
        <v>659</v>
      </c>
      <c r="L14" s="12">
        <v>545</v>
      </c>
      <c r="M14" s="12">
        <v>604</v>
      </c>
      <c r="N14" s="12">
        <v>620</v>
      </c>
      <c r="O14" s="12">
        <v>663</v>
      </c>
      <c r="P14" s="12">
        <v>674</v>
      </c>
      <c r="Q14" s="12">
        <v>711</v>
      </c>
      <c r="R14" s="12">
        <v>274</v>
      </c>
      <c r="S14" s="12">
        <v>664</v>
      </c>
      <c r="T14" s="12">
        <v>647</v>
      </c>
      <c r="U14" s="12">
        <v>249</v>
      </c>
      <c r="V14" s="12">
        <v>678</v>
      </c>
      <c r="W14" s="12">
        <v>294</v>
      </c>
      <c r="X14" s="12">
        <v>505</v>
      </c>
      <c r="Y14" s="12">
        <v>476</v>
      </c>
      <c r="Z14" s="12">
        <v>780</v>
      </c>
      <c r="AA14" s="12">
        <v>788</v>
      </c>
      <c r="AB14" s="12">
        <v>596</v>
      </c>
      <c r="AC14" s="12">
        <v>585</v>
      </c>
      <c r="AD14" s="12">
        <v>681</v>
      </c>
      <c r="AE14" s="12">
        <v>530</v>
      </c>
      <c r="AF14" s="12">
        <v>525</v>
      </c>
    </row>
    <row r="15" spans="1:32">
      <c r="A15" s="20"/>
      <c r="B15" s="13" t="s">
        <v>1712</v>
      </c>
      <c r="C15" s="14">
        <v>0.65</v>
      </c>
      <c r="D15" s="14">
        <v>0.65</v>
      </c>
      <c r="E15" s="14">
        <v>0.59</v>
      </c>
      <c r="F15" s="14">
        <v>0.72</v>
      </c>
      <c r="G15" s="14">
        <v>0.36</v>
      </c>
      <c r="H15" s="14">
        <v>0.69000000000000006</v>
      </c>
      <c r="I15" s="14">
        <v>0.68</v>
      </c>
      <c r="J15" s="14">
        <v>0.67</v>
      </c>
      <c r="K15" s="14">
        <v>0.65</v>
      </c>
      <c r="L15" s="14">
        <v>0.54</v>
      </c>
      <c r="M15" s="14">
        <v>0.6</v>
      </c>
      <c r="N15" s="14">
        <v>0.62</v>
      </c>
      <c r="O15" s="14">
        <v>0.66</v>
      </c>
      <c r="P15" s="14">
        <v>0.66</v>
      </c>
      <c r="Q15" s="14">
        <v>0.70000000000000007</v>
      </c>
      <c r="R15" s="14">
        <v>0.55000000000000004</v>
      </c>
      <c r="S15" s="14">
        <v>0.66</v>
      </c>
      <c r="T15" s="14">
        <v>0.64</v>
      </c>
      <c r="U15" s="14">
        <v>0.49</v>
      </c>
      <c r="V15" s="14">
        <v>0.67</v>
      </c>
      <c r="W15" s="14">
        <v>0.59</v>
      </c>
      <c r="X15" s="14">
        <v>0.5</v>
      </c>
      <c r="Y15" s="14">
        <v>0.47</v>
      </c>
      <c r="Z15" s="14">
        <v>0.77</v>
      </c>
      <c r="AA15" s="14">
        <v>0.75</v>
      </c>
      <c r="AB15" s="14">
        <v>0.57000000000000006</v>
      </c>
      <c r="AC15" s="14">
        <v>0.57999999999999996</v>
      </c>
      <c r="AD15" s="14">
        <v>0.68</v>
      </c>
      <c r="AE15" s="14">
        <v>0.53</v>
      </c>
      <c r="AF15" s="14">
        <v>0.52</v>
      </c>
    </row>
    <row r="16" spans="1:32">
      <c r="A16" s="20"/>
      <c r="B16" s="11" t="s">
        <v>1721</v>
      </c>
      <c r="C16" s="12">
        <v>3407</v>
      </c>
      <c r="D16" s="12">
        <v>107</v>
      </c>
      <c r="E16" s="12">
        <v>236</v>
      </c>
      <c r="F16" s="12">
        <v>98</v>
      </c>
      <c r="G16" s="12">
        <v>30</v>
      </c>
      <c r="H16" s="12">
        <v>141</v>
      </c>
      <c r="I16" s="12">
        <v>185</v>
      </c>
      <c r="J16" s="12">
        <v>44</v>
      </c>
      <c r="K16" s="12">
        <v>166</v>
      </c>
      <c r="L16" s="12">
        <v>37</v>
      </c>
      <c r="M16" s="12">
        <v>282</v>
      </c>
      <c r="N16" s="12">
        <v>114</v>
      </c>
      <c r="O16" s="12">
        <v>125</v>
      </c>
      <c r="P16" s="12">
        <v>171</v>
      </c>
      <c r="Q16" s="12">
        <v>174</v>
      </c>
      <c r="R16" s="12">
        <v>73</v>
      </c>
      <c r="S16" s="12">
        <v>162</v>
      </c>
      <c r="T16" s="12">
        <v>122</v>
      </c>
      <c r="U16" s="12">
        <v>40</v>
      </c>
      <c r="V16" s="12">
        <v>167</v>
      </c>
      <c r="W16" s="12">
        <v>52</v>
      </c>
      <c r="X16" s="12">
        <v>41</v>
      </c>
      <c r="Y16" s="12">
        <v>153</v>
      </c>
      <c r="Z16" s="12">
        <v>77</v>
      </c>
      <c r="AA16" s="12">
        <v>118</v>
      </c>
      <c r="AB16" s="12">
        <v>298</v>
      </c>
      <c r="AC16" s="12">
        <v>53</v>
      </c>
      <c r="AD16" s="12">
        <v>132</v>
      </c>
      <c r="AE16" s="12">
        <v>75</v>
      </c>
      <c r="AF16" s="12">
        <v>40</v>
      </c>
    </row>
    <row r="17" spans="1:32">
      <c r="A17" s="20"/>
      <c r="B17" s="13" t="s">
        <v>1714</v>
      </c>
      <c r="C17" s="14">
        <v>0.13</v>
      </c>
      <c r="D17" s="14">
        <v>0.11</v>
      </c>
      <c r="E17" s="14">
        <v>0.23</v>
      </c>
      <c r="F17" s="14">
        <v>0.1</v>
      </c>
      <c r="G17" s="14">
        <v>0.03</v>
      </c>
      <c r="H17" s="14">
        <v>0.12</v>
      </c>
      <c r="I17" s="14">
        <v>0.12</v>
      </c>
      <c r="J17" s="14">
        <v>0.15</v>
      </c>
      <c r="K17" s="14">
        <v>0.17</v>
      </c>
      <c r="L17" s="14">
        <v>0.04</v>
      </c>
      <c r="M17" s="14">
        <v>0.28000000000000003</v>
      </c>
      <c r="N17" s="14">
        <v>0.11</v>
      </c>
      <c r="O17" s="14">
        <v>0.12</v>
      </c>
      <c r="P17" s="14">
        <v>0.17</v>
      </c>
      <c r="Q17" s="14">
        <v>0.17</v>
      </c>
      <c r="R17" s="14">
        <v>0.15</v>
      </c>
      <c r="S17" s="14">
        <v>0.16</v>
      </c>
      <c r="T17" s="14">
        <v>0.12</v>
      </c>
      <c r="U17" s="14">
        <v>0.08</v>
      </c>
      <c r="V17" s="14">
        <v>0.16</v>
      </c>
      <c r="W17" s="14">
        <v>0.1</v>
      </c>
      <c r="X17" s="14">
        <v>0.04</v>
      </c>
      <c r="Y17" s="14">
        <v>0.15</v>
      </c>
      <c r="Z17" s="14">
        <v>0.08</v>
      </c>
      <c r="AA17" s="14">
        <v>0.11</v>
      </c>
      <c r="AB17" s="14">
        <v>0.28999999999999998</v>
      </c>
      <c r="AC17" s="14">
        <v>0.05</v>
      </c>
      <c r="AD17" s="14">
        <v>0.13</v>
      </c>
      <c r="AE17" s="14">
        <v>7.0000000000000007E-2</v>
      </c>
      <c r="AF17" s="14">
        <v>0.04</v>
      </c>
    </row>
    <row r="18" spans="1:32">
      <c r="A18" s="20"/>
      <c r="B18" s="11" t="s">
        <v>1715</v>
      </c>
      <c r="C18" s="12">
        <v>432</v>
      </c>
      <c r="D18" s="12">
        <v>16</v>
      </c>
      <c r="E18" s="12">
        <v>55</v>
      </c>
      <c r="F18" s="12">
        <v>29</v>
      </c>
      <c r="G18" s="12">
        <v>3</v>
      </c>
      <c r="H18" s="12">
        <v>18</v>
      </c>
      <c r="I18" s="12">
        <v>26</v>
      </c>
      <c r="J18" s="12">
        <v>8</v>
      </c>
      <c r="K18" s="12">
        <v>25</v>
      </c>
      <c r="L18" s="12">
        <v>2</v>
      </c>
      <c r="M18" s="12">
        <v>39</v>
      </c>
      <c r="N18" s="12">
        <v>15</v>
      </c>
      <c r="O18" s="12">
        <v>15</v>
      </c>
      <c r="P18" s="12">
        <v>20</v>
      </c>
      <c r="Q18" s="12">
        <v>17</v>
      </c>
      <c r="R18" s="12">
        <v>26</v>
      </c>
      <c r="S18" s="12">
        <v>18</v>
      </c>
      <c r="T18" s="12">
        <v>23</v>
      </c>
      <c r="U18" s="12">
        <v>7</v>
      </c>
      <c r="V18" s="12">
        <v>20</v>
      </c>
      <c r="W18" s="12">
        <v>5</v>
      </c>
      <c r="X18" s="12">
        <v>1</v>
      </c>
      <c r="Y18" s="12">
        <v>19</v>
      </c>
      <c r="Z18" s="12">
        <v>1</v>
      </c>
      <c r="AA18" s="12">
        <v>10</v>
      </c>
      <c r="AB18" s="12">
        <v>49</v>
      </c>
      <c r="AC18" s="12">
        <v>6</v>
      </c>
      <c r="AD18" s="12">
        <v>4</v>
      </c>
      <c r="AE18" s="12">
        <v>8</v>
      </c>
      <c r="AF18" s="12">
        <v>14</v>
      </c>
    </row>
    <row r="19" spans="1:32">
      <c r="A19" s="20"/>
      <c r="B19" s="13" t="s">
        <v>1716</v>
      </c>
      <c r="C19" s="14">
        <v>0.02</v>
      </c>
      <c r="D19" s="14">
        <v>0.02</v>
      </c>
      <c r="E19" s="14">
        <v>0.06</v>
      </c>
      <c r="F19" s="14">
        <v>0.03</v>
      </c>
      <c r="G19" s="15" t="s">
        <v>459</v>
      </c>
      <c r="H19" s="14">
        <v>0.01</v>
      </c>
      <c r="I19" s="14">
        <v>0.02</v>
      </c>
      <c r="J19" s="14">
        <v>0.03</v>
      </c>
      <c r="K19" s="14">
        <v>0.02</v>
      </c>
      <c r="L19" s="15" t="s">
        <v>459</v>
      </c>
      <c r="M19" s="14">
        <v>0.04</v>
      </c>
      <c r="N19" s="14">
        <v>0.02</v>
      </c>
      <c r="O19" s="14">
        <v>0.02</v>
      </c>
      <c r="P19" s="14">
        <v>0.02</v>
      </c>
      <c r="Q19" s="14">
        <v>0.02</v>
      </c>
      <c r="R19" s="14">
        <v>0.05</v>
      </c>
      <c r="S19" s="14">
        <v>0.02</v>
      </c>
      <c r="T19" s="14">
        <v>0.02</v>
      </c>
      <c r="U19" s="14">
        <v>0.01</v>
      </c>
      <c r="V19" s="14">
        <v>0.02</v>
      </c>
      <c r="W19" s="14">
        <v>0.01</v>
      </c>
      <c r="X19" s="15" t="s">
        <v>459</v>
      </c>
      <c r="Y19" s="14">
        <v>0.02</v>
      </c>
      <c r="Z19" s="15" t="s">
        <v>459</v>
      </c>
      <c r="AA19" s="14">
        <v>0.01</v>
      </c>
      <c r="AB19" s="14">
        <v>0.05</v>
      </c>
      <c r="AC19" s="14">
        <v>0.01</v>
      </c>
      <c r="AD19" s="15" t="s">
        <v>459</v>
      </c>
      <c r="AE19" s="14">
        <v>0.01</v>
      </c>
      <c r="AF19" s="14">
        <v>0.01</v>
      </c>
    </row>
    <row r="20" spans="1:32">
      <c r="A20" s="20"/>
      <c r="B20" s="11" t="s">
        <v>468</v>
      </c>
      <c r="C20" s="12">
        <v>64</v>
      </c>
      <c r="D20" s="12">
        <v>0</v>
      </c>
      <c r="E20" s="12">
        <v>2</v>
      </c>
      <c r="F20" s="12">
        <v>4</v>
      </c>
      <c r="G20" s="12">
        <v>5</v>
      </c>
      <c r="H20" s="12">
        <v>1</v>
      </c>
      <c r="I20" s="12">
        <v>1</v>
      </c>
      <c r="J20" s="12">
        <v>0</v>
      </c>
      <c r="K20" s="12">
        <v>6</v>
      </c>
      <c r="L20" s="12">
        <v>5</v>
      </c>
      <c r="M20" s="12">
        <v>0</v>
      </c>
      <c r="N20" s="12">
        <v>2</v>
      </c>
      <c r="O20" s="12">
        <v>3</v>
      </c>
      <c r="P20" s="12">
        <v>2</v>
      </c>
      <c r="Q20" s="12">
        <v>2</v>
      </c>
      <c r="R20" s="12">
        <v>0</v>
      </c>
      <c r="S20" s="12">
        <v>4</v>
      </c>
      <c r="T20" s="12">
        <v>5</v>
      </c>
      <c r="U20" s="12">
        <v>0</v>
      </c>
      <c r="V20" s="12">
        <v>0</v>
      </c>
      <c r="W20" s="12">
        <v>0</v>
      </c>
      <c r="X20" s="12">
        <v>3</v>
      </c>
      <c r="Y20" s="12">
        <v>3</v>
      </c>
      <c r="Z20" s="12">
        <v>10</v>
      </c>
      <c r="AA20" s="12">
        <v>0</v>
      </c>
      <c r="AB20" s="12">
        <v>2</v>
      </c>
      <c r="AC20" s="12">
        <v>0</v>
      </c>
      <c r="AD20" s="12">
        <v>0</v>
      </c>
      <c r="AE20" s="12">
        <v>2</v>
      </c>
      <c r="AF20" s="12">
        <v>1</v>
      </c>
    </row>
    <row r="21" spans="1:32">
      <c r="A21" s="20"/>
      <c r="B21" s="13" t="s">
        <v>469</v>
      </c>
      <c r="C21" s="15" t="s">
        <v>459</v>
      </c>
      <c r="D21" s="15" t="s">
        <v>459</v>
      </c>
      <c r="E21" s="15" t="s">
        <v>459</v>
      </c>
      <c r="F21" s="15" t="s">
        <v>459</v>
      </c>
      <c r="G21" s="14">
        <v>0.01</v>
      </c>
      <c r="H21" s="15" t="s">
        <v>459</v>
      </c>
      <c r="I21" s="15" t="s">
        <v>459</v>
      </c>
      <c r="J21" s="15" t="s">
        <v>459</v>
      </c>
      <c r="K21" s="14">
        <v>0.01</v>
      </c>
      <c r="L21" s="14">
        <v>0.01</v>
      </c>
      <c r="M21" s="15" t="s">
        <v>459</v>
      </c>
      <c r="N21" s="15" t="s">
        <v>459</v>
      </c>
      <c r="O21" s="15" t="s">
        <v>459</v>
      </c>
      <c r="P21" s="15" t="s">
        <v>459</v>
      </c>
      <c r="Q21" s="15" t="s">
        <v>459</v>
      </c>
      <c r="R21" s="15" t="s">
        <v>459</v>
      </c>
      <c r="S21" s="15" t="s">
        <v>459</v>
      </c>
      <c r="T21" s="14">
        <v>0.01</v>
      </c>
      <c r="U21" s="15" t="s">
        <v>459</v>
      </c>
      <c r="V21" s="15" t="s">
        <v>459</v>
      </c>
      <c r="W21" s="15" t="s">
        <v>459</v>
      </c>
      <c r="X21" s="15" t="s">
        <v>459</v>
      </c>
      <c r="Y21" s="15" t="s">
        <v>459</v>
      </c>
      <c r="Z21" s="14">
        <v>0.01</v>
      </c>
      <c r="AA21" s="15" t="s">
        <v>459</v>
      </c>
      <c r="AB21" s="15" t="s">
        <v>459</v>
      </c>
      <c r="AC21" s="15" t="s">
        <v>459</v>
      </c>
      <c r="AD21" s="15" t="s">
        <v>459</v>
      </c>
      <c r="AE21" s="15" t="s">
        <v>459</v>
      </c>
      <c r="AF21" s="15" t="s">
        <v>459</v>
      </c>
    </row>
    <row r="22" spans="1:32">
      <c r="A22" s="20"/>
      <c r="B22" s="11" t="s">
        <v>1717</v>
      </c>
      <c r="C22" s="12">
        <v>22416</v>
      </c>
      <c r="D22" s="12">
        <v>880</v>
      </c>
      <c r="E22" s="12">
        <v>725</v>
      </c>
      <c r="F22" s="12">
        <v>874</v>
      </c>
      <c r="G22" s="12">
        <v>966</v>
      </c>
      <c r="H22" s="12">
        <v>1056</v>
      </c>
      <c r="I22" s="12">
        <v>1297</v>
      </c>
      <c r="J22" s="12">
        <v>242</v>
      </c>
      <c r="K22" s="12">
        <v>809</v>
      </c>
      <c r="L22" s="12">
        <v>962</v>
      </c>
      <c r="M22" s="12">
        <v>682</v>
      </c>
      <c r="N22" s="12">
        <v>873</v>
      </c>
      <c r="O22" s="12">
        <v>860</v>
      </c>
      <c r="P22" s="12">
        <v>829</v>
      </c>
      <c r="Q22" s="12">
        <v>827</v>
      </c>
      <c r="R22" s="12">
        <v>400</v>
      </c>
      <c r="S22" s="12">
        <v>823</v>
      </c>
      <c r="T22" s="12">
        <v>865</v>
      </c>
      <c r="U22" s="12">
        <v>459</v>
      </c>
      <c r="V22" s="12">
        <v>830</v>
      </c>
      <c r="W22" s="12">
        <v>447</v>
      </c>
      <c r="X22" s="12">
        <v>977</v>
      </c>
      <c r="Y22" s="12">
        <v>833</v>
      </c>
      <c r="Z22" s="12">
        <v>920</v>
      </c>
      <c r="AA22" s="12">
        <v>925</v>
      </c>
      <c r="AB22" s="12">
        <v>690</v>
      </c>
      <c r="AC22" s="12">
        <v>951</v>
      </c>
      <c r="AD22" s="12">
        <v>870</v>
      </c>
      <c r="AE22" s="12">
        <v>916</v>
      </c>
      <c r="AF22" s="12">
        <v>966</v>
      </c>
    </row>
    <row r="23" spans="1:32">
      <c r="A23" s="20"/>
      <c r="B23" s="13" t="s">
        <v>1718</v>
      </c>
      <c r="C23" s="14">
        <v>0.85</v>
      </c>
      <c r="D23" s="14">
        <v>0.87</v>
      </c>
      <c r="E23" s="14">
        <v>0.71</v>
      </c>
      <c r="F23" s="14">
        <v>0.87</v>
      </c>
      <c r="G23" s="14">
        <v>0.96</v>
      </c>
      <c r="H23" s="14">
        <v>0.87</v>
      </c>
      <c r="I23" s="14">
        <v>0.86</v>
      </c>
      <c r="J23" s="14">
        <v>0.82000000000000006</v>
      </c>
      <c r="K23" s="14">
        <v>0.8</v>
      </c>
      <c r="L23" s="14">
        <v>0.95000000000000007</v>
      </c>
      <c r="M23" s="14">
        <v>0.68</v>
      </c>
      <c r="N23" s="14">
        <v>0.87</v>
      </c>
      <c r="O23" s="14">
        <v>0.86</v>
      </c>
      <c r="P23" s="14">
        <v>0.81</v>
      </c>
      <c r="Q23" s="14">
        <v>0.81</v>
      </c>
      <c r="R23" s="14">
        <v>0.8</v>
      </c>
      <c r="S23" s="14">
        <v>0.82000000000000006</v>
      </c>
      <c r="T23" s="14">
        <v>0.85</v>
      </c>
      <c r="U23" s="14">
        <v>0.91</v>
      </c>
      <c r="V23" s="14">
        <v>0.82000000000000006</v>
      </c>
      <c r="W23" s="14">
        <v>0.89</v>
      </c>
      <c r="X23" s="14">
        <v>0.96</v>
      </c>
      <c r="Y23" s="14">
        <v>0.83000000000000007</v>
      </c>
      <c r="Z23" s="14">
        <v>0.91</v>
      </c>
      <c r="AA23" s="14">
        <v>0.88</v>
      </c>
      <c r="AB23" s="14">
        <v>0.66</v>
      </c>
      <c r="AC23" s="14">
        <v>0.94000000000000006</v>
      </c>
      <c r="AD23" s="14">
        <v>0.87</v>
      </c>
      <c r="AE23" s="14">
        <v>0.92</v>
      </c>
      <c r="AF23" s="14">
        <v>0.95000000000000007</v>
      </c>
    </row>
    <row r="24" spans="1:32">
      <c r="A24" s="20"/>
      <c r="B24" s="11" t="s">
        <v>1719</v>
      </c>
      <c r="C24" s="12">
        <v>3839</v>
      </c>
      <c r="D24" s="12">
        <v>123</v>
      </c>
      <c r="E24" s="12">
        <v>291</v>
      </c>
      <c r="F24" s="12">
        <v>127</v>
      </c>
      <c r="G24" s="12">
        <v>33</v>
      </c>
      <c r="H24" s="12">
        <v>159</v>
      </c>
      <c r="I24" s="12">
        <v>211</v>
      </c>
      <c r="J24" s="12">
        <v>52</v>
      </c>
      <c r="K24" s="12">
        <v>191</v>
      </c>
      <c r="L24" s="12">
        <v>39</v>
      </c>
      <c r="M24" s="12">
        <v>321</v>
      </c>
      <c r="N24" s="12">
        <v>129</v>
      </c>
      <c r="O24" s="12">
        <v>140</v>
      </c>
      <c r="P24" s="12">
        <v>191</v>
      </c>
      <c r="Q24" s="12">
        <v>191</v>
      </c>
      <c r="R24" s="12">
        <v>99</v>
      </c>
      <c r="S24" s="12">
        <v>180</v>
      </c>
      <c r="T24" s="12">
        <v>145</v>
      </c>
      <c r="U24" s="12">
        <v>47</v>
      </c>
      <c r="V24" s="12">
        <v>187</v>
      </c>
      <c r="W24" s="12">
        <v>57</v>
      </c>
      <c r="X24" s="12">
        <v>42</v>
      </c>
      <c r="Y24" s="12">
        <v>172</v>
      </c>
      <c r="Z24" s="12">
        <v>78</v>
      </c>
      <c r="AA24" s="12">
        <v>128</v>
      </c>
      <c r="AB24" s="12">
        <v>347</v>
      </c>
      <c r="AC24" s="12">
        <v>59</v>
      </c>
      <c r="AD24" s="12">
        <v>136</v>
      </c>
      <c r="AE24" s="12">
        <v>83</v>
      </c>
      <c r="AF24" s="12">
        <v>54</v>
      </c>
    </row>
    <row r="25" spans="1:32">
      <c r="A25" s="20"/>
      <c r="B25" s="13" t="s">
        <v>1720</v>
      </c>
      <c r="C25" s="14">
        <v>0.15</v>
      </c>
      <c r="D25" s="14">
        <v>0.13</v>
      </c>
      <c r="E25" s="14">
        <v>0.28999999999999998</v>
      </c>
      <c r="F25" s="14">
        <v>0.13</v>
      </c>
      <c r="G25" s="14">
        <v>0.03</v>
      </c>
      <c r="H25" s="14">
        <v>0.13</v>
      </c>
      <c r="I25" s="14">
        <v>0.14000000000000001</v>
      </c>
      <c r="J25" s="14">
        <v>0.18</v>
      </c>
      <c r="K25" s="14">
        <v>0.19</v>
      </c>
      <c r="L25" s="14">
        <v>0.04</v>
      </c>
      <c r="M25" s="14">
        <v>0.32</v>
      </c>
      <c r="N25" s="14">
        <v>0.13</v>
      </c>
      <c r="O25" s="14">
        <v>0.14000000000000001</v>
      </c>
      <c r="P25" s="14">
        <v>0.19</v>
      </c>
      <c r="Q25" s="14">
        <v>0.19</v>
      </c>
      <c r="R25" s="14">
        <v>0.2</v>
      </c>
      <c r="S25" s="14">
        <v>0.18</v>
      </c>
      <c r="T25" s="14">
        <v>0.14000000000000001</v>
      </c>
      <c r="U25" s="14">
        <v>0.09</v>
      </c>
      <c r="V25" s="14">
        <v>0.18</v>
      </c>
      <c r="W25" s="14">
        <v>0.11</v>
      </c>
      <c r="X25" s="14">
        <v>0.04</v>
      </c>
      <c r="Y25" s="14">
        <v>0.17</v>
      </c>
      <c r="Z25" s="14">
        <v>0.08</v>
      </c>
      <c r="AA25" s="14">
        <v>0.12</v>
      </c>
      <c r="AB25" s="14">
        <v>0.34</v>
      </c>
      <c r="AC25" s="14">
        <v>0.06</v>
      </c>
      <c r="AD25" s="14">
        <v>0.13</v>
      </c>
      <c r="AE25" s="14">
        <v>0.08</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1722</v>
      </c>
      <c r="C3" s="18"/>
      <c r="D3" s="18"/>
      <c r="E3" s="18"/>
      <c r="F3" s="18"/>
      <c r="H3" s="18" t="s">
        <v>1723</v>
      </c>
      <c r="I3" s="18"/>
      <c r="J3" s="18"/>
      <c r="K3" s="18"/>
      <c r="L3" s="18"/>
    </row>
    <row r="4" spans="1:32" ht="27" customHeight="1">
      <c r="B4" s="18" t="s">
        <v>1724</v>
      </c>
      <c r="C4" s="18"/>
      <c r="D4" s="18"/>
      <c r="E4" s="18"/>
      <c r="F4" s="18"/>
      <c r="H4" s="18" t="s">
        <v>858</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HYPERLINK("#Content!A199","&lt;&lt;Back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1725</v>
      </c>
      <c r="C12" s="12">
        <v>9077</v>
      </c>
      <c r="D12" s="12">
        <v>469</v>
      </c>
      <c r="E12" s="12">
        <v>339</v>
      </c>
      <c r="F12" s="12">
        <v>386</v>
      </c>
      <c r="G12" s="12">
        <v>511</v>
      </c>
      <c r="H12" s="12">
        <v>362</v>
      </c>
      <c r="I12" s="12">
        <v>433</v>
      </c>
      <c r="J12" s="12">
        <v>70</v>
      </c>
      <c r="K12" s="12">
        <v>323</v>
      </c>
      <c r="L12" s="12">
        <v>667</v>
      </c>
      <c r="M12" s="12">
        <v>195</v>
      </c>
      <c r="N12" s="12">
        <v>359</v>
      </c>
      <c r="O12" s="12">
        <v>134</v>
      </c>
      <c r="P12" s="12">
        <v>441</v>
      </c>
      <c r="Q12" s="12">
        <v>447</v>
      </c>
      <c r="R12" s="12">
        <v>107</v>
      </c>
      <c r="S12" s="12">
        <v>306</v>
      </c>
      <c r="T12" s="12">
        <v>473</v>
      </c>
      <c r="U12" s="12">
        <v>294</v>
      </c>
      <c r="V12" s="12">
        <v>374</v>
      </c>
      <c r="W12" s="12">
        <v>223</v>
      </c>
      <c r="X12" s="12">
        <v>226</v>
      </c>
      <c r="Y12" s="12">
        <v>424</v>
      </c>
      <c r="Z12" s="12">
        <v>620</v>
      </c>
      <c r="AA12" s="12">
        <v>476</v>
      </c>
      <c r="AB12" s="12">
        <v>443</v>
      </c>
      <c r="AC12" s="12">
        <v>264</v>
      </c>
      <c r="AD12" s="12">
        <v>261</v>
      </c>
      <c r="AE12" s="12">
        <v>307</v>
      </c>
      <c r="AF12" s="12">
        <v>238</v>
      </c>
    </row>
    <row r="13" spans="1:32" ht="24.95">
      <c r="A13" s="20"/>
      <c r="B13" s="13" t="s">
        <v>1726</v>
      </c>
      <c r="C13" s="14">
        <v>0.34</v>
      </c>
      <c r="D13" s="14">
        <v>0.47</v>
      </c>
      <c r="E13" s="14">
        <v>0.33</v>
      </c>
      <c r="F13" s="14">
        <v>0.38</v>
      </c>
      <c r="G13" s="14">
        <v>0.51</v>
      </c>
      <c r="H13" s="14">
        <v>0.3</v>
      </c>
      <c r="I13" s="14">
        <v>0.28999999999999998</v>
      </c>
      <c r="J13" s="14">
        <v>0.24</v>
      </c>
      <c r="K13" s="14">
        <v>0.32</v>
      </c>
      <c r="L13" s="14">
        <v>0.66</v>
      </c>
      <c r="M13" s="14">
        <v>0.19</v>
      </c>
      <c r="N13" s="14">
        <v>0.36</v>
      </c>
      <c r="O13" s="14">
        <v>0.13</v>
      </c>
      <c r="P13" s="14">
        <v>0.43</v>
      </c>
      <c r="Q13" s="14">
        <v>0.44</v>
      </c>
      <c r="R13" s="14">
        <v>0.21</v>
      </c>
      <c r="S13" s="14">
        <v>0.3</v>
      </c>
      <c r="T13" s="14">
        <v>0.47</v>
      </c>
      <c r="U13" s="14">
        <v>0.57999999999999996</v>
      </c>
      <c r="V13" s="14">
        <v>0.37</v>
      </c>
      <c r="W13" s="14">
        <v>0.44</v>
      </c>
      <c r="X13" s="14">
        <v>0.22</v>
      </c>
      <c r="Y13" s="14">
        <v>0.42</v>
      </c>
      <c r="Z13" s="14">
        <v>0.62</v>
      </c>
      <c r="AA13" s="14">
        <v>0.45</v>
      </c>
      <c r="AB13" s="14">
        <v>0.43</v>
      </c>
      <c r="AC13" s="14">
        <v>0.26</v>
      </c>
      <c r="AD13" s="14">
        <v>0.26</v>
      </c>
      <c r="AE13" s="14">
        <v>0.31</v>
      </c>
      <c r="AF13" s="14">
        <v>0.23</v>
      </c>
    </row>
    <row r="14" spans="1:32" ht="24.95">
      <c r="A14" s="20"/>
      <c r="B14" s="11" t="s">
        <v>1727</v>
      </c>
      <c r="C14" s="12">
        <v>14680</v>
      </c>
      <c r="D14" s="12">
        <v>483</v>
      </c>
      <c r="E14" s="12">
        <v>513</v>
      </c>
      <c r="F14" s="12">
        <v>553</v>
      </c>
      <c r="G14" s="12">
        <v>347</v>
      </c>
      <c r="H14" s="12">
        <v>710</v>
      </c>
      <c r="I14" s="12">
        <v>912</v>
      </c>
      <c r="J14" s="12">
        <v>202</v>
      </c>
      <c r="K14" s="12">
        <v>481</v>
      </c>
      <c r="L14" s="12">
        <v>243</v>
      </c>
      <c r="M14" s="12">
        <v>718</v>
      </c>
      <c r="N14" s="12">
        <v>550</v>
      </c>
      <c r="O14" s="12">
        <v>762</v>
      </c>
      <c r="P14" s="12">
        <v>527</v>
      </c>
      <c r="Q14" s="12">
        <v>511</v>
      </c>
      <c r="R14" s="12">
        <v>307</v>
      </c>
      <c r="S14" s="12">
        <v>498</v>
      </c>
      <c r="T14" s="12">
        <v>313</v>
      </c>
      <c r="U14" s="12">
        <v>133</v>
      </c>
      <c r="V14" s="12">
        <v>528</v>
      </c>
      <c r="W14" s="12">
        <v>209</v>
      </c>
      <c r="X14" s="12">
        <v>742</v>
      </c>
      <c r="Y14" s="12">
        <v>454</v>
      </c>
      <c r="Z14" s="12">
        <v>294</v>
      </c>
      <c r="AA14" s="12">
        <v>344</v>
      </c>
      <c r="AB14" s="12">
        <v>530</v>
      </c>
      <c r="AC14" s="12">
        <v>509</v>
      </c>
      <c r="AD14" s="12">
        <v>612</v>
      </c>
      <c r="AE14" s="12">
        <v>607</v>
      </c>
      <c r="AF14" s="12">
        <v>709</v>
      </c>
    </row>
    <row r="15" spans="1:32" ht="24.95">
      <c r="A15" s="20"/>
      <c r="B15" s="13" t="s">
        <v>1728</v>
      </c>
      <c r="C15" s="14">
        <v>0.56000000000000005</v>
      </c>
      <c r="D15" s="14">
        <v>0.48</v>
      </c>
      <c r="E15" s="14">
        <v>0.51</v>
      </c>
      <c r="F15" s="14">
        <v>0.55000000000000004</v>
      </c>
      <c r="G15" s="14">
        <v>0.35</v>
      </c>
      <c r="H15" s="14">
        <v>0.57999999999999996</v>
      </c>
      <c r="I15" s="14">
        <v>0.6</v>
      </c>
      <c r="J15" s="14">
        <v>0.69000000000000006</v>
      </c>
      <c r="K15" s="14">
        <v>0.48</v>
      </c>
      <c r="L15" s="14">
        <v>0.24</v>
      </c>
      <c r="M15" s="14">
        <v>0.72</v>
      </c>
      <c r="N15" s="14">
        <v>0.55000000000000004</v>
      </c>
      <c r="O15" s="14">
        <v>0.76</v>
      </c>
      <c r="P15" s="14">
        <v>0.52</v>
      </c>
      <c r="Q15" s="14">
        <v>0.5</v>
      </c>
      <c r="R15" s="14">
        <v>0.62</v>
      </c>
      <c r="S15" s="14">
        <v>0.5</v>
      </c>
      <c r="T15" s="14">
        <v>0.31</v>
      </c>
      <c r="U15" s="14">
        <v>0.26</v>
      </c>
      <c r="V15" s="14">
        <v>0.52</v>
      </c>
      <c r="W15" s="14">
        <v>0.42</v>
      </c>
      <c r="X15" s="14">
        <v>0.73</v>
      </c>
      <c r="Y15" s="14">
        <v>0.45</v>
      </c>
      <c r="Z15" s="14">
        <v>0.28999999999999998</v>
      </c>
      <c r="AA15" s="14">
        <v>0.33</v>
      </c>
      <c r="AB15" s="14">
        <v>0.51</v>
      </c>
      <c r="AC15" s="14">
        <v>0.51</v>
      </c>
      <c r="AD15" s="14">
        <v>0.61</v>
      </c>
      <c r="AE15" s="14">
        <v>0.6</v>
      </c>
      <c r="AF15" s="14">
        <v>0.70000000000000007</v>
      </c>
    </row>
    <row r="16" spans="1:32">
      <c r="A16" s="20"/>
      <c r="B16" s="11" t="s">
        <v>1729</v>
      </c>
      <c r="C16" s="12">
        <v>1747</v>
      </c>
      <c r="D16" s="12">
        <v>46</v>
      </c>
      <c r="E16" s="12">
        <v>111</v>
      </c>
      <c r="F16" s="12">
        <v>44</v>
      </c>
      <c r="G16" s="12">
        <v>115</v>
      </c>
      <c r="H16" s="12">
        <v>104</v>
      </c>
      <c r="I16" s="12">
        <v>120</v>
      </c>
      <c r="J16" s="12">
        <v>16</v>
      </c>
      <c r="K16" s="12">
        <v>149</v>
      </c>
      <c r="L16" s="12">
        <v>61</v>
      </c>
      <c r="M16" s="12">
        <v>78</v>
      </c>
      <c r="N16" s="12">
        <v>80</v>
      </c>
      <c r="O16" s="12">
        <v>60</v>
      </c>
      <c r="P16" s="12">
        <v>34</v>
      </c>
      <c r="Q16" s="12">
        <v>43</v>
      </c>
      <c r="R16" s="12">
        <v>66</v>
      </c>
      <c r="S16" s="12">
        <v>133</v>
      </c>
      <c r="T16" s="12">
        <v>185</v>
      </c>
      <c r="U16" s="12">
        <v>51</v>
      </c>
      <c r="V16" s="12">
        <v>101</v>
      </c>
      <c r="W16" s="12">
        <v>64</v>
      </c>
      <c r="X16" s="12">
        <v>36</v>
      </c>
      <c r="Y16" s="12">
        <v>89</v>
      </c>
      <c r="Z16" s="12">
        <v>41</v>
      </c>
      <c r="AA16" s="12">
        <v>139</v>
      </c>
      <c r="AB16" s="12">
        <v>35</v>
      </c>
      <c r="AC16" s="12">
        <v>195</v>
      </c>
      <c r="AD16" s="12">
        <v>106</v>
      </c>
      <c r="AE16" s="12">
        <v>49</v>
      </c>
      <c r="AF16" s="12">
        <v>59</v>
      </c>
    </row>
    <row r="17" spans="1:32" ht="24.95">
      <c r="A17" s="20"/>
      <c r="B17" s="13" t="s">
        <v>1730</v>
      </c>
      <c r="C17" s="14">
        <v>7.0000000000000007E-2</v>
      </c>
      <c r="D17" s="14">
        <v>0.05</v>
      </c>
      <c r="E17" s="14">
        <v>0.11</v>
      </c>
      <c r="F17" s="14">
        <v>0.05</v>
      </c>
      <c r="G17" s="14">
        <v>0.11</v>
      </c>
      <c r="H17" s="14">
        <v>0.09</v>
      </c>
      <c r="I17" s="14">
        <v>0.08</v>
      </c>
      <c r="J17" s="14">
        <v>0.05</v>
      </c>
      <c r="K17" s="14">
        <v>0.15</v>
      </c>
      <c r="L17" s="14">
        <v>0.06</v>
      </c>
      <c r="M17" s="14">
        <v>0.08</v>
      </c>
      <c r="N17" s="14">
        <v>0.08</v>
      </c>
      <c r="O17" s="14">
        <v>0.06</v>
      </c>
      <c r="P17" s="14">
        <v>0.03</v>
      </c>
      <c r="Q17" s="14">
        <v>0.04</v>
      </c>
      <c r="R17" s="14">
        <v>0.13</v>
      </c>
      <c r="S17" s="14">
        <v>0.13</v>
      </c>
      <c r="T17" s="14">
        <v>0.18</v>
      </c>
      <c r="U17" s="14">
        <v>0.1</v>
      </c>
      <c r="V17" s="14">
        <v>0.1</v>
      </c>
      <c r="W17" s="14">
        <v>0.13</v>
      </c>
      <c r="X17" s="14">
        <v>0.03</v>
      </c>
      <c r="Y17" s="14">
        <v>0.09</v>
      </c>
      <c r="Z17" s="14">
        <v>0.04</v>
      </c>
      <c r="AA17" s="14">
        <v>0.13</v>
      </c>
      <c r="AB17" s="14">
        <v>0.03</v>
      </c>
      <c r="AC17" s="14">
        <v>0.19</v>
      </c>
      <c r="AD17" s="14">
        <v>0.1</v>
      </c>
      <c r="AE17" s="14">
        <v>0.05</v>
      </c>
      <c r="AF17" s="14">
        <v>0.06</v>
      </c>
    </row>
    <row r="18" spans="1:32">
      <c r="A18" s="20"/>
      <c r="B18" s="11" t="s">
        <v>468</v>
      </c>
      <c r="C18" s="12">
        <v>815</v>
      </c>
      <c r="D18" s="12">
        <v>5</v>
      </c>
      <c r="E18" s="12">
        <v>54</v>
      </c>
      <c r="F18" s="12">
        <v>22</v>
      </c>
      <c r="G18" s="12">
        <v>31</v>
      </c>
      <c r="H18" s="12">
        <v>40</v>
      </c>
      <c r="I18" s="12">
        <v>45</v>
      </c>
      <c r="J18" s="12">
        <v>5</v>
      </c>
      <c r="K18" s="12">
        <v>54</v>
      </c>
      <c r="L18" s="12">
        <v>36</v>
      </c>
      <c r="M18" s="12">
        <v>12</v>
      </c>
      <c r="N18" s="12">
        <v>15</v>
      </c>
      <c r="O18" s="12">
        <v>48</v>
      </c>
      <c r="P18" s="12">
        <v>20</v>
      </c>
      <c r="Q18" s="12">
        <v>18</v>
      </c>
      <c r="R18" s="12">
        <v>21</v>
      </c>
      <c r="S18" s="12">
        <v>72</v>
      </c>
      <c r="T18" s="12">
        <v>42</v>
      </c>
      <c r="U18" s="12">
        <v>29</v>
      </c>
      <c r="V18" s="12">
        <v>14</v>
      </c>
      <c r="W18" s="12">
        <v>7</v>
      </c>
      <c r="X18" s="12">
        <v>17</v>
      </c>
      <c r="Y18" s="12">
        <v>41</v>
      </c>
      <c r="Z18" s="12">
        <v>54</v>
      </c>
      <c r="AA18" s="12">
        <v>94</v>
      </c>
      <c r="AB18" s="12">
        <v>30</v>
      </c>
      <c r="AC18" s="12">
        <v>41</v>
      </c>
      <c r="AD18" s="12">
        <v>26</v>
      </c>
      <c r="AE18" s="12">
        <v>38</v>
      </c>
      <c r="AF18" s="12">
        <v>14</v>
      </c>
    </row>
    <row r="19" spans="1:32">
      <c r="A19" s="20"/>
      <c r="B19" s="13" t="s">
        <v>469</v>
      </c>
      <c r="C19" s="14">
        <v>0.03</v>
      </c>
      <c r="D19" s="15" t="s">
        <v>459</v>
      </c>
      <c r="E19" s="14">
        <v>0.05</v>
      </c>
      <c r="F19" s="14">
        <v>0.02</v>
      </c>
      <c r="G19" s="14">
        <v>0.03</v>
      </c>
      <c r="H19" s="14">
        <v>0.03</v>
      </c>
      <c r="I19" s="14">
        <v>0.03</v>
      </c>
      <c r="J19" s="14">
        <v>0.02</v>
      </c>
      <c r="K19" s="14">
        <v>0.05</v>
      </c>
      <c r="L19" s="14">
        <v>0.04</v>
      </c>
      <c r="M19" s="14">
        <v>0.01</v>
      </c>
      <c r="N19" s="14">
        <v>0.01</v>
      </c>
      <c r="O19" s="14">
        <v>0.05</v>
      </c>
      <c r="P19" s="14">
        <v>0.02</v>
      </c>
      <c r="Q19" s="14">
        <v>0.02</v>
      </c>
      <c r="R19" s="14">
        <v>0.04</v>
      </c>
      <c r="S19" s="14">
        <v>7.0000000000000007E-2</v>
      </c>
      <c r="T19" s="14">
        <v>0.04</v>
      </c>
      <c r="U19" s="14">
        <v>0.06</v>
      </c>
      <c r="V19" s="14">
        <v>0.01</v>
      </c>
      <c r="W19" s="14">
        <v>0.01</v>
      </c>
      <c r="X19" s="14">
        <v>0.02</v>
      </c>
      <c r="Y19" s="14">
        <v>0.04</v>
      </c>
      <c r="Z19" s="14">
        <v>0.05</v>
      </c>
      <c r="AA19" s="14">
        <v>0.09</v>
      </c>
      <c r="AB19" s="14">
        <v>0.03</v>
      </c>
      <c r="AC19" s="14">
        <v>0.04</v>
      </c>
      <c r="AD19" s="14">
        <v>0.03</v>
      </c>
      <c r="AE19" s="14">
        <v>0.04</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1731</v>
      </c>
      <c r="C3" s="18"/>
      <c r="D3" s="18"/>
      <c r="E3" s="18"/>
      <c r="F3" s="18"/>
      <c r="H3" s="18" t="s">
        <v>1732</v>
      </c>
      <c r="I3" s="18"/>
      <c r="J3" s="18"/>
      <c r="K3" s="18"/>
      <c r="L3" s="18"/>
    </row>
    <row r="4" spans="1:32" ht="27" customHeight="1">
      <c r="B4" s="18" t="s">
        <v>1733</v>
      </c>
      <c r="C4" s="18"/>
      <c r="D4" s="18"/>
      <c r="E4" s="18"/>
      <c r="F4" s="18"/>
      <c r="H4" s="18" t="s">
        <v>1066</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1725</v>
      </c>
      <c r="C12" s="12">
        <v>9529</v>
      </c>
      <c r="D12" s="12">
        <v>391</v>
      </c>
      <c r="E12" s="12">
        <v>464</v>
      </c>
      <c r="F12" s="12">
        <v>351</v>
      </c>
      <c r="G12" s="12">
        <v>526</v>
      </c>
      <c r="H12" s="12">
        <v>379</v>
      </c>
      <c r="I12" s="12">
        <v>450</v>
      </c>
      <c r="J12" s="12">
        <v>71</v>
      </c>
      <c r="K12" s="12">
        <v>329</v>
      </c>
      <c r="L12" s="12">
        <v>576</v>
      </c>
      <c r="M12" s="12">
        <v>232</v>
      </c>
      <c r="N12" s="12">
        <v>326</v>
      </c>
      <c r="O12" s="12">
        <v>160</v>
      </c>
      <c r="P12" s="12">
        <v>490</v>
      </c>
      <c r="Q12" s="12">
        <v>515</v>
      </c>
      <c r="R12" s="12">
        <v>142</v>
      </c>
      <c r="S12" s="12">
        <v>331</v>
      </c>
      <c r="T12" s="12">
        <v>457</v>
      </c>
      <c r="U12" s="12">
        <v>162</v>
      </c>
      <c r="V12" s="12">
        <v>417</v>
      </c>
      <c r="W12" s="12">
        <v>258</v>
      </c>
      <c r="X12" s="12">
        <v>348</v>
      </c>
      <c r="Y12" s="12">
        <v>328</v>
      </c>
      <c r="Z12" s="12">
        <v>560</v>
      </c>
      <c r="AA12" s="12">
        <v>485</v>
      </c>
      <c r="AB12" s="12">
        <v>527</v>
      </c>
      <c r="AC12" s="12">
        <v>238</v>
      </c>
      <c r="AD12" s="12">
        <v>362</v>
      </c>
      <c r="AE12" s="12">
        <v>300</v>
      </c>
      <c r="AF12" s="12">
        <v>375</v>
      </c>
    </row>
    <row r="13" spans="1:32" ht="24.95">
      <c r="A13" s="20"/>
      <c r="B13" s="13" t="s">
        <v>1726</v>
      </c>
      <c r="C13" s="14">
        <v>0.36</v>
      </c>
      <c r="D13" s="14">
        <v>0.39</v>
      </c>
      <c r="E13" s="14">
        <v>0.46</v>
      </c>
      <c r="F13" s="14">
        <v>0.35</v>
      </c>
      <c r="G13" s="14">
        <v>0.53</v>
      </c>
      <c r="H13" s="14">
        <v>0.31</v>
      </c>
      <c r="I13" s="14">
        <v>0.3</v>
      </c>
      <c r="J13" s="14">
        <v>0.24</v>
      </c>
      <c r="K13" s="14">
        <v>0.33</v>
      </c>
      <c r="L13" s="14">
        <v>0.57000000000000006</v>
      </c>
      <c r="M13" s="14">
        <v>0.23</v>
      </c>
      <c r="N13" s="14">
        <v>0.32</v>
      </c>
      <c r="O13" s="14">
        <v>0.16</v>
      </c>
      <c r="P13" s="14">
        <v>0.48</v>
      </c>
      <c r="Q13" s="14">
        <v>0.5</v>
      </c>
      <c r="R13" s="14">
        <v>0.28000000000000003</v>
      </c>
      <c r="S13" s="14">
        <v>0.33</v>
      </c>
      <c r="T13" s="14">
        <v>0.45</v>
      </c>
      <c r="U13" s="14">
        <v>0.32</v>
      </c>
      <c r="V13" s="14">
        <v>0.41</v>
      </c>
      <c r="W13" s="14">
        <v>0.51</v>
      </c>
      <c r="X13" s="14">
        <v>0.34</v>
      </c>
      <c r="Y13" s="14">
        <v>0.33</v>
      </c>
      <c r="Z13" s="14">
        <v>0.55000000000000004</v>
      </c>
      <c r="AA13" s="14">
        <v>0.46</v>
      </c>
      <c r="AB13" s="14">
        <v>0.51</v>
      </c>
      <c r="AC13" s="14">
        <v>0.24</v>
      </c>
      <c r="AD13" s="14">
        <v>0.36</v>
      </c>
      <c r="AE13" s="14">
        <v>0.3</v>
      </c>
      <c r="AF13" s="14">
        <v>0.37</v>
      </c>
    </row>
    <row r="14" spans="1:32" ht="24.95">
      <c r="A14" s="20"/>
      <c r="B14" s="11" t="s">
        <v>1727</v>
      </c>
      <c r="C14" s="12">
        <v>13259</v>
      </c>
      <c r="D14" s="12">
        <v>548</v>
      </c>
      <c r="E14" s="12">
        <v>324</v>
      </c>
      <c r="F14" s="12">
        <v>563</v>
      </c>
      <c r="G14" s="12">
        <v>323</v>
      </c>
      <c r="H14" s="12">
        <v>683</v>
      </c>
      <c r="I14" s="12">
        <v>878</v>
      </c>
      <c r="J14" s="12">
        <v>195</v>
      </c>
      <c r="K14" s="12">
        <v>413</v>
      </c>
      <c r="L14" s="12">
        <v>295</v>
      </c>
      <c r="M14" s="12">
        <v>619</v>
      </c>
      <c r="N14" s="12">
        <v>518</v>
      </c>
      <c r="O14" s="12">
        <v>663</v>
      </c>
      <c r="P14" s="12">
        <v>450</v>
      </c>
      <c r="Q14" s="12">
        <v>428</v>
      </c>
      <c r="R14" s="12">
        <v>249</v>
      </c>
      <c r="S14" s="12">
        <v>386</v>
      </c>
      <c r="T14" s="12">
        <v>298</v>
      </c>
      <c r="U14" s="12">
        <v>259</v>
      </c>
      <c r="V14" s="12">
        <v>482</v>
      </c>
      <c r="W14" s="12">
        <v>125</v>
      </c>
      <c r="X14" s="12">
        <v>584</v>
      </c>
      <c r="Y14" s="12">
        <v>532</v>
      </c>
      <c r="Z14" s="12">
        <v>330</v>
      </c>
      <c r="AA14" s="12">
        <v>299</v>
      </c>
      <c r="AB14" s="12">
        <v>394</v>
      </c>
      <c r="AC14" s="12">
        <v>504</v>
      </c>
      <c r="AD14" s="12">
        <v>491</v>
      </c>
      <c r="AE14" s="12">
        <v>523</v>
      </c>
      <c r="AF14" s="12">
        <v>504</v>
      </c>
    </row>
    <row r="15" spans="1:32" ht="24.95">
      <c r="A15" s="20"/>
      <c r="B15" s="13" t="s">
        <v>1728</v>
      </c>
      <c r="C15" s="14">
        <v>0.5</v>
      </c>
      <c r="D15" s="14">
        <v>0.55000000000000004</v>
      </c>
      <c r="E15" s="14">
        <v>0.32</v>
      </c>
      <c r="F15" s="14">
        <v>0.56000000000000005</v>
      </c>
      <c r="G15" s="14">
        <v>0.32</v>
      </c>
      <c r="H15" s="14">
        <v>0.56000000000000005</v>
      </c>
      <c r="I15" s="14">
        <v>0.57999999999999996</v>
      </c>
      <c r="J15" s="14">
        <v>0.66</v>
      </c>
      <c r="K15" s="14">
        <v>0.41</v>
      </c>
      <c r="L15" s="14">
        <v>0.28999999999999998</v>
      </c>
      <c r="M15" s="14">
        <v>0.62</v>
      </c>
      <c r="N15" s="14">
        <v>0.52</v>
      </c>
      <c r="O15" s="14">
        <v>0.66</v>
      </c>
      <c r="P15" s="14">
        <v>0.44</v>
      </c>
      <c r="Q15" s="14">
        <v>0.42</v>
      </c>
      <c r="R15" s="14">
        <v>0.5</v>
      </c>
      <c r="S15" s="14">
        <v>0.38</v>
      </c>
      <c r="T15" s="14">
        <v>0.28999999999999998</v>
      </c>
      <c r="U15" s="14">
        <v>0.51</v>
      </c>
      <c r="V15" s="14">
        <v>0.48</v>
      </c>
      <c r="W15" s="14">
        <v>0.25</v>
      </c>
      <c r="X15" s="14">
        <v>0.57000000000000006</v>
      </c>
      <c r="Y15" s="14">
        <v>0.53</v>
      </c>
      <c r="Z15" s="14">
        <v>0.33</v>
      </c>
      <c r="AA15" s="14">
        <v>0.28000000000000003</v>
      </c>
      <c r="AB15" s="14">
        <v>0.38</v>
      </c>
      <c r="AC15" s="14">
        <v>0.5</v>
      </c>
      <c r="AD15" s="14">
        <v>0.49</v>
      </c>
      <c r="AE15" s="14">
        <v>0.52</v>
      </c>
      <c r="AF15" s="14">
        <v>0.49</v>
      </c>
    </row>
    <row r="16" spans="1:32">
      <c r="A16" s="20"/>
      <c r="B16" s="11" t="s">
        <v>1729</v>
      </c>
      <c r="C16" s="12">
        <v>1986</v>
      </c>
      <c r="D16" s="12">
        <v>52</v>
      </c>
      <c r="E16" s="12">
        <v>115</v>
      </c>
      <c r="F16" s="12">
        <v>35</v>
      </c>
      <c r="G16" s="12">
        <v>102</v>
      </c>
      <c r="H16" s="12">
        <v>108</v>
      </c>
      <c r="I16" s="12">
        <v>125</v>
      </c>
      <c r="J16" s="12">
        <v>17</v>
      </c>
      <c r="K16" s="12">
        <v>151</v>
      </c>
      <c r="L16" s="12">
        <v>65</v>
      </c>
      <c r="M16" s="12">
        <v>116</v>
      </c>
      <c r="N16" s="12">
        <v>96</v>
      </c>
      <c r="O16" s="12">
        <v>85</v>
      </c>
      <c r="P16" s="12">
        <v>36</v>
      </c>
      <c r="Q16" s="12">
        <v>38</v>
      </c>
      <c r="R16" s="12">
        <v>74</v>
      </c>
      <c r="S16" s="12">
        <v>126</v>
      </c>
      <c r="T16" s="12">
        <v>194</v>
      </c>
      <c r="U16" s="12">
        <v>51</v>
      </c>
      <c r="V16" s="12">
        <v>84</v>
      </c>
      <c r="W16" s="12">
        <v>77</v>
      </c>
      <c r="X16" s="12">
        <v>58</v>
      </c>
      <c r="Y16" s="12">
        <v>105</v>
      </c>
      <c r="Z16" s="12">
        <v>51</v>
      </c>
      <c r="AA16" s="12">
        <v>153</v>
      </c>
      <c r="AB16" s="12">
        <v>41</v>
      </c>
      <c r="AC16" s="12">
        <v>206</v>
      </c>
      <c r="AD16" s="12">
        <v>85</v>
      </c>
      <c r="AE16" s="12">
        <v>57</v>
      </c>
      <c r="AF16" s="12">
        <v>88</v>
      </c>
    </row>
    <row r="17" spans="1:32" ht="24.95">
      <c r="A17" s="20"/>
      <c r="B17" s="13" t="s">
        <v>1730</v>
      </c>
      <c r="C17" s="14">
        <v>0.08</v>
      </c>
      <c r="D17" s="14">
        <v>0.05</v>
      </c>
      <c r="E17" s="14">
        <v>0.11</v>
      </c>
      <c r="F17" s="14">
        <v>0.03</v>
      </c>
      <c r="G17" s="14">
        <v>0.1</v>
      </c>
      <c r="H17" s="14">
        <v>0.09</v>
      </c>
      <c r="I17" s="14">
        <v>0.08</v>
      </c>
      <c r="J17" s="14">
        <v>0.06</v>
      </c>
      <c r="K17" s="14">
        <v>0.15</v>
      </c>
      <c r="L17" s="14">
        <v>7.0000000000000007E-2</v>
      </c>
      <c r="M17" s="14">
        <v>0.12</v>
      </c>
      <c r="N17" s="14">
        <v>0.1</v>
      </c>
      <c r="O17" s="14">
        <v>0.08</v>
      </c>
      <c r="P17" s="14">
        <v>0.04</v>
      </c>
      <c r="Q17" s="14">
        <v>0.04</v>
      </c>
      <c r="R17" s="14">
        <v>0.15</v>
      </c>
      <c r="S17" s="14">
        <v>0.13</v>
      </c>
      <c r="T17" s="14">
        <v>0.19</v>
      </c>
      <c r="U17" s="14">
        <v>0.1</v>
      </c>
      <c r="V17" s="14">
        <v>0.08</v>
      </c>
      <c r="W17" s="14">
        <v>0.15</v>
      </c>
      <c r="X17" s="14">
        <v>0.06</v>
      </c>
      <c r="Y17" s="14">
        <v>0.1</v>
      </c>
      <c r="Z17" s="14">
        <v>0.05</v>
      </c>
      <c r="AA17" s="14">
        <v>0.15</v>
      </c>
      <c r="AB17" s="14">
        <v>0.04</v>
      </c>
      <c r="AC17" s="14">
        <v>0.2</v>
      </c>
      <c r="AD17" s="14">
        <v>0.08</v>
      </c>
      <c r="AE17" s="14">
        <v>0.06</v>
      </c>
      <c r="AF17" s="14">
        <v>0.09</v>
      </c>
    </row>
    <row r="18" spans="1:32">
      <c r="A18" s="20"/>
      <c r="B18" s="11" t="s">
        <v>468</v>
      </c>
      <c r="C18" s="12">
        <v>1546</v>
      </c>
      <c r="D18" s="12">
        <v>13</v>
      </c>
      <c r="E18" s="12">
        <v>115</v>
      </c>
      <c r="F18" s="12">
        <v>57</v>
      </c>
      <c r="G18" s="12">
        <v>53</v>
      </c>
      <c r="H18" s="12">
        <v>46</v>
      </c>
      <c r="I18" s="12">
        <v>57</v>
      </c>
      <c r="J18" s="12">
        <v>11</v>
      </c>
      <c r="K18" s="12">
        <v>114</v>
      </c>
      <c r="L18" s="12">
        <v>70</v>
      </c>
      <c r="M18" s="12">
        <v>35</v>
      </c>
      <c r="N18" s="12">
        <v>64</v>
      </c>
      <c r="O18" s="12">
        <v>96</v>
      </c>
      <c r="P18" s="12">
        <v>46</v>
      </c>
      <c r="Q18" s="12">
        <v>38</v>
      </c>
      <c r="R18" s="12">
        <v>35</v>
      </c>
      <c r="S18" s="12">
        <v>165</v>
      </c>
      <c r="T18" s="12">
        <v>65</v>
      </c>
      <c r="U18" s="12">
        <v>34</v>
      </c>
      <c r="V18" s="12">
        <v>34</v>
      </c>
      <c r="W18" s="12">
        <v>43</v>
      </c>
      <c r="X18" s="12">
        <v>31</v>
      </c>
      <c r="Y18" s="12">
        <v>42</v>
      </c>
      <c r="Z18" s="12">
        <v>67</v>
      </c>
      <c r="AA18" s="12">
        <v>116</v>
      </c>
      <c r="AB18" s="12">
        <v>76</v>
      </c>
      <c r="AC18" s="12">
        <v>62</v>
      </c>
      <c r="AD18" s="12">
        <v>68</v>
      </c>
      <c r="AE18" s="12">
        <v>121</v>
      </c>
      <c r="AF18" s="12">
        <v>53</v>
      </c>
    </row>
    <row r="19" spans="1:32">
      <c r="A19" s="20"/>
      <c r="B19" s="13" t="s">
        <v>469</v>
      </c>
      <c r="C19" s="14">
        <v>0.06</v>
      </c>
      <c r="D19" s="14">
        <v>0.01</v>
      </c>
      <c r="E19" s="14">
        <v>0.11</v>
      </c>
      <c r="F19" s="14">
        <v>0.06</v>
      </c>
      <c r="G19" s="14">
        <v>0.05</v>
      </c>
      <c r="H19" s="14">
        <v>0.04</v>
      </c>
      <c r="I19" s="14">
        <v>0.04</v>
      </c>
      <c r="J19" s="14">
        <v>0.04</v>
      </c>
      <c r="K19" s="14">
        <v>0.11</v>
      </c>
      <c r="L19" s="14">
        <v>7.0000000000000007E-2</v>
      </c>
      <c r="M19" s="14">
        <v>0.03</v>
      </c>
      <c r="N19" s="14">
        <v>0.06</v>
      </c>
      <c r="O19" s="14">
        <v>0.1</v>
      </c>
      <c r="P19" s="14">
        <v>0.04</v>
      </c>
      <c r="Q19" s="14">
        <v>0.04</v>
      </c>
      <c r="R19" s="14">
        <v>7.0000000000000007E-2</v>
      </c>
      <c r="S19" s="14">
        <v>0.16</v>
      </c>
      <c r="T19" s="14">
        <v>7.0000000000000007E-2</v>
      </c>
      <c r="U19" s="14">
        <v>7.0000000000000007E-2</v>
      </c>
      <c r="V19" s="14">
        <v>0.03</v>
      </c>
      <c r="W19" s="14">
        <v>0.09</v>
      </c>
      <c r="X19" s="14">
        <v>0.03</v>
      </c>
      <c r="Y19" s="14">
        <v>0.04</v>
      </c>
      <c r="Z19" s="14">
        <v>7.0000000000000007E-2</v>
      </c>
      <c r="AA19" s="14">
        <v>0.11</v>
      </c>
      <c r="AB19" s="14">
        <v>7.0000000000000007E-2</v>
      </c>
      <c r="AC19" s="14">
        <v>0.06</v>
      </c>
      <c r="AD19" s="14">
        <v>7.0000000000000007E-2</v>
      </c>
      <c r="AE19" s="14">
        <v>0.12</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1734</v>
      </c>
      <c r="C3" s="18"/>
      <c r="D3" s="18"/>
      <c r="E3" s="18"/>
      <c r="F3" s="18"/>
      <c r="H3" s="18" t="s">
        <v>1735</v>
      </c>
      <c r="I3" s="18"/>
      <c r="J3" s="18"/>
      <c r="K3" s="18"/>
      <c r="L3" s="18"/>
    </row>
    <row r="4" spans="1:32" ht="27" customHeight="1">
      <c r="B4" s="18" t="s">
        <v>1736</v>
      </c>
      <c r="C4" s="18"/>
      <c r="D4" s="18"/>
      <c r="E4" s="18"/>
      <c r="F4" s="18"/>
      <c r="H4" s="18" t="s">
        <v>1737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1725</v>
      </c>
      <c r="C12" s="12">
        <v>5934</v>
      </c>
      <c r="D12" s="12">
        <v>213</v>
      </c>
      <c r="E12" s="12">
        <v>366</v>
      </c>
      <c r="F12" s="12">
        <v>376</v>
      </c>
      <c r="G12" s="12">
        <v>31</v>
      </c>
      <c r="H12" s="12">
        <v>134</v>
      </c>
      <c r="I12" s="12">
        <v>184</v>
      </c>
      <c r="J12" s="12">
        <v>50</v>
      </c>
      <c r="K12" s="12">
        <v>198</v>
      </c>
      <c r="L12" s="12">
        <v>164</v>
      </c>
      <c r="M12" s="12">
        <v>208</v>
      </c>
      <c r="N12" s="12">
        <v>175</v>
      </c>
      <c r="O12" s="12">
        <v>156</v>
      </c>
      <c r="P12" s="12">
        <v>316</v>
      </c>
      <c r="Q12" s="12">
        <v>379</v>
      </c>
      <c r="R12" s="12">
        <v>137</v>
      </c>
      <c r="S12" s="12">
        <v>148</v>
      </c>
      <c r="T12" s="12">
        <v>252</v>
      </c>
      <c r="U12" s="12">
        <v>58</v>
      </c>
      <c r="V12" s="12">
        <v>411</v>
      </c>
      <c r="W12" s="12">
        <v>120</v>
      </c>
      <c r="X12" s="12">
        <v>88</v>
      </c>
      <c r="Y12" s="12">
        <v>174</v>
      </c>
      <c r="Z12" s="12">
        <v>378</v>
      </c>
      <c r="AA12" s="12">
        <v>270</v>
      </c>
      <c r="AB12" s="12">
        <v>482</v>
      </c>
      <c r="AC12" s="12">
        <v>146</v>
      </c>
      <c r="AD12" s="12">
        <v>262</v>
      </c>
      <c r="AE12" s="12">
        <v>71</v>
      </c>
      <c r="AF12" s="12">
        <v>39</v>
      </c>
    </row>
    <row r="13" spans="1:32" ht="24.95">
      <c r="A13" s="20"/>
      <c r="B13" s="13" t="s">
        <v>1726</v>
      </c>
      <c r="C13" s="14">
        <v>0.23</v>
      </c>
      <c r="D13" s="14">
        <v>0.21</v>
      </c>
      <c r="E13" s="14">
        <v>0.36</v>
      </c>
      <c r="F13" s="14">
        <v>0.37</v>
      </c>
      <c r="G13" s="14">
        <v>0.03</v>
      </c>
      <c r="H13" s="14">
        <v>0.11</v>
      </c>
      <c r="I13" s="14">
        <v>0.12</v>
      </c>
      <c r="J13" s="14">
        <v>0.17</v>
      </c>
      <c r="K13" s="14">
        <v>0.2</v>
      </c>
      <c r="L13" s="14">
        <v>0.16</v>
      </c>
      <c r="M13" s="14">
        <v>0.21</v>
      </c>
      <c r="N13" s="14">
        <v>0.17</v>
      </c>
      <c r="O13" s="14">
        <v>0.16</v>
      </c>
      <c r="P13" s="14">
        <v>0.31</v>
      </c>
      <c r="Q13" s="14">
        <v>0.37</v>
      </c>
      <c r="R13" s="14">
        <v>0.27</v>
      </c>
      <c r="S13" s="14">
        <v>0.15</v>
      </c>
      <c r="T13" s="14">
        <v>0.25</v>
      </c>
      <c r="U13" s="14">
        <v>0.11</v>
      </c>
      <c r="V13" s="14">
        <v>0.41</v>
      </c>
      <c r="W13" s="14">
        <v>0.24</v>
      </c>
      <c r="X13" s="14">
        <v>0.09</v>
      </c>
      <c r="Y13" s="14">
        <v>0.17</v>
      </c>
      <c r="Z13" s="14">
        <v>0.37</v>
      </c>
      <c r="AA13" s="14">
        <v>0.26</v>
      </c>
      <c r="AB13" s="14">
        <v>0.46</v>
      </c>
      <c r="AC13" s="14">
        <v>0.14000000000000001</v>
      </c>
      <c r="AD13" s="14">
        <v>0.26</v>
      </c>
      <c r="AE13" s="14">
        <v>7.0000000000000007E-2</v>
      </c>
      <c r="AF13" s="14">
        <v>0.04</v>
      </c>
    </row>
    <row r="14" spans="1:32" ht="24.95">
      <c r="A14" s="20"/>
      <c r="B14" s="11" t="s">
        <v>1727</v>
      </c>
      <c r="C14" s="12">
        <v>17182</v>
      </c>
      <c r="D14" s="12">
        <v>731</v>
      </c>
      <c r="E14" s="12">
        <v>322</v>
      </c>
      <c r="F14" s="12">
        <v>487</v>
      </c>
      <c r="G14" s="12">
        <v>929</v>
      </c>
      <c r="H14" s="12">
        <v>998</v>
      </c>
      <c r="I14" s="12">
        <v>1222</v>
      </c>
      <c r="J14" s="12">
        <v>224</v>
      </c>
      <c r="K14" s="12">
        <v>542</v>
      </c>
      <c r="L14" s="12">
        <v>737</v>
      </c>
      <c r="M14" s="12">
        <v>641</v>
      </c>
      <c r="N14" s="12">
        <v>705</v>
      </c>
      <c r="O14" s="12">
        <v>684</v>
      </c>
      <c r="P14" s="12">
        <v>590</v>
      </c>
      <c r="Q14" s="12">
        <v>544</v>
      </c>
      <c r="R14" s="12">
        <v>217</v>
      </c>
      <c r="S14" s="12">
        <v>474</v>
      </c>
      <c r="T14" s="12">
        <v>472</v>
      </c>
      <c r="U14" s="12">
        <v>375</v>
      </c>
      <c r="V14" s="12">
        <v>450</v>
      </c>
      <c r="W14" s="12">
        <v>194</v>
      </c>
      <c r="X14" s="12">
        <v>909</v>
      </c>
      <c r="Y14" s="12">
        <v>703</v>
      </c>
      <c r="Z14" s="12">
        <v>469</v>
      </c>
      <c r="AA14" s="12">
        <v>570</v>
      </c>
      <c r="AB14" s="12">
        <v>369</v>
      </c>
      <c r="AC14" s="12">
        <v>627</v>
      </c>
      <c r="AD14" s="12">
        <v>579</v>
      </c>
      <c r="AE14" s="12">
        <v>850</v>
      </c>
      <c r="AF14" s="12">
        <v>957</v>
      </c>
    </row>
    <row r="15" spans="1:32" ht="24.95">
      <c r="A15" s="20"/>
      <c r="B15" s="13" t="s">
        <v>1728</v>
      </c>
      <c r="C15" s="14">
        <v>0.65</v>
      </c>
      <c r="D15" s="14">
        <v>0.73</v>
      </c>
      <c r="E15" s="14">
        <v>0.32</v>
      </c>
      <c r="F15" s="14">
        <v>0.49</v>
      </c>
      <c r="G15" s="14">
        <v>0.92</v>
      </c>
      <c r="H15" s="14">
        <v>0.82000000000000006</v>
      </c>
      <c r="I15" s="14">
        <v>0.81</v>
      </c>
      <c r="J15" s="14">
        <v>0.76</v>
      </c>
      <c r="K15" s="14">
        <v>0.54</v>
      </c>
      <c r="L15" s="14">
        <v>0.73</v>
      </c>
      <c r="M15" s="14">
        <v>0.64</v>
      </c>
      <c r="N15" s="14">
        <v>0.70000000000000007</v>
      </c>
      <c r="O15" s="14">
        <v>0.68</v>
      </c>
      <c r="P15" s="14">
        <v>0.57999999999999996</v>
      </c>
      <c r="Q15" s="14">
        <v>0.53</v>
      </c>
      <c r="R15" s="14">
        <v>0.43</v>
      </c>
      <c r="S15" s="14">
        <v>0.47</v>
      </c>
      <c r="T15" s="14">
        <v>0.46</v>
      </c>
      <c r="U15" s="14">
        <v>0.74</v>
      </c>
      <c r="V15" s="14">
        <v>0.44</v>
      </c>
      <c r="W15" s="14">
        <v>0.39</v>
      </c>
      <c r="X15" s="14">
        <v>0.89</v>
      </c>
      <c r="Y15" s="14">
        <v>0.70000000000000007</v>
      </c>
      <c r="Z15" s="14">
        <v>0.47</v>
      </c>
      <c r="AA15" s="14">
        <v>0.54</v>
      </c>
      <c r="AB15" s="14">
        <v>0.35</v>
      </c>
      <c r="AC15" s="14">
        <v>0.62</v>
      </c>
      <c r="AD15" s="14">
        <v>0.57999999999999996</v>
      </c>
      <c r="AE15" s="14">
        <v>0.85</v>
      </c>
      <c r="AF15" s="14">
        <v>0.94000000000000006</v>
      </c>
    </row>
    <row r="16" spans="1:32">
      <c r="A16" s="20"/>
      <c r="B16" s="11" t="s">
        <v>1729</v>
      </c>
      <c r="C16" s="12">
        <v>1156</v>
      </c>
      <c r="D16" s="12">
        <v>31</v>
      </c>
      <c r="E16" s="12">
        <v>92</v>
      </c>
      <c r="F16" s="12">
        <v>43</v>
      </c>
      <c r="G16" s="12">
        <v>28</v>
      </c>
      <c r="H16" s="12">
        <v>46</v>
      </c>
      <c r="I16" s="12">
        <v>56</v>
      </c>
      <c r="J16" s="12">
        <v>10</v>
      </c>
      <c r="K16" s="12">
        <v>93</v>
      </c>
      <c r="L16" s="12">
        <v>39</v>
      </c>
      <c r="M16" s="12">
        <v>74</v>
      </c>
      <c r="N16" s="12">
        <v>35</v>
      </c>
      <c r="O16" s="12">
        <v>54</v>
      </c>
      <c r="P16" s="12">
        <v>46</v>
      </c>
      <c r="Q16" s="12">
        <v>29</v>
      </c>
      <c r="R16" s="12">
        <v>49</v>
      </c>
      <c r="S16" s="12">
        <v>74</v>
      </c>
      <c r="T16" s="12">
        <v>142</v>
      </c>
      <c r="U16" s="12">
        <v>24</v>
      </c>
      <c r="V16" s="12">
        <v>62</v>
      </c>
      <c r="W16" s="12">
        <v>47</v>
      </c>
      <c r="X16" s="12">
        <v>8</v>
      </c>
      <c r="Y16" s="12">
        <v>60</v>
      </c>
      <c r="Z16" s="12">
        <v>58</v>
      </c>
      <c r="AA16" s="12">
        <v>78</v>
      </c>
      <c r="AB16" s="12">
        <v>59</v>
      </c>
      <c r="AC16" s="12">
        <v>121</v>
      </c>
      <c r="AD16" s="12">
        <v>63</v>
      </c>
      <c r="AE16" s="12">
        <v>8</v>
      </c>
      <c r="AF16" s="12">
        <v>12</v>
      </c>
    </row>
    <row r="17" spans="1:32" ht="24.95">
      <c r="A17" s="20"/>
      <c r="B17" s="13" t="s">
        <v>1730</v>
      </c>
      <c r="C17" s="14">
        <v>0.04</v>
      </c>
      <c r="D17" s="14">
        <v>0.03</v>
      </c>
      <c r="E17" s="14">
        <v>0.09</v>
      </c>
      <c r="F17" s="14">
        <v>0.04</v>
      </c>
      <c r="G17" s="14">
        <v>0.03</v>
      </c>
      <c r="H17" s="14">
        <v>0.04</v>
      </c>
      <c r="I17" s="14">
        <v>0.04</v>
      </c>
      <c r="J17" s="14">
        <v>0.04</v>
      </c>
      <c r="K17" s="14">
        <v>0.09</v>
      </c>
      <c r="L17" s="14">
        <v>0.04</v>
      </c>
      <c r="M17" s="14">
        <v>7.0000000000000007E-2</v>
      </c>
      <c r="N17" s="14">
        <v>0.04</v>
      </c>
      <c r="O17" s="14">
        <v>0.05</v>
      </c>
      <c r="P17" s="14">
        <v>0.04</v>
      </c>
      <c r="Q17" s="14">
        <v>0.03</v>
      </c>
      <c r="R17" s="14">
        <v>0.1</v>
      </c>
      <c r="S17" s="14">
        <v>7.0000000000000007E-2</v>
      </c>
      <c r="T17" s="14">
        <v>0.14000000000000001</v>
      </c>
      <c r="U17" s="14">
        <v>0.05</v>
      </c>
      <c r="V17" s="14">
        <v>0.06</v>
      </c>
      <c r="W17" s="14">
        <v>0.09</v>
      </c>
      <c r="X17" s="14">
        <v>0.01</v>
      </c>
      <c r="Y17" s="14">
        <v>0.06</v>
      </c>
      <c r="Z17" s="14">
        <v>0.06</v>
      </c>
      <c r="AA17" s="14">
        <v>7.0000000000000007E-2</v>
      </c>
      <c r="AB17" s="14">
        <v>0.06</v>
      </c>
      <c r="AC17" s="14">
        <v>0.12</v>
      </c>
      <c r="AD17" s="14">
        <v>0.06</v>
      </c>
      <c r="AE17" s="14">
        <v>0.01</v>
      </c>
      <c r="AF17" s="14">
        <v>0.01</v>
      </c>
    </row>
    <row r="18" spans="1:32">
      <c r="A18" s="20"/>
      <c r="B18" s="11" t="s">
        <v>468</v>
      </c>
      <c r="C18" s="12">
        <v>2047</v>
      </c>
      <c r="D18" s="12">
        <v>28</v>
      </c>
      <c r="E18" s="12">
        <v>238</v>
      </c>
      <c r="F18" s="12">
        <v>99</v>
      </c>
      <c r="G18" s="12">
        <v>16</v>
      </c>
      <c r="H18" s="12">
        <v>39</v>
      </c>
      <c r="I18" s="12">
        <v>48</v>
      </c>
      <c r="J18" s="12">
        <v>9</v>
      </c>
      <c r="K18" s="12">
        <v>173</v>
      </c>
      <c r="L18" s="12">
        <v>67</v>
      </c>
      <c r="M18" s="12">
        <v>80</v>
      </c>
      <c r="N18" s="12">
        <v>89</v>
      </c>
      <c r="O18" s="12">
        <v>109</v>
      </c>
      <c r="P18" s="12">
        <v>71</v>
      </c>
      <c r="Q18" s="12">
        <v>68</v>
      </c>
      <c r="R18" s="12">
        <v>98</v>
      </c>
      <c r="S18" s="12">
        <v>312</v>
      </c>
      <c r="T18" s="12">
        <v>148</v>
      </c>
      <c r="U18" s="12">
        <v>50</v>
      </c>
      <c r="V18" s="12">
        <v>93</v>
      </c>
      <c r="W18" s="12">
        <v>142</v>
      </c>
      <c r="X18" s="12">
        <v>16</v>
      </c>
      <c r="Y18" s="12">
        <v>70</v>
      </c>
      <c r="Z18" s="12">
        <v>103</v>
      </c>
      <c r="AA18" s="12">
        <v>136</v>
      </c>
      <c r="AB18" s="12">
        <v>130</v>
      </c>
      <c r="AC18" s="12">
        <v>116</v>
      </c>
      <c r="AD18" s="12">
        <v>102</v>
      </c>
      <c r="AE18" s="12">
        <v>72</v>
      </c>
      <c r="AF18" s="12">
        <v>11</v>
      </c>
    </row>
    <row r="19" spans="1:32">
      <c r="A19" s="20"/>
      <c r="B19" s="13" t="s">
        <v>469</v>
      </c>
      <c r="C19" s="14">
        <v>0.08</v>
      </c>
      <c r="D19" s="14">
        <v>0.03</v>
      </c>
      <c r="E19" s="14">
        <v>0.23</v>
      </c>
      <c r="F19" s="14">
        <v>0.1</v>
      </c>
      <c r="G19" s="14">
        <v>0.02</v>
      </c>
      <c r="H19" s="14">
        <v>0.03</v>
      </c>
      <c r="I19" s="14">
        <v>0.03</v>
      </c>
      <c r="J19" s="14">
        <v>0.03</v>
      </c>
      <c r="K19" s="14">
        <v>0.17</v>
      </c>
      <c r="L19" s="14">
        <v>7.0000000000000007E-2</v>
      </c>
      <c r="M19" s="14">
        <v>0.08</v>
      </c>
      <c r="N19" s="14">
        <v>0.09</v>
      </c>
      <c r="O19" s="14">
        <v>0.11</v>
      </c>
      <c r="P19" s="14">
        <v>7.0000000000000007E-2</v>
      </c>
      <c r="Q19" s="14">
        <v>7.0000000000000007E-2</v>
      </c>
      <c r="R19" s="14">
        <v>0.2</v>
      </c>
      <c r="S19" s="14">
        <v>0.31</v>
      </c>
      <c r="T19" s="14">
        <v>0.15</v>
      </c>
      <c r="U19" s="14">
        <v>0.1</v>
      </c>
      <c r="V19" s="14">
        <v>0.09</v>
      </c>
      <c r="W19" s="14">
        <v>0.28000000000000003</v>
      </c>
      <c r="X19" s="14">
        <v>0.01</v>
      </c>
      <c r="Y19" s="14">
        <v>7.0000000000000007E-2</v>
      </c>
      <c r="Z19" s="14">
        <v>0.1</v>
      </c>
      <c r="AA19" s="14">
        <v>0.13</v>
      </c>
      <c r="AB19" s="14">
        <v>0.13</v>
      </c>
      <c r="AC19" s="14">
        <v>0.12</v>
      </c>
      <c r="AD19" s="14">
        <v>0.1</v>
      </c>
      <c r="AE19" s="14">
        <v>7.0000000000000007E-2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1738</v>
      </c>
      <c r="C3" s="18"/>
      <c r="D3" s="18"/>
      <c r="E3" s="18"/>
      <c r="F3" s="18"/>
      <c r="H3" s="18" t="s">
        <v>1739</v>
      </c>
      <c r="I3" s="18"/>
      <c r="J3" s="18"/>
      <c r="K3" s="18"/>
      <c r="L3" s="18"/>
    </row>
    <row r="4" spans="1:32" ht="27" customHeight="1">
      <c r="B4" s="18" t="s">
        <v>1740</v>
      </c>
      <c r="C4" s="18"/>
      <c r="D4" s="18"/>
      <c r="E4" s="18"/>
      <c r="F4" s="18"/>
      <c r="H4" s="18" t="s">
        <v>1741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95">
      <c r="A12" s="20"/>
      <c r="B12" s="11" t="s">
        <v>1725</v>
      </c>
      <c r="C12" s="12">
        <v>20773</v>
      </c>
      <c r="D12" s="12">
        <v>835</v>
      </c>
      <c r="E12" s="12">
        <v>692</v>
      </c>
      <c r="F12" s="12">
        <v>799</v>
      </c>
      <c r="G12" s="12">
        <v>901</v>
      </c>
      <c r="H12" s="12">
        <v>1025</v>
      </c>
      <c r="I12" s="12">
        <v>1246</v>
      </c>
      <c r="J12" s="12">
        <v>221</v>
      </c>
      <c r="K12" s="12">
        <v>786</v>
      </c>
      <c r="L12" s="12">
        <v>902</v>
      </c>
      <c r="M12" s="12">
        <v>774</v>
      </c>
      <c r="N12" s="12">
        <v>845</v>
      </c>
      <c r="O12" s="12">
        <v>775</v>
      </c>
      <c r="P12" s="12">
        <v>750</v>
      </c>
      <c r="Q12" s="12">
        <v>752</v>
      </c>
      <c r="R12" s="12">
        <v>408</v>
      </c>
      <c r="S12" s="12">
        <v>818</v>
      </c>
      <c r="T12" s="12">
        <v>817</v>
      </c>
      <c r="U12" s="12">
        <v>435</v>
      </c>
      <c r="V12" s="12">
        <v>716</v>
      </c>
      <c r="W12" s="12">
        <v>430</v>
      </c>
      <c r="X12" s="12">
        <v>893</v>
      </c>
      <c r="Y12" s="12">
        <v>774</v>
      </c>
      <c r="Z12" s="12">
        <v>745</v>
      </c>
      <c r="AA12" s="12">
        <v>816</v>
      </c>
      <c r="AB12" s="12">
        <v>732</v>
      </c>
      <c r="AC12" s="12">
        <v>895</v>
      </c>
      <c r="AD12" s="12">
        <v>820</v>
      </c>
      <c r="AE12" s="12">
        <v>738</v>
      </c>
      <c r="AF12" s="12">
        <v>890</v>
      </c>
    </row>
    <row r="13" spans="1:32" ht="24.95">
      <c r="A13" s="20"/>
      <c r="B13" s="13" t="s">
        <v>1726</v>
      </c>
      <c r="C13" s="14">
        <v>0.79</v>
      </c>
      <c r="D13" s="14">
        <v>0.83000000000000007</v>
      </c>
      <c r="E13" s="14">
        <v>0.68</v>
      </c>
      <c r="F13" s="14">
        <v>0.79</v>
      </c>
      <c r="G13" s="14">
        <v>0.9</v>
      </c>
      <c r="H13" s="14">
        <v>0.84</v>
      </c>
      <c r="I13" s="14">
        <v>0.83000000000000007</v>
      </c>
      <c r="J13" s="14">
        <v>0.75</v>
      </c>
      <c r="K13" s="14">
        <v>0.78</v>
      </c>
      <c r="L13" s="14">
        <v>0.9</v>
      </c>
      <c r="M13" s="14">
        <v>0.77</v>
      </c>
      <c r="N13" s="14">
        <v>0.84</v>
      </c>
      <c r="O13" s="14">
        <v>0.77</v>
      </c>
      <c r="P13" s="14">
        <v>0.73</v>
      </c>
      <c r="Q13" s="14">
        <v>0.74</v>
      </c>
      <c r="R13" s="14">
        <v>0.82000000000000006</v>
      </c>
      <c r="S13" s="14">
        <v>0.81</v>
      </c>
      <c r="T13" s="14">
        <v>0.8</v>
      </c>
      <c r="U13" s="14">
        <v>0.86</v>
      </c>
      <c r="V13" s="14">
        <v>0.71</v>
      </c>
      <c r="W13" s="14">
        <v>0.85</v>
      </c>
      <c r="X13" s="14">
        <v>0.87</v>
      </c>
      <c r="Y13" s="14">
        <v>0.77</v>
      </c>
      <c r="Z13" s="14">
        <v>0.74</v>
      </c>
      <c r="AA13" s="14">
        <v>0.78</v>
      </c>
      <c r="AB13" s="14">
        <v>0.71</v>
      </c>
      <c r="AC13" s="14">
        <v>0.89</v>
      </c>
      <c r="AD13" s="14">
        <v>0.82000000000000006</v>
      </c>
      <c r="AE13" s="14">
        <v>0.74</v>
      </c>
      <c r="AF13" s="14">
        <v>0.87</v>
      </c>
    </row>
    <row r="14" spans="1:32" ht="24.95">
      <c r="A14" s="20"/>
      <c r="B14" s="11" t="s">
        <v>1727</v>
      </c>
      <c r="C14" s="12">
        <v>3105</v>
      </c>
      <c r="D14" s="12">
        <v>119</v>
      </c>
      <c r="E14" s="12">
        <v>127</v>
      </c>
      <c r="F14" s="12">
        <v>146</v>
      </c>
      <c r="G14" s="12">
        <v>49</v>
      </c>
      <c r="H14" s="12">
        <v>95</v>
      </c>
      <c r="I14" s="12">
        <v>139</v>
      </c>
      <c r="J14" s="12">
        <v>44</v>
      </c>
      <c r="K14" s="12">
        <v>82</v>
      </c>
      <c r="L14" s="12">
        <v>38</v>
      </c>
      <c r="M14" s="12">
        <v>151</v>
      </c>
      <c r="N14" s="12">
        <v>84</v>
      </c>
      <c r="O14" s="12">
        <v>114</v>
      </c>
      <c r="P14" s="12">
        <v>178</v>
      </c>
      <c r="Q14" s="12">
        <v>190</v>
      </c>
      <c r="R14" s="12">
        <v>34</v>
      </c>
      <c r="S14" s="12">
        <v>67</v>
      </c>
      <c r="T14" s="12">
        <v>48</v>
      </c>
      <c r="U14" s="12">
        <v>24</v>
      </c>
      <c r="V14" s="12">
        <v>163</v>
      </c>
      <c r="W14" s="12">
        <v>45</v>
      </c>
      <c r="X14" s="12">
        <v>58</v>
      </c>
      <c r="Y14" s="12">
        <v>113</v>
      </c>
      <c r="Z14" s="12">
        <v>156</v>
      </c>
      <c r="AA14" s="12">
        <v>57</v>
      </c>
      <c r="AB14" s="12">
        <v>211</v>
      </c>
      <c r="AC14" s="12">
        <v>31</v>
      </c>
      <c r="AD14" s="12">
        <v>126</v>
      </c>
      <c r="AE14" s="12">
        <v>62</v>
      </c>
      <c r="AF14" s="12">
        <v>59</v>
      </c>
    </row>
    <row r="15" spans="1:32" ht="24.95">
      <c r="A15" s="20"/>
      <c r="B15" s="13" t="s">
        <v>1728</v>
      </c>
      <c r="C15" s="14">
        <v>0.12</v>
      </c>
      <c r="D15" s="14">
        <v>0.12</v>
      </c>
      <c r="E15" s="14">
        <v>0.13</v>
      </c>
      <c r="F15" s="14">
        <v>0.15</v>
      </c>
      <c r="G15" s="14">
        <v>0.05</v>
      </c>
      <c r="H15" s="14">
        <v>0.08</v>
      </c>
      <c r="I15" s="14">
        <v>0.09</v>
      </c>
      <c r="J15" s="14">
        <v>0.15</v>
      </c>
      <c r="K15" s="14">
        <v>0.08</v>
      </c>
      <c r="L15" s="14">
        <v>0.04</v>
      </c>
      <c r="M15" s="14">
        <v>0.15</v>
      </c>
      <c r="N15" s="14">
        <v>0.08</v>
      </c>
      <c r="O15" s="14">
        <v>0.12</v>
      </c>
      <c r="P15" s="14">
        <v>0.18</v>
      </c>
      <c r="Q15" s="14">
        <v>0.18</v>
      </c>
      <c r="R15" s="14">
        <v>7.0000000000000007E-2</v>
      </c>
      <c r="S15" s="14">
        <v>7.0000000000000007E-2</v>
      </c>
      <c r="T15" s="14">
        <v>0.05</v>
      </c>
      <c r="U15" s="14">
        <v>0.05</v>
      </c>
      <c r="V15" s="14">
        <v>0.16</v>
      </c>
      <c r="W15" s="14">
        <v>0.09</v>
      </c>
      <c r="X15" s="14">
        <v>0.06</v>
      </c>
      <c r="Y15" s="14">
        <v>0.11</v>
      </c>
      <c r="Z15" s="14">
        <v>0.15</v>
      </c>
      <c r="AA15" s="14">
        <v>0.05</v>
      </c>
      <c r="AB15" s="14">
        <v>0.2</v>
      </c>
      <c r="AC15" s="14">
        <v>0.03</v>
      </c>
      <c r="AD15" s="14">
        <v>0.12</v>
      </c>
      <c r="AE15" s="14">
        <v>0.06</v>
      </c>
      <c r="AF15" s="14">
        <v>0.06</v>
      </c>
    </row>
    <row r="16" spans="1:32">
      <c r="A16" s="20"/>
      <c r="B16" s="11" t="s">
        <v>1729</v>
      </c>
      <c r="C16" s="12">
        <v>2116</v>
      </c>
      <c r="D16" s="12">
        <v>43</v>
      </c>
      <c r="E16" s="12">
        <v>157</v>
      </c>
      <c r="F16" s="12">
        <v>45</v>
      </c>
      <c r="G16" s="12">
        <v>50</v>
      </c>
      <c r="H16" s="12">
        <v>85</v>
      </c>
      <c r="I16" s="12">
        <v>109</v>
      </c>
      <c r="J16" s="12">
        <v>24</v>
      </c>
      <c r="K16" s="12">
        <v>96</v>
      </c>
      <c r="L16" s="12">
        <v>54</v>
      </c>
      <c r="M16" s="12">
        <v>68</v>
      </c>
      <c r="N16" s="12">
        <v>68</v>
      </c>
      <c r="O16" s="12">
        <v>102</v>
      </c>
      <c r="P16" s="12">
        <v>71</v>
      </c>
      <c r="Q16" s="12">
        <v>68</v>
      </c>
      <c r="R16" s="12">
        <v>56</v>
      </c>
      <c r="S16" s="12">
        <v>94</v>
      </c>
      <c r="T16" s="12">
        <v>143</v>
      </c>
      <c r="U16" s="12">
        <v>41</v>
      </c>
      <c r="V16" s="12">
        <v>124</v>
      </c>
      <c r="W16" s="12">
        <v>28</v>
      </c>
      <c r="X16" s="12">
        <v>58</v>
      </c>
      <c r="Y16" s="12">
        <v>113</v>
      </c>
      <c r="Z16" s="12">
        <v>88</v>
      </c>
      <c r="AA16" s="12">
        <v>159</v>
      </c>
      <c r="AB16" s="12">
        <v>69</v>
      </c>
      <c r="AC16" s="12">
        <v>81</v>
      </c>
      <c r="AD16" s="12">
        <v>56</v>
      </c>
      <c r="AE16" s="12">
        <v>178</v>
      </c>
      <c r="AF16" s="12">
        <v>65</v>
      </c>
    </row>
    <row r="17" spans="1:32" ht="24.95">
      <c r="A17" s="20"/>
      <c r="B17" s="13" t="s">
        <v>1730</v>
      </c>
      <c r="C17" s="14">
        <v>0.08</v>
      </c>
      <c r="D17" s="14">
        <v>0.04</v>
      </c>
      <c r="E17" s="14">
        <v>0.15</v>
      </c>
      <c r="F17" s="14">
        <v>0.04</v>
      </c>
      <c r="G17" s="14">
        <v>0.05</v>
      </c>
      <c r="H17" s="14">
        <v>7.0000000000000007E-2</v>
      </c>
      <c r="I17" s="14">
        <v>7.0000000000000007E-2</v>
      </c>
      <c r="J17" s="14">
        <v>0.08</v>
      </c>
      <c r="K17" s="14">
        <v>0.1</v>
      </c>
      <c r="L17" s="14">
        <v>0.05</v>
      </c>
      <c r="M17" s="14">
        <v>7.0000000000000007E-2</v>
      </c>
      <c r="N17" s="14">
        <v>7.0000000000000007E-2</v>
      </c>
      <c r="O17" s="14">
        <v>0.1</v>
      </c>
      <c r="P17" s="14">
        <v>7.0000000000000007E-2</v>
      </c>
      <c r="Q17" s="14">
        <v>7.0000000000000007E-2</v>
      </c>
      <c r="R17" s="14">
        <v>0.11</v>
      </c>
      <c r="S17" s="14">
        <v>0.09</v>
      </c>
      <c r="T17" s="14">
        <v>0.14000000000000001</v>
      </c>
      <c r="U17" s="14">
        <v>0.08</v>
      </c>
      <c r="V17" s="14">
        <v>0.12</v>
      </c>
      <c r="W17" s="14">
        <v>0.06</v>
      </c>
      <c r="X17" s="14">
        <v>0.06</v>
      </c>
      <c r="Y17" s="14">
        <v>0.11</v>
      </c>
      <c r="Z17" s="14">
        <v>0.09</v>
      </c>
      <c r="AA17" s="14">
        <v>0.15</v>
      </c>
      <c r="AB17" s="14">
        <v>7.0000000000000007E-2</v>
      </c>
      <c r="AC17" s="14">
        <v>0.08</v>
      </c>
      <c r="AD17" s="14">
        <v>0.06</v>
      </c>
      <c r="AE17" s="14">
        <v>0.18</v>
      </c>
      <c r="AF17" s="14">
        <v>0.06</v>
      </c>
    </row>
    <row r="18" spans="1:32">
      <c r="A18" s="20"/>
      <c r="B18" s="11" t="s">
        <v>468</v>
      </c>
      <c r="C18" s="12">
        <v>326</v>
      </c>
      <c r="D18" s="12">
        <v>5</v>
      </c>
      <c r="E18" s="12">
        <v>42</v>
      </c>
      <c r="F18" s="12">
        <v>15</v>
      </c>
      <c r="G18" s="12">
        <v>4</v>
      </c>
      <c r="H18" s="12">
        <v>12</v>
      </c>
      <c r="I18" s="12">
        <v>16</v>
      </c>
      <c r="J18" s="12">
        <v>5</v>
      </c>
      <c r="K18" s="12">
        <v>42</v>
      </c>
      <c r="L18" s="12">
        <v>13</v>
      </c>
      <c r="M18" s="12">
        <v>9</v>
      </c>
      <c r="N18" s="12">
        <v>8</v>
      </c>
      <c r="O18" s="12">
        <v>12</v>
      </c>
      <c r="P18" s="12">
        <v>23</v>
      </c>
      <c r="Q18" s="12">
        <v>9</v>
      </c>
      <c r="R18" s="12">
        <v>2</v>
      </c>
      <c r="S18" s="12">
        <v>28</v>
      </c>
      <c r="T18" s="12">
        <v>6</v>
      </c>
      <c r="U18" s="12">
        <v>6</v>
      </c>
      <c r="V18" s="12">
        <v>13</v>
      </c>
      <c r="W18" s="12">
        <v>0</v>
      </c>
      <c r="X18" s="12">
        <v>13</v>
      </c>
      <c r="Y18" s="12">
        <v>8</v>
      </c>
      <c r="Z18" s="12">
        <v>18</v>
      </c>
      <c r="AA18" s="12">
        <v>21</v>
      </c>
      <c r="AB18" s="12">
        <v>26</v>
      </c>
      <c r="AC18" s="12">
        <v>3</v>
      </c>
      <c r="AD18" s="12">
        <v>4</v>
      </c>
      <c r="AE18" s="12">
        <v>23</v>
      </c>
      <c r="AF18" s="12">
        <v>6</v>
      </c>
    </row>
    <row r="19" spans="1:32">
      <c r="A19" s="20"/>
      <c r="B19" s="13" t="s">
        <v>469</v>
      </c>
      <c r="C19" s="14">
        <v>0.01</v>
      </c>
      <c r="D19" s="14">
        <v>0.01</v>
      </c>
      <c r="E19" s="14">
        <v>0.04</v>
      </c>
      <c r="F19" s="14">
        <v>0.02</v>
      </c>
      <c r="G19" s="15" t="s">
        <v>459</v>
      </c>
      <c r="H19" s="14">
        <v>0.01</v>
      </c>
      <c r="I19" s="14">
        <v>0.01</v>
      </c>
      <c r="J19" s="14">
        <v>0.02</v>
      </c>
      <c r="K19" s="14">
        <v>0.04</v>
      </c>
      <c r="L19" s="14">
        <v>0.01</v>
      </c>
      <c r="M19" s="14">
        <v>0.01</v>
      </c>
      <c r="N19" s="14">
        <v>0.01</v>
      </c>
      <c r="O19" s="14">
        <v>0.01</v>
      </c>
      <c r="P19" s="14">
        <v>0.02</v>
      </c>
      <c r="Q19" s="14">
        <v>0.01</v>
      </c>
      <c r="R19" s="15" t="s">
        <v>459</v>
      </c>
      <c r="S19" s="14">
        <v>0.03</v>
      </c>
      <c r="T19" s="14">
        <v>0.01</v>
      </c>
      <c r="U19" s="14">
        <v>0.01</v>
      </c>
      <c r="V19" s="14">
        <v>0.01</v>
      </c>
      <c r="W19" s="15" t="s">
        <v>459</v>
      </c>
      <c r="X19" s="14">
        <v>0.01</v>
      </c>
      <c r="Y19" s="14">
        <v>0.01</v>
      </c>
      <c r="Z19" s="14">
        <v>0.02</v>
      </c>
      <c r="AA19" s="14">
        <v>0.02</v>
      </c>
      <c r="AB19" s="14">
        <v>0.02</v>
      </c>
      <c r="AC19" s="15" t="s">
        <v>459</v>
      </c>
      <c r="AD19" s="15" t="s">
        <v>459</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1742</v>
      </c>
      <c r="C3" s="18"/>
      <c r="D3" s="18"/>
      <c r="E3" s="18"/>
      <c r="F3" s="18"/>
      <c r="H3" s="18" t="s">
        <v>1743</v>
      </c>
      <c r="I3" s="18"/>
      <c r="J3" s="18"/>
      <c r="K3" s="18"/>
      <c r="L3" s="18"/>
    </row>
    <row r="4" spans="1:32" ht="27" customHeight="1">
      <c r="B4" s="18" t="s">
        <v>1744</v>
      </c>
      <c r="C4" s="18"/>
      <c r="D4" s="18"/>
      <c r="E4" s="18"/>
      <c r="F4" s="18"/>
      <c r="H4" s="18" t="s">
        <v>1745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HYPERLINK("#Content!A203","&lt;&lt;Back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1746</v>
      </c>
      <c r="C12" s="12">
        <v>6314</v>
      </c>
      <c r="D12" s="12">
        <v>199</v>
      </c>
      <c r="E12" s="12">
        <v>251</v>
      </c>
      <c r="F12" s="12">
        <v>148</v>
      </c>
      <c r="G12" s="12">
        <v>402</v>
      </c>
      <c r="H12" s="12">
        <v>365</v>
      </c>
      <c r="I12" s="12">
        <v>462</v>
      </c>
      <c r="J12" s="12">
        <v>97</v>
      </c>
      <c r="K12" s="12">
        <v>216</v>
      </c>
      <c r="L12" s="12">
        <v>227</v>
      </c>
      <c r="M12" s="12">
        <v>364</v>
      </c>
      <c r="N12" s="12">
        <v>180</v>
      </c>
      <c r="O12" s="12">
        <v>172</v>
      </c>
      <c r="P12" s="12">
        <v>170</v>
      </c>
      <c r="Q12" s="12">
        <v>270</v>
      </c>
      <c r="R12" s="12">
        <v>104</v>
      </c>
      <c r="S12" s="12">
        <v>148</v>
      </c>
      <c r="T12" s="12">
        <v>185</v>
      </c>
      <c r="U12" s="12">
        <v>128</v>
      </c>
      <c r="V12" s="12">
        <v>157</v>
      </c>
      <c r="W12" s="12">
        <v>203</v>
      </c>
      <c r="X12" s="12">
        <v>502</v>
      </c>
      <c r="Y12" s="12">
        <v>329</v>
      </c>
      <c r="Z12" s="12">
        <v>120</v>
      </c>
      <c r="AA12" s="12">
        <v>149</v>
      </c>
      <c r="AB12" s="12">
        <v>195</v>
      </c>
      <c r="AC12" s="12">
        <v>124</v>
      </c>
      <c r="AD12" s="12">
        <v>284</v>
      </c>
      <c r="AE12" s="12">
        <v>339</v>
      </c>
      <c r="AF12" s="12">
        <v>424</v>
      </c>
    </row>
    <row r="13" spans="1:32">
      <c r="A13" s="20"/>
      <c r="B13" s="13" t="s">
        <v>1747</v>
      </c>
      <c r="C13" s="14">
        <v>0.24</v>
      </c>
      <c r="D13" s="14">
        <v>0.2</v>
      </c>
      <c r="E13" s="14">
        <v>0.25</v>
      </c>
      <c r="F13" s="14">
        <v>0.15</v>
      </c>
      <c r="G13" s="14">
        <v>0.4</v>
      </c>
      <c r="H13" s="14">
        <v>0.3</v>
      </c>
      <c r="I13" s="14">
        <v>0.31</v>
      </c>
      <c r="J13" s="14">
        <v>0.33</v>
      </c>
      <c r="K13" s="14">
        <v>0.22</v>
      </c>
      <c r="L13" s="14">
        <v>0.22</v>
      </c>
      <c r="M13" s="14">
        <v>0.36</v>
      </c>
      <c r="N13" s="14">
        <v>0.18</v>
      </c>
      <c r="O13" s="14">
        <v>0.17</v>
      </c>
      <c r="P13" s="14">
        <v>0.17</v>
      </c>
      <c r="Q13" s="14">
        <v>0.26</v>
      </c>
      <c r="R13" s="14">
        <v>0.21</v>
      </c>
      <c r="S13" s="14">
        <v>0.15</v>
      </c>
      <c r="T13" s="14">
        <v>0.18</v>
      </c>
      <c r="U13" s="14">
        <v>0.25</v>
      </c>
      <c r="V13" s="14">
        <v>0.16</v>
      </c>
      <c r="W13" s="14">
        <v>0.4</v>
      </c>
      <c r="X13" s="14">
        <v>0.49</v>
      </c>
      <c r="Y13" s="14">
        <v>0.33</v>
      </c>
      <c r="Z13" s="14">
        <v>0.12</v>
      </c>
      <c r="AA13" s="14">
        <v>0.14000000000000001</v>
      </c>
      <c r="AB13" s="14">
        <v>0.19</v>
      </c>
      <c r="AC13" s="14">
        <v>0.12</v>
      </c>
      <c r="AD13" s="14">
        <v>0.28000000000000003</v>
      </c>
      <c r="AE13" s="14">
        <v>0.34</v>
      </c>
      <c r="AF13" s="14">
        <v>0.42</v>
      </c>
    </row>
    <row r="14" spans="1:32">
      <c r="A14" s="20"/>
      <c r="B14" s="11" t="s">
        <v>1748</v>
      </c>
      <c r="C14" s="12">
        <v>14851</v>
      </c>
      <c r="D14" s="12">
        <v>580</v>
      </c>
      <c r="E14" s="12">
        <v>637</v>
      </c>
      <c r="F14" s="12">
        <v>620</v>
      </c>
      <c r="G14" s="12">
        <v>471</v>
      </c>
      <c r="H14" s="12">
        <v>773</v>
      </c>
      <c r="I14" s="12">
        <v>948</v>
      </c>
      <c r="J14" s="12">
        <v>175</v>
      </c>
      <c r="K14" s="12">
        <v>588</v>
      </c>
      <c r="L14" s="12">
        <v>561</v>
      </c>
      <c r="M14" s="12">
        <v>486</v>
      </c>
      <c r="N14" s="12">
        <v>460</v>
      </c>
      <c r="O14" s="12">
        <v>516</v>
      </c>
      <c r="P14" s="12">
        <v>637</v>
      </c>
      <c r="Q14" s="12">
        <v>560</v>
      </c>
      <c r="R14" s="12">
        <v>228</v>
      </c>
      <c r="S14" s="12">
        <v>585</v>
      </c>
      <c r="T14" s="12">
        <v>676</v>
      </c>
      <c r="U14" s="12">
        <v>264</v>
      </c>
      <c r="V14" s="12">
        <v>692</v>
      </c>
      <c r="W14" s="12">
        <v>244</v>
      </c>
      <c r="X14" s="12">
        <v>428</v>
      </c>
      <c r="Y14" s="12">
        <v>545</v>
      </c>
      <c r="Z14" s="12">
        <v>717</v>
      </c>
      <c r="AA14" s="12">
        <v>542</v>
      </c>
      <c r="AB14" s="12">
        <v>687</v>
      </c>
      <c r="AC14" s="12">
        <v>649</v>
      </c>
      <c r="AD14" s="12">
        <v>616</v>
      </c>
      <c r="AE14" s="12">
        <v>520</v>
      </c>
      <c r="AF14" s="12">
        <v>472</v>
      </c>
    </row>
    <row r="15" spans="1:32">
      <c r="A15" s="20"/>
      <c r="B15" s="13" t="s">
        <v>1749</v>
      </c>
      <c r="C15" s="14">
        <v>0.56000000000000005</v>
      </c>
      <c r="D15" s="14">
        <v>0.57999999999999996</v>
      </c>
      <c r="E15" s="14">
        <v>0.62</v>
      </c>
      <c r="F15" s="14">
        <v>0.62</v>
      </c>
      <c r="G15" s="14">
        <v>0.47</v>
      </c>
      <c r="H15" s="14">
        <v>0.64</v>
      </c>
      <c r="I15" s="14">
        <v>0.63</v>
      </c>
      <c r="J15" s="14">
        <v>0.6</v>
      </c>
      <c r="K15" s="14">
        <v>0.57999999999999996</v>
      </c>
      <c r="L15" s="14">
        <v>0.56000000000000005</v>
      </c>
      <c r="M15" s="14">
        <v>0.49</v>
      </c>
      <c r="N15" s="14">
        <v>0.46</v>
      </c>
      <c r="O15" s="14">
        <v>0.52</v>
      </c>
      <c r="P15" s="14">
        <v>0.62</v>
      </c>
      <c r="Q15" s="14">
        <v>0.55000000000000004</v>
      </c>
      <c r="R15" s="14">
        <v>0.46</v>
      </c>
      <c r="S15" s="14">
        <v>0.57999999999999996</v>
      </c>
      <c r="T15" s="14">
        <v>0.67</v>
      </c>
      <c r="U15" s="14">
        <v>0.52</v>
      </c>
      <c r="V15" s="14">
        <v>0.68</v>
      </c>
      <c r="W15" s="14">
        <v>0.49</v>
      </c>
      <c r="X15" s="14">
        <v>0.42</v>
      </c>
      <c r="Y15" s="14">
        <v>0.54</v>
      </c>
      <c r="Z15" s="14">
        <v>0.71</v>
      </c>
      <c r="AA15" s="14">
        <v>0.52</v>
      </c>
      <c r="AB15" s="14">
        <v>0.66</v>
      </c>
      <c r="AC15" s="14">
        <v>0.64</v>
      </c>
      <c r="AD15" s="14">
        <v>0.61</v>
      </c>
      <c r="AE15" s="14">
        <v>0.52</v>
      </c>
      <c r="AF15" s="14">
        <v>0.46</v>
      </c>
    </row>
    <row r="16" spans="1:32">
      <c r="A16" s="20"/>
      <c r="B16" s="11" t="s">
        <v>1675</v>
      </c>
      <c r="C16" s="12">
        <v>5122</v>
      </c>
      <c r="D16" s="12">
        <v>222</v>
      </c>
      <c r="E16" s="12">
        <v>128</v>
      </c>
      <c r="F16" s="12">
        <v>234</v>
      </c>
      <c r="G16" s="12">
        <v>124</v>
      </c>
      <c r="H16" s="12">
        <v>75</v>
      </c>
      <c r="I16" s="12">
        <v>97</v>
      </c>
      <c r="J16" s="12">
        <v>22</v>
      </c>
      <c r="K16" s="12">
        <v>201</v>
      </c>
      <c r="L16" s="12">
        <v>217</v>
      </c>
      <c r="M16" s="12">
        <v>153</v>
      </c>
      <c r="N16" s="12">
        <v>364</v>
      </c>
      <c r="O16" s="12">
        <v>314</v>
      </c>
      <c r="P16" s="12">
        <v>215</v>
      </c>
      <c r="Q16" s="12">
        <v>190</v>
      </c>
      <c r="R16" s="12">
        <v>168</v>
      </c>
      <c r="S16" s="12">
        <v>274</v>
      </c>
      <c r="T16" s="12">
        <v>152</v>
      </c>
      <c r="U16" s="12">
        <v>112</v>
      </c>
      <c r="V16" s="12">
        <v>167</v>
      </c>
      <c r="W16" s="12">
        <v>54</v>
      </c>
      <c r="X16" s="12">
        <v>90</v>
      </c>
      <c r="Y16" s="12">
        <v>134</v>
      </c>
      <c r="Z16" s="12">
        <v>168</v>
      </c>
      <c r="AA16" s="12">
        <v>362</v>
      </c>
      <c r="AB16" s="12">
        <v>157</v>
      </c>
      <c r="AC16" s="12">
        <v>237</v>
      </c>
      <c r="AD16" s="12">
        <v>106</v>
      </c>
      <c r="AE16" s="12">
        <v>139</v>
      </c>
      <c r="AF16" s="12">
        <v>123</v>
      </c>
    </row>
    <row r="17" spans="1:32">
      <c r="A17" s="20"/>
      <c r="B17" s="13" t="s">
        <v>1676</v>
      </c>
      <c r="C17" s="14">
        <v>0.2</v>
      </c>
      <c r="D17" s="14">
        <v>0.22</v>
      </c>
      <c r="E17" s="14">
        <v>0.13</v>
      </c>
      <c r="F17" s="14">
        <v>0.23</v>
      </c>
      <c r="G17" s="14">
        <v>0.12</v>
      </c>
      <c r="H17" s="14">
        <v>0.06</v>
      </c>
      <c r="I17" s="14">
        <v>0.06</v>
      </c>
      <c r="J17" s="14">
        <v>7.0000000000000007E-2</v>
      </c>
      <c r="K17" s="14">
        <v>0.2</v>
      </c>
      <c r="L17" s="14">
        <v>0.22</v>
      </c>
      <c r="M17" s="14">
        <v>0.15</v>
      </c>
      <c r="N17" s="14">
        <v>0.36</v>
      </c>
      <c r="O17" s="14">
        <v>0.31</v>
      </c>
      <c r="P17" s="14">
        <v>0.21</v>
      </c>
      <c r="Q17" s="14">
        <v>0.19</v>
      </c>
      <c r="R17" s="14">
        <v>0.33</v>
      </c>
      <c r="S17" s="14">
        <v>0.27</v>
      </c>
      <c r="T17" s="14">
        <v>0.15</v>
      </c>
      <c r="U17" s="14">
        <v>0.22</v>
      </c>
      <c r="V17" s="14">
        <v>0.16</v>
      </c>
      <c r="W17" s="14">
        <v>0.11</v>
      </c>
      <c r="X17" s="14">
        <v>0.09</v>
      </c>
      <c r="Y17" s="14">
        <v>0.13</v>
      </c>
      <c r="Z17" s="14">
        <v>0.17</v>
      </c>
      <c r="AA17" s="14">
        <v>0.34</v>
      </c>
      <c r="AB17" s="14">
        <v>0.15</v>
      </c>
      <c r="AC17" s="14">
        <v>0.24</v>
      </c>
      <c r="AD17" s="14">
        <v>0.11</v>
      </c>
      <c r="AE17" s="14">
        <v>0.14000000000000001</v>
      </c>
      <c r="AF17" s="14">
        <v>0.12</v>
      </c>
    </row>
    <row r="18" spans="1:32">
      <c r="A18" s="20"/>
      <c r="B18" s="11" t="s">
        <v>468</v>
      </c>
      <c r="C18" s="12">
        <v>31</v>
      </c>
      <c r="D18" s="12">
        <v>2</v>
      </c>
      <c r="E18" s="12">
        <v>2</v>
      </c>
      <c r="F18" s="12">
        <v>3</v>
      </c>
      <c r="G18" s="12">
        <v>7</v>
      </c>
      <c r="H18" s="12">
        <v>3</v>
      </c>
      <c r="I18" s="12">
        <v>3</v>
      </c>
      <c r="J18" s="12">
        <v>0</v>
      </c>
      <c r="K18" s="12">
        <v>2</v>
      </c>
      <c r="L18" s="12">
        <v>1</v>
      </c>
      <c r="M18" s="12">
        <v>0</v>
      </c>
      <c r="N18" s="12">
        <v>0</v>
      </c>
      <c r="O18" s="12">
        <v>1</v>
      </c>
      <c r="P18" s="12">
        <v>0</v>
      </c>
      <c r="Q18" s="12">
        <v>0</v>
      </c>
      <c r="R18" s="12">
        <v>0</v>
      </c>
      <c r="S18" s="12">
        <v>1</v>
      </c>
      <c r="T18" s="12">
        <v>1</v>
      </c>
      <c r="U18" s="12">
        <v>3</v>
      </c>
      <c r="V18" s="12">
        <v>1</v>
      </c>
      <c r="W18" s="12">
        <v>2</v>
      </c>
      <c r="X18" s="12">
        <v>1</v>
      </c>
      <c r="Y18" s="12">
        <v>0</v>
      </c>
      <c r="Z18" s="12">
        <v>4</v>
      </c>
      <c r="AA18" s="12">
        <v>0</v>
      </c>
      <c r="AB18" s="12">
        <v>0</v>
      </c>
      <c r="AC18" s="12">
        <v>0</v>
      </c>
      <c r="AD18" s="12">
        <v>0</v>
      </c>
      <c r="AE18" s="12">
        <v>3</v>
      </c>
      <c r="AF18" s="12">
        <v>0</v>
      </c>
    </row>
    <row r="19" spans="1:32">
      <c r="A19" s="20"/>
      <c r="B19" s="13" t="s">
        <v>469</v>
      </c>
      <c r="C19" s="15" t="s">
        <v>459</v>
      </c>
      <c r="D19" s="15" t="s">
        <v>459</v>
      </c>
      <c r="E19" s="15" t="s">
        <v>459</v>
      </c>
      <c r="F19" s="15" t="s">
        <v>459</v>
      </c>
      <c r="G19" s="14">
        <v>0.01</v>
      </c>
      <c r="H19" s="15" t="s">
        <v>459</v>
      </c>
      <c r="I19" s="15" t="s">
        <v>459</v>
      </c>
      <c r="J19" s="15" t="s">
        <v>459</v>
      </c>
      <c r="K19" s="15" t="s">
        <v>459</v>
      </c>
      <c r="L19" s="15" t="s">
        <v>459</v>
      </c>
      <c r="M19" s="15" t="s">
        <v>459</v>
      </c>
      <c r="N19" s="15" t="s">
        <v>459</v>
      </c>
      <c r="O19" s="15" t="s">
        <v>459</v>
      </c>
      <c r="P19" s="15" t="s">
        <v>459</v>
      </c>
      <c r="Q19" s="15" t="s">
        <v>459</v>
      </c>
      <c r="R19" s="15" t="s">
        <v>459</v>
      </c>
      <c r="S19" s="15" t="s">
        <v>459</v>
      </c>
      <c r="T19" s="15" t="s">
        <v>459</v>
      </c>
      <c r="U19" s="14">
        <v>0.01</v>
      </c>
      <c r="V19" s="15" t="s">
        <v>459</v>
      </c>
      <c r="W19" s="15" t="s">
        <v>459</v>
      </c>
      <c r="X19" s="15" t="s">
        <v>459</v>
      </c>
      <c r="Y19" s="15" t="s">
        <v>459</v>
      </c>
      <c r="Z19" s="15" t="s">
        <v>459</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1750</v>
      </c>
      <c r="C3" s="18"/>
      <c r="D3" s="18"/>
      <c r="E3" s="18"/>
      <c r="F3" s="18"/>
      <c r="H3" s="18" t="s">
        <v>1751</v>
      </c>
      <c r="I3" s="18"/>
      <c r="J3" s="18"/>
      <c r="K3" s="18"/>
      <c r="L3" s="18"/>
    </row>
    <row r="4" spans="1:32" ht="27" customHeight="1">
      <c r="B4" s="18" t="s">
        <v>1752</v>
      </c>
      <c r="C4" s="18"/>
      <c r="D4" s="18"/>
      <c r="E4" s="18"/>
      <c r="F4" s="18"/>
      <c r="H4" s="18" t="s">
        <v>1753</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HYPERLINK("#Content!A204","&lt;&lt;Back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1746</v>
      </c>
      <c r="C12" s="12">
        <v>4079</v>
      </c>
      <c r="D12" s="12">
        <v>145</v>
      </c>
      <c r="E12" s="12">
        <v>123</v>
      </c>
      <c r="F12" s="12">
        <v>84</v>
      </c>
      <c r="G12" s="12">
        <v>296</v>
      </c>
      <c r="H12" s="12">
        <v>259</v>
      </c>
      <c r="I12" s="12">
        <v>307</v>
      </c>
      <c r="J12" s="12">
        <v>47</v>
      </c>
      <c r="K12" s="12">
        <v>174</v>
      </c>
      <c r="L12" s="12">
        <v>168</v>
      </c>
      <c r="M12" s="12">
        <v>212</v>
      </c>
      <c r="N12" s="12">
        <v>126</v>
      </c>
      <c r="O12" s="12">
        <v>95</v>
      </c>
      <c r="P12" s="12">
        <v>106</v>
      </c>
      <c r="Q12" s="12">
        <v>148</v>
      </c>
      <c r="R12" s="12">
        <v>82</v>
      </c>
      <c r="S12" s="12">
        <v>121</v>
      </c>
      <c r="T12" s="12">
        <v>182</v>
      </c>
      <c r="U12" s="12">
        <v>139</v>
      </c>
      <c r="V12" s="12">
        <v>122</v>
      </c>
      <c r="W12" s="12">
        <v>107</v>
      </c>
      <c r="X12" s="12">
        <v>317</v>
      </c>
      <c r="Y12" s="12">
        <v>274</v>
      </c>
      <c r="Z12" s="12">
        <v>80</v>
      </c>
      <c r="AA12" s="12">
        <v>94</v>
      </c>
      <c r="AB12" s="12">
        <v>151</v>
      </c>
      <c r="AC12" s="12">
        <v>97</v>
      </c>
      <c r="AD12" s="12">
        <v>203</v>
      </c>
      <c r="AE12" s="12">
        <v>206</v>
      </c>
      <c r="AF12" s="12">
        <v>298</v>
      </c>
    </row>
    <row r="13" spans="1:32">
      <c r="A13" s="20"/>
      <c r="B13" s="13" t="s">
        <v>1747</v>
      </c>
      <c r="C13" s="14">
        <v>0.16</v>
      </c>
      <c r="D13" s="14">
        <v>0.14000000000000001</v>
      </c>
      <c r="E13" s="14">
        <v>0.12</v>
      </c>
      <c r="F13" s="14">
        <v>0.08</v>
      </c>
      <c r="G13" s="14">
        <v>0.3</v>
      </c>
      <c r="H13" s="14">
        <v>0.21</v>
      </c>
      <c r="I13" s="14">
        <v>0.2</v>
      </c>
      <c r="J13" s="14">
        <v>0.16</v>
      </c>
      <c r="K13" s="14">
        <v>0.17</v>
      </c>
      <c r="L13" s="14">
        <v>0.17</v>
      </c>
      <c r="M13" s="14">
        <v>0.21</v>
      </c>
      <c r="N13" s="14">
        <v>0.13</v>
      </c>
      <c r="O13" s="14">
        <v>0.09</v>
      </c>
      <c r="P13" s="14">
        <v>0.1</v>
      </c>
      <c r="Q13" s="14">
        <v>0.14000000000000001</v>
      </c>
      <c r="R13" s="14">
        <v>0.16</v>
      </c>
      <c r="S13" s="14">
        <v>0.12</v>
      </c>
      <c r="T13" s="14">
        <v>0.18</v>
      </c>
      <c r="U13" s="14">
        <v>0.27</v>
      </c>
      <c r="V13" s="14">
        <v>0.12</v>
      </c>
      <c r="W13" s="14">
        <v>0.21</v>
      </c>
      <c r="X13" s="14">
        <v>0.31</v>
      </c>
      <c r="Y13" s="14">
        <v>0.27</v>
      </c>
      <c r="Z13" s="14">
        <v>0.08</v>
      </c>
      <c r="AA13" s="14">
        <v>0.09</v>
      </c>
      <c r="AB13" s="14">
        <v>0.15</v>
      </c>
      <c r="AC13" s="14">
        <v>0.1</v>
      </c>
      <c r="AD13" s="14">
        <v>0.2</v>
      </c>
      <c r="AE13" s="14">
        <v>0.21</v>
      </c>
      <c r="AF13" s="14">
        <v>0.28999999999999998</v>
      </c>
    </row>
    <row r="14" spans="1:32">
      <c r="A14" s="20"/>
      <c r="B14" s="11" t="s">
        <v>1748</v>
      </c>
      <c r="C14" s="12">
        <v>14452</v>
      </c>
      <c r="D14" s="12">
        <v>547</v>
      </c>
      <c r="E14" s="12">
        <v>672</v>
      </c>
      <c r="F14" s="12">
        <v>589</v>
      </c>
      <c r="G14" s="12">
        <v>526</v>
      </c>
      <c r="H14" s="12">
        <v>767</v>
      </c>
      <c r="I14" s="12">
        <v>959</v>
      </c>
      <c r="J14" s="12">
        <v>192</v>
      </c>
      <c r="K14" s="12">
        <v>539</v>
      </c>
      <c r="L14" s="12">
        <v>519</v>
      </c>
      <c r="M14" s="12">
        <v>544</v>
      </c>
      <c r="N14" s="12">
        <v>411</v>
      </c>
      <c r="O14" s="12">
        <v>416</v>
      </c>
      <c r="P14" s="12">
        <v>582</v>
      </c>
      <c r="Q14" s="12">
        <v>610</v>
      </c>
      <c r="R14" s="12">
        <v>240</v>
      </c>
      <c r="S14" s="12">
        <v>544</v>
      </c>
      <c r="T14" s="12">
        <v>653</v>
      </c>
      <c r="U14" s="12">
        <v>266</v>
      </c>
      <c r="V14" s="12">
        <v>649</v>
      </c>
      <c r="W14" s="12">
        <v>274</v>
      </c>
      <c r="X14" s="12">
        <v>510</v>
      </c>
      <c r="Y14" s="12">
        <v>522</v>
      </c>
      <c r="Z14" s="12">
        <v>676</v>
      </c>
      <c r="AA14" s="12">
        <v>501</v>
      </c>
      <c r="AB14" s="12">
        <v>608</v>
      </c>
      <c r="AC14" s="12">
        <v>625</v>
      </c>
      <c r="AD14" s="12">
        <v>640</v>
      </c>
      <c r="AE14" s="12">
        <v>577</v>
      </c>
      <c r="AF14" s="12">
        <v>547</v>
      </c>
    </row>
    <row r="15" spans="1:32">
      <c r="A15" s="20"/>
      <c r="B15" s="13" t="s">
        <v>1749</v>
      </c>
      <c r="C15" s="14">
        <v>0.55000000000000004</v>
      </c>
      <c r="D15" s="14">
        <v>0.55000000000000004</v>
      </c>
      <c r="E15" s="14">
        <v>0.66</v>
      </c>
      <c r="F15" s="14">
        <v>0.59</v>
      </c>
      <c r="G15" s="14">
        <v>0.52</v>
      </c>
      <c r="H15" s="14">
        <v>0.63</v>
      </c>
      <c r="I15" s="14">
        <v>0.64</v>
      </c>
      <c r="J15" s="14">
        <v>0.65</v>
      </c>
      <c r="K15" s="14">
        <v>0.54</v>
      </c>
      <c r="L15" s="14">
        <v>0.51</v>
      </c>
      <c r="M15" s="14">
        <v>0.54</v>
      </c>
      <c r="N15" s="14">
        <v>0.41</v>
      </c>
      <c r="O15" s="14">
        <v>0.42</v>
      </c>
      <c r="P15" s="14">
        <v>0.57000000000000006</v>
      </c>
      <c r="Q15" s="14">
        <v>0.6</v>
      </c>
      <c r="R15" s="14">
        <v>0.48</v>
      </c>
      <c r="S15" s="14">
        <v>0.54</v>
      </c>
      <c r="T15" s="14">
        <v>0.64</v>
      </c>
      <c r="U15" s="14">
        <v>0.53</v>
      </c>
      <c r="V15" s="14">
        <v>0.64</v>
      </c>
      <c r="W15" s="14">
        <v>0.54</v>
      </c>
      <c r="X15" s="14">
        <v>0.5</v>
      </c>
      <c r="Y15" s="14">
        <v>0.52</v>
      </c>
      <c r="Z15" s="14">
        <v>0.67</v>
      </c>
      <c r="AA15" s="14">
        <v>0.48</v>
      </c>
      <c r="AB15" s="14">
        <v>0.57999999999999996</v>
      </c>
      <c r="AC15" s="14">
        <v>0.62</v>
      </c>
      <c r="AD15" s="14">
        <v>0.64</v>
      </c>
      <c r="AE15" s="14">
        <v>0.57999999999999996</v>
      </c>
      <c r="AF15" s="14">
        <v>0.54</v>
      </c>
    </row>
    <row r="16" spans="1:32">
      <c r="A16" s="20"/>
      <c r="B16" s="11" t="s">
        <v>1675</v>
      </c>
      <c r="C16" s="12">
        <v>7725</v>
      </c>
      <c r="D16" s="12">
        <v>307</v>
      </c>
      <c r="E16" s="12">
        <v>217</v>
      </c>
      <c r="F16" s="12">
        <v>327</v>
      </c>
      <c r="G16" s="12">
        <v>181</v>
      </c>
      <c r="H16" s="12">
        <v>187</v>
      </c>
      <c r="I16" s="12">
        <v>242</v>
      </c>
      <c r="J16" s="12">
        <v>54</v>
      </c>
      <c r="K16" s="12">
        <v>290</v>
      </c>
      <c r="L16" s="12">
        <v>318</v>
      </c>
      <c r="M16" s="12">
        <v>247</v>
      </c>
      <c r="N16" s="12">
        <v>463</v>
      </c>
      <c r="O16" s="12">
        <v>491</v>
      </c>
      <c r="P16" s="12">
        <v>332</v>
      </c>
      <c r="Q16" s="12">
        <v>260</v>
      </c>
      <c r="R16" s="12">
        <v>178</v>
      </c>
      <c r="S16" s="12">
        <v>338</v>
      </c>
      <c r="T16" s="12">
        <v>177</v>
      </c>
      <c r="U16" s="12">
        <v>99</v>
      </c>
      <c r="V16" s="12">
        <v>244</v>
      </c>
      <c r="W16" s="12">
        <v>119</v>
      </c>
      <c r="X16" s="12">
        <v>193</v>
      </c>
      <c r="Y16" s="12">
        <v>211</v>
      </c>
      <c r="Z16" s="12">
        <v>241</v>
      </c>
      <c r="AA16" s="12">
        <v>457</v>
      </c>
      <c r="AB16" s="12">
        <v>280</v>
      </c>
      <c r="AC16" s="12">
        <v>288</v>
      </c>
      <c r="AD16" s="12">
        <v>162</v>
      </c>
      <c r="AE16" s="12">
        <v>215</v>
      </c>
      <c r="AF16" s="12">
        <v>175</v>
      </c>
    </row>
    <row r="17" spans="1:32">
      <c r="A17" s="20"/>
      <c r="B17" s="13" t="s">
        <v>1676</v>
      </c>
      <c r="C17" s="14">
        <v>0.28999999999999998</v>
      </c>
      <c r="D17" s="14">
        <v>0.31</v>
      </c>
      <c r="E17" s="14">
        <v>0.21</v>
      </c>
      <c r="F17" s="14">
        <v>0.33</v>
      </c>
      <c r="G17" s="14">
        <v>0.18</v>
      </c>
      <c r="H17" s="14">
        <v>0.16</v>
      </c>
      <c r="I17" s="14">
        <v>0.16</v>
      </c>
      <c r="J17" s="14">
        <v>0.19</v>
      </c>
      <c r="K17" s="14">
        <v>0.28999999999999998</v>
      </c>
      <c r="L17" s="14">
        <v>0.32</v>
      </c>
      <c r="M17" s="14">
        <v>0.25</v>
      </c>
      <c r="N17" s="14">
        <v>0.46</v>
      </c>
      <c r="O17" s="14">
        <v>0.49</v>
      </c>
      <c r="P17" s="14">
        <v>0.33</v>
      </c>
      <c r="Q17" s="14">
        <v>0.26</v>
      </c>
      <c r="R17" s="14">
        <v>0.36</v>
      </c>
      <c r="S17" s="14">
        <v>0.34</v>
      </c>
      <c r="T17" s="14">
        <v>0.18</v>
      </c>
      <c r="U17" s="14">
        <v>0.19</v>
      </c>
      <c r="V17" s="14">
        <v>0.24</v>
      </c>
      <c r="W17" s="14">
        <v>0.24</v>
      </c>
      <c r="X17" s="14">
        <v>0.19</v>
      </c>
      <c r="Y17" s="14">
        <v>0.21</v>
      </c>
      <c r="Z17" s="14">
        <v>0.24</v>
      </c>
      <c r="AA17" s="14">
        <v>0.43</v>
      </c>
      <c r="AB17" s="14">
        <v>0.27</v>
      </c>
      <c r="AC17" s="14">
        <v>0.28000000000000003</v>
      </c>
      <c r="AD17" s="14">
        <v>0.16</v>
      </c>
      <c r="AE17" s="14">
        <v>0.21</v>
      </c>
      <c r="AF17" s="14">
        <v>0.17</v>
      </c>
    </row>
    <row r="18" spans="1:32">
      <c r="A18" s="20"/>
      <c r="B18" s="11" t="s">
        <v>468</v>
      </c>
      <c r="C18" s="12">
        <v>64</v>
      </c>
      <c r="D18" s="12">
        <v>4</v>
      </c>
      <c r="E18" s="12">
        <v>5</v>
      </c>
      <c r="F18" s="12">
        <v>5</v>
      </c>
      <c r="G18" s="12">
        <v>1</v>
      </c>
      <c r="H18" s="12">
        <v>2</v>
      </c>
      <c r="I18" s="12">
        <v>2</v>
      </c>
      <c r="J18" s="12">
        <v>0</v>
      </c>
      <c r="K18" s="12">
        <v>3</v>
      </c>
      <c r="L18" s="12">
        <v>2</v>
      </c>
      <c r="M18" s="12">
        <v>0</v>
      </c>
      <c r="N18" s="12">
        <v>4</v>
      </c>
      <c r="O18" s="12">
        <v>1</v>
      </c>
      <c r="P18" s="12">
        <v>2</v>
      </c>
      <c r="Q18" s="12">
        <v>1</v>
      </c>
      <c r="R18" s="12">
        <v>0</v>
      </c>
      <c r="S18" s="12">
        <v>5</v>
      </c>
      <c r="T18" s="12">
        <v>1</v>
      </c>
      <c r="U18" s="12">
        <v>3</v>
      </c>
      <c r="V18" s="12">
        <v>2</v>
      </c>
      <c r="W18" s="12">
        <v>3</v>
      </c>
      <c r="X18" s="12">
        <v>1</v>
      </c>
      <c r="Y18" s="12">
        <v>1</v>
      </c>
      <c r="Z18" s="12">
        <v>11</v>
      </c>
      <c r="AA18" s="12">
        <v>1</v>
      </c>
      <c r="AB18" s="12">
        <v>0</v>
      </c>
      <c r="AC18" s="12">
        <v>0</v>
      </c>
      <c r="AD18" s="12">
        <v>1</v>
      </c>
      <c r="AE18" s="12">
        <v>3</v>
      </c>
      <c r="AF18" s="12">
        <v>0</v>
      </c>
    </row>
    <row r="19" spans="1:32">
      <c r="A19" s="20"/>
      <c r="B19" s="13" t="s">
        <v>469</v>
      </c>
      <c r="C19" s="15" t="s">
        <v>459</v>
      </c>
      <c r="D19" s="15" t="s">
        <v>459</v>
      </c>
      <c r="E19" s="14">
        <v>0.01</v>
      </c>
      <c r="F19" s="15" t="s">
        <v>459</v>
      </c>
      <c r="G19" s="15" t="s">
        <v>459</v>
      </c>
      <c r="H19" s="15" t="s">
        <v>459</v>
      </c>
      <c r="I19" s="15" t="s">
        <v>459</v>
      </c>
      <c r="J19" s="15" t="s">
        <v>459</v>
      </c>
      <c r="K19" s="15" t="s">
        <v>459</v>
      </c>
      <c r="L19" s="15" t="s">
        <v>459</v>
      </c>
      <c r="M19" s="15" t="s">
        <v>459</v>
      </c>
      <c r="N19" s="15" t="s">
        <v>459</v>
      </c>
      <c r="O19" s="15" t="s">
        <v>459</v>
      </c>
      <c r="P19" s="15" t="s">
        <v>459</v>
      </c>
      <c r="Q19" s="15" t="s">
        <v>459</v>
      </c>
      <c r="R19" s="15" t="s">
        <v>459</v>
      </c>
      <c r="S19" s="15" t="s">
        <v>459</v>
      </c>
      <c r="T19" s="15" t="s">
        <v>459</v>
      </c>
      <c r="U19" s="14">
        <v>0.01</v>
      </c>
      <c r="V19" s="15" t="s">
        <v>459</v>
      </c>
      <c r="W19" s="14">
        <v>0.01</v>
      </c>
      <c r="X19" s="15" t="s">
        <v>459</v>
      </c>
      <c r="Y19" s="15" t="s">
        <v>459</v>
      </c>
      <c r="Z19" s="14">
        <v>0.01</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1754</v>
      </c>
      <c r="C3" s="18"/>
      <c r="D3" s="18"/>
      <c r="E3" s="18"/>
      <c r="F3" s="18"/>
      <c r="H3" s="18" t="s">
        <v>1755</v>
      </c>
      <c r="I3" s="18"/>
      <c r="J3" s="18"/>
      <c r="K3" s="18"/>
      <c r="L3" s="18"/>
    </row>
    <row r="4" spans="1:32" ht="27" customHeight="1">
      <c r="B4" s="18" t="s">
        <v>1756</v>
      </c>
      <c r="C4" s="18"/>
      <c r="D4" s="18"/>
      <c r="E4" s="18"/>
      <c r="F4" s="18"/>
      <c r="H4" s="18" t="s">
        <v>1757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HYPERLINK("#Content!A205","&lt;&lt;Back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1746</v>
      </c>
      <c r="C12" s="12">
        <v>5237</v>
      </c>
      <c r="D12" s="12">
        <v>192</v>
      </c>
      <c r="E12" s="12">
        <v>296</v>
      </c>
      <c r="F12" s="12">
        <v>116</v>
      </c>
      <c r="G12" s="12">
        <v>247</v>
      </c>
      <c r="H12" s="12">
        <v>290</v>
      </c>
      <c r="I12" s="12">
        <v>387</v>
      </c>
      <c r="J12" s="12">
        <v>97</v>
      </c>
      <c r="K12" s="12">
        <v>210</v>
      </c>
      <c r="L12" s="12">
        <v>200</v>
      </c>
      <c r="M12" s="12">
        <v>324</v>
      </c>
      <c r="N12" s="12">
        <v>184</v>
      </c>
      <c r="O12" s="12">
        <v>137</v>
      </c>
      <c r="P12" s="12">
        <v>223</v>
      </c>
      <c r="Q12" s="12">
        <v>219</v>
      </c>
      <c r="R12" s="12">
        <v>129</v>
      </c>
      <c r="S12" s="12">
        <v>156</v>
      </c>
      <c r="T12" s="12">
        <v>218</v>
      </c>
      <c r="U12" s="12">
        <v>98</v>
      </c>
      <c r="V12" s="12">
        <v>162</v>
      </c>
      <c r="W12" s="12">
        <v>151</v>
      </c>
      <c r="X12" s="12">
        <v>252</v>
      </c>
      <c r="Y12" s="12">
        <v>237</v>
      </c>
      <c r="Z12" s="12">
        <v>129</v>
      </c>
      <c r="AA12" s="12">
        <v>122</v>
      </c>
      <c r="AB12" s="12">
        <v>211</v>
      </c>
      <c r="AC12" s="12">
        <v>126</v>
      </c>
      <c r="AD12" s="12">
        <v>206</v>
      </c>
      <c r="AE12" s="12">
        <v>240</v>
      </c>
      <c r="AF12" s="12">
        <v>228</v>
      </c>
    </row>
    <row r="13" spans="1:32">
      <c r="A13" s="20"/>
      <c r="B13" s="13" t="s">
        <v>1747</v>
      </c>
      <c r="C13" s="14">
        <v>0.2</v>
      </c>
      <c r="D13" s="14">
        <v>0.19</v>
      </c>
      <c r="E13" s="14">
        <v>0.28999999999999998</v>
      </c>
      <c r="F13" s="14">
        <v>0.12</v>
      </c>
      <c r="G13" s="14">
        <v>0.25</v>
      </c>
      <c r="H13" s="14">
        <v>0.24</v>
      </c>
      <c r="I13" s="14">
        <v>0.26</v>
      </c>
      <c r="J13" s="14">
        <v>0.33</v>
      </c>
      <c r="K13" s="14">
        <v>0.21</v>
      </c>
      <c r="L13" s="14">
        <v>0.2</v>
      </c>
      <c r="M13" s="14">
        <v>0.32</v>
      </c>
      <c r="N13" s="14">
        <v>0.18</v>
      </c>
      <c r="O13" s="14">
        <v>0.14000000000000001</v>
      </c>
      <c r="P13" s="14">
        <v>0.22</v>
      </c>
      <c r="Q13" s="14">
        <v>0.22</v>
      </c>
      <c r="R13" s="14">
        <v>0.26</v>
      </c>
      <c r="S13" s="14">
        <v>0.15</v>
      </c>
      <c r="T13" s="14">
        <v>0.22</v>
      </c>
      <c r="U13" s="14">
        <v>0.19</v>
      </c>
      <c r="V13" s="14">
        <v>0.16</v>
      </c>
      <c r="W13" s="14">
        <v>0.3</v>
      </c>
      <c r="X13" s="14">
        <v>0.25</v>
      </c>
      <c r="Y13" s="14">
        <v>0.24</v>
      </c>
      <c r="Z13" s="14">
        <v>0.13</v>
      </c>
      <c r="AA13" s="14">
        <v>0.12</v>
      </c>
      <c r="AB13" s="14">
        <v>0.2</v>
      </c>
      <c r="AC13" s="14">
        <v>0.12</v>
      </c>
      <c r="AD13" s="14">
        <v>0.2</v>
      </c>
      <c r="AE13" s="14">
        <v>0.24</v>
      </c>
      <c r="AF13" s="14">
        <v>0.22</v>
      </c>
    </row>
    <row r="14" spans="1:32">
      <c r="A14" s="20"/>
      <c r="B14" s="11" t="s">
        <v>1748</v>
      </c>
      <c r="C14" s="12">
        <v>14941</v>
      </c>
      <c r="D14" s="12">
        <v>565</v>
      </c>
      <c r="E14" s="12">
        <v>615</v>
      </c>
      <c r="F14" s="12">
        <v>627</v>
      </c>
      <c r="G14" s="12">
        <v>536</v>
      </c>
      <c r="H14" s="12">
        <v>771</v>
      </c>
      <c r="I14" s="12">
        <v>947</v>
      </c>
      <c r="J14" s="12">
        <v>175</v>
      </c>
      <c r="K14" s="12">
        <v>552</v>
      </c>
      <c r="L14" s="12">
        <v>558</v>
      </c>
      <c r="M14" s="12">
        <v>513</v>
      </c>
      <c r="N14" s="12">
        <v>457</v>
      </c>
      <c r="O14" s="12">
        <v>469</v>
      </c>
      <c r="P14" s="12">
        <v>612</v>
      </c>
      <c r="Q14" s="12">
        <v>585</v>
      </c>
      <c r="R14" s="12">
        <v>238</v>
      </c>
      <c r="S14" s="12">
        <v>606</v>
      </c>
      <c r="T14" s="12">
        <v>631</v>
      </c>
      <c r="U14" s="12">
        <v>250</v>
      </c>
      <c r="V14" s="12">
        <v>694</v>
      </c>
      <c r="W14" s="12">
        <v>271</v>
      </c>
      <c r="X14" s="12">
        <v>559</v>
      </c>
      <c r="Y14" s="12">
        <v>550</v>
      </c>
      <c r="Z14" s="12">
        <v>690</v>
      </c>
      <c r="AA14" s="12">
        <v>548</v>
      </c>
      <c r="AB14" s="12">
        <v>661</v>
      </c>
      <c r="AC14" s="12">
        <v>673</v>
      </c>
      <c r="AD14" s="12">
        <v>621</v>
      </c>
      <c r="AE14" s="12">
        <v>601</v>
      </c>
      <c r="AF14" s="12">
        <v>635</v>
      </c>
    </row>
    <row r="15" spans="1:32">
      <c r="A15" s="20"/>
      <c r="B15" s="13" t="s">
        <v>1749</v>
      </c>
      <c r="C15" s="14">
        <v>0.57000000000000006</v>
      </c>
      <c r="D15" s="14">
        <v>0.56000000000000005</v>
      </c>
      <c r="E15" s="14">
        <v>0.61</v>
      </c>
      <c r="F15" s="14">
        <v>0.62</v>
      </c>
      <c r="G15" s="14">
        <v>0.53</v>
      </c>
      <c r="H15" s="14">
        <v>0.63</v>
      </c>
      <c r="I15" s="14">
        <v>0.63</v>
      </c>
      <c r="J15" s="14">
        <v>0.6</v>
      </c>
      <c r="K15" s="14">
        <v>0.55000000000000004</v>
      </c>
      <c r="L15" s="14">
        <v>0.56000000000000005</v>
      </c>
      <c r="M15" s="14">
        <v>0.51</v>
      </c>
      <c r="N15" s="14">
        <v>0.46</v>
      </c>
      <c r="O15" s="14">
        <v>0.47</v>
      </c>
      <c r="P15" s="14">
        <v>0.6</v>
      </c>
      <c r="Q15" s="14">
        <v>0.57000000000000006</v>
      </c>
      <c r="R15" s="14">
        <v>0.48</v>
      </c>
      <c r="S15" s="14">
        <v>0.6</v>
      </c>
      <c r="T15" s="14">
        <v>0.62</v>
      </c>
      <c r="U15" s="14">
        <v>0.49</v>
      </c>
      <c r="V15" s="14">
        <v>0.68</v>
      </c>
      <c r="W15" s="14">
        <v>0.54</v>
      </c>
      <c r="X15" s="14">
        <v>0.55000000000000004</v>
      </c>
      <c r="Y15" s="14">
        <v>0.54</v>
      </c>
      <c r="Z15" s="14">
        <v>0.68</v>
      </c>
      <c r="AA15" s="14">
        <v>0.52</v>
      </c>
      <c r="AB15" s="14">
        <v>0.64</v>
      </c>
      <c r="AC15" s="14">
        <v>0.67</v>
      </c>
      <c r="AD15" s="14">
        <v>0.62</v>
      </c>
      <c r="AE15" s="14">
        <v>0.6</v>
      </c>
      <c r="AF15" s="14">
        <v>0.62</v>
      </c>
    </row>
    <row r="16" spans="1:32">
      <c r="A16" s="20"/>
      <c r="B16" s="11" t="s">
        <v>1675</v>
      </c>
      <c r="C16" s="12">
        <v>6089</v>
      </c>
      <c r="D16" s="12">
        <v>241</v>
      </c>
      <c r="E16" s="12">
        <v>106</v>
      </c>
      <c r="F16" s="12">
        <v>259</v>
      </c>
      <c r="G16" s="12">
        <v>219</v>
      </c>
      <c r="H16" s="12">
        <v>153</v>
      </c>
      <c r="I16" s="12">
        <v>175</v>
      </c>
      <c r="J16" s="12">
        <v>22</v>
      </c>
      <c r="K16" s="12">
        <v>239</v>
      </c>
      <c r="L16" s="12">
        <v>246</v>
      </c>
      <c r="M16" s="12">
        <v>165</v>
      </c>
      <c r="N16" s="12">
        <v>362</v>
      </c>
      <c r="O16" s="12">
        <v>396</v>
      </c>
      <c r="P16" s="12">
        <v>187</v>
      </c>
      <c r="Q16" s="12">
        <v>213</v>
      </c>
      <c r="R16" s="12">
        <v>133</v>
      </c>
      <c r="S16" s="12">
        <v>241</v>
      </c>
      <c r="T16" s="12">
        <v>164</v>
      </c>
      <c r="U16" s="12">
        <v>155</v>
      </c>
      <c r="V16" s="12">
        <v>160</v>
      </c>
      <c r="W16" s="12">
        <v>80</v>
      </c>
      <c r="X16" s="12">
        <v>207</v>
      </c>
      <c r="Y16" s="12">
        <v>221</v>
      </c>
      <c r="Z16" s="12">
        <v>179</v>
      </c>
      <c r="AA16" s="12">
        <v>381</v>
      </c>
      <c r="AB16" s="12">
        <v>166</v>
      </c>
      <c r="AC16" s="12">
        <v>211</v>
      </c>
      <c r="AD16" s="12">
        <v>179</v>
      </c>
      <c r="AE16" s="12">
        <v>160</v>
      </c>
      <c r="AF16" s="12">
        <v>157</v>
      </c>
    </row>
    <row r="17" spans="1:32">
      <c r="A17" s="20"/>
      <c r="B17" s="13" t="s">
        <v>1676</v>
      </c>
      <c r="C17" s="14">
        <v>0.23</v>
      </c>
      <c r="D17" s="14">
        <v>0.24</v>
      </c>
      <c r="E17" s="14">
        <v>0.1</v>
      </c>
      <c r="F17" s="14">
        <v>0.26</v>
      </c>
      <c r="G17" s="14">
        <v>0.22</v>
      </c>
      <c r="H17" s="14">
        <v>0.13</v>
      </c>
      <c r="I17" s="14">
        <v>0.11</v>
      </c>
      <c r="J17" s="14">
        <v>7.0000000000000007E-2</v>
      </c>
      <c r="K17" s="14">
        <v>0.24</v>
      </c>
      <c r="L17" s="14">
        <v>0.24</v>
      </c>
      <c r="M17" s="14">
        <v>0.17</v>
      </c>
      <c r="N17" s="14">
        <v>0.36</v>
      </c>
      <c r="O17" s="14">
        <v>0.39</v>
      </c>
      <c r="P17" s="14">
        <v>0.18</v>
      </c>
      <c r="Q17" s="14">
        <v>0.21</v>
      </c>
      <c r="R17" s="14">
        <v>0.26</v>
      </c>
      <c r="S17" s="14">
        <v>0.24</v>
      </c>
      <c r="T17" s="14">
        <v>0.16</v>
      </c>
      <c r="U17" s="14">
        <v>0.31</v>
      </c>
      <c r="V17" s="14">
        <v>0.16</v>
      </c>
      <c r="W17" s="14">
        <v>0.16</v>
      </c>
      <c r="X17" s="14">
        <v>0.2</v>
      </c>
      <c r="Y17" s="14">
        <v>0.22</v>
      </c>
      <c r="Z17" s="14">
        <v>0.18</v>
      </c>
      <c r="AA17" s="14">
        <v>0.36</v>
      </c>
      <c r="AB17" s="14">
        <v>0.16</v>
      </c>
      <c r="AC17" s="14">
        <v>0.21</v>
      </c>
      <c r="AD17" s="14">
        <v>0.18</v>
      </c>
      <c r="AE17" s="14">
        <v>0.16</v>
      </c>
      <c r="AF17" s="14">
        <v>0.16</v>
      </c>
    </row>
    <row r="18" spans="1:32">
      <c r="A18" s="20"/>
      <c r="B18" s="11" t="s">
        <v>468</v>
      </c>
      <c r="C18" s="12">
        <v>52</v>
      </c>
      <c r="D18" s="12">
        <v>5</v>
      </c>
      <c r="E18" s="12">
        <v>2</v>
      </c>
      <c r="F18" s="12">
        <v>3</v>
      </c>
      <c r="G18" s="12">
        <v>2</v>
      </c>
      <c r="H18" s="12">
        <v>1</v>
      </c>
      <c r="I18" s="12">
        <v>2</v>
      </c>
      <c r="J18" s="12">
        <v>0</v>
      </c>
      <c r="K18" s="12">
        <v>4</v>
      </c>
      <c r="L18" s="12">
        <v>2</v>
      </c>
      <c r="M18" s="12">
        <v>0</v>
      </c>
      <c r="N18" s="12">
        <v>1</v>
      </c>
      <c r="O18" s="12">
        <v>1</v>
      </c>
      <c r="P18" s="12">
        <v>0</v>
      </c>
      <c r="Q18" s="12">
        <v>2</v>
      </c>
      <c r="R18" s="12">
        <v>0</v>
      </c>
      <c r="S18" s="12">
        <v>5</v>
      </c>
      <c r="T18" s="12">
        <v>1</v>
      </c>
      <c r="U18" s="12">
        <v>3</v>
      </c>
      <c r="V18" s="12">
        <v>1</v>
      </c>
      <c r="W18" s="12">
        <v>1</v>
      </c>
      <c r="X18" s="12">
        <v>3</v>
      </c>
      <c r="Y18" s="12">
        <v>0</v>
      </c>
      <c r="Z18" s="12">
        <v>9</v>
      </c>
      <c r="AA18" s="12">
        <v>1</v>
      </c>
      <c r="AB18" s="12">
        <v>1</v>
      </c>
      <c r="AC18" s="12">
        <v>0</v>
      </c>
      <c r="AD18" s="12">
        <v>1</v>
      </c>
      <c r="AE18" s="12">
        <v>0</v>
      </c>
      <c r="AF18" s="12">
        <v>0</v>
      </c>
    </row>
    <row r="19" spans="1:32">
      <c r="A19" s="20"/>
      <c r="B19" s="13" t="s">
        <v>469</v>
      </c>
      <c r="C19" s="15" t="s">
        <v>459</v>
      </c>
      <c r="D19" s="14">
        <v>0.01</v>
      </c>
      <c r="E19" s="15" t="s">
        <v>459</v>
      </c>
      <c r="F19" s="15" t="s">
        <v>459</v>
      </c>
      <c r="G19" s="15" t="s">
        <v>459</v>
      </c>
      <c r="H19" s="15" t="s">
        <v>459</v>
      </c>
      <c r="I19" s="15" t="s">
        <v>459</v>
      </c>
      <c r="J19" s="15" t="s">
        <v>459</v>
      </c>
      <c r="K19" s="15" t="s">
        <v>459</v>
      </c>
      <c r="L19" s="15" t="s">
        <v>459</v>
      </c>
      <c r="M19" s="15" t="s">
        <v>459</v>
      </c>
      <c r="N19" s="15" t="s">
        <v>459</v>
      </c>
      <c r="O19" s="15" t="s">
        <v>459</v>
      </c>
      <c r="P19" s="15" t="s">
        <v>459</v>
      </c>
      <c r="Q19" s="15" t="s">
        <v>459</v>
      </c>
      <c r="R19" s="15" t="s">
        <v>459</v>
      </c>
      <c r="S19" s="14">
        <v>0.01</v>
      </c>
      <c r="T19" s="15" t="s">
        <v>459</v>
      </c>
      <c r="U19" s="14">
        <v>0.01</v>
      </c>
      <c r="V19" s="15" t="s">
        <v>459</v>
      </c>
      <c r="W19" s="15" t="s">
        <v>459</v>
      </c>
      <c r="X19" s="15" t="s">
        <v>459</v>
      </c>
      <c r="Y19" s="15" t="s">
        <v>459</v>
      </c>
      <c r="Z19" s="14">
        <v>0.01</v>
      </c>
      <c r="AA19" s="15" t="s">
        <v>459</v>
      </c>
      <c r="AB19" s="15" t="s">
        <v>459</v>
      </c>
      <c r="AC19" s="15" t="s">
        <v>459</v>
      </c>
      <c r="AD19" s="15" t="s">
        <v>459</v>
      </c>
      <c r="AE19" s="15" t="s">
        <v>459</v>
      </c>
      <c r="AF19" s="15" t="s">
        <v>459</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F1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409</v>
      </c>
      <c r="C3" s="18"/>
      <c r="D3" s="18"/>
      <c r="E3" s="18"/>
      <c r="F3" s="18"/>
      <c r="H3" s="18" t="s">
        <v>410</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HYPERLINK("#Content!A206","&lt;&lt;Back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1758</v>
      </c>
      <c r="C12" s="12">
        <v>4749</v>
      </c>
      <c r="D12" s="12">
        <v>155</v>
      </c>
      <c r="E12" s="12">
        <v>211</v>
      </c>
      <c r="F12" s="12">
        <v>92</v>
      </c>
      <c r="G12" s="12">
        <v>293</v>
      </c>
      <c r="H12" s="12">
        <v>294</v>
      </c>
      <c r="I12" s="12">
        <v>370</v>
      </c>
      <c r="J12" s="12">
        <v>76</v>
      </c>
      <c r="K12" s="12">
        <v>192</v>
      </c>
      <c r="L12" s="12">
        <v>186</v>
      </c>
      <c r="M12" s="12">
        <v>274</v>
      </c>
      <c r="N12" s="12">
        <v>144</v>
      </c>
      <c r="O12" s="12">
        <v>115</v>
      </c>
      <c r="P12" s="12">
        <v>131</v>
      </c>
      <c r="Q12" s="12">
        <v>200</v>
      </c>
      <c r="R12" s="12">
        <v>99</v>
      </c>
      <c r="S12" s="12">
        <v>127</v>
      </c>
      <c r="T12" s="12">
        <v>177</v>
      </c>
      <c r="U12" s="12">
        <v>105</v>
      </c>
      <c r="V12" s="12">
        <v>137</v>
      </c>
      <c r="W12" s="12">
        <v>137</v>
      </c>
      <c r="X12" s="12">
        <v>338</v>
      </c>
      <c r="Y12" s="12">
        <v>266</v>
      </c>
      <c r="Z12" s="12">
        <v>78</v>
      </c>
      <c r="AA12" s="12">
        <v>112</v>
      </c>
      <c r="AB12" s="12">
        <v>154</v>
      </c>
      <c r="AC12" s="12">
        <v>100</v>
      </c>
      <c r="AD12" s="12">
        <v>219</v>
      </c>
      <c r="AE12" s="12">
        <v>233</v>
      </c>
      <c r="AF12" s="12">
        <v>313</v>
      </c>
    </row>
    <row r="13" spans="1:32">
      <c r="A13" s="20"/>
      <c r="B13" s="13" t="s">
        <v>1758</v>
      </c>
      <c r="C13" s="14">
        <v>0.18</v>
      </c>
      <c r="D13" s="14">
        <v>0.15</v>
      </c>
      <c r="E13" s="14">
        <v>0.21</v>
      </c>
      <c r="F13" s="14">
        <v>0.09</v>
      </c>
      <c r="G13" s="14">
        <v>0.28999999999999998</v>
      </c>
      <c r="H13" s="14">
        <v>0.24</v>
      </c>
      <c r="I13" s="14">
        <v>0.25</v>
      </c>
      <c r="J13" s="14">
        <v>0.26</v>
      </c>
      <c r="K13" s="14">
        <v>0.19</v>
      </c>
      <c r="L13" s="14">
        <v>0.18</v>
      </c>
      <c r="M13" s="14">
        <v>0.27</v>
      </c>
      <c r="N13" s="14">
        <v>0.14000000000000001</v>
      </c>
      <c r="O13" s="14">
        <v>0.11</v>
      </c>
      <c r="P13" s="14">
        <v>0.13</v>
      </c>
      <c r="Q13" s="14">
        <v>0.19</v>
      </c>
      <c r="R13" s="14">
        <v>0.2</v>
      </c>
      <c r="S13" s="14">
        <v>0.13</v>
      </c>
      <c r="T13" s="14">
        <v>0.18</v>
      </c>
      <c r="U13" s="14">
        <v>0.21</v>
      </c>
      <c r="V13" s="14">
        <v>0.13</v>
      </c>
      <c r="W13" s="14">
        <v>0.27</v>
      </c>
      <c r="X13" s="14">
        <v>0.33</v>
      </c>
      <c r="Y13" s="14">
        <v>0.26</v>
      </c>
      <c r="Z13" s="14">
        <v>0.08</v>
      </c>
      <c r="AA13" s="14">
        <v>0.11</v>
      </c>
      <c r="AB13" s="14">
        <v>0.15</v>
      </c>
      <c r="AC13" s="14">
        <v>0.1</v>
      </c>
      <c r="AD13" s="14">
        <v>0.22</v>
      </c>
      <c r="AE13" s="14">
        <v>0.23</v>
      </c>
      <c r="AF13" s="14">
        <v>0.31</v>
      </c>
    </row>
    <row r="14" spans="1:32">
      <c r="A14" s="20"/>
      <c r="B14" s="11" t="s">
        <v>1759</v>
      </c>
      <c r="C14" s="12">
        <v>12953</v>
      </c>
      <c r="D14" s="12">
        <v>491</v>
      </c>
      <c r="E14" s="12">
        <v>587</v>
      </c>
      <c r="F14" s="12">
        <v>559</v>
      </c>
      <c r="G14" s="12">
        <v>461</v>
      </c>
      <c r="H14" s="12">
        <v>684</v>
      </c>
      <c r="I14" s="12">
        <v>847</v>
      </c>
      <c r="J14" s="12">
        <v>162</v>
      </c>
      <c r="K14" s="12">
        <v>479</v>
      </c>
      <c r="L14" s="12">
        <v>455</v>
      </c>
      <c r="M14" s="12">
        <v>495</v>
      </c>
      <c r="N14" s="12">
        <v>393</v>
      </c>
      <c r="O14" s="12">
        <v>357</v>
      </c>
      <c r="P14" s="12">
        <v>557</v>
      </c>
      <c r="Q14" s="12">
        <v>519</v>
      </c>
      <c r="R14" s="12">
        <v>212</v>
      </c>
      <c r="S14" s="12">
        <v>517</v>
      </c>
      <c r="T14" s="12">
        <v>621</v>
      </c>
      <c r="U14" s="12">
        <v>227</v>
      </c>
      <c r="V14" s="12">
        <v>597</v>
      </c>
      <c r="W14" s="12">
        <v>242</v>
      </c>
      <c r="X14" s="12">
        <v>431</v>
      </c>
      <c r="Y14" s="12">
        <v>478</v>
      </c>
      <c r="Z14" s="12">
        <v>649</v>
      </c>
      <c r="AA14" s="12">
        <v>443</v>
      </c>
      <c r="AB14" s="12">
        <v>587</v>
      </c>
      <c r="AC14" s="12">
        <v>594</v>
      </c>
      <c r="AD14" s="12">
        <v>570</v>
      </c>
      <c r="AE14" s="12">
        <v>520</v>
      </c>
      <c r="AF14" s="12">
        <v>464</v>
      </c>
    </row>
    <row r="15" spans="1:32">
      <c r="A15" s="20"/>
      <c r="B15" s="13" t="s">
        <v>1759</v>
      </c>
      <c r="C15" s="14">
        <v>0.49</v>
      </c>
      <c r="D15" s="14">
        <v>0.49</v>
      </c>
      <c r="E15" s="14">
        <v>0.57999999999999996</v>
      </c>
      <c r="F15" s="14">
        <v>0.56000000000000005</v>
      </c>
      <c r="G15" s="14">
        <v>0.46</v>
      </c>
      <c r="H15" s="14">
        <v>0.56000000000000005</v>
      </c>
      <c r="I15" s="14">
        <v>0.56000000000000005</v>
      </c>
      <c r="J15" s="14">
        <v>0.55000000000000004</v>
      </c>
      <c r="K15" s="14">
        <v>0.48</v>
      </c>
      <c r="L15" s="14">
        <v>0.45</v>
      </c>
      <c r="M15" s="14">
        <v>0.49</v>
      </c>
      <c r="N15" s="14">
        <v>0.39</v>
      </c>
      <c r="O15" s="14">
        <v>0.36</v>
      </c>
      <c r="P15" s="14">
        <v>0.54</v>
      </c>
      <c r="Q15" s="14">
        <v>0.51</v>
      </c>
      <c r="R15" s="14">
        <v>0.42</v>
      </c>
      <c r="S15" s="14">
        <v>0.51</v>
      </c>
      <c r="T15" s="14">
        <v>0.61</v>
      </c>
      <c r="U15" s="14">
        <v>0.45</v>
      </c>
      <c r="V15" s="14">
        <v>0.59</v>
      </c>
      <c r="W15" s="14">
        <v>0.48</v>
      </c>
      <c r="X15" s="14">
        <v>0.42</v>
      </c>
      <c r="Y15" s="14">
        <v>0.48</v>
      </c>
      <c r="Z15" s="14">
        <v>0.64</v>
      </c>
      <c r="AA15" s="14">
        <v>0.42</v>
      </c>
      <c r="AB15" s="14">
        <v>0.56000000000000005</v>
      </c>
      <c r="AC15" s="14">
        <v>0.59</v>
      </c>
      <c r="AD15" s="14">
        <v>0.57000000000000006</v>
      </c>
      <c r="AE15" s="14">
        <v>0.52</v>
      </c>
      <c r="AF15" s="14">
        <v>0.46</v>
      </c>
    </row>
    <row r="16" spans="1:32">
      <c r="A16" s="20"/>
      <c r="B16" s="11" t="s">
        <v>459</v>
      </c>
      <c r="C16" s="12">
        <v>4663</v>
      </c>
      <c r="D16" s="12">
        <v>198</v>
      </c>
      <c r="E16" s="12">
        <v>132</v>
      </c>
      <c r="F16" s="12">
        <v>147</v>
      </c>
      <c r="G16" s="12">
        <v>175</v>
      </c>
      <c r="H16" s="12">
        <v>189</v>
      </c>
      <c r="I16" s="12">
        <v>233</v>
      </c>
      <c r="J16" s="12">
        <v>44</v>
      </c>
      <c r="K16" s="12">
        <v>184</v>
      </c>
      <c r="L16" s="12">
        <v>198</v>
      </c>
      <c r="M16" s="12">
        <v>119</v>
      </c>
      <c r="N16" s="12">
        <v>151</v>
      </c>
      <c r="O16" s="12">
        <v>279</v>
      </c>
      <c r="P16" s="12">
        <v>193</v>
      </c>
      <c r="Q16" s="12">
        <v>160</v>
      </c>
      <c r="R16" s="12">
        <v>69</v>
      </c>
      <c r="S16" s="12">
        <v>165</v>
      </c>
      <c r="T16" s="12">
        <v>110</v>
      </c>
      <c r="U16" s="12">
        <v>105</v>
      </c>
      <c r="V16" s="12">
        <v>178</v>
      </c>
      <c r="W16" s="12">
        <v>95</v>
      </c>
      <c r="X16" s="12">
        <v>197</v>
      </c>
      <c r="Y16" s="12">
        <v>161</v>
      </c>
      <c r="Z16" s="12">
        <v>145</v>
      </c>
      <c r="AA16" s="12">
        <v>182</v>
      </c>
      <c r="AB16" s="12">
        <v>197</v>
      </c>
      <c r="AC16" s="12">
        <v>153</v>
      </c>
      <c r="AD16" s="12">
        <v>139</v>
      </c>
      <c r="AE16" s="12">
        <v>158</v>
      </c>
      <c r="AF16" s="12">
        <v>198</v>
      </c>
    </row>
    <row r="17" spans="1:32">
      <c r="A17" s="20"/>
      <c r="B17" s="13" t="s">
        <v>459</v>
      </c>
      <c r="C17" s="14">
        <v>0.18</v>
      </c>
      <c r="D17" s="14">
        <v>0.2</v>
      </c>
      <c r="E17" s="14">
        <v>0.13</v>
      </c>
      <c r="F17" s="14">
        <v>0.15</v>
      </c>
      <c r="G17" s="14">
        <v>0.17</v>
      </c>
      <c r="H17" s="14">
        <v>0.16</v>
      </c>
      <c r="I17" s="14">
        <v>0.15</v>
      </c>
      <c r="J17" s="14">
        <v>0.15</v>
      </c>
      <c r="K17" s="14">
        <v>0.18</v>
      </c>
      <c r="L17" s="14">
        <v>0.2</v>
      </c>
      <c r="M17" s="14">
        <v>0.12</v>
      </c>
      <c r="N17" s="14">
        <v>0.15</v>
      </c>
      <c r="O17" s="14">
        <v>0.28000000000000003</v>
      </c>
      <c r="P17" s="14">
        <v>0.19</v>
      </c>
      <c r="Q17" s="14">
        <v>0.16</v>
      </c>
      <c r="R17" s="14">
        <v>0.14000000000000001</v>
      </c>
      <c r="S17" s="14">
        <v>0.16</v>
      </c>
      <c r="T17" s="14">
        <v>0.11</v>
      </c>
      <c r="U17" s="14">
        <v>0.2</v>
      </c>
      <c r="V17" s="14">
        <v>0.18</v>
      </c>
      <c r="W17" s="14">
        <v>0.19</v>
      </c>
      <c r="X17" s="14">
        <v>0.19</v>
      </c>
      <c r="Y17" s="14">
        <v>0.16</v>
      </c>
      <c r="Z17" s="14">
        <v>0.14000000000000001</v>
      </c>
      <c r="AA17" s="14">
        <v>0.17</v>
      </c>
      <c r="AB17" s="14">
        <v>0.19</v>
      </c>
      <c r="AC17" s="14">
        <v>0.15</v>
      </c>
      <c r="AD17" s="14">
        <v>0.14000000000000001</v>
      </c>
      <c r="AE17" s="14">
        <v>0.16</v>
      </c>
      <c r="AF17" s="14">
        <v>0.19</v>
      </c>
    </row>
    <row r="18" spans="1:32">
      <c r="A18" s="20"/>
      <c r="B18" s="11" t="s">
        <v>1760</v>
      </c>
      <c r="C18" s="12">
        <v>3953</v>
      </c>
      <c r="D18" s="12">
        <v>159</v>
      </c>
      <c r="E18" s="12">
        <v>88</v>
      </c>
      <c r="F18" s="12">
        <v>207</v>
      </c>
      <c r="G18" s="12">
        <v>75</v>
      </c>
      <c r="H18" s="12">
        <v>49</v>
      </c>
      <c r="I18" s="12">
        <v>60</v>
      </c>
      <c r="J18" s="12">
        <v>11</v>
      </c>
      <c r="K18" s="12">
        <v>152</v>
      </c>
      <c r="L18" s="12">
        <v>169</v>
      </c>
      <c r="M18" s="12">
        <v>116</v>
      </c>
      <c r="N18" s="12">
        <v>317</v>
      </c>
      <c r="O18" s="12">
        <v>252</v>
      </c>
      <c r="P18" s="12">
        <v>141</v>
      </c>
      <c r="Q18" s="12">
        <v>141</v>
      </c>
      <c r="R18" s="12">
        <v>120</v>
      </c>
      <c r="S18" s="12">
        <v>200</v>
      </c>
      <c r="T18" s="12">
        <v>106</v>
      </c>
      <c r="U18" s="12">
        <v>71</v>
      </c>
      <c r="V18" s="12">
        <v>104</v>
      </c>
      <c r="W18" s="12">
        <v>29</v>
      </c>
      <c r="X18" s="12">
        <v>56</v>
      </c>
      <c r="Y18" s="12">
        <v>103</v>
      </c>
      <c r="Z18" s="12">
        <v>135</v>
      </c>
      <c r="AA18" s="12">
        <v>315</v>
      </c>
      <c r="AB18" s="12">
        <v>101</v>
      </c>
      <c r="AC18" s="12">
        <v>163</v>
      </c>
      <c r="AD18" s="12">
        <v>77</v>
      </c>
      <c r="AE18" s="12">
        <v>91</v>
      </c>
      <c r="AF18" s="12">
        <v>45</v>
      </c>
    </row>
    <row r="19" spans="1:32">
      <c r="A19" s="20"/>
      <c r="B19" s="13" t="s">
        <v>1760</v>
      </c>
      <c r="C19" s="14">
        <v>0.15</v>
      </c>
      <c r="D19" s="14">
        <v>0.16</v>
      </c>
      <c r="E19" s="14">
        <v>0.08</v>
      </c>
      <c r="F19" s="14">
        <v>0.2</v>
      </c>
      <c r="G19" s="14">
        <v>0.08</v>
      </c>
      <c r="H19" s="14">
        <v>0.04</v>
      </c>
      <c r="I19" s="14">
        <v>0.04</v>
      </c>
      <c r="J19" s="14">
        <v>0.04</v>
      </c>
      <c r="K19" s="14">
        <v>0.15</v>
      </c>
      <c r="L19" s="14">
        <v>0.17</v>
      </c>
      <c r="M19" s="14">
        <v>0.12</v>
      </c>
      <c r="N19" s="14">
        <v>0.32</v>
      </c>
      <c r="O19" s="14">
        <v>0.25</v>
      </c>
      <c r="P19" s="14">
        <v>0.14000000000000001</v>
      </c>
      <c r="Q19" s="14">
        <v>0.14000000000000001</v>
      </c>
      <c r="R19" s="14">
        <v>0.24</v>
      </c>
      <c r="S19" s="14">
        <v>0.2</v>
      </c>
      <c r="T19" s="14">
        <v>0.1</v>
      </c>
      <c r="U19" s="14">
        <v>0.14000000000000001</v>
      </c>
      <c r="V19" s="14">
        <v>0.1</v>
      </c>
      <c r="W19" s="14">
        <v>0.06</v>
      </c>
      <c r="X19" s="14">
        <v>0.06</v>
      </c>
      <c r="Y19" s="14">
        <v>0.1</v>
      </c>
      <c r="Z19" s="14">
        <v>0.14000000000000001</v>
      </c>
      <c r="AA19" s="14">
        <v>0.3</v>
      </c>
      <c r="AB19" s="14">
        <v>0.1</v>
      </c>
      <c r="AC19" s="14">
        <v>0.16</v>
      </c>
      <c r="AD19" s="14">
        <v>7.0000000000000007E-2</v>
      </c>
      <c r="AE19" s="14">
        <v>0.09</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F29"/>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411</v>
      </c>
      <c r="C3" s="18"/>
      <c r="D3" s="18"/>
      <c r="E3" s="18"/>
      <c r="F3" s="18"/>
      <c r="H3" s="18" t="s">
        <v>412</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HYPERLINK("#Content!A207","&lt;&lt;Back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1761</v>
      </c>
      <c r="C12" s="12">
        <v>1426</v>
      </c>
      <c r="D12" s="12">
        <v>38</v>
      </c>
      <c r="E12" s="12">
        <v>116</v>
      </c>
      <c r="F12" s="12">
        <v>18</v>
      </c>
      <c r="G12" s="12">
        <v>184</v>
      </c>
      <c r="H12" s="12">
        <v>69</v>
      </c>
      <c r="I12" s="12">
        <v>83</v>
      </c>
      <c r="J12" s="12">
        <v>14</v>
      </c>
      <c r="K12" s="12">
        <v>56</v>
      </c>
      <c r="L12" s="12">
        <v>195</v>
      </c>
      <c r="M12" s="12">
        <v>37</v>
      </c>
      <c r="N12" s="12">
        <v>33</v>
      </c>
      <c r="O12" s="12">
        <v>28</v>
      </c>
      <c r="P12" s="12">
        <v>62</v>
      </c>
      <c r="Q12" s="12">
        <v>41</v>
      </c>
      <c r="R12" s="12">
        <v>25</v>
      </c>
      <c r="S12" s="12">
        <v>38</v>
      </c>
      <c r="T12" s="12">
        <v>75</v>
      </c>
      <c r="U12" s="12">
        <v>64</v>
      </c>
      <c r="V12" s="12">
        <v>32</v>
      </c>
      <c r="W12" s="12">
        <v>81</v>
      </c>
      <c r="X12" s="12">
        <v>91</v>
      </c>
      <c r="Y12" s="12">
        <v>84</v>
      </c>
      <c r="Z12" s="12">
        <v>74</v>
      </c>
      <c r="AA12" s="12">
        <v>53</v>
      </c>
      <c r="AB12" s="12">
        <v>54</v>
      </c>
      <c r="AC12" s="12">
        <v>54</v>
      </c>
      <c r="AD12" s="12">
        <v>60</v>
      </c>
      <c r="AE12" s="12">
        <v>87</v>
      </c>
      <c r="AF12" s="12">
        <v>138</v>
      </c>
    </row>
    <row r="13" spans="1:32">
      <c r="A13" s="20"/>
      <c r="B13" s="13" t="s">
        <v>1762</v>
      </c>
      <c r="C13" s="14">
        <v>0.05</v>
      </c>
      <c r="D13" s="14">
        <v>0.04</v>
      </c>
      <c r="E13" s="14">
        <v>0.11</v>
      </c>
      <c r="F13" s="14">
        <v>0.02</v>
      </c>
      <c r="G13" s="14">
        <v>0.18</v>
      </c>
      <c r="H13" s="14">
        <v>0.06</v>
      </c>
      <c r="I13" s="14">
        <v>0.05</v>
      </c>
      <c r="J13" s="14">
        <v>0.05</v>
      </c>
      <c r="K13" s="14">
        <v>0.06</v>
      </c>
      <c r="L13" s="14">
        <v>0.19</v>
      </c>
      <c r="M13" s="14">
        <v>0.04</v>
      </c>
      <c r="N13" s="14">
        <v>0.03</v>
      </c>
      <c r="O13" s="14">
        <v>0.03</v>
      </c>
      <c r="P13" s="14">
        <v>0.06</v>
      </c>
      <c r="Q13" s="14">
        <v>0.04</v>
      </c>
      <c r="R13" s="14">
        <v>0.05</v>
      </c>
      <c r="S13" s="14">
        <v>0.04</v>
      </c>
      <c r="T13" s="14">
        <v>7.0000000000000007E-2</v>
      </c>
      <c r="U13" s="14">
        <v>0.13</v>
      </c>
      <c r="V13" s="14">
        <v>0.03</v>
      </c>
      <c r="W13" s="14">
        <v>0.16</v>
      </c>
      <c r="X13" s="14">
        <v>0.09</v>
      </c>
      <c r="Y13" s="14">
        <v>0.08</v>
      </c>
      <c r="Z13" s="14">
        <v>7.0000000000000007E-2</v>
      </c>
      <c r="AA13" s="14">
        <v>0.05</v>
      </c>
      <c r="AB13" s="14">
        <v>0.05</v>
      </c>
      <c r="AC13" s="14">
        <v>0.05</v>
      </c>
      <c r="AD13" s="14">
        <v>0.06</v>
      </c>
      <c r="AE13" s="14">
        <v>0.09</v>
      </c>
      <c r="AF13" s="14">
        <v>0.13</v>
      </c>
    </row>
    <row r="14" spans="1:32">
      <c r="A14" s="20"/>
      <c r="B14" s="11" t="s">
        <v>1763</v>
      </c>
      <c r="C14" s="12">
        <v>10580</v>
      </c>
      <c r="D14" s="12">
        <v>399</v>
      </c>
      <c r="E14" s="12">
        <v>438</v>
      </c>
      <c r="F14" s="12">
        <v>268</v>
      </c>
      <c r="G14" s="12">
        <v>467</v>
      </c>
      <c r="H14" s="12">
        <v>525</v>
      </c>
      <c r="I14" s="12">
        <v>612</v>
      </c>
      <c r="J14" s="12">
        <v>87</v>
      </c>
      <c r="K14" s="12">
        <v>429</v>
      </c>
      <c r="L14" s="12">
        <v>497</v>
      </c>
      <c r="M14" s="12">
        <v>320</v>
      </c>
      <c r="N14" s="12">
        <v>383</v>
      </c>
      <c r="O14" s="12">
        <v>313</v>
      </c>
      <c r="P14" s="12">
        <v>433</v>
      </c>
      <c r="Q14" s="12">
        <v>450</v>
      </c>
      <c r="R14" s="12">
        <v>188</v>
      </c>
      <c r="S14" s="12">
        <v>370</v>
      </c>
      <c r="T14" s="12">
        <v>486</v>
      </c>
      <c r="U14" s="12">
        <v>231</v>
      </c>
      <c r="V14" s="12">
        <v>366</v>
      </c>
      <c r="W14" s="12">
        <v>198</v>
      </c>
      <c r="X14" s="12">
        <v>465</v>
      </c>
      <c r="Y14" s="12">
        <v>318</v>
      </c>
      <c r="Z14" s="12">
        <v>455</v>
      </c>
      <c r="AA14" s="12">
        <v>679</v>
      </c>
      <c r="AB14" s="12">
        <v>441</v>
      </c>
      <c r="AC14" s="12">
        <v>366</v>
      </c>
      <c r="AD14" s="12">
        <v>386</v>
      </c>
      <c r="AE14" s="12">
        <v>440</v>
      </c>
      <c r="AF14" s="12">
        <v>486</v>
      </c>
    </row>
    <row r="15" spans="1:32">
      <c r="A15" s="20"/>
      <c r="B15" s="13" t="s">
        <v>1764</v>
      </c>
      <c r="C15" s="14">
        <v>0.4</v>
      </c>
      <c r="D15" s="14">
        <v>0.4</v>
      </c>
      <c r="E15" s="14">
        <v>0.43</v>
      </c>
      <c r="F15" s="14">
        <v>0.27</v>
      </c>
      <c r="G15" s="14">
        <v>0.47</v>
      </c>
      <c r="H15" s="14">
        <v>0.43</v>
      </c>
      <c r="I15" s="14">
        <v>0.41</v>
      </c>
      <c r="J15" s="14">
        <v>0.3</v>
      </c>
      <c r="K15" s="14">
        <v>0.43</v>
      </c>
      <c r="L15" s="14">
        <v>0.49</v>
      </c>
      <c r="M15" s="14">
        <v>0.32</v>
      </c>
      <c r="N15" s="14">
        <v>0.38</v>
      </c>
      <c r="O15" s="14">
        <v>0.31</v>
      </c>
      <c r="P15" s="14">
        <v>0.42</v>
      </c>
      <c r="Q15" s="14">
        <v>0.44</v>
      </c>
      <c r="R15" s="14">
        <v>0.38</v>
      </c>
      <c r="S15" s="14">
        <v>0.37</v>
      </c>
      <c r="T15" s="14">
        <v>0.48</v>
      </c>
      <c r="U15" s="14">
        <v>0.46</v>
      </c>
      <c r="V15" s="14">
        <v>0.36</v>
      </c>
      <c r="W15" s="14">
        <v>0.39</v>
      </c>
      <c r="X15" s="14">
        <v>0.45</v>
      </c>
      <c r="Y15" s="14">
        <v>0.32</v>
      </c>
      <c r="Z15" s="14">
        <v>0.45</v>
      </c>
      <c r="AA15" s="14">
        <v>0.65</v>
      </c>
      <c r="AB15" s="14">
        <v>0.43</v>
      </c>
      <c r="AC15" s="14">
        <v>0.36</v>
      </c>
      <c r="AD15" s="14">
        <v>0.38</v>
      </c>
      <c r="AE15" s="14">
        <v>0.44</v>
      </c>
      <c r="AF15" s="14">
        <v>0.48</v>
      </c>
    </row>
    <row r="16" spans="1:32">
      <c r="A16" s="20"/>
      <c r="B16" s="11" t="s">
        <v>1765</v>
      </c>
      <c r="C16" s="12">
        <v>10305</v>
      </c>
      <c r="D16" s="12">
        <v>385</v>
      </c>
      <c r="E16" s="12">
        <v>292</v>
      </c>
      <c r="F16" s="12">
        <v>447</v>
      </c>
      <c r="G16" s="12">
        <v>274</v>
      </c>
      <c r="H16" s="12">
        <v>486</v>
      </c>
      <c r="I16" s="12">
        <v>613</v>
      </c>
      <c r="J16" s="12">
        <v>127</v>
      </c>
      <c r="K16" s="12">
        <v>377</v>
      </c>
      <c r="L16" s="12">
        <v>226</v>
      </c>
      <c r="M16" s="12">
        <v>383</v>
      </c>
      <c r="N16" s="12">
        <v>466</v>
      </c>
      <c r="O16" s="12">
        <v>403</v>
      </c>
      <c r="P16" s="12">
        <v>389</v>
      </c>
      <c r="Q16" s="12">
        <v>404</v>
      </c>
      <c r="R16" s="12">
        <v>223</v>
      </c>
      <c r="S16" s="12">
        <v>486</v>
      </c>
      <c r="T16" s="12">
        <v>366</v>
      </c>
      <c r="U16" s="12">
        <v>133</v>
      </c>
      <c r="V16" s="12">
        <v>484</v>
      </c>
      <c r="W16" s="12">
        <v>171</v>
      </c>
      <c r="X16" s="12">
        <v>308</v>
      </c>
      <c r="Y16" s="12">
        <v>359</v>
      </c>
      <c r="Z16" s="12">
        <v>412</v>
      </c>
      <c r="AA16" s="12">
        <v>256</v>
      </c>
      <c r="AB16" s="12">
        <v>393</v>
      </c>
      <c r="AC16" s="12">
        <v>429</v>
      </c>
      <c r="AD16" s="12">
        <v>355</v>
      </c>
      <c r="AE16" s="12">
        <v>349</v>
      </c>
      <c r="AF16" s="12">
        <v>282</v>
      </c>
    </row>
    <row r="17" spans="1:32">
      <c r="A17" s="20"/>
      <c r="B17" s="13" t="s">
        <v>1766</v>
      </c>
      <c r="C17" s="14">
        <v>0.39</v>
      </c>
      <c r="D17" s="14">
        <v>0.38</v>
      </c>
      <c r="E17" s="14">
        <v>0.28999999999999998</v>
      </c>
      <c r="F17" s="14">
        <v>0.44</v>
      </c>
      <c r="G17" s="14">
        <v>0.27</v>
      </c>
      <c r="H17" s="14">
        <v>0.4</v>
      </c>
      <c r="I17" s="14">
        <v>0.41</v>
      </c>
      <c r="J17" s="14">
        <v>0.43</v>
      </c>
      <c r="K17" s="14">
        <v>0.37</v>
      </c>
      <c r="L17" s="14">
        <v>0.23</v>
      </c>
      <c r="M17" s="14">
        <v>0.38</v>
      </c>
      <c r="N17" s="14">
        <v>0.46</v>
      </c>
      <c r="O17" s="14">
        <v>0.4</v>
      </c>
      <c r="P17" s="14">
        <v>0.38</v>
      </c>
      <c r="Q17" s="14">
        <v>0.4</v>
      </c>
      <c r="R17" s="14">
        <v>0.44</v>
      </c>
      <c r="S17" s="14">
        <v>0.48</v>
      </c>
      <c r="T17" s="14">
        <v>0.36</v>
      </c>
      <c r="U17" s="14">
        <v>0.26</v>
      </c>
      <c r="V17" s="14">
        <v>0.48</v>
      </c>
      <c r="W17" s="14">
        <v>0.34</v>
      </c>
      <c r="X17" s="14">
        <v>0.3</v>
      </c>
      <c r="Y17" s="14">
        <v>0.36</v>
      </c>
      <c r="Z17" s="14">
        <v>0.41</v>
      </c>
      <c r="AA17" s="14">
        <v>0.24</v>
      </c>
      <c r="AB17" s="14">
        <v>0.38</v>
      </c>
      <c r="AC17" s="14">
        <v>0.42</v>
      </c>
      <c r="AD17" s="14">
        <v>0.35</v>
      </c>
      <c r="AE17" s="14">
        <v>0.35</v>
      </c>
      <c r="AF17" s="14">
        <v>0.28000000000000003</v>
      </c>
    </row>
    <row r="18" spans="1:32">
      <c r="A18" s="20"/>
      <c r="B18" s="11" t="s">
        <v>1767</v>
      </c>
      <c r="C18" s="12">
        <v>3032</v>
      </c>
      <c r="D18" s="12">
        <v>138</v>
      </c>
      <c r="E18" s="12">
        <v>127</v>
      </c>
      <c r="F18" s="12">
        <v>203</v>
      </c>
      <c r="G18" s="12">
        <v>49</v>
      </c>
      <c r="H18" s="12">
        <v>104</v>
      </c>
      <c r="I18" s="12">
        <v>150</v>
      </c>
      <c r="J18" s="12">
        <v>46</v>
      </c>
      <c r="K18" s="12">
        <v>97</v>
      </c>
      <c r="L18" s="12">
        <v>50</v>
      </c>
      <c r="M18" s="12">
        <v>202</v>
      </c>
      <c r="N18" s="12">
        <v>87</v>
      </c>
      <c r="O18" s="12">
        <v>200</v>
      </c>
      <c r="P18" s="12">
        <v>121</v>
      </c>
      <c r="Q18" s="12">
        <v>103</v>
      </c>
      <c r="R18" s="12">
        <v>42</v>
      </c>
      <c r="S18" s="12">
        <v>86</v>
      </c>
      <c r="T18" s="12">
        <v>66</v>
      </c>
      <c r="U18" s="12">
        <v>52</v>
      </c>
      <c r="V18" s="12">
        <v>114</v>
      </c>
      <c r="W18" s="12">
        <v>48</v>
      </c>
      <c r="X18" s="12">
        <v>131</v>
      </c>
      <c r="Y18" s="12">
        <v>162</v>
      </c>
      <c r="Z18" s="12">
        <v>54</v>
      </c>
      <c r="AA18" s="12">
        <v>53</v>
      </c>
      <c r="AB18" s="12">
        <v>93</v>
      </c>
      <c r="AC18" s="12">
        <v>126</v>
      </c>
      <c r="AD18" s="12">
        <v>147</v>
      </c>
      <c r="AE18" s="12">
        <v>93</v>
      </c>
      <c r="AF18" s="12">
        <v>77</v>
      </c>
    </row>
    <row r="19" spans="1:32">
      <c r="A19" s="20"/>
      <c r="B19" s="13" t="s">
        <v>1768</v>
      </c>
      <c r="C19" s="14">
        <v>0.12</v>
      </c>
      <c r="D19" s="14">
        <v>0.14000000000000001</v>
      </c>
      <c r="E19" s="14">
        <v>0.12</v>
      </c>
      <c r="F19" s="14">
        <v>0.2</v>
      </c>
      <c r="G19" s="14">
        <v>0.05</v>
      </c>
      <c r="H19" s="14">
        <v>0.09</v>
      </c>
      <c r="I19" s="14">
        <v>0.1</v>
      </c>
      <c r="J19" s="14">
        <v>0.15</v>
      </c>
      <c r="K19" s="14">
        <v>0.1</v>
      </c>
      <c r="L19" s="14">
        <v>0.05</v>
      </c>
      <c r="M19" s="14">
        <v>0.2</v>
      </c>
      <c r="N19" s="14">
        <v>0.09</v>
      </c>
      <c r="O19" s="14">
        <v>0.2</v>
      </c>
      <c r="P19" s="14">
        <v>0.12</v>
      </c>
      <c r="Q19" s="14">
        <v>0.1</v>
      </c>
      <c r="R19" s="14">
        <v>0.08</v>
      </c>
      <c r="S19" s="14">
        <v>0.08</v>
      </c>
      <c r="T19" s="14">
        <v>7.0000000000000007E-2</v>
      </c>
      <c r="U19" s="14">
        <v>0.1</v>
      </c>
      <c r="V19" s="14">
        <v>0.11</v>
      </c>
      <c r="W19" s="14">
        <v>0.1</v>
      </c>
      <c r="X19" s="14">
        <v>0.13</v>
      </c>
      <c r="Y19" s="14">
        <v>0.16</v>
      </c>
      <c r="Z19" s="14">
        <v>0.06</v>
      </c>
      <c r="AA19" s="14">
        <v>0.05</v>
      </c>
      <c r="AB19" s="14">
        <v>0.09</v>
      </c>
      <c r="AC19" s="14">
        <v>0.13</v>
      </c>
      <c r="AD19" s="14">
        <v>0.15</v>
      </c>
      <c r="AE19" s="14">
        <v>0.09</v>
      </c>
      <c r="AF19" s="14">
        <v>0.08</v>
      </c>
    </row>
    <row r="20" spans="1:32">
      <c r="A20" s="20"/>
      <c r="B20" s="11" t="s">
        <v>1769</v>
      </c>
      <c r="C20" s="12">
        <v>837</v>
      </c>
      <c r="D20" s="12">
        <v>36</v>
      </c>
      <c r="E20" s="12">
        <v>37</v>
      </c>
      <c r="F20" s="12">
        <v>63</v>
      </c>
      <c r="G20" s="12">
        <v>24</v>
      </c>
      <c r="H20" s="12">
        <v>29</v>
      </c>
      <c r="I20" s="12">
        <v>47</v>
      </c>
      <c r="J20" s="12">
        <v>18</v>
      </c>
      <c r="K20" s="12">
        <v>42</v>
      </c>
      <c r="L20" s="12">
        <v>23</v>
      </c>
      <c r="M20" s="12">
        <v>54</v>
      </c>
      <c r="N20" s="12">
        <v>29</v>
      </c>
      <c r="O20" s="12">
        <v>50</v>
      </c>
      <c r="P20" s="12">
        <v>14</v>
      </c>
      <c r="Q20" s="12">
        <v>19</v>
      </c>
      <c r="R20" s="12">
        <v>19</v>
      </c>
      <c r="S20" s="12">
        <v>17</v>
      </c>
      <c r="T20" s="12">
        <v>13</v>
      </c>
      <c r="U20" s="12">
        <v>21</v>
      </c>
      <c r="V20" s="12">
        <v>19</v>
      </c>
      <c r="W20" s="12">
        <v>3</v>
      </c>
      <c r="X20" s="12">
        <v>27</v>
      </c>
      <c r="Y20" s="12">
        <v>83</v>
      </c>
      <c r="Z20" s="12">
        <v>13</v>
      </c>
      <c r="AA20" s="12">
        <v>8</v>
      </c>
      <c r="AB20" s="12">
        <v>35</v>
      </c>
      <c r="AC20" s="12">
        <v>27</v>
      </c>
      <c r="AD20" s="12">
        <v>55</v>
      </c>
      <c r="AE20" s="12">
        <v>23</v>
      </c>
      <c r="AF20" s="12">
        <v>34</v>
      </c>
    </row>
    <row r="21" spans="1:32">
      <c r="A21" s="20"/>
      <c r="B21" s="13" t="s">
        <v>1770</v>
      </c>
      <c r="C21" s="14">
        <v>0.03</v>
      </c>
      <c r="D21" s="14">
        <v>0.03</v>
      </c>
      <c r="E21" s="14">
        <v>0.04</v>
      </c>
      <c r="F21" s="14">
        <v>0.06</v>
      </c>
      <c r="G21" s="14">
        <v>0.02</v>
      </c>
      <c r="H21" s="14">
        <v>0.02</v>
      </c>
      <c r="I21" s="14">
        <v>0.03</v>
      </c>
      <c r="J21" s="14">
        <v>0.06</v>
      </c>
      <c r="K21" s="14">
        <v>0.04</v>
      </c>
      <c r="L21" s="14">
        <v>0.02</v>
      </c>
      <c r="M21" s="14">
        <v>0.05</v>
      </c>
      <c r="N21" s="14">
        <v>0.03</v>
      </c>
      <c r="O21" s="14">
        <v>0.05</v>
      </c>
      <c r="P21" s="14">
        <v>0.02</v>
      </c>
      <c r="Q21" s="14">
        <v>0.02</v>
      </c>
      <c r="R21" s="14">
        <v>0.04</v>
      </c>
      <c r="S21" s="14">
        <v>0.02</v>
      </c>
      <c r="T21" s="14">
        <v>0.01</v>
      </c>
      <c r="U21" s="14">
        <v>0.04</v>
      </c>
      <c r="V21" s="14">
        <v>0.02</v>
      </c>
      <c r="W21" s="14">
        <v>0.01</v>
      </c>
      <c r="X21" s="14">
        <v>0.03</v>
      </c>
      <c r="Y21" s="14">
        <v>0.08</v>
      </c>
      <c r="Z21" s="14">
        <v>0.01</v>
      </c>
      <c r="AA21" s="14">
        <v>0.01</v>
      </c>
      <c r="AB21" s="14">
        <v>0.03</v>
      </c>
      <c r="AC21" s="14">
        <v>0.03</v>
      </c>
      <c r="AD21" s="14">
        <v>0.06</v>
      </c>
      <c r="AE21" s="14">
        <v>0.02</v>
      </c>
      <c r="AF21" s="14">
        <v>0.03</v>
      </c>
    </row>
    <row r="22" spans="1:32">
      <c r="A22" s="20"/>
      <c r="B22" s="11" t="s">
        <v>468</v>
      </c>
      <c r="C22" s="12">
        <v>139</v>
      </c>
      <c r="D22" s="12">
        <v>7</v>
      </c>
      <c r="E22" s="12">
        <v>8</v>
      </c>
      <c r="F22" s="12">
        <v>5</v>
      </c>
      <c r="G22" s="12">
        <v>7</v>
      </c>
      <c r="H22" s="12">
        <v>3</v>
      </c>
      <c r="I22" s="12">
        <v>6</v>
      </c>
      <c r="J22" s="12">
        <v>3</v>
      </c>
      <c r="K22" s="12">
        <v>5</v>
      </c>
      <c r="L22" s="12">
        <v>15</v>
      </c>
      <c r="M22" s="12">
        <v>6</v>
      </c>
      <c r="N22" s="12">
        <v>7</v>
      </c>
      <c r="O22" s="12">
        <v>8</v>
      </c>
      <c r="P22" s="12">
        <v>3</v>
      </c>
      <c r="Q22" s="12">
        <v>2</v>
      </c>
      <c r="R22" s="12">
        <v>3</v>
      </c>
      <c r="S22" s="12">
        <v>11</v>
      </c>
      <c r="T22" s="12">
        <v>8</v>
      </c>
      <c r="U22" s="12">
        <v>5</v>
      </c>
      <c r="V22" s="12">
        <v>1</v>
      </c>
      <c r="W22" s="12">
        <v>2</v>
      </c>
      <c r="X22" s="12">
        <v>0</v>
      </c>
      <c r="Y22" s="12">
        <v>2</v>
      </c>
      <c r="Z22" s="12">
        <v>0</v>
      </c>
      <c r="AA22" s="12">
        <v>5</v>
      </c>
      <c r="AB22" s="12">
        <v>22</v>
      </c>
      <c r="AC22" s="12">
        <v>8</v>
      </c>
      <c r="AD22" s="12">
        <v>3</v>
      </c>
      <c r="AE22" s="12">
        <v>9</v>
      </c>
      <c r="AF22" s="12">
        <v>3</v>
      </c>
    </row>
    <row r="23" spans="1:32">
      <c r="A23" s="20"/>
      <c r="B23" s="13" t="s">
        <v>469</v>
      </c>
      <c r="C23" s="14">
        <v>0.01</v>
      </c>
      <c r="D23" s="14">
        <v>0.01</v>
      </c>
      <c r="E23" s="14">
        <v>0.01</v>
      </c>
      <c r="F23" s="14">
        <v>0.01</v>
      </c>
      <c r="G23" s="14">
        <v>0.01</v>
      </c>
      <c r="H23" s="15" t="s">
        <v>459</v>
      </c>
      <c r="I23" s="15" t="s">
        <v>459</v>
      </c>
      <c r="J23" s="14">
        <v>0.01</v>
      </c>
      <c r="K23" s="15" t="s">
        <v>459</v>
      </c>
      <c r="L23" s="14">
        <v>0.02</v>
      </c>
      <c r="M23" s="14">
        <v>0.01</v>
      </c>
      <c r="N23" s="14">
        <v>0.01</v>
      </c>
      <c r="O23" s="14">
        <v>0.01</v>
      </c>
      <c r="P23" s="15" t="s">
        <v>459</v>
      </c>
      <c r="Q23" s="15" t="s">
        <v>459</v>
      </c>
      <c r="R23" s="14">
        <v>0.01</v>
      </c>
      <c r="S23" s="14">
        <v>0.01</v>
      </c>
      <c r="T23" s="14">
        <v>0.01</v>
      </c>
      <c r="U23" s="14">
        <v>0.01</v>
      </c>
      <c r="V23" s="15" t="s">
        <v>459</v>
      </c>
      <c r="W23" s="15" t="s">
        <v>459</v>
      </c>
      <c r="X23" s="15" t="s">
        <v>459</v>
      </c>
      <c r="Y23" s="15" t="s">
        <v>459</v>
      </c>
      <c r="Z23" s="15" t="s">
        <v>459</v>
      </c>
      <c r="AA23" s="15" t="s">
        <v>459</v>
      </c>
      <c r="AB23" s="14">
        <v>0.02</v>
      </c>
      <c r="AC23" s="14">
        <v>0.01</v>
      </c>
      <c r="AD23" s="15" t="s">
        <v>459</v>
      </c>
      <c r="AE23" s="14">
        <v>0.01</v>
      </c>
      <c r="AF23" s="15" t="s">
        <v>459</v>
      </c>
    </row>
    <row r="24" spans="1:32">
      <c r="A24" s="20"/>
      <c r="B24" s="11" t="s">
        <v>1771</v>
      </c>
      <c r="C24" s="12">
        <v>12006</v>
      </c>
      <c r="D24" s="12">
        <v>437</v>
      </c>
      <c r="E24" s="12">
        <v>554</v>
      </c>
      <c r="F24" s="12">
        <v>286</v>
      </c>
      <c r="G24" s="12">
        <v>651</v>
      </c>
      <c r="H24" s="12">
        <v>594</v>
      </c>
      <c r="I24" s="12">
        <v>695</v>
      </c>
      <c r="J24" s="12">
        <v>101</v>
      </c>
      <c r="K24" s="12">
        <v>485</v>
      </c>
      <c r="L24" s="12">
        <v>692</v>
      </c>
      <c r="M24" s="12">
        <v>357</v>
      </c>
      <c r="N24" s="12">
        <v>416</v>
      </c>
      <c r="O24" s="12">
        <v>341</v>
      </c>
      <c r="P24" s="12">
        <v>495</v>
      </c>
      <c r="Q24" s="12">
        <v>491</v>
      </c>
      <c r="R24" s="12">
        <v>213</v>
      </c>
      <c r="S24" s="12">
        <v>408</v>
      </c>
      <c r="T24" s="12">
        <v>561</v>
      </c>
      <c r="U24" s="12">
        <v>295</v>
      </c>
      <c r="V24" s="12">
        <v>398</v>
      </c>
      <c r="W24" s="12">
        <v>279</v>
      </c>
      <c r="X24" s="12">
        <v>556</v>
      </c>
      <c r="Y24" s="12">
        <v>402</v>
      </c>
      <c r="Z24" s="12">
        <v>529</v>
      </c>
      <c r="AA24" s="12">
        <v>732</v>
      </c>
      <c r="AB24" s="12">
        <v>495</v>
      </c>
      <c r="AC24" s="12">
        <v>420</v>
      </c>
      <c r="AD24" s="12">
        <v>446</v>
      </c>
      <c r="AE24" s="12">
        <v>527</v>
      </c>
      <c r="AF24" s="12">
        <v>624</v>
      </c>
    </row>
    <row r="25" spans="1:32">
      <c r="A25" s="20"/>
      <c r="B25" s="13" t="s">
        <v>1771</v>
      </c>
      <c r="C25" s="14">
        <v>0.45</v>
      </c>
      <c r="D25" s="14">
        <v>0.44</v>
      </c>
      <c r="E25" s="14">
        <v>0.54</v>
      </c>
      <c r="F25" s="14">
        <v>0.28999999999999998</v>
      </c>
      <c r="G25" s="14">
        <v>0.65</v>
      </c>
      <c r="H25" s="14">
        <v>0.49</v>
      </c>
      <c r="I25" s="14">
        <v>0.46</v>
      </c>
      <c r="J25" s="14">
        <v>0.35</v>
      </c>
      <c r="K25" s="14">
        <v>0.49</v>
      </c>
      <c r="L25" s="14">
        <v>0.68</v>
      </c>
      <c r="M25" s="14">
        <v>0.36</v>
      </c>
      <c r="N25" s="14">
        <v>0.41</v>
      </c>
      <c r="O25" s="14">
        <v>0.34</v>
      </c>
      <c r="P25" s="14">
        <v>0.48</v>
      </c>
      <c r="Q25" s="14">
        <v>0.48</v>
      </c>
      <c r="R25" s="14">
        <v>0.43</v>
      </c>
      <c r="S25" s="14">
        <v>0.41</v>
      </c>
      <c r="T25" s="14">
        <v>0.55000000000000004</v>
      </c>
      <c r="U25" s="14">
        <v>0.59</v>
      </c>
      <c r="V25" s="14">
        <v>0.39</v>
      </c>
      <c r="W25" s="14">
        <v>0.55000000000000004</v>
      </c>
      <c r="X25" s="14">
        <v>0.54</v>
      </c>
      <c r="Y25" s="14">
        <v>0.4</v>
      </c>
      <c r="Z25" s="14">
        <v>0.52</v>
      </c>
      <c r="AA25" s="14">
        <v>0.70000000000000007</v>
      </c>
      <c r="AB25" s="14">
        <v>0.48</v>
      </c>
      <c r="AC25" s="14">
        <v>0.41</v>
      </c>
      <c r="AD25" s="14">
        <v>0.44</v>
      </c>
      <c r="AE25" s="14">
        <v>0.53</v>
      </c>
      <c r="AF25" s="14">
        <v>0.61</v>
      </c>
    </row>
    <row r="26" spans="1:32">
      <c r="A26" s="20"/>
      <c r="B26" s="11" t="s">
        <v>1765</v>
      </c>
      <c r="C26" s="12">
        <v>10305</v>
      </c>
      <c r="D26" s="12">
        <v>385</v>
      </c>
      <c r="E26" s="12">
        <v>292</v>
      </c>
      <c r="F26" s="12">
        <v>447</v>
      </c>
      <c r="G26" s="12">
        <v>274</v>
      </c>
      <c r="H26" s="12">
        <v>486</v>
      </c>
      <c r="I26" s="12">
        <v>613</v>
      </c>
      <c r="J26" s="12">
        <v>127</v>
      </c>
      <c r="K26" s="12">
        <v>377</v>
      </c>
      <c r="L26" s="12">
        <v>226</v>
      </c>
      <c r="M26" s="12">
        <v>383</v>
      </c>
      <c r="N26" s="12">
        <v>466</v>
      </c>
      <c r="O26" s="12">
        <v>403</v>
      </c>
      <c r="P26" s="12">
        <v>389</v>
      </c>
      <c r="Q26" s="12">
        <v>404</v>
      </c>
      <c r="R26" s="12">
        <v>223</v>
      </c>
      <c r="S26" s="12">
        <v>486</v>
      </c>
      <c r="T26" s="12">
        <v>366</v>
      </c>
      <c r="U26" s="12">
        <v>133</v>
      </c>
      <c r="V26" s="12">
        <v>484</v>
      </c>
      <c r="W26" s="12">
        <v>171</v>
      </c>
      <c r="X26" s="12">
        <v>308</v>
      </c>
      <c r="Y26" s="12">
        <v>359</v>
      </c>
      <c r="Z26" s="12">
        <v>412</v>
      </c>
      <c r="AA26" s="12">
        <v>256</v>
      </c>
      <c r="AB26" s="12">
        <v>393</v>
      </c>
      <c r="AC26" s="12">
        <v>429</v>
      </c>
      <c r="AD26" s="12">
        <v>355</v>
      </c>
      <c r="AE26" s="12">
        <v>349</v>
      </c>
      <c r="AF26" s="12">
        <v>282</v>
      </c>
    </row>
    <row r="27" spans="1:32">
      <c r="A27" s="20"/>
      <c r="B27" s="13" t="s">
        <v>1766</v>
      </c>
      <c r="C27" s="14">
        <v>0.39</v>
      </c>
      <c r="D27" s="14">
        <v>0.38</v>
      </c>
      <c r="E27" s="14">
        <v>0.28999999999999998</v>
      </c>
      <c r="F27" s="14">
        <v>0.44</v>
      </c>
      <c r="G27" s="14">
        <v>0.27</v>
      </c>
      <c r="H27" s="14">
        <v>0.4</v>
      </c>
      <c r="I27" s="14">
        <v>0.41</v>
      </c>
      <c r="J27" s="14">
        <v>0.43</v>
      </c>
      <c r="K27" s="14">
        <v>0.37</v>
      </c>
      <c r="L27" s="14">
        <v>0.23</v>
      </c>
      <c r="M27" s="14">
        <v>0.38</v>
      </c>
      <c r="N27" s="14">
        <v>0.46</v>
      </c>
      <c r="O27" s="14">
        <v>0.4</v>
      </c>
      <c r="P27" s="14">
        <v>0.38</v>
      </c>
      <c r="Q27" s="14">
        <v>0.4</v>
      </c>
      <c r="R27" s="14">
        <v>0.44</v>
      </c>
      <c r="S27" s="14">
        <v>0.48</v>
      </c>
      <c r="T27" s="14">
        <v>0.36</v>
      </c>
      <c r="U27" s="14">
        <v>0.26</v>
      </c>
      <c r="V27" s="14">
        <v>0.48</v>
      </c>
      <c r="W27" s="14">
        <v>0.34</v>
      </c>
      <c r="X27" s="14">
        <v>0.3</v>
      </c>
      <c r="Y27" s="14">
        <v>0.36</v>
      </c>
      <c r="Z27" s="14">
        <v>0.41</v>
      </c>
      <c r="AA27" s="14">
        <v>0.24</v>
      </c>
      <c r="AB27" s="14">
        <v>0.38</v>
      </c>
      <c r="AC27" s="14">
        <v>0.42</v>
      </c>
      <c r="AD27" s="14">
        <v>0.35</v>
      </c>
      <c r="AE27" s="14">
        <v>0.35</v>
      </c>
      <c r="AF27" s="14">
        <v>0.28000000000000003</v>
      </c>
    </row>
    <row r="28" spans="1:32">
      <c r="A28" s="20"/>
      <c r="B28" s="11" t="s">
        <v>1772</v>
      </c>
      <c r="C28" s="12">
        <v>3869</v>
      </c>
      <c r="D28" s="12">
        <v>174</v>
      </c>
      <c r="E28" s="12">
        <v>164</v>
      </c>
      <c r="F28" s="12">
        <v>266</v>
      </c>
      <c r="G28" s="12">
        <v>73</v>
      </c>
      <c r="H28" s="12">
        <v>133</v>
      </c>
      <c r="I28" s="12">
        <v>197</v>
      </c>
      <c r="J28" s="12">
        <v>64</v>
      </c>
      <c r="K28" s="12">
        <v>139</v>
      </c>
      <c r="L28" s="12">
        <v>73</v>
      </c>
      <c r="M28" s="12">
        <v>256</v>
      </c>
      <c r="N28" s="12">
        <v>116</v>
      </c>
      <c r="O28" s="12">
        <v>250</v>
      </c>
      <c r="P28" s="12">
        <v>135</v>
      </c>
      <c r="Q28" s="12">
        <v>122</v>
      </c>
      <c r="R28" s="12">
        <v>61</v>
      </c>
      <c r="S28" s="12">
        <v>103</v>
      </c>
      <c r="T28" s="12">
        <v>79</v>
      </c>
      <c r="U28" s="12">
        <v>73</v>
      </c>
      <c r="V28" s="12">
        <v>133</v>
      </c>
      <c r="W28" s="12">
        <v>51</v>
      </c>
      <c r="X28" s="12">
        <v>158</v>
      </c>
      <c r="Y28" s="12">
        <v>245</v>
      </c>
      <c r="Z28" s="12">
        <v>67</v>
      </c>
      <c r="AA28" s="12">
        <v>61</v>
      </c>
      <c r="AB28" s="12">
        <v>128</v>
      </c>
      <c r="AC28" s="12">
        <v>153</v>
      </c>
      <c r="AD28" s="12">
        <v>202</v>
      </c>
      <c r="AE28" s="12">
        <v>116</v>
      </c>
      <c r="AF28" s="12">
        <v>111</v>
      </c>
    </row>
    <row r="29" spans="1:32">
      <c r="A29" s="20"/>
      <c r="B29" s="13" t="s">
        <v>1772</v>
      </c>
      <c r="C29" s="14">
        <v>0.15</v>
      </c>
      <c r="D29" s="14">
        <v>0.17</v>
      </c>
      <c r="E29" s="14">
        <v>0.16</v>
      </c>
      <c r="F29" s="14">
        <v>0.26</v>
      </c>
      <c r="G29" s="14">
        <v>7.0000000000000007E-2</v>
      </c>
      <c r="H29" s="14">
        <v>0.11</v>
      </c>
      <c r="I29" s="14">
        <v>0.13</v>
      </c>
      <c r="J29" s="14">
        <v>0.21</v>
      </c>
      <c r="K29" s="14">
        <v>0.14000000000000001</v>
      </c>
      <c r="L29" s="14">
        <v>7.0000000000000007E-2</v>
      </c>
      <c r="M29" s="14">
        <v>0.25</v>
      </c>
      <c r="N29" s="14">
        <v>0.12</v>
      </c>
      <c r="O29" s="14">
        <v>0.25</v>
      </c>
      <c r="P29" s="14">
        <v>0.14000000000000001</v>
      </c>
      <c r="Q29" s="14">
        <v>0.12</v>
      </c>
      <c r="R29" s="14">
        <v>0.12</v>
      </c>
      <c r="S29" s="14">
        <v>0.1</v>
      </c>
      <c r="T29" s="14">
        <v>0.08</v>
      </c>
      <c r="U29" s="14">
        <v>0.14000000000000001</v>
      </c>
      <c r="V29" s="14">
        <v>0.13</v>
      </c>
      <c r="W29" s="14">
        <v>0.11</v>
      </c>
      <c r="X29" s="14">
        <v>0.16</v>
      </c>
      <c r="Y29" s="14">
        <v>0.24</v>
      </c>
      <c r="Z29" s="14">
        <v>7.0000000000000007E-2</v>
      </c>
      <c r="AA29" s="14">
        <v>0.06</v>
      </c>
      <c r="AB29" s="14">
        <v>0.12</v>
      </c>
      <c r="AC29" s="14">
        <v>0.16</v>
      </c>
      <c r="AD29" s="14">
        <v>0.21</v>
      </c>
      <c r="AE29" s="14">
        <v>0.11</v>
      </c>
      <c r="AF29" s="14">
        <v>0.11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36" customHeight="1">
      <c r="B3" s="18" t="s">
        <v>413</v>
      </c>
      <c r="C3" s="18"/>
      <c r="D3" s="18"/>
      <c r="E3" s="18"/>
      <c r="F3" s="18"/>
      <c r="H3" s="18" t="s">
        <v>414</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HYPERLINK("#Content!A208","&lt;&lt;Back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1709</v>
      </c>
      <c r="C12" s="12">
        <v>1890</v>
      </c>
      <c r="D12" s="12">
        <v>58</v>
      </c>
      <c r="E12" s="12">
        <v>72</v>
      </c>
      <c r="F12" s="12">
        <v>28</v>
      </c>
      <c r="G12" s="12">
        <v>519</v>
      </c>
      <c r="H12" s="12">
        <v>103</v>
      </c>
      <c r="I12" s="12">
        <v>120</v>
      </c>
      <c r="J12" s="12">
        <v>18</v>
      </c>
      <c r="K12" s="12">
        <v>50</v>
      </c>
      <c r="L12" s="12">
        <v>222</v>
      </c>
      <c r="M12" s="12">
        <v>31</v>
      </c>
      <c r="N12" s="12">
        <v>54</v>
      </c>
      <c r="O12" s="12">
        <v>27</v>
      </c>
      <c r="P12" s="12">
        <v>42</v>
      </c>
      <c r="Q12" s="12">
        <v>43</v>
      </c>
      <c r="R12" s="12">
        <v>18</v>
      </c>
      <c r="S12" s="12">
        <v>59</v>
      </c>
      <c r="T12" s="12">
        <v>66</v>
      </c>
      <c r="U12" s="12">
        <v>181</v>
      </c>
      <c r="V12" s="12">
        <v>28</v>
      </c>
      <c r="W12" s="12">
        <v>82</v>
      </c>
      <c r="X12" s="12">
        <v>101</v>
      </c>
      <c r="Y12" s="12">
        <v>155</v>
      </c>
      <c r="Z12" s="12">
        <v>76</v>
      </c>
      <c r="AA12" s="12">
        <v>45</v>
      </c>
      <c r="AB12" s="12">
        <v>40</v>
      </c>
      <c r="AC12" s="12">
        <v>40</v>
      </c>
      <c r="AD12" s="12">
        <v>28</v>
      </c>
      <c r="AE12" s="12">
        <v>224</v>
      </c>
      <c r="AF12" s="12">
        <v>290</v>
      </c>
    </row>
    <row r="13" spans="1:32">
      <c r="A13" s="20"/>
      <c r="B13" s="13" t="s">
        <v>1710</v>
      </c>
      <c r="C13" s="14">
        <v>7.0000000000000007E-2</v>
      </c>
      <c r="D13" s="14">
        <v>0.06</v>
      </c>
      <c r="E13" s="14">
        <v>7.0000000000000007E-2</v>
      </c>
      <c r="F13" s="14">
        <v>0.03</v>
      </c>
      <c r="G13" s="14">
        <v>0.52</v>
      </c>
      <c r="H13" s="14">
        <v>0.08</v>
      </c>
      <c r="I13" s="14">
        <v>0.08</v>
      </c>
      <c r="J13" s="14">
        <v>0.06</v>
      </c>
      <c r="K13" s="14">
        <v>0.05</v>
      </c>
      <c r="L13" s="14">
        <v>0.22</v>
      </c>
      <c r="M13" s="14">
        <v>0.03</v>
      </c>
      <c r="N13" s="14">
        <v>0.05</v>
      </c>
      <c r="O13" s="14">
        <v>0.03</v>
      </c>
      <c r="P13" s="14">
        <v>0.04</v>
      </c>
      <c r="Q13" s="14">
        <v>0.04</v>
      </c>
      <c r="R13" s="14">
        <v>0.04</v>
      </c>
      <c r="S13" s="14">
        <v>0.06</v>
      </c>
      <c r="T13" s="14">
        <v>7.0000000000000007E-2</v>
      </c>
      <c r="U13" s="14">
        <v>0.36</v>
      </c>
      <c r="V13" s="14">
        <v>0.03</v>
      </c>
      <c r="W13" s="14">
        <v>0.16</v>
      </c>
      <c r="X13" s="14">
        <v>0.1</v>
      </c>
      <c r="Y13" s="14">
        <v>0.15</v>
      </c>
      <c r="Z13" s="14">
        <v>0.08</v>
      </c>
      <c r="AA13" s="14">
        <v>0.04</v>
      </c>
      <c r="AB13" s="14">
        <v>0.04</v>
      </c>
      <c r="AC13" s="14">
        <v>0.04</v>
      </c>
      <c r="AD13" s="14">
        <v>0.03</v>
      </c>
      <c r="AE13" s="14">
        <v>0.23</v>
      </c>
      <c r="AF13" s="14">
        <v>0.28000000000000003</v>
      </c>
    </row>
    <row r="14" spans="1:32">
      <c r="A14" s="20"/>
      <c r="B14" s="11" t="s">
        <v>1711</v>
      </c>
      <c r="C14" s="12">
        <v>13680</v>
      </c>
      <c r="D14" s="12">
        <v>601</v>
      </c>
      <c r="E14" s="12">
        <v>423</v>
      </c>
      <c r="F14" s="12">
        <v>534</v>
      </c>
      <c r="G14" s="12">
        <v>381</v>
      </c>
      <c r="H14" s="12">
        <v>735</v>
      </c>
      <c r="I14" s="12">
        <v>854</v>
      </c>
      <c r="J14" s="12">
        <v>119</v>
      </c>
      <c r="K14" s="12">
        <v>502</v>
      </c>
      <c r="L14" s="12">
        <v>596</v>
      </c>
      <c r="M14" s="12">
        <v>312</v>
      </c>
      <c r="N14" s="12">
        <v>469</v>
      </c>
      <c r="O14" s="12">
        <v>432</v>
      </c>
      <c r="P14" s="12">
        <v>453</v>
      </c>
      <c r="Q14" s="12">
        <v>533</v>
      </c>
      <c r="R14" s="12">
        <v>148</v>
      </c>
      <c r="S14" s="12">
        <v>507</v>
      </c>
      <c r="T14" s="12">
        <v>530</v>
      </c>
      <c r="U14" s="12">
        <v>273</v>
      </c>
      <c r="V14" s="12">
        <v>440</v>
      </c>
      <c r="W14" s="12">
        <v>169</v>
      </c>
      <c r="X14" s="12">
        <v>591</v>
      </c>
      <c r="Y14" s="12">
        <v>442</v>
      </c>
      <c r="Z14" s="12">
        <v>708</v>
      </c>
      <c r="AA14" s="12">
        <v>731</v>
      </c>
      <c r="AB14" s="12">
        <v>486</v>
      </c>
      <c r="AC14" s="12">
        <v>464</v>
      </c>
      <c r="AD14" s="12">
        <v>434</v>
      </c>
      <c r="AE14" s="12">
        <v>598</v>
      </c>
      <c r="AF14" s="12">
        <v>589</v>
      </c>
    </row>
    <row r="15" spans="1:32">
      <c r="A15" s="20"/>
      <c r="B15" s="13" t="s">
        <v>1712</v>
      </c>
      <c r="C15" s="14">
        <v>0.52</v>
      </c>
      <c r="D15" s="14">
        <v>0.6</v>
      </c>
      <c r="E15" s="14">
        <v>0.42</v>
      </c>
      <c r="F15" s="14">
        <v>0.53</v>
      </c>
      <c r="G15" s="14">
        <v>0.38</v>
      </c>
      <c r="H15" s="14">
        <v>0.61</v>
      </c>
      <c r="I15" s="14">
        <v>0.57000000000000006</v>
      </c>
      <c r="J15" s="14">
        <v>0.41</v>
      </c>
      <c r="K15" s="14">
        <v>0.5</v>
      </c>
      <c r="L15" s="14">
        <v>0.59</v>
      </c>
      <c r="M15" s="14">
        <v>0.31</v>
      </c>
      <c r="N15" s="14">
        <v>0.47</v>
      </c>
      <c r="O15" s="14">
        <v>0.43</v>
      </c>
      <c r="P15" s="14">
        <v>0.44</v>
      </c>
      <c r="Q15" s="14">
        <v>0.52</v>
      </c>
      <c r="R15" s="14">
        <v>0.28999999999999998</v>
      </c>
      <c r="S15" s="14">
        <v>0.5</v>
      </c>
      <c r="T15" s="14">
        <v>0.52</v>
      </c>
      <c r="U15" s="14">
        <v>0.54</v>
      </c>
      <c r="V15" s="14">
        <v>0.43</v>
      </c>
      <c r="W15" s="14">
        <v>0.34</v>
      </c>
      <c r="X15" s="14">
        <v>0.57999999999999996</v>
      </c>
      <c r="Y15" s="14">
        <v>0.44</v>
      </c>
      <c r="Z15" s="14">
        <v>0.70000000000000007</v>
      </c>
      <c r="AA15" s="14">
        <v>0.70000000000000007</v>
      </c>
      <c r="AB15" s="14">
        <v>0.47</v>
      </c>
      <c r="AC15" s="14">
        <v>0.46</v>
      </c>
      <c r="AD15" s="14">
        <v>0.43</v>
      </c>
      <c r="AE15" s="14">
        <v>0.6</v>
      </c>
      <c r="AF15" s="14">
        <v>0.57999999999999996</v>
      </c>
    </row>
    <row r="16" spans="1:32">
      <c r="A16" s="20"/>
      <c r="B16" s="11" t="s">
        <v>1713</v>
      </c>
      <c r="C16" s="12">
        <v>7906</v>
      </c>
      <c r="D16" s="12">
        <v>256</v>
      </c>
      <c r="E16" s="12">
        <v>302</v>
      </c>
      <c r="F16" s="12">
        <v>340</v>
      </c>
      <c r="G16" s="12">
        <v>61</v>
      </c>
      <c r="H16" s="12">
        <v>294</v>
      </c>
      <c r="I16" s="12">
        <v>413</v>
      </c>
      <c r="J16" s="12">
        <v>119</v>
      </c>
      <c r="K16" s="12">
        <v>309</v>
      </c>
      <c r="L16" s="12">
        <v>119</v>
      </c>
      <c r="M16" s="12">
        <v>346</v>
      </c>
      <c r="N16" s="12">
        <v>356</v>
      </c>
      <c r="O16" s="12">
        <v>392</v>
      </c>
      <c r="P16" s="12">
        <v>414</v>
      </c>
      <c r="Q16" s="12">
        <v>353</v>
      </c>
      <c r="R16" s="12">
        <v>230</v>
      </c>
      <c r="S16" s="12">
        <v>286</v>
      </c>
      <c r="T16" s="12">
        <v>307</v>
      </c>
      <c r="U16" s="12">
        <v>38</v>
      </c>
      <c r="V16" s="12">
        <v>319</v>
      </c>
      <c r="W16" s="12">
        <v>167</v>
      </c>
      <c r="X16" s="12">
        <v>270</v>
      </c>
      <c r="Y16" s="12">
        <v>287</v>
      </c>
      <c r="Z16" s="12">
        <v>172</v>
      </c>
      <c r="AA16" s="12">
        <v>222</v>
      </c>
      <c r="AB16" s="12">
        <v>350</v>
      </c>
      <c r="AC16" s="12">
        <v>398</v>
      </c>
      <c r="AD16" s="12">
        <v>414</v>
      </c>
      <c r="AE16" s="12">
        <v>133</v>
      </c>
      <c r="AF16" s="12">
        <v>120</v>
      </c>
    </row>
    <row r="17" spans="1:32">
      <c r="A17" s="20"/>
      <c r="B17" s="13" t="s">
        <v>1714</v>
      </c>
      <c r="C17" s="14">
        <v>0.3</v>
      </c>
      <c r="D17" s="14">
        <v>0.25</v>
      </c>
      <c r="E17" s="14">
        <v>0.3</v>
      </c>
      <c r="F17" s="14">
        <v>0.34</v>
      </c>
      <c r="G17" s="14">
        <v>0.06</v>
      </c>
      <c r="H17" s="14">
        <v>0.24</v>
      </c>
      <c r="I17" s="14">
        <v>0.27</v>
      </c>
      <c r="J17" s="14">
        <v>0.4</v>
      </c>
      <c r="K17" s="14">
        <v>0.31</v>
      </c>
      <c r="L17" s="14">
        <v>0.12</v>
      </c>
      <c r="M17" s="14">
        <v>0.35</v>
      </c>
      <c r="N17" s="14">
        <v>0.36</v>
      </c>
      <c r="O17" s="14">
        <v>0.39</v>
      </c>
      <c r="P17" s="14">
        <v>0.41</v>
      </c>
      <c r="Q17" s="14">
        <v>0.35</v>
      </c>
      <c r="R17" s="14">
        <v>0.46</v>
      </c>
      <c r="S17" s="14">
        <v>0.28000000000000003</v>
      </c>
      <c r="T17" s="14">
        <v>0.3</v>
      </c>
      <c r="U17" s="14">
        <v>7.0000000000000007E-2</v>
      </c>
      <c r="V17" s="14">
        <v>0.31</v>
      </c>
      <c r="W17" s="14">
        <v>0.33</v>
      </c>
      <c r="X17" s="14">
        <v>0.26</v>
      </c>
      <c r="Y17" s="14">
        <v>0.28999999999999998</v>
      </c>
      <c r="Z17" s="14">
        <v>0.17</v>
      </c>
      <c r="AA17" s="14">
        <v>0.21</v>
      </c>
      <c r="AB17" s="14">
        <v>0.34</v>
      </c>
      <c r="AC17" s="14">
        <v>0.39</v>
      </c>
      <c r="AD17" s="14">
        <v>0.41</v>
      </c>
      <c r="AE17" s="14">
        <v>0.13</v>
      </c>
      <c r="AF17" s="14">
        <v>0.12</v>
      </c>
    </row>
    <row r="18" spans="1:32">
      <c r="A18" s="20"/>
      <c r="B18" s="11" t="s">
        <v>1715</v>
      </c>
      <c r="C18" s="12">
        <v>2373</v>
      </c>
      <c r="D18" s="12">
        <v>80</v>
      </c>
      <c r="E18" s="12">
        <v>197</v>
      </c>
      <c r="F18" s="12">
        <v>78</v>
      </c>
      <c r="G18" s="12">
        <v>24</v>
      </c>
      <c r="H18" s="12">
        <v>59</v>
      </c>
      <c r="I18" s="12">
        <v>93</v>
      </c>
      <c r="J18" s="12">
        <v>35</v>
      </c>
      <c r="K18" s="12">
        <v>106</v>
      </c>
      <c r="L18" s="12">
        <v>43</v>
      </c>
      <c r="M18" s="12">
        <v>303</v>
      </c>
      <c r="N18" s="12">
        <v>111</v>
      </c>
      <c r="O18" s="12">
        <v>126</v>
      </c>
      <c r="P18" s="12">
        <v>98</v>
      </c>
      <c r="Q18" s="12">
        <v>86</v>
      </c>
      <c r="R18" s="12">
        <v>93</v>
      </c>
      <c r="S18" s="12">
        <v>96</v>
      </c>
      <c r="T18" s="12">
        <v>54</v>
      </c>
      <c r="U18" s="12">
        <v>9</v>
      </c>
      <c r="V18" s="12">
        <v>211</v>
      </c>
      <c r="W18" s="12">
        <v>80</v>
      </c>
      <c r="X18" s="12">
        <v>56</v>
      </c>
      <c r="Y18" s="12">
        <v>111</v>
      </c>
      <c r="Z18" s="12">
        <v>18</v>
      </c>
      <c r="AA18" s="12">
        <v>31</v>
      </c>
      <c r="AB18" s="12">
        <v>147</v>
      </c>
      <c r="AC18" s="12">
        <v>88</v>
      </c>
      <c r="AD18" s="12">
        <v>118</v>
      </c>
      <c r="AE18" s="12">
        <v>13</v>
      </c>
      <c r="AF18" s="12">
        <v>15</v>
      </c>
    </row>
    <row r="19" spans="1:32">
      <c r="A19" s="20"/>
      <c r="B19" s="13" t="s">
        <v>1716</v>
      </c>
      <c r="C19" s="14">
        <v>0.09</v>
      </c>
      <c r="D19" s="14">
        <v>0.08</v>
      </c>
      <c r="E19" s="14">
        <v>0.19</v>
      </c>
      <c r="F19" s="14">
        <v>0.08</v>
      </c>
      <c r="G19" s="14">
        <v>0.02</v>
      </c>
      <c r="H19" s="14">
        <v>0.05</v>
      </c>
      <c r="I19" s="14">
        <v>0.06</v>
      </c>
      <c r="J19" s="14">
        <v>0.12</v>
      </c>
      <c r="K19" s="14">
        <v>0.1</v>
      </c>
      <c r="L19" s="14">
        <v>0.04</v>
      </c>
      <c r="M19" s="14">
        <v>0.3</v>
      </c>
      <c r="N19" s="14">
        <v>0.11</v>
      </c>
      <c r="O19" s="14">
        <v>0.12</v>
      </c>
      <c r="P19" s="14">
        <v>0.1</v>
      </c>
      <c r="Q19" s="14">
        <v>0.09</v>
      </c>
      <c r="R19" s="14">
        <v>0.19</v>
      </c>
      <c r="S19" s="14">
        <v>0.1</v>
      </c>
      <c r="T19" s="14">
        <v>0.05</v>
      </c>
      <c r="U19" s="14">
        <v>0.02</v>
      </c>
      <c r="V19" s="14">
        <v>0.21</v>
      </c>
      <c r="W19" s="14">
        <v>0.16</v>
      </c>
      <c r="X19" s="14">
        <v>0.06</v>
      </c>
      <c r="Y19" s="14">
        <v>0.11</v>
      </c>
      <c r="Z19" s="14">
        <v>0.02</v>
      </c>
      <c r="AA19" s="14">
        <v>0.03</v>
      </c>
      <c r="AB19" s="14">
        <v>0.14000000000000001</v>
      </c>
      <c r="AC19" s="14">
        <v>0.09</v>
      </c>
      <c r="AD19" s="14">
        <v>0.12</v>
      </c>
      <c r="AE19" s="14">
        <v>0.01</v>
      </c>
      <c r="AF19" s="14">
        <v>0.01</v>
      </c>
    </row>
    <row r="20" spans="1:32">
      <c r="A20" s="20"/>
      <c r="B20" s="11" t="s">
        <v>468</v>
      </c>
      <c r="C20" s="12">
        <v>469</v>
      </c>
      <c r="D20" s="12">
        <v>8</v>
      </c>
      <c r="E20" s="12">
        <v>24</v>
      </c>
      <c r="F20" s="12">
        <v>25</v>
      </c>
      <c r="G20" s="12">
        <v>19</v>
      </c>
      <c r="H20" s="12">
        <v>25</v>
      </c>
      <c r="I20" s="12">
        <v>29</v>
      </c>
      <c r="J20" s="12">
        <v>4</v>
      </c>
      <c r="K20" s="12">
        <v>39</v>
      </c>
      <c r="L20" s="12">
        <v>28</v>
      </c>
      <c r="M20" s="12">
        <v>12</v>
      </c>
      <c r="N20" s="12">
        <v>14</v>
      </c>
      <c r="O20" s="12">
        <v>26</v>
      </c>
      <c r="P20" s="12">
        <v>15</v>
      </c>
      <c r="Q20" s="12">
        <v>3</v>
      </c>
      <c r="R20" s="12">
        <v>10</v>
      </c>
      <c r="S20" s="12">
        <v>60</v>
      </c>
      <c r="T20" s="12">
        <v>57</v>
      </c>
      <c r="U20" s="12">
        <v>5</v>
      </c>
      <c r="V20" s="12">
        <v>19</v>
      </c>
      <c r="W20" s="12">
        <v>5</v>
      </c>
      <c r="X20" s="12">
        <v>4</v>
      </c>
      <c r="Y20" s="12">
        <v>12</v>
      </c>
      <c r="Z20" s="12">
        <v>35</v>
      </c>
      <c r="AA20" s="12">
        <v>24</v>
      </c>
      <c r="AB20" s="12">
        <v>17</v>
      </c>
      <c r="AC20" s="12">
        <v>20</v>
      </c>
      <c r="AD20" s="12">
        <v>12</v>
      </c>
      <c r="AE20" s="12">
        <v>33</v>
      </c>
      <c r="AF20" s="12">
        <v>5</v>
      </c>
    </row>
    <row r="21" spans="1:32">
      <c r="A21" s="20"/>
      <c r="B21" s="13" t="s">
        <v>469</v>
      </c>
      <c r="C21" s="14">
        <v>0.02</v>
      </c>
      <c r="D21" s="14">
        <v>0.01</v>
      </c>
      <c r="E21" s="14">
        <v>0.02</v>
      </c>
      <c r="F21" s="14">
        <v>0.02</v>
      </c>
      <c r="G21" s="14">
        <v>0.02</v>
      </c>
      <c r="H21" s="14">
        <v>0.02</v>
      </c>
      <c r="I21" s="14">
        <v>0.02</v>
      </c>
      <c r="J21" s="14">
        <v>0.01</v>
      </c>
      <c r="K21" s="14">
        <v>0.04</v>
      </c>
      <c r="L21" s="14">
        <v>0.03</v>
      </c>
      <c r="M21" s="14">
        <v>0.01</v>
      </c>
      <c r="N21" s="14">
        <v>0.01</v>
      </c>
      <c r="O21" s="14">
        <v>0.03</v>
      </c>
      <c r="P21" s="14">
        <v>0.01</v>
      </c>
      <c r="Q21" s="15" t="s">
        <v>459</v>
      </c>
      <c r="R21" s="14">
        <v>0.02</v>
      </c>
      <c r="S21" s="14">
        <v>0.06</v>
      </c>
      <c r="T21" s="14">
        <v>0.06</v>
      </c>
      <c r="U21" s="14">
        <v>0.01</v>
      </c>
      <c r="V21" s="14">
        <v>0.02</v>
      </c>
      <c r="W21" s="14">
        <v>0.01</v>
      </c>
      <c r="X21" s="15" t="s">
        <v>459</v>
      </c>
      <c r="Y21" s="14">
        <v>0.01</v>
      </c>
      <c r="Z21" s="14">
        <v>0.03</v>
      </c>
      <c r="AA21" s="14">
        <v>0.02</v>
      </c>
      <c r="AB21" s="14">
        <v>0.01</v>
      </c>
      <c r="AC21" s="14">
        <v>0.02</v>
      </c>
      <c r="AD21" s="14">
        <v>0.01</v>
      </c>
      <c r="AE21" s="14">
        <v>0.03</v>
      </c>
      <c r="AF21" s="14">
        <v>0.01</v>
      </c>
    </row>
    <row r="22" spans="1:32">
      <c r="A22" s="20"/>
      <c r="B22" s="11" t="s">
        <v>1717</v>
      </c>
      <c r="C22" s="12">
        <v>15570</v>
      </c>
      <c r="D22" s="12">
        <v>659</v>
      </c>
      <c r="E22" s="12">
        <v>495</v>
      </c>
      <c r="F22" s="12">
        <v>562</v>
      </c>
      <c r="G22" s="12">
        <v>900</v>
      </c>
      <c r="H22" s="12">
        <v>838</v>
      </c>
      <c r="I22" s="12">
        <v>974</v>
      </c>
      <c r="J22" s="12">
        <v>137</v>
      </c>
      <c r="K22" s="12">
        <v>552</v>
      </c>
      <c r="L22" s="12">
        <v>818</v>
      </c>
      <c r="M22" s="12">
        <v>343</v>
      </c>
      <c r="N22" s="12">
        <v>523</v>
      </c>
      <c r="O22" s="12">
        <v>459</v>
      </c>
      <c r="P22" s="12">
        <v>495</v>
      </c>
      <c r="Q22" s="12">
        <v>576</v>
      </c>
      <c r="R22" s="12">
        <v>166</v>
      </c>
      <c r="S22" s="12">
        <v>566</v>
      </c>
      <c r="T22" s="12">
        <v>596</v>
      </c>
      <c r="U22" s="12">
        <v>454</v>
      </c>
      <c r="V22" s="12">
        <v>468</v>
      </c>
      <c r="W22" s="12">
        <v>251</v>
      </c>
      <c r="X22" s="12">
        <v>692</v>
      </c>
      <c r="Y22" s="12">
        <v>597</v>
      </c>
      <c r="Z22" s="12">
        <v>784</v>
      </c>
      <c r="AA22" s="12">
        <v>776</v>
      </c>
      <c r="AB22" s="12">
        <v>526</v>
      </c>
      <c r="AC22" s="12">
        <v>504</v>
      </c>
      <c r="AD22" s="12">
        <v>462</v>
      </c>
      <c r="AE22" s="12">
        <v>822</v>
      </c>
      <c r="AF22" s="12">
        <v>879</v>
      </c>
    </row>
    <row r="23" spans="1:32">
      <c r="A23" s="20"/>
      <c r="B23" s="13" t="s">
        <v>1718</v>
      </c>
      <c r="C23" s="14">
        <v>0.59</v>
      </c>
      <c r="D23" s="14">
        <v>0.66</v>
      </c>
      <c r="E23" s="14">
        <v>0.49</v>
      </c>
      <c r="F23" s="14">
        <v>0.56000000000000005</v>
      </c>
      <c r="G23" s="14">
        <v>0.9</v>
      </c>
      <c r="H23" s="14">
        <v>0.69000000000000006</v>
      </c>
      <c r="I23" s="14">
        <v>0.65</v>
      </c>
      <c r="J23" s="14">
        <v>0.47</v>
      </c>
      <c r="K23" s="14">
        <v>0.55000000000000004</v>
      </c>
      <c r="L23" s="14">
        <v>0.81</v>
      </c>
      <c r="M23" s="14">
        <v>0.34</v>
      </c>
      <c r="N23" s="14">
        <v>0.52</v>
      </c>
      <c r="O23" s="14">
        <v>0.46</v>
      </c>
      <c r="P23" s="14">
        <v>0.48</v>
      </c>
      <c r="Q23" s="14">
        <v>0.56000000000000005</v>
      </c>
      <c r="R23" s="14">
        <v>0.33</v>
      </c>
      <c r="S23" s="14">
        <v>0.56000000000000005</v>
      </c>
      <c r="T23" s="14">
        <v>0.59</v>
      </c>
      <c r="U23" s="14">
        <v>0.9</v>
      </c>
      <c r="V23" s="14">
        <v>0.46</v>
      </c>
      <c r="W23" s="14">
        <v>0.5</v>
      </c>
      <c r="X23" s="14">
        <v>0.68</v>
      </c>
      <c r="Y23" s="14">
        <v>0.59</v>
      </c>
      <c r="Z23" s="14">
        <v>0.78</v>
      </c>
      <c r="AA23" s="14">
        <v>0.74</v>
      </c>
      <c r="AB23" s="14">
        <v>0.51</v>
      </c>
      <c r="AC23" s="14">
        <v>0.5</v>
      </c>
      <c r="AD23" s="14">
        <v>0.46</v>
      </c>
      <c r="AE23" s="14">
        <v>0.83000000000000007</v>
      </c>
      <c r="AF23" s="14">
        <v>0.86</v>
      </c>
    </row>
    <row r="24" spans="1:32">
      <c r="A24" s="20"/>
      <c r="B24" s="11" t="s">
        <v>1719</v>
      </c>
      <c r="C24" s="12">
        <v>10279</v>
      </c>
      <c r="D24" s="12">
        <v>336</v>
      </c>
      <c r="E24" s="12">
        <v>499</v>
      </c>
      <c r="F24" s="12">
        <v>418</v>
      </c>
      <c r="G24" s="12">
        <v>85</v>
      </c>
      <c r="H24" s="12">
        <v>353</v>
      </c>
      <c r="I24" s="12">
        <v>506</v>
      </c>
      <c r="J24" s="12">
        <v>154</v>
      </c>
      <c r="K24" s="12">
        <v>415</v>
      </c>
      <c r="L24" s="12">
        <v>162</v>
      </c>
      <c r="M24" s="12">
        <v>649</v>
      </c>
      <c r="N24" s="12">
        <v>467</v>
      </c>
      <c r="O24" s="12">
        <v>518</v>
      </c>
      <c r="P24" s="12">
        <v>512</v>
      </c>
      <c r="Q24" s="12">
        <v>439</v>
      </c>
      <c r="R24" s="12">
        <v>323</v>
      </c>
      <c r="S24" s="12">
        <v>382</v>
      </c>
      <c r="T24" s="12">
        <v>361</v>
      </c>
      <c r="U24" s="12">
        <v>47</v>
      </c>
      <c r="V24" s="12">
        <v>530</v>
      </c>
      <c r="W24" s="12">
        <v>247</v>
      </c>
      <c r="X24" s="12">
        <v>326</v>
      </c>
      <c r="Y24" s="12">
        <v>398</v>
      </c>
      <c r="Z24" s="12">
        <v>190</v>
      </c>
      <c r="AA24" s="12">
        <v>253</v>
      </c>
      <c r="AB24" s="12">
        <v>497</v>
      </c>
      <c r="AC24" s="12">
        <v>486</v>
      </c>
      <c r="AD24" s="12">
        <v>532</v>
      </c>
      <c r="AE24" s="12">
        <v>146</v>
      </c>
      <c r="AF24" s="12">
        <v>135</v>
      </c>
    </row>
    <row r="25" spans="1:32">
      <c r="A25" s="20"/>
      <c r="B25" s="13" t="s">
        <v>1720</v>
      </c>
      <c r="C25" s="14">
        <v>0.39</v>
      </c>
      <c r="D25" s="14">
        <v>0.33</v>
      </c>
      <c r="E25" s="14">
        <v>0.49</v>
      </c>
      <c r="F25" s="14">
        <v>0.42</v>
      </c>
      <c r="G25" s="14">
        <v>0.08</v>
      </c>
      <c r="H25" s="14">
        <v>0.28999999999999998</v>
      </c>
      <c r="I25" s="14">
        <v>0.33</v>
      </c>
      <c r="J25" s="14">
        <v>0.52</v>
      </c>
      <c r="K25" s="14">
        <v>0.41</v>
      </c>
      <c r="L25" s="14">
        <v>0.16</v>
      </c>
      <c r="M25" s="14">
        <v>0.65</v>
      </c>
      <c r="N25" s="14">
        <v>0.47</v>
      </c>
      <c r="O25" s="14">
        <v>0.51</v>
      </c>
      <c r="P25" s="14">
        <v>0.51</v>
      </c>
      <c r="Q25" s="14">
        <v>0.44</v>
      </c>
      <c r="R25" s="14">
        <v>0.65</v>
      </c>
      <c r="S25" s="14">
        <v>0.38</v>
      </c>
      <c r="T25" s="14">
        <v>0.35</v>
      </c>
      <c r="U25" s="14">
        <v>0.09</v>
      </c>
      <c r="V25" s="14">
        <v>0.52</v>
      </c>
      <c r="W25" s="14">
        <v>0.49</v>
      </c>
      <c r="X25" s="14">
        <v>0.32</v>
      </c>
      <c r="Y25" s="14">
        <v>0.4</v>
      </c>
      <c r="Z25" s="14">
        <v>0.19</v>
      </c>
      <c r="AA25" s="14">
        <v>0.24</v>
      </c>
      <c r="AB25" s="14">
        <v>0.48</v>
      </c>
      <c r="AC25" s="14">
        <v>0.48</v>
      </c>
      <c r="AD25" s="14">
        <v>0.53</v>
      </c>
      <c r="AE25" s="14">
        <v>0.14000000000000001</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12" customHeight="1">
      <c r="B3" s="18" t="s">
        <v>415</v>
      </c>
      <c r="C3" s="18"/>
      <c r="D3" s="18"/>
      <c r="E3" s="18"/>
      <c r="F3" s="18"/>
      <c r="H3" s="18" t="s">
        <v>416</v>
      </c>
      <c r="I3" s="18"/>
      <c r="J3" s="18"/>
      <c r="K3" s="18"/>
      <c r="L3" s="18"/>
    </row>
    <row r="4" spans="1:32" ht="27" customHeight="1">
      <c r="B4" s="18"/>
      <c r="C4" s="18"/>
      <c r="D4" s="18"/>
      <c r="E4" s="18"/>
      <c r="F4" s="18"/>
      <c r="H4" s="18"/>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HYPERLINK("#Content!A209","&lt;&lt;Back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1709</v>
      </c>
      <c r="C12" s="12">
        <v>1138</v>
      </c>
      <c r="D12" s="12">
        <v>44</v>
      </c>
      <c r="E12" s="12">
        <v>125</v>
      </c>
      <c r="F12" s="12">
        <v>25</v>
      </c>
      <c r="G12" s="12">
        <v>192</v>
      </c>
      <c r="H12" s="12">
        <v>31</v>
      </c>
      <c r="I12" s="12">
        <v>38</v>
      </c>
      <c r="J12" s="12">
        <v>6</v>
      </c>
      <c r="K12" s="12">
        <v>43</v>
      </c>
      <c r="L12" s="12">
        <v>206</v>
      </c>
      <c r="M12" s="12">
        <v>14</v>
      </c>
      <c r="N12" s="12">
        <v>36</v>
      </c>
      <c r="O12" s="12">
        <v>15</v>
      </c>
      <c r="P12" s="12">
        <v>44</v>
      </c>
      <c r="Q12" s="12">
        <v>41</v>
      </c>
      <c r="R12" s="12">
        <v>14</v>
      </c>
      <c r="S12" s="12">
        <v>59</v>
      </c>
      <c r="T12" s="12">
        <v>47</v>
      </c>
      <c r="U12" s="12">
        <v>65</v>
      </c>
      <c r="V12" s="12">
        <v>27</v>
      </c>
      <c r="W12" s="12">
        <v>54</v>
      </c>
      <c r="X12" s="12">
        <v>44</v>
      </c>
      <c r="Y12" s="12">
        <v>110</v>
      </c>
      <c r="Z12" s="12">
        <v>76</v>
      </c>
      <c r="AA12" s="12">
        <v>51</v>
      </c>
      <c r="AB12" s="12">
        <v>63</v>
      </c>
      <c r="AC12" s="12">
        <v>26</v>
      </c>
      <c r="AD12" s="12">
        <v>19</v>
      </c>
      <c r="AE12" s="12">
        <v>61</v>
      </c>
      <c r="AF12" s="12">
        <v>69</v>
      </c>
    </row>
    <row r="13" spans="1:32">
      <c r="A13" s="20"/>
      <c r="B13" s="13" t="s">
        <v>1710</v>
      </c>
      <c r="C13" s="14">
        <v>0.04</v>
      </c>
      <c r="D13" s="14">
        <v>0.04</v>
      </c>
      <c r="E13" s="14">
        <v>0.12</v>
      </c>
      <c r="F13" s="14">
        <v>0.02</v>
      </c>
      <c r="G13" s="14">
        <v>0.19</v>
      </c>
      <c r="H13" s="14">
        <v>0.02</v>
      </c>
      <c r="I13" s="14">
        <v>0.03</v>
      </c>
      <c r="J13" s="14">
        <v>0.02</v>
      </c>
      <c r="K13" s="14">
        <v>0.04</v>
      </c>
      <c r="L13" s="14">
        <v>0.2</v>
      </c>
      <c r="M13" s="14">
        <v>0.02</v>
      </c>
      <c r="N13" s="14">
        <v>0.04</v>
      </c>
      <c r="O13" s="14">
        <v>0.01</v>
      </c>
      <c r="P13" s="14">
        <v>0.04</v>
      </c>
      <c r="Q13" s="14">
        <v>0.04</v>
      </c>
      <c r="R13" s="14">
        <v>0.03</v>
      </c>
      <c r="S13" s="14">
        <v>0.06</v>
      </c>
      <c r="T13" s="14">
        <v>0.05</v>
      </c>
      <c r="U13" s="14">
        <v>0.13</v>
      </c>
      <c r="V13" s="14">
        <v>0.02</v>
      </c>
      <c r="W13" s="14">
        <v>0.11</v>
      </c>
      <c r="X13" s="14">
        <v>0.04</v>
      </c>
      <c r="Y13" s="14">
        <v>0.11</v>
      </c>
      <c r="Z13" s="14">
        <v>7.0000000000000007E-2</v>
      </c>
      <c r="AA13" s="14">
        <v>0.05</v>
      </c>
      <c r="AB13" s="14">
        <v>0.06</v>
      </c>
      <c r="AC13" s="14">
        <v>0.03</v>
      </c>
      <c r="AD13" s="14">
        <v>0.02</v>
      </c>
      <c r="AE13" s="14">
        <v>0.06</v>
      </c>
      <c r="AF13" s="14">
        <v>7.0000000000000007E-2</v>
      </c>
    </row>
    <row r="14" spans="1:32">
      <c r="A14" s="20"/>
      <c r="B14" s="11" t="s">
        <v>1711</v>
      </c>
      <c r="C14" s="12">
        <v>13494</v>
      </c>
      <c r="D14" s="12">
        <v>544</v>
      </c>
      <c r="E14" s="12">
        <v>467</v>
      </c>
      <c r="F14" s="12">
        <v>484</v>
      </c>
      <c r="G14" s="12">
        <v>586</v>
      </c>
      <c r="H14" s="12">
        <v>679</v>
      </c>
      <c r="I14" s="12">
        <v>789</v>
      </c>
      <c r="J14" s="12">
        <v>111</v>
      </c>
      <c r="K14" s="12">
        <v>478</v>
      </c>
      <c r="L14" s="12">
        <v>551</v>
      </c>
      <c r="M14" s="12">
        <v>362</v>
      </c>
      <c r="N14" s="12">
        <v>465</v>
      </c>
      <c r="O14" s="12">
        <v>407</v>
      </c>
      <c r="P14" s="12">
        <v>530</v>
      </c>
      <c r="Q14" s="12">
        <v>553</v>
      </c>
      <c r="R14" s="12">
        <v>223</v>
      </c>
      <c r="S14" s="12">
        <v>532</v>
      </c>
      <c r="T14" s="12">
        <v>592</v>
      </c>
      <c r="U14" s="12">
        <v>276</v>
      </c>
      <c r="V14" s="12">
        <v>538</v>
      </c>
      <c r="W14" s="12">
        <v>279</v>
      </c>
      <c r="X14" s="12">
        <v>570</v>
      </c>
      <c r="Y14" s="12">
        <v>398</v>
      </c>
      <c r="Z14" s="12">
        <v>656</v>
      </c>
      <c r="AA14" s="12">
        <v>688</v>
      </c>
      <c r="AB14" s="12">
        <v>547</v>
      </c>
      <c r="AC14" s="12">
        <v>478</v>
      </c>
      <c r="AD14" s="12">
        <v>506</v>
      </c>
      <c r="AE14" s="12">
        <v>545</v>
      </c>
      <c r="AF14" s="12">
        <v>655</v>
      </c>
    </row>
    <row r="15" spans="1:32">
      <c r="A15" s="20"/>
      <c r="B15" s="13" t="s">
        <v>1712</v>
      </c>
      <c r="C15" s="14">
        <v>0.51</v>
      </c>
      <c r="D15" s="14">
        <v>0.54</v>
      </c>
      <c r="E15" s="14">
        <v>0.46</v>
      </c>
      <c r="F15" s="14">
        <v>0.48</v>
      </c>
      <c r="G15" s="14">
        <v>0.57999999999999996</v>
      </c>
      <c r="H15" s="14">
        <v>0.56000000000000005</v>
      </c>
      <c r="I15" s="14">
        <v>0.52</v>
      </c>
      <c r="J15" s="14">
        <v>0.38</v>
      </c>
      <c r="K15" s="14">
        <v>0.48</v>
      </c>
      <c r="L15" s="14">
        <v>0.55000000000000004</v>
      </c>
      <c r="M15" s="14">
        <v>0.36</v>
      </c>
      <c r="N15" s="14">
        <v>0.46</v>
      </c>
      <c r="O15" s="14">
        <v>0.41</v>
      </c>
      <c r="P15" s="14">
        <v>0.52</v>
      </c>
      <c r="Q15" s="14">
        <v>0.54</v>
      </c>
      <c r="R15" s="14">
        <v>0.45</v>
      </c>
      <c r="S15" s="14">
        <v>0.53</v>
      </c>
      <c r="T15" s="14">
        <v>0.57999999999999996</v>
      </c>
      <c r="U15" s="14">
        <v>0.54</v>
      </c>
      <c r="V15" s="14">
        <v>0.53</v>
      </c>
      <c r="W15" s="14">
        <v>0.55000000000000004</v>
      </c>
      <c r="X15" s="14">
        <v>0.56000000000000005</v>
      </c>
      <c r="Y15" s="14">
        <v>0.39</v>
      </c>
      <c r="Z15" s="14">
        <v>0.65</v>
      </c>
      <c r="AA15" s="14">
        <v>0.65</v>
      </c>
      <c r="AB15" s="14">
        <v>0.53</v>
      </c>
      <c r="AC15" s="14">
        <v>0.47</v>
      </c>
      <c r="AD15" s="14">
        <v>0.5</v>
      </c>
      <c r="AE15" s="14">
        <v>0.54</v>
      </c>
      <c r="AF15" s="14">
        <v>0.64</v>
      </c>
    </row>
    <row r="16" spans="1:32">
      <c r="A16" s="20"/>
      <c r="B16" s="11" t="s">
        <v>1713</v>
      </c>
      <c r="C16" s="12">
        <v>8045</v>
      </c>
      <c r="D16" s="12">
        <v>290</v>
      </c>
      <c r="E16" s="12">
        <v>215</v>
      </c>
      <c r="F16" s="12">
        <v>347</v>
      </c>
      <c r="G16" s="12">
        <v>138</v>
      </c>
      <c r="H16" s="12">
        <v>386</v>
      </c>
      <c r="I16" s="12">
        <v>519</v>
      </c>
      <c r="J16" s="12">
        <v>133</v>
      </c>
      <c r="K16" s="12">
        <v>276</v>
      </c>
      <c r="L16" s="12">
        <v>137</v>
      </c>
      <c r="M16" s="12">
        <v>373</v>
      </c>
      <c r="N16" s="12">
        <v>347</v>
      </c>
      <c r="O16" s="12">
        <v>357</v>
      </c>
      <c r="P16" s="12">
        <v>360</v>
      </c>
      <c r="Q16" s="12">
        <v>324</v>
      </c>
      <c r="R16" s="12">
        <v>188</v>
      </c>
      <c r="S16" s="12">
        <v>221</v>
      </c>
      <c r="T16" s="12">
        <v>233</v>
      </c>
      <c r="U16" s="12">
        <v>126</v>
      </c>
      <c r="V16" s="12">
        <v>303</v>
      </c>
      <c r="W16" s="12">
        <v>106</v>
      </c>
      <c r="X16" s="12">
        <v>294</v>
      </c>
      <c r="Y16" s="12">
        <v>302</v>
      </c>
      <c r="Z16" s="12">
        <v>193</v>
      </c>
      <c r="AA16" s="12">
        <v>222</v>
      </c>
      <c r="AB16" s="12">
        <v>270</v>
      </c>
      <c r="AC16" s="12">
        <v>387</v>
      </c>
      <c r="AD16" s="12">
        <v>325</v>
      </c>
      <c r="AE16" s="12">
        <v>265</v>
      </c>
      <c r="AF16" s="12">
        <v>211</v>
      </c>
    </row>
    <row r="17" spans="1:32">
      <c r="A17" s="20"/>
      <c r="B17" s="13" t="s">
        <v>1714</v>
      </c>
      <c r="C17" s="14">
        <v>0.31</v>
      </c>
      <c r="D17" s="14">
        <v>0.28999999999999998</v>
      </c>
      <c r="E17" s="14">
        <v>0.21</v>
      </c>
      <c r="F17" s="14">
        <v>0.35</v>
      </c>
      <c r="G17" s="14">
        <v>0.14000000000000001</v>
      </c>
      <c r="H17" s="14">
        <v>0.32</v>
      </c>
      <c r="I17" s="14">
        <v>0.34</v>
      </c>
      <c r="J17" s="14">
        <v>0.45</v>
      </c>
      <c r="K17" s="14">
        <v>0.27</v>
      </c>
      <c r="L17" s="14">
        <v>0.14000000000000001</v>
      </c>
      <c r="M17" s="14">
        <v>0.37</v>
      </c>
      <c r="N17" s="14">
        <v>0.34</v>
      </c>
      <c r="O17" s="14">
        <v>0.36</v>
      </c>
      <c r="P17" s="14">
        <v>0.35</v>
      </c>
      <c r="Q17" s="14">
        <v>0.32</v>
      </c>
      <c r="R17" s="14">
        <v>0.37</v>
      </c>
      <c r="S17" s="14">
        <v>0.22</v>
      </c>
      <c r="T17" s="14">
        <v>0.23</v>
      </c>
      <c r="U17" s="14">
        <v>0.25</v>
      </c>
      <c r="V17" s="14">
        <v>0.3</v>
      </c>
      <c r="W17" s="14">
        <v>0.21</v>
      </c>
      <c r="X17" s="14">
        <v>0.28999999999999998</v>
      </c>
      <c r="Y17" s="14">
        <v>0.3</v>
      </c>
      <c r="Z17" s="14">
        <v>0.19</v>
      </c>
      <c r="AA17" s="14">
        <v>0.21</v>
      </c>
      <c r="AB17" s="14">
        <v>0.26</v>
      </c>
      <c r="AC17" s="14">
        <v>0.38</v>
      </c>
      <c r="AD17" s="14">
        <v>0.32</v>
      </c>
      <c r="AE17" s="14">
        <v>0.27</v>
      </c>
      <c r="AF17" s="14">
        <v>0.21</v>
      </c>
    </row>
    <row r="18" spans="1:32">
      <c r="A18" s="20"/>
      <c r="B18" s="11" t="s">
        <v>1715</v>
      </c>
      <c r="C18" s="12">
        <v>2259</v>
      </c>
      <c r="D18" s="12">
        <v>111</v>
      </c>
      <c r="E18" s="12">
        <v>123</v>
      </c>
      <c r="F18" s="12">
        <v>107</v>
      </c>
      <c r="G18" s="12">
        <v>47</v>
      </c>
      <c r="H18" s="12">
        <v>74</v>
      </c>
      <c r="I18" s="12">
        <v>104</v>
      </c>
      <c r="J18" s="12">
        <v>30</v>
      </c>
      <c r="K18" s="12">
        <v>112</v>
      </c>
      <c r="L18" s="12">
        <v>51</v>
      </c>
      <c r="M18" s="12">
        <v>212</v>
      </c>
      <c r="N18" s="12">
        <v>100</v>
      </c>
      <c r="O18" s="12">
        <v>130</v>
      </c>
      <c r="P18" s="12">
        <v>44</v>
      </c>
      <c r="Q18" s="12">
        <v>70</v>
      </c>
      <c r="R18" s="12">
        <v>44</v>
      </c>
      <c r="S18" s="12">
        <v>58</v>
      </c>
      <c r="T18" s="12">
        <v>37</v>
      </c>
      <c r="U18" s="12">
        <v>30</v>
      </c>
      <c r="V18" s="12">
        <v>89</v>
      </c>
      <c r="W18" s="12">
        <v>19</v>
      </c>
      <c r="X18" s="12">
        <v>86</v>
      </c>
      <c r="Y18" s="12">
        <v>162</v>
      </c>
      <c r="Z18" s="12">
        <v>36</v>
      </c>
      <c r="AA18" s="12">
        <v>38</v>
      </c>
      <c r="AB18" s="12">
        <v>94</v>
      </c>
      <c r="AC18" s="12">
        <v>78</v>
      </c>
      <c r="AD18" s="12">
        <v>96</v>
      </c>
      <c r="AE18" s="12">
        <v>41</v>
      </c>
      <c r="AF18" s="12">
        <v>29</v>
      </c>
    </row>
    <row r="19" spans="1:32">
      <c r="A19" s="20"/>
      <c r="B19" s="13" t="s">
        <v>1716</v>
      </c>
      <c r="C19" s="14">
        <v>0.09</v>
      </c>
      <c r="D19" s="14">
        <v>0.11</v>
      </c>
      <c r="E19" s="14">
        <v>0.12</v>
      </c>
      <c r="F19" s="14">
        <v>0.11</v>
      </c>
      <c r="G19" s="14">
        <v>0.05</v>
      </c>
      <c r="H19" s="14">
        <v>0.06</v>
      </c>
      <c r="I19" s="14">
        <v>7.0000000000000007E-2</v>
      </c>
      <c r="J19" s="14">
        <v>0.1</v>
      </c>
      <c r="K19" s="14">
        <v>0.11</v>
      </c>
      <c r="L19" s="14">
        <v>0.05</v>
      </c>
      <c r="M19" s="14">
        <v>0.21</v>
      </c>
      <c r="N19" s="14">
        <v>0.1</v>
      </c>
      <c r="O19" s="14">
        <v>0.13</v>
      </c>
      <c r="P19" s="14">
        <v>0.04</v>
      </c>
      <c r="Q19" s="14">
        <v>7.0000000000000007E-2</v>
      </c>
      <c r="R19" s="14">
        <v>0.09</v>
      </c>
      <c r="S19" s="14">
        <v>0.06</v>
      </c>
      <c r="T19" s="14">
        <v>0.04</v>
      </c>
      <c r="U19" s="14">
        <v>0.06</v>
      </c>
      <c r="V19" s="14">
        <v>0.09</v>
      </c>
      <c r="W19" s="14">
        <v>0.04</v>
      </c>
      <c r="X19" s="14">
        <v>0.08</v>
      </c>
      <c r="Y19" s="14">
        <v>0.16</v>
      </c>
      <c r="Z19" s="14">
        <v>0.04</v>
      </c>
      <c r="AA19" s="14">
        <v>0.04</v>
      </c>
      <c r="AB19" s="14">
        <v>0.09</v>
      </c>
      <c r="AC19" s="14">
        <v>0.08</v>
      </c>
      <c r="AD19" s="14">
        <v>0.1</v>
      </c>
      <c r="AE19" s="14">
        <v>0.04</v>
      </c>
      <c r="AF19" s="14">
        <v>0.03</v>
      </c>
    </row>
    <row r="20" spans="1:32">
      <c r="A20" s="20"/>
      <c r="B20" s="11" t="s">
        <v>468</v>
      </c>
      <c r="C20" s="12">
        <v>1383</v>
      </c>
      <c r="D20" s="12">
        <v>14</v>
      </c>
      <c r="E20" s="12">
        <v>88</v>
      </c>
      <c r="F20" s="12">
        <v>42</v>
      </c>
      <c r="G20" s="12">
        <v>42</v>
      </c>
      <c r="H20" s="12">
        <v>46</v>
      </c>
      <c r="I20" s="12">
        <v>60</v>
      </c>
      <c r="J20" s="12">
        <v>14</v>
      </c>
      <c r="K20" s="12">
        <v>96</v>
      </c>
      <c r="L20" s="12">
        <v>62</v>
      </c>
      <c r="M20" s="12">
        <v>42</v>
      </c>
      <c r="N20" s="12">
        <v>57</v>
      </c>
      <c r="O20" s="12">
        <v>94</v>
      </c>
      <c r="P20" s="12">
        <v>45</v>
      </c>
      <c r="Q20" s="12">
        <v>31</v>
      </c>
      <c r="R20" s="12">
        <v>30</v>
      </c>
      <c r="S20" s="12">
        <v>137</v>
      </c>
      <c r="T20" s="12">
        <v>105</v>
      </c>
      <c r="U20" s="12">
        <v>11</v>
      </c>
      <c r="V20" s="12">
        <v>60</v>
      </c>
      <c r="W20" s="12">
        <v>45</v>
      </c>
      <c r="X20" s="12">
        <v>27</v>
      </c>
      <c r="Y20" s="12">
        <v>36</v>
      </c>
      <c r="Z20" s="12">
        <v>47</v>
      </c>
      <c r="AA20" s="12">
        <v>53</v>
      </c>
      <c r="AB20" s="12">
        <v>65</v>
      </c>
      <c r="AC20" s="12">
        <v>42</v>
      </c>
      <c r="AD20" s="12">
        <v>59</v>
      </c>
      <c r="AE20" s="12">
        <v>90</v>
      </c>
      <c r="AF20" s="12">
        <v>56</v>
      </c>
    </row>
    <row r="21" spans="1:32">
      <c r="A21" s="20"/>
      <c r="B21" s="13" t="s">
        <v>469</v>
      </c>
      <c r="C21" s="14">
        <v>0.05</v>
      </c>
      <c r="D21" s="14">
        <v>0.02</v>
      </c>
      <c r="E21" s="14">
        <v>0.09</v>
      </c>
      <c r="F21" s="14">
        <v>0.04</v>
      </c>
      <c r="G21" s="14">
        <v>0.04</v>
      </c>
      <c r="H21" s="14">
        <v>0.04</v>
      </c>
      <c r="I21" s="14">
        <v>0.04</v>
      </c>
      <c r="J21" s="14">
        <v>0.05</v>
      </c>
      <c r="K21" s="14">
        <v>0.1</v>
      </c>
      <c r="L21" s="14">
        <v>0.06</v>
      </c>
      <c r="M21" s="14">
        <v>0.04</v>
      </c>
      <c r="N21" s="14">
        <v>0.06</v>
      </c>
      <c r="O21" s="14">
        <v>0.09</v>
      </c>
      <c r="P21" s="14">
        <v>0.05</v>
      </c>
      <c r="Q21" s="14">
        <v>0.03</v>
      </c>
      <c r="R21" s="14">
        <v>0.06</v>
      </c>
      <c r="S21" s="14">
        <v>0.13</v>
      </c>
      <c r="T21" s="14">
        <v>0.1</v>
      </c>
      <c r="U21" s="14">
        <v>0.02</v>
      </c>
      <c r="V21" s="14">
        <v>0.06</v>
      </c>
      <c r="W21" s="14">
        <v>0.09</v>
      </c>
      <c r="X21" s="14">
        <v>0.03</v>
      </c>
      <c r="Y21" s="14">
        <v>0.04</v>
      </c>
      <c r="Z21" s="14">
        <v>0.05</v>
      </c>
      <c r="AA21" s="14">
        <v>0.05</v>
      </c>
      <c r="AB21" s="14">
        <v>0.06</v>
      </c>
      <c r="AC21" s="14">
        <v>0.04</v>
      </c>
      <c r="AD21" s="14">
        <v>0.06</v>
      </c>
      <c r="AE21" s="14">
        <v>0.09</v>
      </c>
      <c r="AF21" s="14">
        <v>0.05</v>
      </c>
    </row>
    <row r="22" spans="1:32">
      <c r="A22" s="20"/>
      <c r="B22" s="11" t="s">
        <v>1717</v>
      </c>
      <c r="C22" s="12">
        <v>14632</v>
      </c>
      <c r="D22" s="12">
        <v>588</v>
      </c>
      <c r="E22" s="12">
        <v>592</v>
      </c>
      <c r="F22" s="12">
        <v>509</v>
      </c>
      <c r="G22" s="12">
        <v>778</v>
      </c>
      <c r="H22" s="12">
        <v>710</v>
      </c>
      <c r="I22" s="12">
        <v>827</v>
      </c>
      <c r="J22" s="12">
        <v>117</v>
      </c>
      <c r="K22" s="12">
        <v>521</v>
      </c>
      <c r="L22" s="12">
        <v>757</v>
      </c>
      <c r="M22" s="12">
        <v>376</v>
      </c>
      <c r="N22" s="12">
        <v>501</v>
      </c>
      <c r="O22" s="12">
        <v>422</v>
      </c>
      <c r="P22" s="12">
        <v>574</v>
      </c>
      <c r="Q22" s="12">
        <v>594</v>
      </c>
      <c r="R22" s="12">
        <v>237</v>
      </c>
      <c r="S22" s="12">
        <v>591</v>
      </c>
      <c r="T22" s="12">
        <v>639</v>
      </c>
      <c r="U22" s="12">
        <v>341</v>
      </c>
      <c r="V22" s="12">
        <v>565</v>
      </c>
      <c r="W22" s="12">
        <v>333</v>
      </c>
      <c r="X22" s="12">
        <v>614</v>
      </c>
      <c r="Y22" s="12">
        <v>508</v>
      </c>
      <c r="Z22" s="12">
        <v>732</v>
      </c>
      <c r="AA22" s="12">
        <v>739</v>
      </c>
      <c r="AB22" s="12">
        <v>610</v>
      </c>
      <c r="AC22" s="12">
        <v>504</v>
      </c>
      <c r="AD22" s="12">
        <v>525</v>
      </c>
      <c r="AE22" s="12">
        <v>606</v>
      </c>
      <c r="AF22" s="12">
        <v>724</v>
      </c>
    </row>
    <row r="23" spans="1:32">
      <c r="A23" s="20"/>
      <c r="B23" s="13" t="s">
        <v>1718</v>
      </c>
      <c r="C23" s="14">
        <v>0.55000000000000004</v>
      </c>
      <c r="D23" s="14">
        <v>0.57999999999999996</v>
      </c>
      <c r="E23" s="14">
        <v>0.57999999999999996</v>
      </c>
      <c r="F23" s="14">
        <v>0.5</v>
      </c>
      <c r="G23" s="14">
        <v>0.77</v>
      </c>
      <c r="H23" s="14">
        <v>0.57999999999999996</v>
      </c>
      <c r="I23" s="14">
        <v>0.55000000000000004</v>
      </c>
      <c r="J23" s="14">
        <v>0.4</v>
      </c>
      <c r="K23" s="14">
        <v>0.52</v>
      </c>
      <c r="L23" s="14">
        <v>0.75</v>
      </c>
      <c r="M23" s="14">
        <v>0.38</v>
      </c>
      <c r="N23" s="14">
        <v>0.5</v>
      </c>
      <c r="O23" s="14">
        <v>0.42</v>
      </c>
      <c r="P23" s="14">
        <v>0.56000000000000005</v>
      </c>
      <c r="Q23" s="14">
        <v>0.57999999999999996</v>
      </c>
      <c r="R23" s="14">
        <v>0.48</v>
      </c>
      <c r="S23" s="14">
        <v>0.59</v>
      </c>
      <c r="T23" s="14">
        <v>0.63</v>
      </c>
      <c r="U23" s="14">
        <v>0.67</v>
      </c>
      <c r="V23" s="14">
        <v>0.55000000000000004</v>
      </c>
      <c r="W23" s="14">
        <v>0.66</v>
      </c>
      <c r="X23" s="14">
        <v>0.6</v>
      </c>
      <c r="Y23" s="14">
        <v>0.5</v>
      </c>
      <c r="Z23" s="14">
        <v>0.72</v>
      </c>
      <c r="AA23" s="14">
        <v>0.70000000000000007</v>
      </c>
      <c r="AB23" s="14">
        <v>0.59</v>
      </c>
      <c r="AC23" s="14">
        <v>0.5</v>
      </c>
      <c r="AD23" s="14">
        <v>0.52</v>
      </c>
      <c r="AE23" s="14">
        <v>0.6</v>
      </c>
      <c r="AF23" s="14">
        <v>0.71</v>
      </c>
    </row>
    <row r="24" spans="1:32">
      <c r="A24" s="20"/>
      <c r="B24" s="11" t="s">
        <v>1719</v>
      </c>
      <c r="C24" s="12">
        <v>10304</v>
      </c>
      <c r="D24" s="12">
        <v>401</v>
      </c>
      <c r="E24" s="12">
        <v>338</v>
      </c>
      <c r="F24" s="12">
        <v>454</v>
      </c>
      <c r="G24" s="12">
        <v>185</v>
      </c>
      <c r="H24" s="12">
        <v>460</v>
      </c>
      <c r="I24" s="12">
        <v>623</v>
      </c>
      <c r="J24" s="12">
        <v>163</v>
      </c>
      <c r="K24" s="12">
        <v>388</v>
      </c>
      <c r="L24" s="12">
        <v>188</v>
      </c>
      <c r="M24" s="12">
        <v>585</v>
      </c>
      <c r="N24" s="12">
        <v>447</v>
      </c>
      <c r="O24" s="12">
        <v>487</v>
      </c>
      <c r="P24" s="12">
        <v>404</v>
      </c>
      <c r="Q24" s="12">
        <v>394</v>
      </c>
      <c r="R24" s="12">
        <v>232</v>
      </c>
      <c r="S24" s="12">
        <v>279</v>
      </c>
      <c r="T24" s="12">
        <v>270</v>
      </c>
      <c r="U24" s="12">
        <v>156</v>
      </c>
      <c r="V24" s="12">
        <v>392</v>
      </c>
      <c r="W24" s="12">
        <v>125</v>
      </c>
      <c r="X24" s="12">
        <v>380</v>
      </c>
      <c r="Y24" s="12">
        <v>464</v>
      </c>
      <c r="Z24" s="12">
        <v>229</v>
      </c>
      <c r="AA24" s="12">
        <v>260</v>
      </c>
      <c r="AB24" s="12">
        <v>364</v>
      </c>
      <c r="AC24" s="12">
        <v>465</v>
      </c>
      <c r="AD24" s="12">
        <v>421</v>
      </c>
      <c r="AE24" s="12">
        <v>306</v>
      </c>
      <c r="AF24" s="12">
        <v>240</v>
      </c>
    </row>
    <row r="25" spans="1:32">
      <c r="A25" s="20"/>
      <c r="B25" s="13" t="s">
        <v>1773</v>
      </c>
      <c r="C25" s="14">
        <v>0.4</v>
      </c>
      <c r="D25" s="14">
        <v>0.4</v>
      </c>
      <c r="E25" s="14">
        <v>0.33</v>
      </c>
      <c r="F25" s="14">
        <v>0.46</v>
      </c>
      <c r="G25" s="14">
        <v>0.19</v>
      </c>
      <c r="H25" s="14">
        <v>0.38</v>
      </c>
      <c r="I25" s="14">
        <v>0.41</v>
      </c>
      <c r="J25" s="14">
        <v>0.55000000000000004</v>
      </c>
      <c r="K25" s="14">
        <v>0.38</v>
      </c>
      <c r="L25" s="14">
        <v>0.19</v>
      </c>
      <c r="M25" s="14">
        <v>0.57999999999999996</v>
      </c>
      <c r="N25" s="14">
        <v>0.44</v>
      </c>
      <c r="O25" s="14">
        <v>0.49</v>
      </c>
      <c r="P25" s="14">
        <v>0.39</v>
      </c>
      <c r="Q25" s="14">
        <v>0.39</v>
      </c>
      <c r="R25" s="14">
        <v>0.46</v>
      </c>
      <c r="S25" s="14">
        <v>0.28000000000000003</v>
      </c>
      <c r="T25" s="14">
        <v>0.27</v>
      </c>
      <c r="U25" s="14">
        <v>0.31</v>
      </c>
      <c r="V25" s="14">
        <v>0.39</v>
      </c>
      <c r="W25" s="14">
        <v>0.25</v>
      </c>
      <c r="X25" s="14">
        <v>0.37</v>
      </c>
      <c r="Y25" s="14">
        <v>0.46</v>
      </c>
      <c r="Z25" s="14">
        <v>0.23</v>
      </c>
      <c r="AA25" s="14">
        <v>0.25</v>
      </c>
      <c r="AB25" s="14">
        <v>0.35</v>
      </c>
      <c r="AC25" s="14">
        <v>0.46</v>
      </c>
      <c r="AD25" s="14">
        <v>0.42</v>
      </c>
      <c r="AE25" s="14">
        <v>0.31</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1774</v>
      </c>
      <c r="C3" s="18"/>
      <c r="D3" s="18"/>
      <c r="E3" s="18"/>
      <c r="F3" s="18"/>
      <c r="H3" s="18" t="s">
        <v>1775</v>
      </c>
      <c r="I3" s="18"/>
      <c r="J3" s="18"/>
      <c r="K3" s="18"/>
      <c r="L3" s="18"/>
    </row>
    <row r="4" spans="1:32" ht="27" customHeight="1">
      <c r="B4" s="18" t="s">
        <v>1776</v>
      </c>
      <c r="C4" s="18"/>
      <c r="D4" s="18"/>
      <c r="E4" s="18"/>
      <c r="F4" s="18"/>
      <c r="H4" s="18" t="s">
        <v>1777</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HYPERLINK("#Content!A210","&lt;&lt;Back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3612</v>
      </c>
      <c r="D12" s="12">
        <v>107</v>
      </c>
      <c r="E12" s="12">
        <v>124</v>
      </c>
      <c r="F12" s="12">
        <v>52</v>
      </c>
      <c r="G12" s="12">
        <v>385</v>
      </c>
      <c r="H12" s="12">
        <v>326</v>
      </c>
      <c r="I12" s="12">
        <v>363</v>
      </c>
      <c r="J12" s="12">
        <v>37</v>
      </c>
      <c r="K12" s="12">
        <v>33</v>
      </c>
      <c r="L12" s="12">
        <v>160</v>
      </c>
      <c r="M12" s="12">
        <v>55</v>
      </c>
      <c r="N12" s="12">
        <v>96</v>
      </c>
      <c r="O12" s="12">
        <v>98</v>
      </c>
      <c r="P12" s="12">
        <v>234</v>
      </c>
      <c r="Q12" s="12">
        <v>62</v>
      </c>
      <c r="R12" s="12">
        <v>28</v>
      </c>
      <c r="S12" s="12">
        <v>25</v>
      </c>
      <c r="T12" s="12">
        <v>41</v>
      </c>
      <c r="U12" s="12">
        <v>95</v>
      </c>
      <c r="V12" s="12">
        <v>66</v>
      </c>
      <c r="W12" s="12">
        <v>94</v>
      </c>
      <c r="X12" s="12">
        <v>230</v>
      </c>
      <c r="Y12" s="12">
        <v>275</v>
      </c>
      <c r="Z12" s="12">
        <v>95</v>
      </c>
      <c r="AA12" s="12">
        <v>143</v>
      </c>
      <c r="AB12" s="12">
        <v>97</v>
      </c>
      <c r="AC12" s="12">
        <v>106</v>
      </c>
      <c r="AD12" s="12">
        <v>160</v>
      </c>
      <c r="AE12" s="12">
        <v>136</v>
      </c>
      <c r="AF12" s="12">
        <v>321</v>
      </c>
    </row>
    <row r="13" spans="1:32">
      <c r="A13" s="20"/>
      <c r="B13" s="13" t="s">
        <v>559</v>
      </c>
      <c r="C13" s="14">
        <v>0.14000000000000001</v>
      </c>
      <c r="D13" s="14">
        <v>0.11</v>
      </c>
      <c r="E13" s="14">
        <v>0.12</v>
      </c>
      <c r="F13" s="14">
        <v>0.05</v>
      </c>
      <c r="G13" s="14">
        <v>0.38</v>
      </c>
      <c r="H13" s="14">
        <v>0.27</v>
      </c>
      <c r="I13" s="14">
        <v>0.24</v>
      </c>
      <c r="J13" s="14">
        <v>0.13</v>
      </c>
      <c r="K13" s="14">
        <v>0.03</v>
      </c>
      <c r="L13" s="14">
        <v>0.16</v>
      </c>
      <c r="M13" s="14">
        <v>0.06</v>
      </c>
      <c r="N13" s="14">
        <v>0.1</v>
      </c>
      <c r="O13" s="14">
        <v>0.1</v>
      </c>
      <c r="P13" s="14">
        <v>0.23</v>
      </c>
      <c r="Q13" s="14">
        <v>0.06</v>
      </c>
      <c r="R13" s="14">
        <v>0.05</v>
      </c>
      <c r="S13" s="14">
        <v>0.02</v>
      </c>
      <c r="T13" s="14">
        <v>0.04</v>
      </c>
      <c r="U13" s="14">
        <v>0.19</v>
      </c>
      <c r="V13" s="14">
        <v>7.0000000000000007E-2</v>
      </c>
      <c r="W13" s="14">
        <v>0.19</v>
      </c>
      <c r="X13" s="14">
        <v>0.22</v>
      </c>
      <c r="Y13" s="14">
        <v>0.27</v>
      </c>
      <c r="Z13" s="14">
        <v>0.09</v>
      </c>
      <c r="AA13" s="14">
        <v>0.14000000000000001</v>
      </c>
      <c r="AB13" s="14">
        <v>0.09</v>
      </c>
      <c r="AC13" s="14">
        <v>0.11</v>
      </c>
      <c r="AD13" s="14">
        <v>0.16</v>
      </c>
      <c r="AE13" s="14">
        <v>0.14000000000000001</v>
      </c>
      <c r="AF13" s="14">
        <v>0.31</v>
      </c>
    </row>
    <row r="14" spans="1:32">
      <c r="A14" s="20"/>
      <c r="B14" s="11" t="s">
        <v>560</v>
      </c>
      <c r="C14" s="12">
        <v>10004</v>
      </c>
      <c r="D14" s="12">
        <v>403</v>
      </c>
      <c r="E14" s="12">
        <v>342</v>
      </c>
      <c r="F14" s="12">
        <v>295</v>
      </c>
      <c r="G14" s="12">
        <v>344</v>
      </c>
      <c r="H14" s="12">
        <v>530</v>
      </c>
      <c r="I14" s="12">
        <v>630</v>
      </c>
      <c r="J14" s="12">
        <v>100</v>
      </c>
      <c r="K14" s="12">
        <v>136</v>
      </c>
      <c r="L14" s="12">
        <v>365</v>
      </c>
      <c r="M14" s="12">
        <v>212</v>
      </c>
      <c r="N14" s="12">
        <v>361</v>
      </c>
      <c r="O14" s="12">
        <v>359</v>
      </c>
      <c r="P14" s="12">
        <v>486</v>
      </c>
      <c r="Q14" s="12">
        <v>349</v>
      </c>
      <c r="R14" s="12">
        <v>128</v>
      </c>
      <c r="S14" s="12">
        <v>247</v>
      </c>
      <c r="T14" s="12">
        <v>322</v>
      </c>
      <c r="U14" s="12">
        <v>185</v>
      </c>
      <c r="V14" s="12">
        <v>307</v>
      </c>
      <c r="W14" s="12">
        <v>170</v>
      </c>
      <c r="X14" s="12">
        <v>425</v>
      </c>
      <c r="Y14" s="12">
        <v>359</v>
      </c>
      <c r="Z14" s="12">
        <v>513</v>
      </c>
      <c r="AA14" s="12">
        <v>469</v>
      </c>
      <c r="AB14" s="12">
        <v>409</v>
      </c>
      <c r="AC14" s="12">
        <v>327</v>
      </c>
      <c r="AD14" s="12">
        <v>340</v>
      </c>
      <c r="AE14" s="12">
        <v>378</v>
      </c>
      <c r="AF14" s="12">
        <v>415</v>
      </c>
    </row>
    <row r="15" spans="1:32">
      <c r="A15" s="20"/>
      <c r="B15" s="13" t="s">
        <v>561</v>
      </c>
      <c r="C15" s="14">
        <v>0.38</v>
      </c>
      <c r="D15" s="14">
        <v>0.4</v>
      </c>
      <c r="E15" s="14">
        <v>0.34</v>
      </c>
      <c r="F15" s="14">
        <v>0.3</v>
      </c>
      <c r="G15" s="14">
        <v>0.34</v>
      </c>
      <c r="H15" s="14">
        <v>0.44</v>
      </c>
      <c r="I15" s="14">
        <v>0.42</v>
      </c>
      <c r="J15" s="14">
        <v>0.34</v>
      </c>
      <c r="K15" s="14">
        <v>0.13</v>
      </c>
      <c r="L15" s="14">
        <v>0.36</v>
      </c>
      <c r="M15" s="14">
        <v>0.21</v>
      </c>
      <c r="N15" s="14">
        <v>0.36</v>
      </c>
      <c r="O15" s="14">
        <v>0.36</v>
      </c>
      <c r="P15" s="14">
        <v>0.48</v>
      </c>
      <c r="Q15" s="14">
        <v>0.34</v>
      </c>
      <c r="R15" s="14">
        <v>0.26</v>
      </c>
      <c r="S15" s="14">
        <v>0.25</v>
      </c>
      <c r="T15" s="14">
        <v>0.32</v>
      </c>
      <c r="U15" s="14">
        <v>0.37</v>
      </c>
      <c r="V15" s="14">
        <v>0.3</v>
      </c>
      <c r="W15" s="14">
        <v>0.34</v>
      </c>
      <c r="X15" s="14">
        <v>0.42</v>
      </c>
      <c r="Y15" s="14">
        <v>0.36</v>
      </c>
      <c r="Z15" s="14">
        <v>0.51</v>
      </c>
      <c r="AA15" s="14">
        <v>0.45</v>
      </c>
      <c r="AB15" s="14">
        <v>0.4</v>
      </c>
      <c r="AC15" s="14">
        <v>0.32</v>
      </c>
      <c r="AD15" s="14">
        <v>0.34</v>
      </c>
      <c r="AE15" s="14">
        <v>0.38</v>
      </c>
      <c r="AF15" s="14">
        <v>0.41</v>
      </c>
    </row>
    <row r="16" spans="1:32">
      <c r="A16" s="20"/>
      <c r="B16" s="11" t="s">
        <v>562</v>
      </c>
      <c r="C16" s="12">
        <v>7094</v>
      </c>
      <c r="D16" s="12">
        <v>329</v>
      </c>
      <c r="E16" s="12">
        <v>278</v>
      </c>
      <c r="F16" s="12">
        <v>374</v>
      </c>
      <c r="G16" s="12">
        <v>156</v>
      </c>
      <c r="H16" s="12">
        <v>198</v>
      </c>
      <c r="I16" s="12">
        <v>298</v>
      </c>
      <c r="J16" s="12">
        <v>100</v>
      </c>
      <c r="K16" s="12">
        <v>349</v>
      </c>
      <c r="L16" s="12">
        <v>293</v>
      </c>
      <c r="M16" s="12">
        <v>384</v>
      </c>
      <c r="N16" s="12">
        <v>281</v>
      </c>
      <c r="O16" s="12">
        <v>289</v>
      </c>
      <c r="P16" s="12">
        <v>177</v>
      </c>
      <c r="Q16" s="12">
        <v>340</v>
      </c>
      <c r="R16" s="12">
        <v>154</v>
      </c>
      <c r="S16" s="12">
        <v>318</v>
      </c>
      <c r="T16" s="12">
        <v>295</v>
      </c>
      <c r="U16" s="12">
        <v>110</v>
      </c>
      <c r="V16" s="12">
        <v>284</v>
      </c>
      <c r="W16" s="12">
        <v>172</v>
      </c>
      <c r="X16" s="12">
        <v>255</v>
      </c>
      <c r="Y16" s="12">
        <v>170</v>
      </c>
      <c r="Z16" s="12">
        <v>291</v>
      </c>
      <c r="AA16" s="12">
        <v>237</v>
      </c>
      <c r="AB16" s="12">
        <v>273</v>
      </c>
      <c r="AC16" s="12">
        <v>306</v>
      </c>
      <c r="AD16" s="12">
        <v>289</v>
      </c>
      <c r="AE16" s="12">
        <v>292</v>
      </c>
      <c r="AF16" s="12">
        <v>161</v>
      </c>
    </row>
    <row r="17" spans="1:32">
      <c r="A17" s="20"/>
      <c r="B17" s="13" t="s">
        <v>563</v>
      </c>
      <c r="C17" s="14">
        <v>0.27</v>
      </c>
      <c r="D17" s="14">
        <v>0.33</v>
      </c>
      <c r="E17" s="14">
        <v>0.27</v>
      </c>
      <c r="F17" s="14">
        <v>0.37</v>
      </c>
      <c r="G17" s="14">
        <v>0.16</v>
      </c>
      <c r="H17" s="14">
        <v>0.16</v>
      </c>
      <c r="I17" s="14">
        <v>0.2</v>
      </c>
      <c r="J17" s="14">
        <v>0.34</v>
      </c>
      <c r="K17" s="14">
        <v>0.35</v>
      </c>
      <c r="L17" s="14">
        <v>0.28999999999999998</v>
      </c>
      <c r="M17" s="14">
        <v>0.38</v>
      </c>
      <c r="N17" s="14">
        <v>0.28000000000000003</v>
      </c>
      <c r="O17" s="14">
        <v>0.28999999999999998</v>
      </c>
      <c r="P17" s="14">
        <v>0.17</v>
      </c>
      <c r="Q17" s="14">
        <v>0.34</v>
      </c>
      <c r="R17" s="14">
        <v>0.31</v>
      </c>
      <c r="S17" s="14">
        <v>0.32</v>
      </c>
      <c r="T17" s="14">
        <v>0.28999999999999998</v>
      </c>
      <c r="U17" s="14">
        <v>0.22</v>
      </c>
      <c r="V17" s="14">
        <v>0.28000000000000003</v>
      </c>
      <c r="W17" s="14">
        <v>0.34</v>
      </c>
      <c r="X17" s="14">
        <v>0.25</v>
      </c>
      <c r="Y17" s="14">
        <v>0.17</v>
      </c>
      <c r="Z17" s="14">
        <v>0.28999999999999998</v>
      </c>
      <c r="AA17" s="14">
        <v>0.22</v>
      </c>
      <c r="AB17" s="14">
        <v>0.26</v>
      </c>
      <c r="AC17" s="14">
        <v>0.3</v>
      </c>
      <c r="AD17" s="14">
        <v>0.28999999999999998</v>
      </c>
      <c r="AE17" s="14">
        <v>0.28999999999999998</v>
      </c>
      <c r="AF17" s="14">
        <v>0.16</v>
      </c>
    </row>
    <row r="18" spans="1:32">
      <c r="A18" s="20"/>
      <c r="B18" s="11" t="s">
        <v>564</v>
      </c>
      <c r="C18" s="12">
        <v>4828</v>
      </c>
      <c r="D18" s="12">
        <v>150</v>
      </c>
      <c r="E18" s="12">
        <v>202</v>
      </c>
      <c r="F18" s="12">
        <v>262</v>
      </c>
      <c r="G18" s="12">
        <v>97</v>
      </c>
      <c r="H18" s="12">
        <v>100</v>
      </c>
      <c r="I18" s="12">
        <v>151</v>
      </c>
      <c r="J18" s="12">
        <v>50</v>
      </c>
      <c r="K18" s="12">
        <v>439</v>
      </c>
      <c r="L18" s="12">
        <v>154</v>
      </c>
      <c r="M18" s="12">
        <v>340</v>
      </c>
      <c r="N18" s="12">
        <v>233</v>
      </c>
      <c r="O18" s="12">
        <v>210</v>
      </c>
      <c r="P18" s="12">
        <v>84</v>
      </c>
      <c r="Q18" s="12">
        <v>267</v>
      </c>
      <c r="R18" s="12">
        <v>176</v>
      </c>
      <c r="S18" s="12">
        <v>324</v>
      </c>
      <c r="T18" s="12">
        <v>254</v>
      </c>
      <c r="U18" s="12">
        <v>99</v>
      </c>
      <c r="V18" s="12">
        <v>336</v>
      </c>
      <c r="W18" s="12">
        <v>57</v>
      </c>
      <c r="X18" s="12">
        <v>99</v>
      </c>
      <c r="Y18" s="12">
        <v>185</v>
      </c>
      <c r="Z18" s="12">
        <v>83</v>
      </c>
      <c r="AA18" s="12">
        <v>179</v>
      </c>
      <c r="AB18" s="12">
        <v>236</v>
      </c>
      <c r="AC18" s="12">
        <v>242</v>
      </c>
      <c r="AD18" s="12">
        <v>183</v>
      </c>
      <c r="AE18" s="12">
        <v>174</v>
      </c>
      <c r="AF18" s="12">
        <v>106</v>
      </c>
    </row>
    <row r="19" spans="1:32">
      <c r="A19" s="20"/>
      <c r="B19" s="13" t="s">
        <v>565</v>
      </c>
      <c r="C19" s="14">
        <v>0.18</v>
      </c>
      <c r="D19" s="14">
        <v>0.15</v>
      </c>
      <c r="E19" s="14">
        <v>0.2</v>
      </c>
      <c r="F19" s="14">
        <v>0.26</v>
      </c>
      <c r="G19" s="14">
        <v>0.1</v>
      </c>
      <c r="H19" s="14">
        <v>0.08</v>
      </c>
      <c r="I19" s="14">
        <v>0.1</v>
      </c>
      <c r="J19" s="14">
        <v>0.17</v>
      </c>
      <c r="K19" s="14">
        <v>0.44</v>
      </c>
      <c r="L19" s="14">
        <v>0.15</v>
      </c>
      <c r="M19" s="14">
        <v>0.34</v>
      </c>
      <c r="N19" s="14">
        <v>0.23</v>
      </c>
      <c r="O19" s="14">
        <v>0.21</v>
      </c>
      <c r="P19" s="14">
        <v>0.08</v>
      </c>
      <c r="Q19" s="14">
        <v>0.26</v>
      </c>
      <c r="R19" s="14">
        <v>0.35</v>
      </c>
      <c r="S19" s="14">
        <v>0.32</v>
      </c>
      <c r="T19" s="14">
        <v>0.25</v>
      </c>
      <c r="U19" s="14">
        <v>0.19</v>
      </c>
      <c r="V19" s="14">
        <v>0.33</v>
      </c>
      <c r="W19" s="14">
        <v>0.11</v>
      </c>
      <c r="X19" s="14">
        <v>0.1</v>
      </c>
      <c r="Y19" s="14">
        <v>0.18</v>
      </c>
      <c r="Z19" s="14">
        <v>0.08</v>
      </c>
      <c r="AA19" s="14">
        <v>0.17</v>
      </c>
      <c r="AB19" s="14">
        <v>0.23</v>
      </c>
      <c r="AC19" s="14">
        <v>0.24</v>
      </c>
      <c r="AD19" s="14">
        <v>0.18</v>
      </c>
      <c r="AE19" s="14">
        <v>0.17</v>
      </c>
      <c r="AF19" s="14">
        <v>0.1</v>
      </c>
    </row>
    <row r="20" spans="1:32">
      <c r="A20" s="20"/>
      <c r="B20" s="11" t="s">
        <v>468</v>
      </c>
      <c r="C20" s="12">
        <v>781</v>
      </c>
      <c r="D20" s="12">
        <v>14</v>
      </c>
      <c r="E20" s="12">
        <v>72</v>
      </c>
      <c r="F20" s="12">
        <v>22</v>
      </c>
      <c r="G20" s="12">
        <v>21</v>
      </c>
      <c r="H20" s="12">
        <v>61</v>
      </c>
      <c r="I20" s="12">
        <v>68</v>
      </c>
      <c r="J20" s="12">
        <v>7</v>
      </c>
      <c r="K20" s="12">
        <v>49</v>
      </c>
      <c r="L20" s="12">
        <v>34</v>
      </c>
      <c r="M20" s="12">
        <v>12</v>
      </c>
      <c r="N20" s="12">
        <v>33</v>
      </c>
      <c r="O20" s="12">
        <v>46</v>
      </c>
      <c r="P20" s="12">
        <v>42</v>
      </c>
      <c r="Q20" s="12">
        <v>1</v>
      </c>
      <c r="R20" s="12">
        <v>14</v>
      </c>
      <c r="S20" s="12">
        <v>95</v>
      </c>
      <c r="T20" s="12">
        <v>101</v>
      </c>
      <c r="U20" s="12">
        <v>17</v>
      </c>
      <c r="V20" s="12">
        <v>24</v>
      </c>
      <c r="W20" s="12">
        <v>10</v>
      </c>
      <c r="X20" s="12">
        <v>13</v>
      </c>
      <c r="Y20" s="12">
        <v>18</v>
      </c>
      <c r="Z20" s="12">
        <v>26</v>
      </c>
      <c r="AA20" s="12">
        <v>25</v>
      </c>
      <c r="AB20" s="12">
        <v>23</v>
      </c>
      <c r="AC20" s="12">
        <v>29</v>
      </c>
      <c r="AD20" s="12">
        <v>35</v>
      </c>
      <c r="AE20" s="12">
        <v>21</v>
      </c>
      <c r="AF20" s="12">
        <v>17</v>
      </c>
    </row>
    <row r="21" spans="1:32">
      <c r="A21" s="20"/>
      <c r="B21" s="13" t="s">
        <v>469</v>
      </c>
      <c r="C21" s="14">
        <v>0.03</v>
      </c>
      <c r="D21" s="14">
        <v>0.01</v>
      </c>
      <c r="E21" s="14">
        <v>7.0000000000000007E-2</v>
      </c>
      <c r="F21" s="14">
        <v>0.02</v>
      </c>
      <c r="G21" s="14">
        <v>0.02</v>
      </c>
      <c r="H21" s="14">
        <v>0.05</v>
      </c>
      <c r="I21" s="14">
        <v>0.04</v>
      </c>
      <c r="J21" s="14">
        <v>0.02</v>
      </c>
      <c r="K21" s="14">
        <v>0.05</v>
      </c>
      <c r="L21" s="14">
        <v>0.04</v>
      </c>
      <c r="M21" s="14">
        <v>0.01</v>
      </c>
      <c r="N21" s="14">
        <v>0.03</v>
      </c>
      <c r="O21" s="14">
        <v>0.04</v>
      </c>
      <c r="P21" s="14">
        <v>0.04</v>
      </c>
      <c r="Q21" s="15" t="s">
        <v>459</v>
      </c>
      <c r="R21" s="14">
        <v>0.03</v>
      </c>
      <c r="S21" s="14">
        <v>0.09</v>
      </c>
      <c r="T21" s="14">
        <v>0.1</v>
      </c>
      <c r="U21" s="14">
        <v>0.03</v>
      </c>
      <c r="V21" s="14">
        <v>0.02</v>
      </c>
      <c r="W21" s="14">
        <v>0.02</v>
      </c>
      <c r="X21" s="14">
        <v>0.01</v>
      </c>
      <c r="Y21" s="14">
        <v>0.02</v>
      </c>
      <c r="Z21" s="14">
        <v>0.03</v>
      </c>
      <c r="AA21" s="14">
        <v>0.02</v>
      </c>
      <c r="AB21" s="14">
        <v>0.02</v>
      </c>
      <c r="AC21" s="14">
        <v>0.03</v>
      </c>
      <c r="AD21" s="14">
        <v>0.03</v>
      </c>
      <c r="AE21" s="14">
        <v>0.02</v>
      </c>
      <c r="AF21" s="14">
        <v>0.02</v>
      </c>
    </row>
    <row r="22" spans="1:32">
      <c r="A22" s="20"/>
      <c r="B22" s="11" t="s">
        <v>566</v>
      </c>
      <c r="C22" s="12">
        <v>13616</v>
      </c>
      <c r="D22" s="12">
        <v>510</v>
      </c>
      <c r="E22" s="12">
        <v>466</v>
      </c>
      <c r="F22" s="12">
        <v>347</v>
      </c>
      <c r="G22" s="12">
        <v>729</v>
      </c>
      <c r="H22" s="12">
        <v>856</v>
      </c>
      <c r="I22" s="12">
        <v>993</v>
      </c>
      <c r="J22" s="12">
        <v>137</v>
      </c>
      <c r="K22" s="12">
        <v>169</v>
      </c>
      <c r="L22" s="12">
        <v>525</v>
      </c>
      <c r="M22" s="12">
        <v>267</v>
      </c>
      <c r="N22" s="12">
        <v>457</v>
      </c>
      <c r="O22" s="12">
        <v>457</v>
      </c>
      <c r="P22" s="12">
        <v>720</v>
      </c>
      <c r="Q22" s="12">
        <v>411</v>
      </c>
      <c r="R22" s="12">
        <v>156</v>
      </c>
      <c r="S22" s="12">
        <v>272</v>
      </c>
      <c r="T22" s="12">
        <v>363</v>
      </c>
      <c r="U22" s="12">
        <v>280</v>
      </c>
      <c r="V22" s="12">
        <v>373</v>
      </c>
      <c r="W22" s="12">
        <v>264</v>
      </c>
      <c r="X22" s="12">
        <v>655</v>
      </c>
      <c r="Y22" s="12">
        <v>634</v>
      </c>
      <c r="Z22" s="12">
        <v>608</v>
      </c>
      <c r="AA22" s="12">
        <v>612</v>
      </c>
      <c r="AB22" s="12">
        <v>506</v>
      </c>
      <c r="AC22" s="12">
        <v>433</v>
      </c>
      <c r="AD22" s="12">
        <v>500</v>
      </c>
      <c r="AE22" s="12">
        <v>514</v>
      </c>
      <c r="AF22" s="12">
        <v>736</v>
      </c>
    </row>
    <row r="23" spans="1:32">
      <c r="A23" s="20"/>
      <c r="B23" s="13" t="s">
        <v>567</v>
      </c>
      <c r="C23" s="14">
        <v>0.52</v>
      </c>
      <c r="D23" s="14">
        <v>0.51</v>
      </c>
      <c r="E23" s="14">
        <v>0.46</v>
      </c>
      <c r="F23" s="14">
        <v>0.35</v>
      </c>
      <c r="G23" s="14">
        <v>0.72</v>
      </c>
      <c r="H23" s="14">
        <v>0.71</v>
      </c>
      <c r="I23" s="14">
        <v>0.66</v>
      </c>
      <c r="J23" s="14">
        <v>0.47</v>
      </c>
      <c r="K23" s="14">
        <v>0.16</v>
      </c>
      <c r="L23" s="14">
        <v>0.52</v>
      </c>
      <c r="M23" s="14">
        <v>0.27</v>
      </c>
      <c r="N23" s="14">
        <v>0.46</v>
      </c>
      <c r="O23" s="14">
        <v>0.46</v>
      </c>
      <c r="P23" s="14">
        <v>0.71</v>
      </c>
      <c r="Q23" s="14">
        <v>0.4</v>
      </c>
      <c r="R23" s="14">
        <v>0.31</v>
      </c>
      <c r="S23" s="14">
        <v>0.27</v>
      </c>
      <c r="T23" s="14">
        <v>0.36</v>
      </c>
      <c r="U23" s="14">
        <v>0.56000000000000005</v>
      </c>
      <c r="V23" s="14">
        <v>0.37</v>
      </c>
      <c r="W23" s="14">
        <v>0.53</v>
      </c>
      <c r="X23" s="14">
        <v>0.64</v>
      </c>
      <c r="Y23" s="14">
        <v>0.63</v>
      </c>
      <c r="Z23" s="14">
        <v>0.6</v>
      </c>
      <c r="AA23" s="14">
        <v>0.59</v>
      </c>
      <c r="AB23" s="14">
        <v>0.49</v>
      </c>
      <c r="AC23" s="14">
        <v>0.43</v>
      </c>
      <c r="AD23" s="14">
        <v>0.5</v>
      </c>
      <c r="AE23" s="14">
        <v>0.52</v>
      </c>
      <c r="AF23" s="14">
        <v>0.72</v>
      </c>
    </row>
    <row r="24" spans="1:32">
      <c r="A24" s="20"/>
      <c r="B24" s="11" t="s">
        <v>568</v>
      </c>
      <c r="C24" s="12">
        <v>11922</v>
      </c>
      <c r="D24" s="12">
        <v>479</v>
      </c>
      <c r="E24" s="12">
        <v>480</v>
      </c>
      <c r="F24" s="12">
        <v>636</v>
      </c>
      <c r="G24" s="12">
        <v>253</v>
      </c>
      <c r="H24" s="12">
        <v>298</v>
      </c>
      <c r="I24" s="12">
        <v>449</v>
      </c>
      <c r="J24" s="12">
        <v>150</v>
      </c>
      <c r="K24" s="12">
        <v>788</v>
      </c>
      <c r="L24" s="12">
        <v>447</v>
      </c>
      <c r="M24" s="12">
        <v>724</v>
      </c>
      <c r="N24" s="12">
        <v>514</v>
      </c>
      <c r="O24" s="12">
        <v>499</v>
      </c>
      <c r="P24" s="12">
        <v>261</v>
      </c>
      <c r="Q24" s="12">
        <v>607</v>
      </c>
      <c r="R24" s="12">
        <v>330</v>
      </c>
      <c r="S24" s="12">
        <v>642</v>
      </c>
      <c r="T24" s="12">
        <v>549</v>
      </c>
      <c r="U24" s="12">
        <v>209</v>
      </c>
      <c r="V24" s="12">
        <v>620</v>
      </c>
      <c r="W24" s="12">
        <v>229</v>
      </c>
      <c r="X24" s="12">
        <v>354</v>
      </c>
      <c r="Y24" s="12">
        <v>355</v>
      </c>
      <c r="Z24" s="12">
        <v>374</v>
      </c>
      <c r="AA24" s="12">
        <v>416</v>
      </c>
      <c r="AB24" s="12">
        <v>509</v>
      </c>
      <c r="AC24" s="12">
        <v>548</v>
      </c>
      <c r="AD24" s="12">
        <v>472</v>
      </c>
      <c r="AE24" s="12">
        <v>466</v>
      </c>
      <c r="AF24" s="12">
        <v>267</v>
      </c>
    </row>
    <row r="25" spans="1:32">
      <c r="A25" s="20"/>
      <c r="B25" s="13" t="s">
        <v>569</v>
      </c>
      <c r="C25" s="14">
        <v>0.45</v>
      </c>
      <c r="D25" s="14">
        <v>0.48</v>
      </c>
      <c r="E25" s="14">
        <v>0.47</v>
      </c>
      <c r="F25" s="14">
        <v>0.63</v>
      </c>
      <c r="G25" s="14">
        <v>0.26</v>
      </c>
      <c r="H25" s="14">
        <v>0.24</v>
      </c>
      <c r="I25" s="14">
        <v>0.3</v>
      </c>
      <c r="J25" s="14">
        <v>0.51</v>
      </c>
      <c r="K25" s="14">
        <v>0.79</v>
      </c>
      <c r="L25" s="14">
        <v>0.44</v>
      </c>
      <c r="M25" s="14">
        <v>0.72</v>
      </c>
      <c r="N25" s="14">
        <v>0.51</v>
      </c>
      <c r="O25" s="14">
        <v>0.5</v>
      </c>
      <c r="P25" s="14">
        <v>0.25</v>
      </c>
      <c r="Q25" s="14">
        <v>0.6</v>
      </c>
      <c r="R25" s="14">
        <v>0.66</v>
      </c>
      <c r="S25" s="14">
        <v>0.64</v>
      </c>
      <c r="T25" s="14">
        <v>0.54</v>
      </c>
      <c r="U25" s="14">
        <v>0.41</v>
      </c>
      <c r="V25" s="14">
        <v>0.61</v>
      </c>
      <c r="W25" s="14">
        <v>0.45</v>
      </c>
      <c r="X25" s="14">
        <v>0.35</v>
      </c>
      <c r="Y25" s="14">
        <v>0.35</v>
      </c>
      <c r="Z25" s="14">
        <v>0.37</v>
      </c>
      <c r="AA25" s="14">
        <v>0.39</v>
      </c>
      <c r="AB25" s="14">
        <v>0.49</v>
      </c>
      <c r="AC25" s="14">
        <v>0.54</v>
      </c>
      <c r="AD25" s="14">
        <v>0.47</v>
      </c>
      <c r="AE25" s="14">
        <v>0.46</v>
      </c>
      <c r="AF25" s="14">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1778</v>
      </c>
      <c r="C3" s="18"/>
      <c r="D3" s="18"/>
      <c r="E3" s="18"/>
      <c r="F3" s="18"/>
      <c r="H3" s="18" t="s">
        <v>1779</v>
      </c>
      <c r="I3" s="18"/>
      <c r="J3" s="18"/>
      <c r="K3" s="18"/>
      <c r="L3" s="18"/>
    </row>
    <row r="4" spans="1:32" ht="27" customHeight="1">
      <c r="B4" s="18" t="s">
        <v>1780</v>
      </c>
      <c r="C4" s="18"/>
      <c r="D4" s="18"/>
      <c r="E4" s="18"/>
      <c r="F4" s="18"/>
      <c r="H4" s="18" t="s">
        <v>1781</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HYPERLINK("#Content!A211","&lt;&lt;Back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5715</v>
      </c>
      <c r="D12" s="12">
        <v>139</v>
      </c>
      <c r="E12" s="12">
        <v>171</v>
      </c>
      <c r="F12" s="12">
        <v>134</v>
      </c>
      <c r="G12" s="12">
        <v>667</v>
      </c>
      <c r="H12" s="12">
        <v>480</v>
      </c>
      <c r="I12" s="12">
        <v>545</v>
      </c>
      <c r="J12" s="12">
        <v>65</v>
      </c>
      <c r="K12" s="12">
        <v>54</v>
      </c>
      <c r="L12" s="12">
        <v>216</v>
      </c>
      <c r="M12" s="12">
        <v>75</v>
      </c>
      <c r="N12" s="12">
        <v>145</v>
      </c>
      <c r="O12" s="12">
        <v>179</v>
      </c>
      <c r="P12" s="12">
        <v>317</v>
      </c>
      <c r="Q12" s="12">
        <v>75</v>
      </c>
      <c r="R12" s="12">
        <v>33</v>
      </c>
      <c r="S12" s="12">
        <v>93</v>
      </c>
      <c r="T12" s="12">
        <v>62</v>
      </c>
      <c r="U12" s="12">
        <v>137</v>
      </c>
      <c r="V12" s="12">
        <v>100</v>
      </c>
      <c r="W12" s="12">
        <v>97</v>
      </c>
      <c r="X12" s="12">
        <v>373</v>
      </c>
      <c r="Y12" s="12">
        <v>374</v>
      </c>
      <c r="Z12" s="12">
        <v>153</v>
      </c>
      <c r="AA12" s="12">
        <v>173</v>
      </c>
      <c r="AB12" s="12">
        <v>126</v>
      </c>
      <c r="AC12" s="12">
        <v>183</v>
      </c>
      <c r="AD12" s="12">
        <v>305</v>
      </c>
      <c r="AE12" s="12">
        <v>410</v>
      </c>
      <c r="AF12" s="12">
        <v>703</v>
      </c>
    </row>
    <row r="13" spans="1:32">
      <c r="A13" s="20"/>
      <c r="B13" s="13" t="s">
        <v>559</v>
      </c>
      <c r="C13" s="14">
        <v>0.22</v>
      </c>
      <c r="D13" s="14">
        <v>0.14000000000000001</v>
      </c>
      <c r="E13" s="14">
        <v>0.17</v>
      </c>
      <c r="F13" s="14">
        <v>0.13</v>
      </c>
      <c r="G13" s="14">
        <v>0.66</v>
      </c>
      <c r="H13" s="14">
        <v>0.39</v>
      </c>
      <c r="I13" s="14">
        <v>0.36</v>
      </c>
      <c r="J13" s="14">
        <v>0.22</v>
      </c>
      <c r="K13" s="14">
        <v>0.05</v>
      </c>
      <c r="L13" s="14">
        <v>0.21</v>
      </c>
      <c r="M13" s="14">
        <v>7.0000000000000007E-2</v>
      </c>
      <c r="N13" s="14">
        <v>0.14000000000000001</v>
      </c>
      <c r="O13" s="14">
        <v>0.18</v>
      </c>
      <c r="P13" s="14">
        <v>0.31</v>
      </c>
      <c r="Q13" s="14">
        <v>0.08</v>
      </c>
      <c r="R13" s="14">
        <v>7.0000000000000007E-2</v>
      </c>
      <c r="S13" s="14">
        <v>0.09</v>
      </c>
      <c r="T13" s="14">
        <v>0.06</v>
      </c>
      <c r="U13" s="14">
        <v>0.27</v>
      </c>
      <c r="V13" s="14">
        <v>0.1</v>
      </c>
      <c r="W13" s="14">
        <v>0.19</v>
      </c>
      <c r="X13" s="14">
        <v>0.37</v>
      </c>
      <c r="Y13" s="14">
        <v>0.37</v>
      </c>
      <c r="Z13" s="14">
        <v>0.15</v>
      </c>
      <c r="AA13" s="14">
        <v>0.17</v>
      </c>
      <c r="AB13" s="14">
        <v>0.12</v>
      </c>
      <c r="AC13" s="14">
        <v>0.18</v>
      </c>
      <c r="AD13" s="14">
        <v>0.3</v>
      </c>
      <c r="AE13" s="14">
        <v>0.41</v>
      </c>
      <c r="AF13" s="14">
        <v>0.69000000000000006</v>
      </c>
    </row>
    <row r="14" spans="1:32">
      <c r="A14" s="20"/>
      <c r="B14" s="11" t="s">
        <v>560</v>
      </c>
      <c r="C14" s="12">
        <v>11169</v>
      </c>
      <c r="D14" s="12">
        <v>488</v>
      </c>
      <c r="E14" s="12">
        <v>398</v>
      </c>
      <c r="F14" s="12">
        <v>427</v>
      </c>
      <c r="G14" s="12">
        <v>250</v>
      </c>
      <c r="H14" s="12">
        <v>538</v>
      </c>
      <c r="I14" s="12">
        <v>665</v>
      </c>
      <c r="J14" s="12">
        <v>127</v>
      </c>
      <c r="K14" s="12">
        <v>320</v>
      </c>
      <c r="L14" s="12">
        <v>499</v>
      </c>
      <c r="M14" s="12">
        <v>229</v>
      </c>
      <c r="N14" s="12">
        <v>389</v>
      </c>
      <c r="O14" s="12">
        <v>425</v>
      </c>
      <c r="P14" s="12">
        <v>521</v>
      </c>
      <c r="Q14" s="12">
        <v>367</v>
      </c>
      <c r="R14" s="12">
        <v>126</v>
      </c>
      <c r="S14" s="12">
        <v>322</v>
      </c>
      <c r="T14" s="12">
        <v>368</v>
      </c>
      <c r="U14" s="12">
        <v>200</v>
      </c>
      <c r="V14" s="12">
        <v>343</v>
      </c>
      <c r="W14" s="12">
        <v>210</v>
      </c>
      <c r="X14" s="12">
        <v>489</v>
      </c>
      <c r="Y14" s="12">
        <v>382</v>
      </c>
      <c r="Z14" s="12">
        <v>639</v>
      </c>
      <c r="AA14" s="12">
        <v>545</v>
      </c>
      <c r="AB14" s="12">
        <v>470</v>
      </c>
      <c r="AC14" s="12">
        <v>438</v>
      </c>
      <c r="AD14" s="12">
        <v>407</v>
      </c>
      <c r="AE14" s="12">
        <v>436</v>
      </c>
      <c r="AF14" s="12">
        <v>242</v>
      </c>
    </row>
    <row r="15" spans="1:32">
      <c r="A15" s="20"/>
      <c r="B15" s="13" t="s">
        <v>561</v>
      </c>
      <c r="C15" s="14">
        <v>0.42</v>
      </c>
      <c r="D15" s="14">
        <v>0.49</v>
      </c>
      <c r="E15" s="14">
        <v>0.39</v>
      </c>
      <c r="F15" s="14">
        <v>0.43</v>
      </c>
      <c r="G15" s="14">
        <v>0.25</v>
      </c>
      <c r="H15" s="14">
        <v>0.44</v>
      </c>
      <c r="I15" s="14">
        <v>0.44</v>
      </c>
      <c r="J15" s="14">
        <v>0.43</v>
      </c>
      <c r="K15" s="14">
        <v>0.32</v>
      </c>
      <c r="L15" s="14">
        <v>0.5</v>
      </c>
      <c r="M15" s="14">
        <v>0.23</v>
      </c>
      <c r="N15" s="14">
        <v>0.39</v>
      </c>
      <c r="O15" s="14">
        <v>0.42</v>
      </c>
      <c r="P15" s="14">
        <v>0.51</v>
      </c>
      <c r="Q15" s="14">
        <v>0.36</v>
      </c>
      <c r="R15" s="14">
        <v>0.25</v>
      </c>
      <c r="S15" s="14">
        <v>0.32</v>
      </c>
      <c r="T15" s="14">
        <v>0.36</v>
      </c>
      <c r="U15" s="14">
        <v>0.4</v>
      </c>
      <c r="V15" s="14">
        <v>0.34</v>
      </c>
      <c r="W15" s="14">
        <v>0.42</v>
      </c>
      <c r="X15" s="14">
        <v>0.48</v>
      </c>
      <c r="Y15" s="14">
        <v>0.38</v>
      </c>
      <c r="Z15" s="14">
        <v>0.63</v>
      </c>
      <c r="AA15" s="14">
        <v>0.52</v>
      </c>
      <c r="AB15" s="14">
        <v>0.45</v>
      </c>
      <c r="AC15" s="14">
        <v>0.43</v>
      </c>
      <c r="AD15" s="14">
        <v>0.4</v>
      </c>
      <c r="AE15" s="14">
        <v>0.44</v>
      </c>
      <c r="AF15" s="14">
        <v>0.24</v>
      </c>
    </row>
    <row r="16" spans="1:32">
      <c r="A16" s="20"/>
      <c r="B16" s="11" t="s">
        <v>562</v>
      </c>
      <c r="C16" s="12">
        <v>5684</v>
      </c>
      <c r="D16" s="12">
        <v>251</v>
      </c>
      <c r="E16" s="12">
        <v>273</v>
      </c>
      <c r="F16" s="12">
        <v>293</v>
      </c>
      <c r="G16" s="12">
        <v>45</v>
      </c>
      <c r="H16" s="12">
        <v>109</v>
      </c>
      <c r="I16" s="12">
        <v>176</v>
      </c>
      <c r="J16" s="12">
        <v>67</v>
      </c>
      <c r="K16" s="12">
        <v>358</v>
      </c>
      <c r="L16" s="12">
        <v>175</v>
      </c>
      <c r="M16" s="12">
        <v>379</v>
      </c>
      <c r="N16" s="12">
        <v>288</v>
      </c>
      <c r="O16" s="12">
        <v>242</v>
      </c>
      <c r="P16" s="12">
        <v>126</v>
      </c>
      <c r="Q16" s="12">
        <v>339</v>
      </c>
      <c r="R16" s="12">
        <v>169</v>
      </c>
      <c r="S16" s="12">
        <v>323</v>
      </c>
      <c r="T16" s="12">
        <v>327</v>
      </c>
      <c r="U16" s="12">
        <v>87</v>
      </c>
      <c r="V16" s="12">
        <v>283</v>
      </c>
      <c r="W16" s="12">
        <v>146</v>
      </c>
      <c r="X16" s="12">
        <v>113</v>
      </c>
      <c r="Y16" s="12">
        <v>148</v>
      </c>
      <c r="Z16" s="12">
        <v>169</v>
      </c>
      <c r="AA16" s="12">
        <v>194</v>
      </c>
      <c r="AB16" s="12">
        <v>237</v>
      </c>
      <c r="AC16" s="12">
        <v>243</v>
      </c>
      <c r="AD16" s="12">
        <v>158</v>
      </c>
      <c r="AE16" s="12">
        <v>110</v>
      </c>
      <c r="AF16" s="12">
        <v>44</v>
      </c>
    </row>
    <row r="17" spans="1:32">
      <c r="A17" s="20"/>
      <c r="B17" s="13" t="s">
        <v>563</v>
      </c>
      <c r="C17" s="14">
        <v>0.21</v>
      </c>
      <c r="D17" s="14">
        <v>0.25</v>
      </c>
      <c r="E17" s="14">
        <v>0.27</v>
      </c>
      <c r="F17" s="14">
        <v>0.28999999999999998</v>
      </c>
      <c r="G17" s="14">
        <v>0.04</v>
      </c>
      <c r="H17" s="14">
        <v>0.09</v>
      </c>
      <c r="I17" s="14">
        <v>0.12</v>
      </c>
      <c r="J17" s="14">
        <v>0.23</v>
      </c>
      <c r="K17" s="14">
        <v>0.36</v>
      </c>
      <c r="L17" s="14">
        <v>0.17</v>
      </c>
      <c r="M17" s="14">
        <v>0.38</v>
      </c>
      <c r="N17" s="14">
        <v>0.28999999999999998</v>
      </c>
      <c r="O17" s="14">
        <v>0.24</v>
      </c>
      <c r="P17" s="14">
        <v>0.12</v>
      </c>
      <c r="Q17" s="14">
        <v>0.33</v>
      </c>
      <c r="R17" s="14">
        <v>0.34</v>
      </c>
      <c r="S17" s="14">
        <v>0.32</v>
      </c>
      <c r="T17" s="14">
        <v>0.32</v>
      </c>
      <c r="U17" s="14">
        <v>0.17</v>
      </c>
      <c r="V17" s="14">
        <v>0.28000000000000003</v>
      </c>
      <c r="W17" s="14">
        <v>0.28999999999999998</v>
      </c>
      <c r="X17" s="14">
        <v>0.11</v>
      </c>
      <c r="Y17" s="14">
        <v>0.15</v>
      </c>
      <c r="Z17" s="14">
        <v>0.17</v>
      </c>
      <c r="AA17" s="14">
        <v>0.18</v>
      </c>
      <c r="AB17" s="14">
        <v>0.23</v>
      </c>
      <c r="AC17" s="14">
        <v>0.24</v>
      </c>
      <c r="AD17" s="14">
        <v>0.16</v>
      </c>
      <c r="AE17" s="14">
        <v>0.11</v>
      </c>
      <c r="AF17" s="14">
        <v>0.04</v>
      </c>
    </row>
    <row r="18" spans="1:32">
      <c r="A18" s="20"/>
      <c r="B18" s="11" t="s">
        <v>564</v>
      </c>
      <c r="C18" s="12">
        <v>3317</v>
      </c>
      <c r="D18" s="12">
        <v>116</v>
      </c>
      <c r="E18" s="12">
        <v>133</v>
      </c>
      <c r="F18" s="12">
        <v>136</v>
      </c>
      <c r="G18" s="12">
        <v>36</v>
      </c>
      <c r="H18" s="12">
        <v>57</v>
      </c>
      <c r="I18" s="12">
        <v>87</v>
      </c>
      <c r="J18" s="12">
        <v>30</v>
      </c>
      <c r="K18" s="12">
        <v>242</v>
      </c>
      <c r="L18" s="12">
        <v>96</v>
      </c>
      <c r="M18" s="12">
        <v>312</v>
      </c>
      <c r="N18" s="12">
        <v>172</v>
      </c>
      <c r="O18" s="12">
        <v>126</v>
      </c>
      <c r="P18" s="12">
        <v>45</v>
      </c>
      <c r="Q18" s="12">
        <v>236</v>
      </c>
      <c r="R18" s="12">
        <v>157</v>
      </c>
      <c r="S18" s="12">
        <v>231</v>
      </c>
      <c r="T18" s="12">
        <v>207</v>
      </c>
      <c r="U18" s="12">
        <v>68</v>
      </c>
      <c r="V18" s="12">
        <v>273</v>
      </c>
      <c r="W18" s="12">
        <v>46</v>
      </c>
      <c r="X18" s="12">
        <v>42</v>
      </c>
      <c r="Y18" s="12">
        <v>93</v>
      </c>
      <c r="Z18" s="12">
        <v>32</v>
      </c>
      <c r="AA18" s="12">
        <v>128</v>
      </c>
      <c r="AB18" s="12">
        <v>191</v>
      </c>
      <c r="AC18" s="12">
        <v>122</v>
      </c>
      <c r="AD18" s="12">
        <v>109</v>
      </c>
      <c r="AE18" s="12">
        <v>34</v>
      </c>
      <c r="AF18" s="12">
        <v>22</v>
      </c>
    </row>
    <row r="19" spans="1:32">
      <c r="A19" s="20"/>
      <c r="B19" s="13" t="s">
        <v>565</v>
      </c>
      <c r="C19" s="14">
        <v>0.13</v>
      </c>
      <c r="D19" s="14">
        <v>0.11</v>
      </c>
      <c r="E19" s="14">
        <v>0.13</v>
      </c>
      <c r="F19" s="14">
        <v>0.14000000000000001</v>
      </c>
      <c r="G19" s="14">
        <v>0.04</v>
      </c>
      <c r="H19" s="14">
        <v>0.05</v>
      </c>
      <c r="I19" s="14">
        <v>0.06</v>
      </c>
      <c r="J19" s="14">
        <v>0.1</v>
      </c>
      <c r="K19" s="14">
        <v>0.24</v>
      </c>
      <c r="L19" s="14">
        <v>0.1</v>
      </c>
      <c r="M19" s="14">
        <v>0.31</v>
      </c>
      <c r="N19" s="14">
        <v>0.17</v>
      </c>
      <c r="O19" s="14">
        <v>0.13</v>
      </c>
      <c r="P19" s="14">
        <v>0.05</v>
      </c>
      <c r="Q19" s="14">
        <v>0.23</v>
      </c>
      <c r="R19" s="14">
        <v>0.31</v>
      </c>
      <c r="S19" s="14">
        <v>0.23</v>
      </c>
      <c r="T19" s="14">
        <v>0.21</v>
      </c>
      <c r="U19" s="14">
        <v>0.13</v>
      </c>
      <c r="V19" s="14">
        <v>0.27</v>
      </c>
      <c r="W19" s="14">
        <v>0.09</v>
      </c>
      <c r="X19" s="14">
        <v>0.04</v>
      </c>
      <c r="Y19" s="14">
        <v>0.09</v>
      </c>
      <c r="Z19" s="14">
        <v>0.03</v>
      </c>
      <c r="AA19" s="14">
        <v>0.12</v>
      </c>
      <c r="AB19" s="14">
        <v>0.18</v>
      </c>
      <c r="AC19" s="14">
        <v>0.12</v>
      </c>
      <c r="AD19" s="14">
        <v>0.11</v>
      </c>
      <c r="AE19" s="14">
        <v>0.03</v>
      </c>
      <c r="AF19" s="14">
        <v>0.02</v>
      </c>
    </row>
    <row r="20" spans="1:32">
      <c r="A20" s="20"/>
      <c r="B20" s="11" t="s">
        <v>468</v>
      </c>
      <c r="C20" s="12">
        <v>434</v>
      </c>
      <c r="D20" s="12">
        <v>10</v>
      </c>
      <c r="E20" s="12">
        <v>42</v>
      </c>
      <c r="F20" s="12">
        <v>15</v>
      </c>
      <c r="G20" s="12">
        <v>6</v>
      </c>
      <c r="H20" s="12">
        <v>32</v>
      </c>
      <c r="I20" s="12">
        <v>37</v>
      </c>
      <c r="J20" s="12">
        <v>5</v>
      </c>
      <c r="K20" s="12">
        <v>32</v>
      </c>
      <c r="L20" s="12">
        <v>21</v>
      </c>
      <c r="M20" s="12">
        <v>8</v>
      </c>
      <c r="N20" s="12">
        <v>10</v>
      </c>
      <c r="O20" s="12">
        <v>30</v>
      </c>
      <c r="P20" s="12">
        <v>13</v>
      </c>
      <c r="Q20" s="12">
        <v>3</v>
      </c>
      <c r="R20" s="12">
        <v>14</v>
      </c>
      <c r="S20" s="12">
        <v>40</v>
      </c>
      <c r="T20" s="12">
        <v>51</v>
      </c>
      <c r="U20" s="12">
        <v>15</v>
      </c>
      <c r="V20" s="12">
        <v>17</v>
      </c>
      <c r="W20" s="12">
        <v>4</v>
      </c>
      <c r="X20" s="12">
        <v>4</v>
      </c>
      <c r="Y20" s="12">
        <v>11</v>
      </c>
      <c r="Z20" s="12">
        <v>15</v>
      </c>
      <c r="AA20" s="12">
        <v>12</v>
      </c>
      <c r="AB20" s="12">
        <v>15</v>
      </c>
      <c r="AC20" s="12">
        <v>24</v>
      </c>
      <c r="AD20" s="12">
        <v>27</v>
      </c>
      <c r="AE20" s="12">
        <v>11</v>
      </c>
      <c r="AF20" s="12">
        <v>9</v>
      </c>
    </row>
    <row r="21" spans="1:32">
      <c r="A21" s="20"/>
      <c r="B21" s="13" t="s">
        <v>469</v>
      </c>
      <c r="C21" s="14">
        <v>0.02</v>
      </c>
      <c r="D21" s="14">
        <v>0.01</v>
      </c>
      <c r="E21" s="14">
        <v>0.04</v>
      </c>
      <c r="F21" s="14">
        <v>0.01</v>
      </c>
      <c r="G21" s="14">
        <v>0.01</v>
      </c>
      <c r="H21" s="14">
        <v>0.03</v>
      </c>
      <c r="I21" s="14">
        <v>0.02</v>
      </c>
      <c r="J21" s="14">
        <v>0.02</v>
      </c>
      <c r="K21" s="14">
        <v>0.03</v>
      </c>
      <c r="L21" s="14">
        <v>0.02</v>
      </c>
      <c r="M21" s="14">
        <v>0.01</v>
      </c>
      <c r="N21" s="14">
        <v>0.01</v>
      </c>
      <c r="O21" s="14">
        <v>0.03</v>
      </c>
      <c r="P21" s="14">
        <v>0.01</v>
      </c>
      <c r="Q21" s="15" t="s">
        <v>459</v>
      </c>
      <c r="R21" s="14">
        <v>0.03</v>
      </c>
      <c r="S21" s="14">
        <v>0.04</v>
      </c>
      <c r="T21" s="14">
        <v>0.05</v>
      </c>
      <c r="U21" s="14">
        <v>0.03</v>
      </c>
      <c r="V21" s="14">
        <v>0.01</v>
      </c>
      <c r="W21" s="14">
        <v>0.01</v>
      </c>
      <c r="X21" s="15" t="s">
        <v>459</v>
      </c>
      <c r="Y21" s="14">
        <v>0.01</v>
      </c>
      <c r="Z21" s="14">
        <v>0.02</v>
      </c>
      <c r="AA21" s="14">
        <v>0.01</v>
      </c>
      <c r="AB21" s="14">
        <v>0.02</v>
      </c>
      <c r="AC21" s="14">
        <v>0.03</v>
      </c>
      <c r="AD21" s="14">
        <v>0.03</v>
      </c>
      <c r="AE21" s="14">
        <v>0.01</v>
      </c>
      <c r="AF21" s="14">
        <v>0.01</v>
      </c>
    </row>
    <row r="22" spans="1:32">
      <c r="A22" s="20"/>
      <c r="B22" s="11" t="s">
        <v>566</v>
      </c>
      <c r="C22" s="12">
        <v>16884</v>
      </c>
      <c r="D22" s="12">
        <v>627</v>
      </c>
      <c r="E22" s="12">
        <v>569</v>
      </c>
      <c r="F22" s="12">
        <v>561</v>
      </c>
      <c r="G22" s="12">
        <v>917</v>
      </c>
      <c r="H22" s="12">
        <v>1018</v>
      </c>
      <c r="I22" s="12">
        <v>1210</v>
      </c>
      <c r="J22" s="12">
        <v>192</v>
      </c>
      <c r="K22" s="12">
        <v>374</v>
      </c>
      <c r="L22" s="12">
        <v>715</v>
      </c>
      <c r="M22" s="12">
        <v>304</v>
      </c>
      <c r="N22" s="12">
        <v>534</v>
      </c>
      <c r="O22" s="12">
        <v>604</v>
      </c>
      <c r="P22" s="12">
        <v>838</v>
      </c>
      <c r="Q22" s="12">
        <v>442</v>
      </c>
      <c r="R22" s="12">
        <v>159</v>
      </c>
      <c r="S22" s="12">
        <v>415</v>
      </c>
      <c r="T22" s="12">
        <v>430</v>
      </c>
      <c r="U22" s="12">
        <v>337</v>
      </c>
      <c r="V22" s="12">
        <v>443</v>
      </c>
      <c r="W22" s="12">
        <v>307</v>
      </c>
      <c r="X22" s="12">
        <v>862</v>
      </c>
      <c r="Y22" s="12">
        <v>756</v>
      </c>
      <c r="Z22" s="12">
        <v>792</v>
      </c>
      <c r="AA22" s="12">
        <v>718</v>
      </c>
      <c r="AB22" s="12">
        <v>596</v>
      </c>
      <c r="AC22" s="12">
        <v>621</v>
      </c>
      <c r="AD22" s="12">
        <v>712</v>
      </c>
      <c r="AE22" s="12">
        <v>846</v>
      </c>
      <c r="AF22" s="12">
        <v>945</v>
      </c>
    </row>
    <row r="23" spans="1:32">
      <c r="A23" s="20"/>
      <c r="B23" s="13" t="s">
        <v>567</v>
      </c>
      <c r="C23" s="14">
        <v>0.64</v>
      </c>
      <c r="D23" s="14">
        <v>0.63</v>
      </c>
      <c r="E23" s="14">
        <v>0.56000000000000005</v>
      </c>
      <c r="F23" s="14">
        <v>0.56000000000000005</v>
      </c>
      <c r="G23" s="14">
        <v>0.91</v>
      </c>
      <c r="H23" s="14">
        <v>0.83000000000000007</v>
      </c>
      <c r="I23" s="14">
        <v>0.8</v>
      </c>
      <c r="J23" s="14">
        <v>0.65</v>
      </c>
      <c r="K23" s="14">
        <v>0.37</v>
      </c>
      <c r="L23" s="14">
        <v>0.71</v>
      </c>
      <c r="M23" s="14">
        <v>0.3</v>
      </c>
      <c r="N23" s="14">
        <v>0.53</v>
      </c>
      <c r="O23" s="14">
        <v>0.6</v>
      </c>
      <c r="P23" s="14">
        <v>0.82000000000000006</v>
      </c>
      <c r="Q23" s="14">
        <v>0.44</v>
      </c>
      <c r="R23" s="14">
        <v>0.32</v>
      </c>
      <c r="S23" s="14">
        <v>0.41</v>
      </c>
      <c r="T23" s="14">
        <v>0.42</v>
      </c>
      <c r="U23" s="14">
        <v>0.67</v>
      </c>
      <c r="V23" s="14">
        <v>0.44</v>
      </c>
      <c r="W23" s="14">
        <v>0.61</v>
      </c>
      <c r="X23" s="14">
        <v>0.85</v>
      </c>
      <c r="Y23" s="14">
        <v>0.75</v>
      </c>
      <c r="Z23" s="14">
        <v>0.78</v>
      </c>
      <c r="AA23" s="14">
        <v>0.69000000000000006</v>
      </c>
      <c r="AB23" s="14">
        <v>0.57000000000000006</v>
      </c>
      <c r="AC23" s="14">
        <v>0.61</v>
      </c>
      <c r="AD23" s="14">
        <v>0.70000000000000007</v>
      </c>
      <c r="AE23" s="14">
        <v>0.85</v>
      </c>
      <c r="AF23" s="14">
        <v>0.93</v>
      </c>
    </row>
    <row r="24" spans="1:32">
      <c r="A24" s="20"/>
      <c r="B24" s="11" t="s">
        <v>568</v>
      </c>
      <c r="C24" s="12">
        <v>9001</v>
      </c>
      <c r="D24" s="12">
        <v>367</v>
      </c>
      <c r="E24" s="12">
        <v>406</v>
      </c>
      <c r="F24" s="12">
        <v>429</v>
      </c>
      <c r="G24" s="12">
        <v>81</v>
      </c>
      <c r="H24" s="12">
        <v>166</v>
      </c>
      <c r="I24" s="12">
        <v>263</v>
      </c>
      <c r="J24" s="12">
        <v>97</v>
      </c>
      <c r="K24" s="12">
        <v>600</v>
      </c>
      <c r="L24" s="12">
        <v>271</v>
      </c>
      <c r="M24" s="12">
        <v>691</v>
      </c>
      <c r="N24" s="12">
        <v>460</v>
      </c>
      <c r="O24" s="12">
        <v>368</v>
      </c>
      <c r="P24" s="12">
        <v>171</v>
      </c>
      <c r="Q24" s="12">
        <v>575</v>
      </c>
      <c r="R24" s="12">
        <v>326</v>
      </c>
      <c r="S24" s="12">
        <v>554</v>
      </c>
      <c r="T24" s="12">
        <v>534</v>
      </c>
      <c r="U24" s="12">
        <v>155</v>
      </c>
      <c r="V24" s="12">
        <v>556</v>
      </c>
      <c r="W24" s="12">
        <v>192</v>
      </c>
      <c r="X24" s="12">
        <v>155</v>
      </c>
      <c r="Y24" s="12">
        <v>241</v>
      </c>
      <c r="Z24" s="12">
        <v>201</v>
      </c>
      <c r="AA24" s="12">
        <v>322</v>
      </c>
      <c r="AB24" s="12">
        <v>428</v>
      </c>
      <c r="AC24" s="12">
        <v>365</v>
      </c>
      <c r="AD24" s="12">
        <v>267</v>
      </c>
      <c r="AE24" s="12">
        <v>144</v>
      </c>
      <c r="AF24" s="12">
        <v>66</v>
      </c>
    </row>
    <row r="25" spans="1:32">
      <c r="A25" s="20"/>
      <c r="B25" s="13" t="s">
        <v>569</v>
      </c>
      <c r="C25" s="14">
        <v>0.34</v>
      </c>
      <c r="D25" s="14">
        <v>0.36</v>
      </c>
      <c r="E25" s="14">
        <v>0.4</v>
      </c>
      <c r="F25" s="14">
        <v>0.43</v>
      </c>
      <c r="G25" s="14">
        <v>0.08</v>
      </c>
      <c r="H25" s="14">
        <v>0.14000000000000001</v>
      </c>
      <c r="I25" s="14">
        <v>0.18</v>
      </c>
      <c r="J25" s="14">
        <v>0.33</v>
      </c>
      <c r="K25" s="14">
        <v>0.6</v>
      </c>
      <c r="L25" s="14">
        <v>0.27</v>
      </c>
      <c r="M25" s="14">
        <v>0.69000000000000006</v>
      </c>
      <c r="N25" s="14">
        <v>0.46</v>
      </c>
      <c r="O25" s="14">
        <v>0.37</v>
      </c>
      <c r="P25" s="14">
        <v>0.17</v>
      </c>
      <c r="Q25" s="14">
        <v>0.56000000000000005</v>
      </c>
      <c r="R25" s="14">
        <v>0.65</v>
      </c>
      <c r="S25" s="14">
        <v>0.55000000000000004</v>
      </c>
      <c r="T25" s="14">
        <v>0.53</v>
      </c>
      <c r="U25" s="14">
        <v>0.3</v>
      </c>
      <c r="V25" s="14">
        <v>0.55000000000000004</v>
      </c>
      <c r="W25" s="14">
        <v>0.38</v>
      </c>
      <c r="X25" s="14">
        <v>0.15</v>
      </c>
      <c r="Y25" s="14">
        <v>0.24</v>
      </c>
      <c r="Z25" s="14">
        <v>0.2</v>
      </c>
      <c r="AA25" s="14">
        <v>0.3</v>
      </c>
      <c r="AB25" s="14">
        <v>0.41</v>
      </c>
      <c r="AC25" s="14">
        <v>0.36</v>
      </c>
      <c r="AD25" s="14">
        <v>0.27</v>
      </c>
      <c r="AE25" s="14">
        <v>0.14000000000000001</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F25"/>
  <sheetViews>
    <sheetView workbookViewId="0">
      <pane xSplit="3" ySplit="9" topLeftCell="D10" activePane="bottomRight" state="frozen"/>
      <selection pane="bottomRight"/>
      <selection pane="bottomLeft"/>
      <selection pane="topRight"/>
    </sheetView>
  </sheetViews>
  <sheetFormatPr defaultColWidth="8.85546875" defaultRowHeight="15"/>
  <cols>
    <col min="1" max="1" width="8.42578125" customWidth="1"/>
    <col min="2" max="2" width="19.28515625" customWidth="1"/>
    <col min="3" max="32" width="12.42578125" customWidth="1"/>
  </cols>
  <sheetData>
    <row r="1" spans="1:32">
      <c r="I1" s="7" t="s">
        <v>423</v>
      </c>
    </row>
    <row r="2" spans="1:32">
      <c r="C2" s="7" t="s">
        <v>424</v>
      </c>
      <c r="H2" s="7" t="s">
        <v>425</v>
      </c>
    </row>
    <row r="3" spans="1:32" ht="24" customHeight="1">
      <c r="B3" s="18" t="s">
        <v>1782</v>
      </c>
      <c r="C3" s="18"/>
      <c r="D3" s="18"/>
      <c r="E3" s="18"/>
      <c r="F3" s="18"/>
      <c r="H3" s="18" t="s">
        <v>1783</v>
      </c>
      <c r="I3" s="18"/>
      <c r="J3" s="18"/>
      <c r="K3" s="18"/>
      <c r="L3" s="18"/>
    </row>
    <row r="4" spans="1:32" ht="27" customHeight="1">
      <c r="B4" s="18" t="s">
        <v>1784</v>
      </c>
      <c r="C4" s="18"/>
      <c r="D4" s="18"/>
      <c r="E4" s="18"/>
      <c r="F4" s="18"/>
      <c r="H4" s="18" t="s">
        <v>1785</v>
      </c>
      <c r="I4" s="18"/>
      <c r="J4" s="18"/>
      <c r="K4" s="18"/>
      <c r="L4" s="18"/>
    </row>
    <row r="5" spans="1:32" ht="12" customHeight="1">
      <c r="B5" s="18" t="s">
        <v>426</v>
      </c>
      <c r="C5" s="18"/>
      <c r="D5" s="18"/>
      <c r="E5" s="18"/>
      <c r="F5" s="18"/>
      <c r="H5" s="18" t="s">
        <v>427</v>
      </c>
      <c r="I5" s="18"/>
      <c r="J5" s="18"/>
      <c r="K5" s="18"/>
      <c r="L5" s="18"/>
    </row>
    <row r="6" spans="1:32" ht="0.95" customHeight="1"/>
    <row r="7" spans="1:32" ht="0.95" customHeight="1"/>
    <row r="8" spans="1:32">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row>
    <row r="9" spans="1:32" ht="24">
      <c r="A9" s="5" t="str">
        <f>HYPERLINK("#Content!A212","&lt;&lt;Back to content")</f>
        <v>&lt;&lt;Back to content</v>
      </c>
      <c r="C9" s="8" t="s">
        <v>428</v>
      </c>
      <c r="D9" s="8" t="s">
        <v>429</v>
      </c>
      <c r="E9" s="8" t="s">
        <v>430</v>
      </c>
      <c r="F9" s="8" t="s">
        <v>431</v>
      </c>
      <c r="G9" s="8" t="s">
        <v>432</v>
      </c>
      <c r="H9" s="8" t="s">
        <v>433</v>
      </c>
      <c r="I9" s="8" t="s">
        <v>434</v>
      </c>
      <c r="J9" s="8" t="s">
        <v>435</v>
      </c>
      <c r="K9" s="8" t="s">
        <v>436</v>
      </c>
      <c r="L9" s="8" t="s">
        <v>437</v>
      </c>
      <c r="M9" s="8" t="s">
        <v>438</v>
      </c>
      <c r="N9" s="8" t="s">
        <v>439</v>
      </c>
      <c r="O9" s="8" t="s">
        <v>440</v>
      </c>
      <c r="P9" s="8" t="s">
        <v>441</v>
      </c>
      <c r="Q9" s="8" t="s">
        <v>442</v>
      </c>
      <c r="R9" s="8" t="s">
        <v>443</v>
      </c>
      <c r="S9" s="8" t="s">
        <v>444</v>
      </c>
      <c r="T9" s="8" t="s">
        <v>445</v>
      </c>
      <c r="U9" s="8" t="s">
        <v>446</v>
      </c>
      <c r="V9" s="8" t="s">
        <v>447</v>
      </c>
      <c r="W9" s="8" t="s">
        <v>448</v>
      </c>
      <c r="X9" s="8" t="s">
        <v>449</v>
      </c>
      <c r="Y9" s="8" t="s">
        <v>450</v>
      </c>
      <c r="Z9" s="8" t="s">
        <v>451</v>
      </c>
      <c r="AA9" s="8" t="s">
        <v>452</v>
      </c>
      <c r="AB9" s="8" t="s">
        <v>453</v>
      </c>
      <c r="AC9" s="8" t="s">
        <v>454</v>
      </c>
      <c r="AD9" s="8" t="s">
        <v>455</v>
      </c>
      <c r="AE9" s="8" t="s">
        <v>456</v>
      </c>
      <c r="AF9" s="8" t="s">
        <v>457</v>
      </c>
    </row>
    <row r="10" spans="1:32">
      <c r="A10" s="20"/>
      <c r="B10" s="17" t="s">
        <v>458</v>
      </c>
      <c r="C10" s="10">
        <v>26319</v>
      </c>
      <c r="D10" s="10">
        <v>1003</v>
      </c>
      <c r="E10" s="10">
        <v>1018</v>
      </c>
      <c r="F10" s="10">
        <v>1005</v>
      </c>
      <c r="G10" s="10">
        <v>1004</v>
      </c>
      <c r="H10" s="10">
        <v>1216</v>
      </c>
      <c r="I10" s="10">
        <v>1510</v>
      </c>
      <c r="J10" s="10">
        <v>294</v>
      </c>
      <c r="K10" s="10">
        <v>1006</v>
      </c>
      <c r="L10" s="10">
        <v>1007</v>
      </c>
      <c r="M10" s="10">
        <v>1003</v>
      </c>
      <c r="N10" s="10">
        <v>1004</v>
      </c>
      <c r="O10" s="10">
        <v>1003</v>
      </c>
      <c r="P10" s="10">
        <v>1022</v>
      </c>
      <c r="Q10" s="10">
        <v>1019</v>
      </c>
      <c r="R10" s="10">
        <v>500</v>
      </c>
      <c r="S10" s="10">
        <v>1008</v>
      </c>
      <c r="T10" s="10">
        <v>1014</v>
      </c>
      <c r="U10" s="10">
        <v>507</v>
      </c>
      <c r="V10" s="10">
        <v>1017</v>
      </c>
      <c r="W10" s="10">
        <v>503</v>
      </c>
      <c r="X10" s="10">
        <v>1021</v>
      </c>
      <c r="Y10" s="10">
        <v>1008</v>
      </c>
      <c r="Z10" s="10">
        <v>1008</v>
      </c>
      <c r="AA10" s="10">
        <v>1053</v>
      </c>
      <c r="AB10" s="10">
        <v>1039</v>
      </c>
      <c r="AC10" s="10">
        <v>1010</v>
      </c>
      <c r="AD10" s="10">
        <v>1006</v>
      </c>
      <c r="AE10" s="10">
        <v>1001</v>
      </c>
      <c r="AF10" s="10">
        <v>1020</v>
      </c>
    </row>
    <row r="11" spans="1:32">
      <c r="A11" s="19"/>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0"/>
      <c r="B12" s="11" t="s">
        <v>558</v>
      </c>
      <c r="C12" s="12">
        <v>5652</v>
      </c>
      <c r="D12" s="12">
        <v>143</v>
      </c>
      <c r="E12" s="12">
        <v>119</v>
      </c>
      <c r="F12" s="12">
        <v>109</v>
      </c>
      <c r="G12" s="12">
        <v>554</v>
      </c>
      <c r="H12" s="12">
        <v>467</v>
      </c>
      <c r="I12" s="12">
        <v>552</v>
      </c>
      <c r="J12" s="12">
        <v>85</v>
      </c>
      <c r="K12" s="12">
        <v>103</v>
      </c>
      <c r="L12" s="12">
        <v>272</v>
      </c>
      <c r="M12" s="12">
        <v>68</v>
      </c>
      <c r="N12" s="12">
        <v>172</v>
      </c>
      <c r="O12" s="12">
        <v>205</v>
      </c>
      <c r="P12" s="12">
        <v>243</v>
      </c>
      <c r="Q12" s="12">
        <v>115</v>
      </c>
      <c r="R12" s="12">
        <v>25</v>
      </c>
      <c r="S12" s="12">
        <v>78</v>
      </c>
      <c r="T12" s="12">
        <v>62</v>
      </c>
      <c r="U12" s="12">
        <v>147</v>
      </c>
      <c r="V12" s="12">
        <v>110</v>
      </c>
      <c r="W12" s="12">
        <v>107</v>
      </c>
      <c r="X12" s="12">
        <v>310</v>
      </c>
      <c r="Y12" s="12">
        <v>335</v>
      </c>
      <c r="Z12" s="12">
        <v>125</v>
      </c>
      <c r="AA12" s="12">
        <v>277</v>
      </c>
      <c r="AB12" s="12">
        <v>129</v>
      </c>
      <c r="AC12" s="12">
        <v>148</v>
      </c>
      <c r="AD12" s="12">
        <v>176</v>
      </c>
      <c r="AE12" s="12">
        <v>223</v>
      </c>
      <c r="AF12" s="12">
        <v>445</v>
      </c>
    </row>
    <row r="13" spans="1:32">
      <c r="A13" s="20"/>
      <c r="B13" s="13" t="s">
        <v>559</v>
      </c>
      <c r="C13" s="14">
        <v>0.21</v>
      </c>
      <c r="D13" s="14">
        <v>0.14000000000000001</v>
      </c>
      <c r="E13" s="14">
        <v>0.11</v>
      </c>
      <c r="F13" s="14">
        <v>0.11</v>
      </c>
      <c r="G13" s="14">
        <v>0.55000000000000004</v>
      </c>
      <c r="H13" s="14">
        <v>0.39</v>
      </c>
      <c r="I13" s="14">
        <v>0.36</v>
      </c>
      <c r="J13" s="14">
        <v>0.28999999999999998</v>
      </c>
      <c r="K13" s="14">
        <v>0.1</v>
      </c>
      <c r="L13" s="14">
        <v>0.27</v>
      </c>
      <c r="M13" s="14">
        <v>7.0000000000000007E-2</v>
      </c>
      <c r="N13" s="14">
        <v>0.17</v>
      </c>
      <c r="O13" s="14">
        <v>0.2</v>
      </c>
      <c r="P13" s="14">
        <v>0.24</v>
      </c>
      <c r="Q13" s="14">
        <v>0.11</v>
      </c>
      <c r="R13" s="14">
        <v>0.05</v>
      </c>
      <c r="S13" s="14">
        <v>0.08</v>
      </c>
      <c r="T13" s="14">
        <v>0.06</v>
      </c>
      <c r="U13" s="14">
        <v>0.28999999999999998</v>
      </c>
      <c r="V13" s="14">
        <v>0.11</v>
      </c>
      <c r="W13" s="14">
        <v>0.21</v>
      </c>
      <c r="X13" s="14">
        <v>0.3</v>
      </c>
      <c r="Y13" s="14">
        <v>0.33</v>
      </c>
      <c r="Z13" s="14">
        <v>0.12</v>
      </c>
      <c r="AA13" s="14">
        <v>0.26</v>
      </c>
      <c r="AB13" s="14">
        <v>0.12</v>
      </c>
      <c r="AC13" s="14">
        <v>0.15</v>
      </c>
      <c r="AD13" s="14">
        <v>0.17</v>
      </c>
      <c r="AE13" s="14">
        <v>0.22</v>
      </c>
      <c r="AF13" s="14">
        <v>0.43</v>
      </c>
    </row>
    <row r="14" spans="1:32">
      <c r="A14" s="20"/>
      <c r="B14" s="11" t="s">
        <v>560</v>
      </c>
      <c r="C14" s="12">
        <v>12591</v>
      </c>
      <c r="D14" s="12">
        <v>466</v>
      </c>
      <c r="E14" s="12">
        <v>387</v>
      </c>
      <c r="F14" s="12">
        <v>389</v>
      </c>
      <c r="G14" s="12">
        <v>337</v>
      </c>
      <c r="H14" s="12">
        <v>564</v>
      </c>
      <c r="I14" s="12">
        <v>695</v>
      </c>
      <c r="J14" s="12">
        <v>132</v>
      </c>
      <c r="K14" s="12">
        <v>488</v>
      </c>
      <c r="L14" s="12">
        <v>521</v>
      </c>
      <c r="M14" s="12">
        <v>291</v>
      </c>
      <c r="N14" s="12">
        <v>484</v>
      </c>
      <c r="O14" s="12">
        <v>497</v>
      </c>
      <c r="P14" s="12">
        <v>548</v>
      </c>
      <c r="Q14" s="12">
        <v>485</v>
      </c>
      <c r="R14" s="12">
        <v>178</v>
      </c>
      <c r="S14" s="12">
        <v>455</v>
      </c>
      <c r="T14" s="12">
        <v>536</v>
      </c>
      <c r="U14" s="12">
        <v>239</v>
      </c>
      <c r="V14" s="12">
        <v>427</v>
      </c>
      <c r="W14" s="12">
        <v>266</v>
      </c>
      <c r="X14" s="12">
        <v>509</v>
      </c>
      <c r="Y14" s="12">
        <v>387</v>
      </c>
      <c r="Z14" s="12">
        <v>616</v>
      </c>
      <c r="AA14" s="12">
        <v>586</v>
      </c>
      <c r="AB14" s="12">
        <v>543</v>
      </c>
      <c r="AC14" s="12">
        <v>414</v>
      </c>
      <c r="AD14" s="12">
        <v>368</v>
      </c>
      <c r="AE14" s="12">
        <v>516</v>
      </c>
      <c r="AF14" s="12">
        <v>447</v>
      </c>
    </row>
    <row r="15" spans="1:32">
      <c r="A15" s="20"/>
      <c r="B15" s="13" t="s">
        <v>561</v>
      </c>
      <c r="C15" s="14">
        <v>0.48</v>
      </c>
      <c r="D15" s="14">
        <v>0.47</v>
      </c>
      <c r="E15" s="14">
        <v>0.38</v>
      </c>
      <c r="F15" s="14">
        <v>0.39</v>
      </c>
      <c r="G15" s="14">
        <v>0.34</v>
      </c>
      <c r="H15" s="14">
        <v>0.46</v>
      </c>
      <c r="I15" s="14">
        <v>0.46</v>
      </c>
      <c r="J15" s="14">
        <v>0.45</v>
      </c>
      <c r="K15" s="14">
        <v>0.48</v>
      </c>
      <c r="L15" s="14">
        <v>0.52</v>
      </c>
      <c r="M15" s="14">
        <v>0.28999999999999998</v>
      </c>
      <c r="N15" s="14">
        <v>0.48</v>
      </c>
      <c r="O15" s="14">
        <v>0.5</v>
      </c>
      <c r="P15" s="14">
        <v>0.54</v>
      </c>
      <c r="Q15" s="14">
        <v>0.47</v>
      </c>
      <c r="R15" s="14">
        <v>0.36</v>
      </c>
      <c r="S15" s="14">
        <v>0.45</v>
      </c>
      <c r="T15" s="14">
        <v>0.53</v>
      </c>
      <c r="U15" s="14">
        <v>0.47</v>
      </c>
      <c r="V15" s="14">
        <v>0.42</v>
      </c>
      <c r="W15" s="14">
        <v>0.53</v>
      </c>
      <c r="X15" s="14">
        <v>0.5</v>
      </c>
      <c r="Y15" s="14">
        <v>0.38</v>
      </c>
      <c r="Z15" s="14">
        <v>0.61</v>
      </c>
      <c r="AA15" s="14">
        <v>0.56000000000000005</v>
      </c>
      <c r="AB15" s="14">
        <v>0.52</v>
      </c>
      <c r="AC15" s="14">
        <v>0.41</v>
      </c>
      <c r="AD15" s="14">
        <v>0.37</v>
      </c>
      <c r="AE15" s="14">
        <v>0.52</v>
      </c>
      <c r="AF15" s="14">
        <v>0.44</v>
      </c>
    </row>
    <row r="16" spans="1:32">
      <c r="A16" s="20"/>
      <c r="B16" s="11" t="s">
        <v>562</v>
      </c>
      <c r="C16" s="12">
        <v>5180</v>
      </c>
      <c r="D16" s="12">
        <v>285</v>
      </c>
      <c r="E16" s="12">
        <v>303</v>
      </c>
      <c r="F16" s="12">
        <v>333</v>
      </c>
      <c r="G16" s="12">
        <v>78</v>
      </c>
      <c r="H16" s="12">
        <v>113</v>
      </c>
      <c r="I16" s="12">
        <v>166</v>
      </c>
      <c r="J16" s="12">
        <v>53</v>
      </c>
      <c r="K16" s="12">
        <v>259</v>
      </c>
      <c r="L16" s="12">
        <v>133</v>
      </c>
      <c r="M16" s="12">
        <v>384</v>
      </c>
      <c r="N16" s="12">
        <v>198</v>
      </c>
      <c r="O16" s="12">
        <v>192</v>
      </c>
      <c r="P16" s="12">
        <v>148</v>
      </c>
      <c r="Q16" s="12">
        <v>271</v>
      </c>
      <c r="R16" s="12">
        <v>180</v>
      </c>
      <c r="S16" s="12">
        <v>291</v>
      </c>
      <c r="T16" s="12">
        <v>264</v>
      </c>
      <c r="U16" s="12">
        <v>66</v>
      </c>
      <c r="V16" s="12">
        <v>306</v>
      </c>
      <c r="W16" s="12">
        <v>108</v>
      </c>
      <c r="X16" s="12">
        <v>160</v>
      </c>
      <c r="Y16" s="12">
        <v>176</v>
      </c>
      <c r="Z16" s="12">
        <v>198</v>
      </c>
      <c r="AA16" s="12">
        <v>141</v>
      </c>
      <c r="AB16" s="12">
        <v>209</v>
      </c>
      <c r="AC16" s="12">
        <v>299</v>
      </c>
      <c r="AD16" s="12">
        <v>277</v>
      </c>
      <c r="AE16" s="12">
        <v>197</v>
      </c>
      <c r="AF16" s="12">
        <v>89</v>
      </c>
    </row>
    <row r="17" spans="1:32">
      <c r="A17" s="20"/>
      <c r="B17" s="13" t="s">
        <v>563</v>
      </c>
      <c r="C17" s="14">
        <v>0.2</v>
      </c>
      <c r="D17" s="14">
        <v>0.28000000000000003</v>
      </c>
      <c r="E17" s="14">
        <v>0.3</v>
      </c>
      <c r="F17" s="14">
        <v>0.33</v>
      </c>
      <c r="G17" s="14">
        <v>0.08</v>
      </c>
      <c r="H17" s="14">
        <v>0.09</v>
      </c>
      <c r="I17" s="14">
        <v>0.11</v>
      </c>
      <c r="J17" s="14">
        <v>0.18</v>
      </c>
      <c r="K17" s="14">
        <v>0.26</v>
      </c>
      <c r="L17" s="14">
        <v>0.13</v>
      </c>
      <c r="M17" s="14">
        <v>0.38</v>
      </c>
      <c r="N17" s="14">
        <v>0.2</v>
      </c>
      <c r="O17" s="14">
        <v>0.19</v>
      </c>
      <c r="P17" s="14">
        <v>0.14000000000000001</v>
      </c>
      <c r="Q17" s="14">
        <v>0.27</v>
      </c>
      <c r="R17" s="14">
        <v>0.36</v>
      </c>
      <c r="S17" s="14">
        <v>0.28999999999999998</v>
      </c>
      <c r="T17" s="14">
        <v>0.26</v>
      </c>
      <c r="U17" s="14">
        <v>0.13</v>
      </c>
      <c r="V17" s="14">
        <v>0.3</v>
      </c>
      <c r="W17" s="14">
        <v>0.21</v>
      </c>
      <c r="X17" s="14">
        <v>0.16</v>
      </c>
      <c r="Y17" s="14">
        <v>0.18</v>
      </c>
      <c r="Z17" s="14">
        <v>0.2</v>
      </c>
      <c r="AA17" s="14">
        <v>0.13</v>
      </c>
      <c r="AB17" s="14">
        <v>0.2</v>
      </c>
      <c r="AC17" s="14">
        <v>0.28999999999999998</v>
      </c>
      <c r="AD17" s="14">
        <v>0.28000000000000003</v>
      </c>
      <c r="AE17" s="14">
        <v>0.2</v>
      </c>
      <c r="AF17" s="14">
        <v>0.09</v>
      </c>
    </row>
    <row r="18" spans="1:32">
      <c r="A18" s="20"/>
      <c r="B18" s="11" t="s">
        <v>564</v>
      </c>
      <c r="C18" s="12">
        <v>2148</v>
      </c>
      <c r="D18" s="12">
        <v>94</v>
      </c>
      <c r="E18" s="12">
        <v>150</v>
      </c>
      <c r="F18" s="12">
        <v>152</v>
      </c>
      <c r="G18" s="12">
        <v>15</v>
      </c>
      <c r="H18" s="12">
        <v>22</v>
      </c>
      <c r="I18" s="12">
        <v>41</v>
      </c>
      <c r="J18" s="12">
        <v>19</v>
      </c>
      <c r="K18" s="12">
        <v>110</v>
      </c>
      <c r="L18" s="12">
        <v>61</v>
      </c>
      <c r="M18" s="12">
        <v>241</v>
      </c>
      <c r="N18" s="12">
        <v>112</v>
      </c>
      <c r="O18" s="12">
        <v>71</v>
      </c>
      <c r="P18" s="12">
        <v>45</v>
      </c>
      <c r="Q18" s="12">
        <v>141</v>
      </c>
      <c r="R18" s="12">
        <v>102</v>
      </c>
      <c r="S18" s="12">
        <v>100</v>
      </c>
      <c r="T18" s="12">
        <v>66</v>
      </c>
      <c r="U18" s="12">
        <v>29</v>
      </c>
      <c r="V18" s="12">
        <v>155</v>
      </c>
      <c r="W18" s="12">
        <v>15</v>
      </c>
      <c r="X18" s="12">
        <v>34</v>
      </c>
      <c r="Y18" s="12">
        <v>85</v>
      </c>
      <c r="Z18" s="12">
        <v>37</v>
      </c>
      <c r="AA18" s="12">
        <v>25</v>
      </c>
      <c r="AB18" s="12">
        <v>122</v>
      </c>
      <c r="AC18" s="12">
        <v>129</v>
      </c>
      <c r="AD18" s="12">
        <v>143</v>
      </c>
      <c r="AE18" s="12">
        <v>52</v>
      </c>
      <c r="AF18" s="12">
        <v>29</v>
      </c>
    </row>
    <row r="19" spans="1:32">
      <c r="A19" s="20"/>
      <c r="B19" s="13" t="s">
        <v>565</v>
      </c>
      <c r="C19" s="14">
        <v>0.08</v>
      </c>
      <c r="D19" s="14">
        <v>0.09</v>
      </c>
      <c r="E19" s="14">
        <v>0.15</v>
      </c>
      <c r="F19" s="14">
        <v>0.15</v>
      </c>
      <c r="G19" s="14">
        <v>0.01</v>
      </c>
      <c r="H19" s="14">
        <v>0.02</v>
      </c>
      <c r="I19" s="14">
        <v>0.03</v>
      </c>
      <c r="J19" s="14">
        <v>0.06</v>
      </c>
      <c r="K19" s="14">
        <v>0.11</v>
      </c>
      <c r="L19" s="14">
        <v>0.06</v>
      </c>
      <c r="M19" s="14">
        <v>0.24</v>
      </c>
      <c r="N19" s="14">
        <v>0.11</v>
      </c>
      <c r="O19" s="14">
        <v>7.0000000000000007E-2</v>
      </c>
      <c r="P19" s="14">
        <v>0.04</v>
      </c>
      <c r="Q19" s="14">
        <v>0.14000000000000001</v>
      </c>
      <c r="R19" s="14">
        <v>0.2</v>
      </c>
      <c r="S19" s="14">
        <v>0.1</v>
      </c>
      <c r="T19" s="14">
        <v>7.0000000000000007E-2</v>
      </c>
      <c r="U19" s="14">
        <v>0.06</v>
      </c>
      <c r="V19" s="14">
        <v>0.15</v>
      </c>
      <c r="W19" s="14">
        <v>0.03</v>
      </c>
      <c r="X19" s="14">
        <v>0.03</v>
      </c>
      <c r="Y19" s="14">
        <v>0.09</v>
      </c>
      <c r="Z19" s="14">
        <v>0.04</v>
      </c>
      <c r="AA19" s="14">
        <v>0.03</v>
      </c>
      <c r="AB19" s="14">
        <v>0.12</v>
      </c>
      <c r="AC19" s="14">
        <v>0.13</v>
      </c>
      <c r="AD19" s="14">
        <v>0.14000000000000001</v>
      </c>
      <c r="AE19" s="14">
        <v>0.05</v>
      </c>
      <c r="AF19" s="14">
        <v>0.03</v>
      </c>
    </row>
    <row r="20" spans="1:32">
      <c r="A20" s="20"/>
      <c r="B20" s="11" t="s">
        <v>468</v>
      </c>
      <c r="C20" s="12">
        <v>748</v>
      </c>
      <c r="D20" s="12">
        <v>15</v>
      </c>
      <c r="E20" s="12">
        <v>59</v>
      </c>
      <c r="F20" s="12">
        <v>22</v>
      </c>
      <c r="G20" s="12">
        <v>20</v>
      </c>
      <c r="H20" s="12">
        <v>51</v>
      </c>
      <c r="I20" s="12">
        <v>56</v>
      </c>
      <c r="J20" s="12">
        <v>4</v>
      </c>
      <c r="K20" s="12">
        <v>46</v>
      </c>
      <c r="L20" s="12">
        <v>20</v>
      </c>
      <c r="M20" s="12">
        <v>19</v>
      </c>
      <c r="N20" s="12">
        <v>38</v>
      </c>
      <c r="O20" s="12">
        <v>38</v>
      </c>
      <c r="P20" s="12">
        <v>38</v>
      </c>
      <c r="Q20" s="12">
        <v>7</v>
      </c>
      <c r="R20" s="12">
        <v>16</v>
      </c>
      <c r="S20" s="12">
        <v>84</v>
      </c>
      <c r="T20" s="12">
        <v>86</v>
      </c>
      <c r="U20" s="12">
        <v>26</v>
      </c>
      <c r="V20" s="12">
        <v>19</v>
      </c>
      <c r="W20" s="12">
        <v>7</v>
      </c>
      <c r="X20" s="12">
        <v>8</v>
      </c>
      <c r="Y20" s="12">
        <v>25</v>
      </c>
      <c r="Z20" s="12">
        <v>31</v>
      </c>
      <c r="AA20" s="12">
        <v>23</v>
      </c>
      <c r="AB20" s="12">
        <v>37</v>
      </c>
      <c r="AC20" s="12">
        <v>20</v>
      </c>
      <c r="AD20" s="12">
        <v>42</v>
      </c>
      <c r="AE20" s="12">
        <v>13</v>
      </c>
      <c r="AF20" s="12">
        <v>11</v>
      </c>
    </row>
    <row r="21" spans="1:32">
      <c r="A21" s="20"/>
      <c r="B21" s="13" t="s">
        <v>469</v>
      </c>
      <c r="C21" s="14">
        <v>0.03</v>
      </c>
      <c r="D21" s="14">
        <v>0.02</v>
      </c>
      <c r="E21" s="14">
        <v>0.06</v>
      </c>
      <c r="F21" s="14">
        <v>0.02</v>
      </c>
      <c r="G21" s="14">
        <v>0.02</v>
      </c>
      <c r="H21" s="14">
        <v>0.04</v>
      </c>
      <c r="I21" s="14">
        <v>0.04</v>
      </c>
      <c r="J21" s="14">
        <v>0.02</v>
      </c>
      <c r="K21" s="14">
        <v>0.05</v>
      </c>
      <c r="L21" s="14">
        <v>0.02</v>
      </c>
      <c r="M21" s="14">
        <v>0.02</v>
      </c>
      <c r="N21" s="14">
        <v>0.04</v>
      </c>
      <c r="O21" s="14">
        <v>0.04</v>
      </c>
      <c r="P21" s="14">
        <v>0.04</v>
      </c>
      <c r="Q21" s="14">
        <v>0.01</v>
      </c>
      <c r="R21" s="14">
        <v>0.03</v>
      </c>
      <c r="S21" s="14">
        <v>0.08</v>
      </c>
      <c r="T21" s="14">
        <v>0.08</v>
      </c>
      <c r="U21" s="14">
        <v>0.05</v>
      </c>
      <c r="V21" s="14">
        <v>0.02</v>
      </c>
      <c r="W21" s="14">
        <v>0.02</v>
      </c>
      <c r="X21" s="14">
        <v>0.01</v>
      </c>
      <c r="Y21" s="14">
        <v>0.02</v>
      </c>
      <c r="Z21" s="14">
        <v>0.03</v>
      </c>
      <c r="AA21" s="14">
        <v>0.02</v>
      </c>
      <c r="AB21" s="14">
        <v>0.04</v>
      </c>
      <c r="AC21" s="14">
        <v>0.02</v>
      </c>
      <c r="AD21" s="14">
        <v>0.04</v>
      </c>
      <c r="AE21" s="14">
        <v>0.01</v>
      </c>
      <c r="AF21" s="14">
        <v>0.01</v>
      </c>
    </row>
    <row r="22" spans="1:32">
      <c r="A22" s="20"/>
      <c r="B22" s="11" t="s">
        <v>566</v>
      </c>
      <c r="C22" s="12">
        <v>18243</v>
      </c>
      <c r="D22" s="12">
        <v>609</v>
      </c>
      <c r="E22" s="12">
        <v>506</v>
      </c>
      <c r="F22" s="12">
        <v>498</v>
      </c>
      <c r="G22" s="12">
        <v>891</v>
      </c>
      <c r="H22" s="12">
        <v>1031</v>
      </c>
      <c r="I22" s="12">
        <v>1247</v>
      </c>
      <c r="J22" s="12">
        <v>217</v>
      </c>
      <c r="K22" s="12">
        <v>591</v>
      </c>
      <c r="L22" s="12">
        <v>793</v>
      </c>
      <c r="M22" s="12">
        <v>359</v>
      </c>
      <c r="N22" s="12">
        <v>656</v>
      </c>
      <c r="O22" s="12">
        <v>702</v>
      </c>
      <c r="P22" s="12">
        <v>791</v>
      </c>
      <c r="Q22" s="12">
        <v>600</v>
      </c>
      <c r="R22" s="12">
        <v>203</v>
      </c>
      <c r="S22" s="12">
        <v>533</v>
      </c>
      <c r="T22" s="12">
        <v>598</v>
      </c>
      <c r="U22" s="12">
        <v>386</v>
      </c>
      <c r="V22" s="12">
        <v>537</v>
      </c>
      <c r="W22" s="12">
        <v>373</v>
      </c>
      <c r="X22" s="12">
        <v>819</v>
      </c>
      <c r="Y22" s="12">
        <v>722</v>
      </c>
      <c r="Z22" s="12">
        <v>741</v>
      </c>
      <c r="AA22" s="12">
        <v>863</v>
      </c>
      <c r="AB22" s="12">
        <v>672</v>
      </c>
      <c r="AC22" s="12">
        <v>562</v>
      </c>
      <c r="AD22" s="12">
        <v>544</v>
      </c>
      <c r="AE22" s="12">
        <v>739</v>
      </c>
      <c r="AF22" s="12">
        <v>892</v>
      </c>
    </row>
    <row r="23" spans="1:32">
      <c r="A23" s="20"/>
      <c r="B23" s="13" t="s">
        <v>567</v>
      </c>
      <c r="C23" s="14">
        <v>0.69000000000000006</v>
      </c>
      <c r="D23" s="14">
        <v>0.61</v>
      </c>
      <c r="E23" s="14">
        <v>0.49</v>
      </c>
      <c r="F23" s="14">
        <v>0.5</v>
      </c>
      <c r="G23" s="14">
        <v>0.89</v>
      </c>
      <c r="H23" s="14">
        <v>0.85</v>
      </c>
      <c r="I23" s="14">
        <v>0.82000000000000006</v>
      </c>
      <c r="J23" s="14">
        <v>0.74</v>
      </c>
      <c r="K23" s="14">
        <v>0.57999999999999996</v>
      </c>
      <c r="L23" s="14">
        <v>0.79</v>
      </c>
      <c r="M23" s="14">
        <v>0.36</v>
      </c>
      <c r="N23" s="14">
        <v>0.65</v>
      </c>
      <c r="O23" s="14">
        <v>0.70000000000000007</v>
      </c>
      <c r="P23" s="14">
        <v>0.78</v>
      </c>
      <c r="Q23" s="14">
        <v>0.57999999999999996</v>
      </c>
      <c r="R23" s="14">
        <v>0.41</v>
      </c>
      <c r="S23" s="14">
        <v>0.53</v>
      </c>
      <c r="T23" s="14">
        <v>0.59</v>
      </c>
      <c r="U23" s="14">
        <v>0.76</v>
      </c>
      <c r="V23" s="14">
        <v>0.53</v>
      </c>
      <c r="W23" s="14">
        <v>0.74</v>
      </c>
      <c r="X23" s="14">
        <v>0.8</v>
      </c>
      <c r="Y23" s="14">
        <v>0.71</v>
      </c>
      <c r="Z23" s="14">
        <v>0.73</v>
      </c>
      <c r="AA23" s="14">
        <v>0.82000000000000006</v>
      </c>
      <c r="AB23" s="14">
        <v>0.64</v>
      </c>
      <c r="AC23" s="14">
        <v>0.56000000000000005</v>
      </c>
      <c r="AD23" s="14">
        <v>0.54</v>
      </c>
      <c r="AE23" s="14">
        <v>0.74</v>
      </c>
      <c r="AF23" s="14">
        <v>0.87</v>
      </c>
    </row>
    <row r="24" spans="1:32">
      <c r="A24" s="20"/>
      <c r="B24" s="11" t="s">
        <v>568</v>
      </c>
      <c r="C24" s="12">
        <v>7328</v>
      </c>
      <c r="D24" s="12">
        <v>379</v>
      </c>
      <c r="E24" s="12">
        <v>453</v>
      </c>
      <c r="F24" s="12">
        <v>485</v>
      </c>
      <c r="G24" s="12">
        <v>93</v>
      </c>
      <c r="H24" s="12">
        <v>135</v>
      </c>
      <c r="I24" s="12">
        <v>207</v>
      </c>
      <c r="J24" s="12">
        <v>72</v>
      </c>
      <c r="K24" s="12">
        <v>369</v>
      </c>
      <c r="L24" s="12">
        <v>194</v>
      </c>
      <c r="M24" s="12">
        <v>625</v>
      </c>
      <c r="N24" s="12">
        <v>310</v>
      </c>
      <c r="O24" s="12">
        <v>263</v>
      </c>
      <c r="P24" s="12">
        <v>193</v>
      </c>
      <c r="Q24" s="12">
        <v>412</v>
      </c>
      <c r="R24" s="12">
        <v>282</v>
      </c>
      <c r="S24" s="12">
        <v>391</v>
      </c>
      <c r="T24" s="12">
        <v>330</v>
      </c>
      <c r="U24" s="12">
        <v>95</v>
      </c>
      <c r="V24" s="12">
        <v>461</v>
      </c>
      <c r="W24" s="12">
        <v>123</v>
      </c>
      <c r="X24" s="12">
        <v>194</v>
      </c>
      <c r="Y24" s="12">
        <v>261</v>
      </c>
      <c r="Z24" s="12">
        <v>235</v>
      </c>
      <c r="AA24" s="12">
        <v>166</v>
      </c>
      <c r="AB24" s="12">
        <v>331</v>
      </c>
      <c r="AC24" s="12">
        <v>428</v>
      </c>
      <c r="AD24" s="12">
        <v>420</v>
      </c>
      <c r="AE24" s="12">
        <v>249</v>
      </c>
      <c r="AF24" s="12">
        <v>118</v>
      </c>
    </row>
    <row r="25" spans="1:32">
      <c r="A25" s="20"/>
      <c r="B25" s="13" t="s">
        <v>569</v>
      </c>
      <c r="C25" s="14">
        <v>0.28000000000000003</v>
      </c>
      <c r="D25" s="14">
        <v>0.37</v>
      </c>
      <c r="E25" s="14">
        <v>0.45</v>
      </c>
      <c r="F25" s="14">
        <v>0.48</v>
      </c>
      <c r="G25" s="14">
        <v>0.09</v>
      </c>
      <c r="H25" s="14">
        <v>0.11</v>
      </c>
      <c r="I25" s="14">
        <v>0.14000000000000001</v>
      </c>
      <c r="J25" s="14">
        <v>0.24</v>
      </c>
      <c r="K25" s="14">
        <v>0.37</v>
      </c>
      <c r="L25" s="14">
        <v>0.19</v>
      </c>
      <c r="M25" s="14">
        <v>0.62</v>
      </c>
      <c r="N25" s="14">
        <v>0.31</v>
      </c>
      <c r="O25" s="14">
        <v>0.26</v>
      </c>
      <c r="P25" s="14">
        <v>0.18</v>
      </c>
      <c r="Q25" s="14">
        <v>0.41</v>
      </c>
      <c r="R25" s="14">
        <v>0.56000000000000005</v>
      </c>
      <c r="S25" s="14">
        <v>0.39</v>
      </c>
      <c r="T25" s="14">
        <v>0.33</v>
      </c>
      <c r="U25" s="14">
        <v>0.19</v>
      </c>
      <c r="V25" s="14">
        <v>0.45</v>
      </c>
      <c r="W25" s="14">
        <v>0.24</v>
      </c>
      <c r="X25" s="14">
        <v>0.19</v>
      </c>
      <c r="Y25" s="14">
        <v>0.27</v>
      </c>
      <c r="Z25" s="14">
        <v>0.24</v>
      </c>
      <c r="AA25" s="14">
        <v>0.16</v>
      </c>
      <c r="AB25" s="14">
        <v>0.32</v>
      </c>
      <c r="AC25" s="14">
        <v>0.42</v>
      </c>
      <c r="AD25" s="14">
        <v>0.42</v>
      </c>
      <c r="AE25" s="14">
        <v>0.25</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2E578D-6F22-4608-8C61-12213BA7EDF9}"/>
</file>

<file path=customXml/itemProps2.xml><?xml version="1.0" encoding="utf-8"?>
<ds:datastoreItem xmlns:ds="http://schemas.openxmlformats.org/officeDocument/2006/customXml" ds:itemID="{9D8991C1-5767-447B-A5CF-B94F067BCAF3}"/>
</file>

<file path=customXml/itemProps3.xml><?xml version="1.0" encoding="utf-8"?>
<ds:datastoreItem xmlns:ds="http://schemas.openxmlformats.org/officeDocument/2006/customXml" ds:itemID="{99C63B50-87E6-459C-B2AF-618A25AC9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Gergana Ilieva (BMR)</cp:lastModifiedBy>
  <cp:revision/>
  <dcterms:created xsi:type="dcterms:W3CDTF">2025-04-02T15:05:04Z</dcterms:created>
  <dcterms:modified xsi:type="dcterms:W3CDTF">2025-04-17T16:50:23Z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